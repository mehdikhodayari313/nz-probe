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codeName="ThisWorkbook" defaultThemeVersion="124226"/>
  <xr:revisionPtr revIDLastSave="0" documentId="13_ncr:1_{9D7027F2-18FF-47C0-BA98-B3D4C946962C}" xr6:coauthVersionLast="47" xr6:coauthVersionMax="47" xr10:uidLastSave="{00000000-0000-0000-0000-000000000000}"/>
  <bookViews>
    <workbookView xWindow="20370" yWindow="-120" windowWidth="24240" windowHeight="13140" tabRatio="930" activeTab="9" xr2:uid="{00000000-000D-0000-FFFF-FFFF00000000}"/>
  </bookViews>
  <sheets>
    <sheet name="عملكرد كلي" sheetId="98" r:id="rId1"/>
    <sheet name="EPC Summary" sheetId="4" r:id="rId2"/>
    <sheet name="PEP" sheetId="1" r:id="rId3"/>
    <sheet name="basic data" sheetId="3" r:id="rId4"/>
    <sheet name="Engineering" sheetId="51" r:id="rId5"/>
    <sheet name="Procurement" sheetId="7" r:id="rId6"/>
    <sheet name="Construction" sheetId="69" r:id="rId7"/>
    <sheet name="C.CONTENT" sheetId="67" r:id="rId8"/>
    <sheet name="C.Note" sheetId="68" r:id="rId9"/>
    <sheet name="C.foundation-2" sheetId="70" r:id="rId10"/>
    <sheet name="C.Shelters-2" sheetId="71" r:id="rId11"/>
    <sheet name="C.ROAD-2" sheetId="72" r:id="rId12"/>
    <sheet name="C.OTHERS-2" sheetId="73" r:id="rId13"/>
    <sheet name="C.SITE-2" sheetId="74" r:id="rId14"/>
    <sheet name="C.SITE-3" sheetId="75" r:id="rId15"/>
    <sheet name="C.UG CIVIL-2" sheetId="76" r:id="rId16"/>
    <sheet name="C.STEEL STRUCTURE (2)" sheetId="77" r:id="rId17"/>
    <sheet name="C.Buildings" sheetId="78" r:id="rId18"/>
    <sheet name="C.RETAINING WAL" sheetId="79" r:id="rId19"/>
    <sheet name="C.PIPING" sheetId="80" r:id="rId20"/>
    <sheet name="C.mECHANICAL" sheetId="81" r:id="rId21"/>
    <sheet name="C.PIPELINE" sheetId="82" r:id="rId22"/>
    <sheet name="C.ELECTRICAL" sheetId="83" r:id="rId23"/>
    <sheet name="C.INSTRUMENT" sheetId="84" r:id="rId24"/>
    <sheet name="C.tashilat" sheetId="85" r:id="rId25"/>
    <sheet name="C.tashilat (2)" sheetId="86" r:id="rId26"/>
    <sheet name="C.HSE(1)" sheetId="87" r:id="rId27"/>
    <sheet name="C.HSE(2)" sheetId="88" r:id="rId28"/>
    <sheet name="C.Foundation-1" sheetId="90" r:id="rId29"/>
    <sheet name="C.Shelters-1" sheetId="91" r:id="rId30"/>
    <sheet name="C.Shelters-1  (2)" sheetId="92" r:id="rId31"/>
    <sheet name="C.ROAD-1" sheetId="93" r:id="rId32"/>
    <sheet name="C.OTHERS-1" sheetId="94" r:id="rId33"/>
    <sheet name="C.SITE-1" sheetId="95" r:id="rId34"/>
    <sheet name="C.UG CIVIL-1" sheetId="96" r:id="rId35"/>
    <sheet name="C.STEEL STRUCTURE-1" sheetId="97" r:id="rId36"/>
    <sheet name="P.ME" sheetId="8" r:id="rId37"/>
    <sheet name="P.EL" sheetId="12" r:id="rId38"/>
    <sheet name="P.IN" sheetId="13" r:id="rId39"/>
    <sheet name="P.PI" sheetId="9" r:id="rId40"/>
    <sheet name="P.PL" sheetId="10" r:id="rId41"/>
    <sheet name="P.LAB" sheetId="11" r:id="rId42"/>
    <sheet name="E.Endorsement" sheetId="52" r:id="rId43"/>
    <sheet name="E.Process" sheetId="53" r:id="rId44"/>
    <sheet name="E.Mechanic" sheetId="54" r:id="rId45"/>
    <sheet name="E.HVAC" sheetId="55" r:id="rId46"/>
    <sheet name="E.HSE" sheetId="56" r:id="rId47"/>
    <sheet name="E.Piping&amp;Pipeline" sheetId="57" r:id="rId48"/>
    <sheet name="E.Instrument" sheetId="58" r:id="rId49"/>
    <sheet name="E.Electrical" sheetId="59" r:id="rId50"/>
    <sheet name="E.TELECOM" sheetId="60" r:id="rId51"/>
    <sheet name="E.Civil" sheetId="61" r:id="rId52"/>
    <sheet name="E.Arichitectural" sheetId="62" r:id="rId53"/>
    <sheet name="E.Structure" sheetId="63" r:id="rId54"/>
    <sheet name="E.Project Control" sheetId="64" r:id="rId55"/>
  </sheets>
  <definedNames>
    <definedName name="_xlnm._FilterDatabase" localSheetId="22" hidden="1">'C.ELECTRICAL'!$A$4:$U$167</definedName>
    <definedName name="_xlnm._FilterDatabase" localSheetId="9" hidden="1">'C.foundation-2'!$A$2:$T$31</definedName>
    <definedName name="_xlnm._FilterDatabase" localSheetId="23" hidden="1">'C.INSTRUMENT'!$A$5:$L$91</definedName>
    <definedName name="_xlnm._FilterDatabase" localSheetId="20" hidden="1">'C.mECHANICAL'!$A$4:$T$239</definedName>
    <definedName name="_xlnm._FilterDatabase" localSheetId="21" hidden="1">'C.PIPELINE'!$A$4:$A$48</definedName>
    <definedName name="_xlnm._FilterDatabase" localSheetId="18" hidden="1">'C.RETAINING WAL'!$A$2:$T$40</definedName>
    <definedName name="_xlnm._FilterDatabase" localSheetId="15" hidden="1">'C.UG CIVIL-2'!$A$2:$T$30</definedName>
    <definedName name="_xlnm._FilterDatabase" localSheetId="38" hidden="1">P.IN!$A$3:$I$123</definedName>
    <definedName name="_xlnm._FilterDatabase" localSheetId="41" hidden="1">P.LAB!$A$3:$G$26</definedName>
    <definedName name="_xlnm._FilterDatabase" localSheetId="36" hidden="1">P.ME!$A$3:$N$116</definedName>
    <definedName name="_xlnm._FilterDatabase" localSheetId="39" hidden="1">P.PI!$A$3:$W$812</definedName>
    <definedName name="_xlnm._FilterDatabase" localSheetId="40" hidden="1">P.PL!$A$3:$J$15</definedName>
    <definedName name="Administration_cost">1.005</definedName>
    <definedName name="Contingency_Reserve">1.15</definedName>
    <definedName name="Contractor_profit">1.1</definedName>
    <definedName name="Dollar_Adjustment">0.1</definedName>
    <definedName name="Irr_Adjustment">0.4</definedName>
    <definedName name="IRR_EL_Inflation_Factor">'basic data'!$L$14</definedName>
    <definedName name="IRR_IN_Inflation_Factor">'basic data'!$K$14</definedName>
    <definedName name="IRR_Inflation_Factor">'basic data'!$B$18</definedName>
    <definedName name="IRR_ME_Inflation_Factor">AVERAGE('basic data'!$I$14,'basic data'!$J$14)</definedName>
    <definedName name="Lighting_Fixture_Factor">1.9</definedName>
    <definedName name="Material_of_Tank">P.ME!$H$10</definedName>
    <definedName name="per_Euro">'basic data'!$B$1</definedName>
    <definedName name="Procurement_All_Insuramce">Procurement!$F$51</definedName>
    <definedName name="Procurement_Final_Documentation">Procurement!$F$54</definedName>
    <definedName name="Procurement_QC_Inspection">Procurement!$F$53</definedName>
    <definedName name="smokeless_factor">2.5</definedName>
    <definedName name="USD_Change_IRR">'basic data'!$B$2</definedName>
    <definedName name="USD_Inflation_Factor">'basic data'!$C$18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 i="4" l="1"/>
  <c r="C5" i="98" l="1"/>
  <c r="B1" i="3" l="1"/>
  <c r="F122" i="13" l="1"/>
  <c r="F121" i="13"/>
  <c r="H55" i="8" l="1"/>
  <c r="K55" i="8" s="1"/>
  <c r="J135" i="8" l="1"/>
  <c r="H68" i="8"/>
  <c r="K68" i="8" s="1"/>
  <c r="H64" i="8"/>
  <c r="K64" i="8" s="1"/>
  <c r="H60" i="8"/>
  <c r="K60" i="8" s="1"/>
  <c r="H58" i="8"/>
  <c r="K58" i="8" s="1"/>
  <c r="H57" i="8"/>
  <c r="K57" i="8" s="1"/>
  <c r="H54" i="8"/>
  <c r="K54" i="8" s="1"/>
  <c r="H53" i="8"/>
  <c r="K53" i="8" s="1"/>
  <c r="H51" i="8"/>
  <c r="K51" i="8" s="1"/>
  <c r="H50" i="8"/>
  <c r="K50" i="8" s="1"/>
  <c r="H46" i="8"/>
  <c r="K46" i="8" s="1"/>
  <c r="H44" i="8"/>
  <c r="H43" i="8"/>
  <c r="H42" i="8"/>
  <c r="H41" i="8"/>
  <c r="H40" i="8"/>
  <c r="H39" i="8"/>
  <c r="H38" i="8"/>
  <c r="H36" i="8"/>
  <c r="K36" i="8" s="1"/>
  <c r="H37" i="8"/>
  <c r="H25" i="8"/>
  <c r="H24" i="8"/>
  <c r="H23" i="8"/>
  <c r="K23" i="8" s="1"/>
  <c r="H21" i="8"/>
  <c r="H20" i="8"/>
  <c r="H19" i="8"/>
  <c r="H18" i="8"/>
  <c r="H17" i="8"/>
  <c r="H13" i="8"/>
  <c r="H14" i="8"/>
  <c r="K14" i="8" s="1"/>
  <c r="H12" i="8"/>
  <c r="H11" i="8"/>
  <c r="H7" i="8"/>
  <c r="H6" i="8"/>
  <c r="F120" i="13"/>
  <c r="F119" i="13"/>
  <c r="F118" i="13"/>
  <c r="F116" i="13"/>
  <c r="F115" i="13"/>
  <c r="F114" i="13"/>
  <c r="F113" i="13"/>
  <c r="F112" i="13"/>
  <c r="F110" i="13"/>
  <c r="F109" i="13"/>
  <c r="F107" i="13"/>
  <c r="F104" i="13"/>
  <c r="F103" i="13"/>
  <c r="F101" i="13"/>
  <c r="F100" i="13"/>
  <c r="F10" i="13"/>
  <c r="F9" i="13"/>
  <c r="F8" i="13"/>
  <c r="H100" i="13" l="1"/>
  <c r="H101" i="13"/>
  <c r="H102" i="13"/>
  <c r="H103" i="13"/>
  <c r="H104" i="13"/>
  <c r="H105" i="13"/>
  <c r="H107" i="13"/>
  <c r="H108" i="13"/>
  <c r="H109" i="13"/>
  <c r="H110" i="13"/>
  <c r="H111" i="13"/>
  <c r="H112" i="13"/>
  <c r="H113" i="13"/>
  <c r="H114" i="13"/>
  <c r="H116" i="13"/>
  <c r="H117" i="13"/>
  <c r="H118" i="13"/>
  <c r="H120" i="13"/>
  <c r="K24" i="8"/>
  <c r="K25" i="8"/>
  <c r="K11" i="8"/>
  <c r="K12" i="8"/>
  <c r="K6" i="8"/>
  <c r="K7" i="8"/>
  <c r="K126" i="8"/>
  <c r="K127" i="8"/>
  <c r="K133" i="8"/>
  <c r="H121" i="13"/>
  <c r="H122" i="13"/>
  <c r="K21" i="8"/>
  <c r="K20" i="8"/>
  <c r="K19" i="8"/>
  <c r="K137" i="8" s="1"/>
  <c r="K18" i="8"/>
  <c r="K17" i="8"/>
  <c r="K13" i="8"/>
  <c r="B4" i="3"/>
  <c r="B5" i="3"/>
  <c r="B3" i="3"/>
  <c r="G142" i="13" l="1"/>
  <c r="D42" i="7" s="1"/>
  <c r="H113" i="8"/>
  <c r="D10" i="13" l="1"/>
  <c r="H10" i="13" s="1"/>
  <c r="D9" i="13"/>
  <c r="H9" i="13" s="1"/>
  <c r="D8" i="13"/>
  <c r="H8" i="13" s="1"/>
  <c r="D65" i="13"/>
  <c r="D58" i="13"/>
  <c r="D69" i="13"/>
  <c r="D57" i="13"/>
  <c r="D26" i="1" l="1"/>
  <c r="H163" i="12" l="1"/>
  <c r="H162" i="12"/>
  <c r="H161" i="12"/>
  <c r="I160" i="12"/>
  <c r="H160" i="12"/>
  <c r="I159" i="12"/>
  <c r="H159" i="12"/>
  <c r="I158" i="12"/>
  <c r="H157" i="12"/>
  <c r="I156" i="12"/>
  <c r="H155" i="12"/>
  <c r="I154" i="12"/>
  <c r="H154" i="12"/>
  <c r="H152" i="12"/>
  <c r="H151" i="12"/>
  <c r="H150" i="12"/>
  <c r="H149" i="12"/>
  <c r="H148" i="12"/>
  <c r="H147" i="12"/>
  <c r="H146" i="12"/>
  <c r="H144" i="12"/>
  <c r="H143" i="12"/>
  <c r="H142" i="12"/>
  <c r="H141" i="12"/>
  <c r="H140" i="12"/>
  <c r="H138" i="12"/>
  <c r="H137" i="12"/>
  <c r="H136" i="12"/>
  <c r="H135" i="12"/>
  <c r="H134" i="12"/>
  <c r="H133" i="12"/>
  <c r="H131" i="12"/>
  <c r="H130" i="12"/>
  <c r="H129" i="12"/>
  <c r="H128" i="12"/>
  <c r="H127" i="12"/>
  <c r="H126" i="12"/>
  <c r="H125" i="12"/>
  <c r="H124" i="12"/>
  <c r="H123" i="12"/>
  <c r="H122" i="12"/>
  <c r="H121" i="12"/>
  <c r="H120" i="12"/>
  <c r="H119" i="12"/>
  <c r="H116" i="12"/>
  <c r="H115" i="12"/>
  <c r="H114" i="12"/>
  <c r="H113" i="12"/>
  <c r="H111" i="12"/>
  <c r="H110" i="12"/>
  <c r="H109" i="12"/>
  <c r="H108" i="12"/>
  <c r="H107" i="12"/>
  <c r="H105" i="12"/>
  <c r="H104" i="12"/>
  <c r="H102" i="12"/>
  <c r="H101" i="12"/>
  <c r="H100" i="12"/>
  <c r="H99" i="12"/>
  <c r="H98" i="12"/>
  <c r="H96" i="12"/>
  <c r="H95" i="12"/>
  <c r="H94" i="12"/>
  <c r="H93" i="12"/>
  <c r="H92" i="12"/>
  <c r="H91" i="12"/>
  <c r="H90" i="12"/>
  <c r="H89" i="12"/>
  <c r="H88" i="12"/>
  <c r="H87" i="12"/>
  <c r="H86" i="12"/>
  <c r="H85" i="12"/>
  <c r="H84" i="12"/>
  <c r="H83" i="12"/>
  <c r="H81" i="12"/>
  <c r="H80" i="12"/>
  <c r="H79" i="12"/>
  <c r="H78" i="12"/>
  <c r="H77" i="12"/>
  <c r="H76" i="12"/>
  <c r="H75" i="12"/>
  <c r="H74" i="12"/>
  <c r="H73" i="12"/>
  <c r="H72" i="12"/>
  <c r="H71" i="12"/>
  <c r="H70" i="12"/>
  <c r="H69" i="12"/>
  <c r="H68" i="12"/>
  <c r="H67" i="12"/>
  <c r="H66" i="12"/>
  <c r="H62" i="12"/>
  <c r="H61" i="12"/>
  <c r="H60" i="12"/>
  <c r="H59" i="12"/>
  <c r="H58" i="12"/>
  <c r="H57" i="12"/>
  <c r="H56" i="12"/>
  <c r="H55" i="12"/>
  <c r="H54" i="12"/>
  <c r="H53" i="12"/>
  <c r="H52" i="12"/>
  <c r="H51" i="12"/>
  <c r="H50" i="12"/>
  <c r="H49" i="12"/>
  <c r="H48" i="12"/>
  <c r="H47" i="12"/>
  <c r="H46" i="12"/>
  <c r="H45" i="12"/>
  <c r="H44" i="12"/>
  <c r="H43" i="12"/>
  <c r="H42" i="12"/>
  <c r="H41" i="12"/>
  <c r="I39" i="12"/>
  <c r="H38" i="12"/>
  <c r="I36" i="12"/>
  <c r="H35" i="12"/>
  <c r="I33" i="12"/>
  <c r="H32" i="12"/>
  <c r="I30" i="12"/>
  <c r="H29" i="12"/>
  <c r="I27" i="12"/>
  <c r="H26" i="12"/>
  <c r="I24" i="12"/>
  <c r="H23" i="12"/>
  <c r="H20" i="12"/>
  <c r="H19" i="12"/>
  <c r="H17" i="12"/>
  <c r="H16" i="12"/>
  <c r="H15" i="12"/>
  <c r="H14" i="12"/>
  <c r="I12" i="12"/>
  <c r="E12" i="12"/>
  <c r="H12" i="12" s="1"/>
  <c r="I11" i="12"/>
  <c r="E11" i="12"/>
  <c r="H11" i="12" s="1"/>
  <c r="I10" i="12"/>
  <c r="E10" i="12"/>
  <c r="H10" i="12" s="1"/>
  <c r="I9" i="12"/>
  <c r="E9" i="12"/>
  <c r="H9" i="12" s="1"/>
  <c r="I8" i="12"/>
  <c r="E8" i="12"/>
  <c r="H8" i="12" s="1"/>
  <c r="I7" i="12"/>
  <c r="E7" i="12"/>
  <c r="H7" i="12" s="1"/>
  <c r="I6" i="12"/>
  <c r="E6" i="12"/>
  <c r="H6" i="12" s="1"/>
  <c r="I5" i="12"/>
  <c r="E5" i="12"/>
  <c r="H5" i="12" s="1"/>
  <c r="G73" i="80" l="1"/>
  <c r="G72" i="80"/>
  <c r="G71" i="80"/>
  <c r="G70" i="80"/>
  <c r="G74" i="80"/>
  <c r="G75" i="80"/>
  <c r="B20" i="86" l="1"/>
  <c r="B5" i="86"/>
  <c r="J166" i="12" l="1"/>
  <c r="G8" i="85" l="1"/>
  <c r="S5" i="78" l="1"/>
  <c r="B4" i="86" s="1"/>
  <c r="B6" i="86" s="1"/>
  <c r="V16" i="86"/>
  <c r="AJ31" i="51" l="1"/>
  <c r="AJ32" i="51" s="1"/>
  <c r="AJ38" i="51" s="1"/>
  <c r="E4" i="1" s="1"/>
  <c r="H52" i="8" l="1"/>
  <c r="H45" i="8"/>
  <c r="H30" i="8"/>
  <c r="H15" i="8"/>
  <c r="H112" i="8" l="1"/>
  <c r="H109" i="8"/>
  <c r="H105" i="8"/>
  <c r="H104" i="8"/>
  <c r="H102" i="8"/>
  <c r="H97" i="8"/>
  <c r="H87" i="8"/>
  <c r="H86" i="8"/>
  <c r="H85" i="8"/>
  <c r="H82" i="8"/>
  <c r="H81" i="8"/>
  <c r="H80" i="8"/>
  <c r="H79" i="8"/>
  <c r="H78" i="8"/>
  <c r="H77" i="8"/>
  <c r="H76" i="8"/>
  <c r="H75" i="8"/>
  <c r="H74" i="8"/>
  <c r="H73" i="8"/>
  <c r="H72" i="8"/>
  <c r="H71" i="8"/>
  <c r="H70" i="8"/>
  <c r="H48" i="8"/>
  <c r="M17" i="97"/>
  <c r="L17" i="97"/>
  <c r="K17" i="97"/>
  <c r="G17" i="97"/>
  <c r="F17" i="97"/>
  <c r="N16" i="97"/>
  <c r="J16" i="97"/>
  <c r="J17" i="97" s="1"/>
  <c r="I16" i="97"/>
  <c r="I17" i="97" s="1"/>
  <c r="H16" i="97"/>
  <c r="H17" i="97" s="1"/>
  <c r="C10" i="77" s="1"/>
  <c r="N15" i="97"/>
  <c r="N17" i="97" s="1"/>
  <c r="C28" i="77" s="1"/>
  <c r="O18" i="96"/>
  <c r="N18" i="96"/>
  <c r="M18" i="96"/>
  <c r="L18" i="96"/>
  <c r="C23" i="76" s="1"/>
  <c r="B23" i="76" s="1"/>
  <c r="K18" i="96"/>
  <c r="J18" i="96"/>
  <c r="I18" i="96"/>
  <c r="H18" i="96"/>
  <c r="C10" i="76" s="1"/>
  <c r="B10" i="76" s="1"/>
  <c r="G18" i="96"/>
  <c r="F18" i="96"/>
  <c r="X19" i="95"/>
  <c r="N19" i="95"/>
  <c r="L19" i="95"/>
  <c r="C12" i="74" s="1"/>
  <c r="C16" i="74" s="1"/>
  <c r="Y18" i="95"/>
  <c r="Y17" i="95"/>
  <c r="Y16" i="95"/>
  <c r="K16" i="95"/>
  <c r="J16" i="95"/>
  <c r="I16" i="95"/>
  <c r="Y15" i="95"/>
  <c r="K15" i="95"/>
  <c r="J15" i="95"/>
  <c r="I15" i="95"/>
  <c r="Y14" i="95"/>
  <c r="K14" i="95"/>
  <c r="J14" i="95"/>
  <c r="I14" i="95"/>
  <c r="Y13" i="95"/>
  <c r="K13" i="95"/>
  <c r="J13" i="95"/>
  <c r="I13" i="95"/>
  <c r="Y12" i="95"/>
  <c r="K12" i="95"/>
  <c r="J12" i="95"/>
  <c r="I12" i="95"/>
  <c r="Y11" i="95"/>
  <c r="M11" i="95"/>
  <c r="K11" i="95"/>
  <c r="J11" i="95"/>
  <c r="I11" i="95"/>
  <c r="Y10" i="95"/>
  <c r="M10" i="95"/>
  <c r="K10" i="95"/>
  <c r="J10" i="95"/>
  <c r="J19" i="95" s="1"/>
  <c r="I10" i="95"/>
  <c r="I19" i="95" s="1"/>
  <c r="C4" i="74" s="1"/>
  <c r="K29" i="94"/>
  <c r="J29" i="94"/>
  <c r="I29" i="94"/>
  <c r="H29" i="94"/>
  <c r="C10" i="73" s="1"/>
  <c r="B10" i="73" s="1"/>
  <c r="G29" i="94"/>
  <c r="F29" i="94"/>
  <c r="M27" i="94"/>
  <c r="L27" i="94"/>
  <c r="M26" i="94"/>
  <c r="L26" i="94"/>
  <c r="M25" i="94"/>
  <c r="L25" i="94"/>
  <c r="M24" i="94"/>
  <c r="L24" i="94"/>
  <c r="M23" i="94"/>
  <c r="M29" i="94" s="1"/>
  <c r="C28" i="73" s="1"/>
  <c r="B28" i="73" s="1"/>
  <c r="L23" i="94"/>
  <c r="L29" i="94" s="1"/>
  <c r="C27" i="73" s="1"/>
  <c r="B27" i="73" s="1"/>
  <c r="P21" i="94"/>
  <c r="P29" i="94" s="1"/>
  <c r="C32" i="73" s="1"/>
  <c r="O21" i="94"/>
  <c r="O29" i="94" s="1"/>
  <c r="C31" i="73" s="1"/>
  <c r="N21" i="94"/>
  <c r="N29" i="94" s="1"/>
  <c r="C30" i="73" s="1"/>
  <c r="G20" i="93"/>
  <c r="M19" i="93"/>
  <c r="L19" i="93"/>
  <c r="K19" i="93"/>
  <c r="J19" i="93"/>
  <c r="I19" i="93"/>
  <c r="H19" i="93"/>
  <c r="M18" i="93"/>
  <c r="L18" i="93"/>
  <c r="K18" i="93"/>
  <c r="J18" i="93"/>
  <c r="I18" i="93"/>
  <c r="H18" i="93"/>
  <c r="W17" i="93"/>
  <c r="O17" i="93"/>
  <c r="W16" i="93"/>
  <c r="O16" i="93"/>
  <c r="P15" i="93"/>
  <c r="O15" i="93"/>
  <c r="N15" i="93"/>
  <c r="M15" i="93"/>
  <c r="J15" i="93"/>
  <c r="P14" i="93"/>
  <c r="O14" i="93"/>
  <c r="N14" i="93"/>
  <c r="M14" i="93"/>
  <c r="J14" i="93"/>
  <c r="W13" i="93"/>
  <c r="P13" i="93" s="1"/>
  <c r="N13" i="93"/>
  <c r="N20" i="93" s="1"/>
  <c r="M13" i="93"/>
  <c r="J13" i="93"/>
  <c r="W12" i="93"/>
  <c r="L12" i="93" s="1"/>
  <c r="M12" i="93"/>
  <c r="K12" i="93"/>
  <c r="J12" i="93"/>
  <c r="I12" i="93"/>
  <c r="W11" i="93"/>
  <c r="M11" i="93" s="1"/>
  <c r="W10" i="93"/>
  <c r="M10" i="93" s="1"/>
  <c r="M9" i="93"/>
  <c r="L9" i="93"/>
  <c r="K9" i="93"/>
  <c r="J9" i="93"/>
  <c r="I9" i="93"/>
  <c r="H9" i="93"/>
  <c r="M8" i="93"/>
  <c r="L8" i="93"/>
  <c r="K8" i="93"/>
  <c r="J8" i="93"/>
  <c r="I8" i="93"/>
  <c r="H8" i="93"/>
  <c r="W7" i="93"/>
  <c r="L7" i="93" s="1"/>
  <c r="W6" i="93"/>
  <c r="M6" i="93" s="1"/>
  <c r="L6" i="93"/>
  <c r="J6" i="93"/>
  <c r="H6" i="93"/>
  <c r="J30" i="92"/>
  <c r="J24" i="92" s="1"/>
  <c r="I30" i="92"/>
  <c r="I25" i="92" s="1"/>
  <c r="H30" i="92"/>
  <c r="G30" i="92"/>
  <c r="F30" i="92"/>
  <c r="F22" i="92" s="1"/>
  <c r="L25" i="92"/>
  <c r="K25" i="92"/>
  <c r="H25" i="92"/>
  <c r="G25" i="92"/>
  <c r="L24" i="92"/>
  <c r="K24" i="92"/>
  <c r="H24" i="92"/>
  <c r="G24" i="92"/>
  <c r="F24" i="92"/>
  <c r="L23" i="92"/>
  <c r="K23" i="92"/>
  <c r="I23" i="92"/>
  <c r="H23" i="92"/>
  <c r="G23" i="92"/>
  <c r="L22" i="92"/>
  <c r="K22" i="92"/>
  <c r="H22" i="92"/>
  <c r="G22" i="92"/>
  <c r="L21" i="92"/>
  <c r="K21" i="92"/>
  <c r="J21" i="92"/>
  <c r="H21" i="92"/>
  <c r="G21" i="92"/>
  <c r="L20" i="92"/>
  <c r="K20" i="92"/>
  <c r="H20" i="92"/>
  <c r="G20" i="92"/>
  <c r="L19" i="92"/>
  <c r="K19" i="92"/>
  <c r="J19" i="92"/>
  <c r="I19" i="92"/>
  <c r="H19" i="92"/>
  <c r="G19" i="92"/>
  <c r="F19" i="92"/>
  <c r="L18" i="92"/>
  <c r="K18" i="92"/>
  <c r="H18" i="92"/>
  <c r="G18" i="92"/>
  <c r="L17" i="92"/>
  <c r="K17" i="92"/>
  <c r="H17" i="92"/>
  <c r="G17" i="92"/>
  <c r="F17" i="92"/>
  <c r="L16" i="92"/>
  <c r="K16" i="92"/>
  <c r="H16" i="92"/>
  <c r="G16" i="92"/>
  <c r="L15" i="92"/>
  <c r="K15" i="92"/>
  <c r="I15" i="92"/>
  <c r="H15" i="92"/>
  <c r="G15" i="92"/>
  <c r="L14" i="92"/>
  <c r="K14" i="92"/>
  <c r="J14" i="92"/>
  <c r="H14" i="92"/>
  <c r="G14" i="92"/>
  <c r="L13" i="92"/>
  <c r="K13" i="92"/>
  <c r="H13" i="92"/>
  <c r="G13" i="92"/>
  <c r="L12" i="92"/>
  <c r="K12" i="92"/>
  <c r="J12" i="92"/>
  <c r="H12" i="92"/>
  <c r="G12" i="92"/>
  <c r="L11" i="92"/>
  <c r="K11" i="92"/>
  <c r="I11" i="92"/>
  <c r="H11" i="92"/>
  <c r="G11" i="92"/>
  <c r="L10" i="92"/>
  <c r="K10" i="92"/>
  <c r="K26" i="92" s="1"/>
  <c r="C42" i="71" s="1"/>
  <c r="B42" i="71" s="1"/>
  <c r="H10" i="92"/>
  <c r="G10" i="92"/>
  <c r="F10" i="92"/>
  <c r="AG25" i="91"/>
  <c r="R25" i="91" s="1"/>
  <c r="Q25" i="91"/>
  <c r="P25" i="91"/>
  <c r="O25" i="91"/>
  <c r="N25" i="91"/>
  <c r="M25" i="91"/>
  <c r="L25" i="91"/>
  <c r="K25" i="91"/>
  <c r="J25" i="91"/>
  <c r="I25" i="91"/>
  <c r="H25" i="91"/>
  <c r="G25" i="91"/>
  <c r="F25" i="91"/>
  <c r="R24" i="91"/>
  <c r="Q24" i="91"/>
  <c r="P24" i="91"/>
  <c r="O24" i="91"/>
  <c r="N24" i="91"/>
  <c r="M24" i="91"/>
  <c r="L24" i="91"/>
  <c r="K24" i="91"/>
  <c r="J24" i="91"/>
  <c r="I24" i="91"/>
  <c r="H24" i="91"/>
  <c r="G24" i="91"/>
  <c r="F24" i="91"/>
  <c r="R23" i="91"/>
  <c r="Q23" i="91"/>
  <c r="P23" i="91"/>
  <c r="O23" i="91"/>
  <c r="N23" i="91"/>
  <c r="M23" i="91"/>
  <c r="L23" i="91"/>
  <c r="K23" i="91"/>
  <c r="J23" i="91"/>
  <c r="I23" i="91"/>
  <c r="H23" i="91"/>
  <c r="G23" i="91"/>
  <c r="F23" i="91"/>
  <c r="R22" i="91"/>
  <c r="Q22" i="91"/>
  <c r="P22" i="91"/>
  <c r="O22" i="91"/>
  <c r="N22" i="91"/>
  <c r="M22" i="91"/>
  <c r="L22" i="91"/>
  <c r="K22" i="91"/>
  <c r="J22" i="91"/>
  <c r="I22" i="91"/>
  <c r="H22" i="91"/>
  <c r="G22" i="91"/>
  <c r="F22" i="91"/>
  <c r="R21" i="91"/>
  <c r="Q21" i="91"/>
  <c r="P21" i="91"/>
  <c r="O21" i="91"/>
  <c r="N21" i="91"/>
  <c r="M21" i="91"/>
  <c r="L21" i="91"/>
  <c r="K21" i="91"/>
  <c r="J21" i="91"/>
  <c r="I21" i="91"/>
  <c r="H21" i="91"/>
  <c r="G21" i="91"/>
  <c r="F21" i="91"/>
  <c r="R20" i="91"/>
  <c r="Q20" i="91"/>
  <c r="P20" i="91"/>
  <c r="O20" i="91"/>
  <c r="N20" i="91"/>
  <c r="M20" i="91"/>
  <c r="L20" i="91"/>
  <c r="K20" i="91"/>
  <c r="J20" i="91"/>
  <c r="I20" i="91"/>
  <c r="H20" i="91"/>
  <c r="G20" i="91"/>
  <c r="F20" i="91"/>
  <c r="R19" i="91"/>
  <c r="Q19" i="91"/>
  <c r="P19" i="91"/>
  <c r="O19" i="91"/>
  <c r="N19" i="91"/>
  <c r="M19" i="91"/>
  <c r="L19" i="91"/>
  <c r="K19" i="91"/>
  <c r="J19" i="91"/>
  <c r="I19" i="91"/>
  <c r="H19" i="91"/>
  <c r="G19" i="91"/>
  <c r="F19" i="91"/>
  <c r="R18" i="91"/>
  <c r="Q18" i="91"/>
  <c r="P18" i="91"/>
  <c r="O18" i="91"/>
  <c r="N18" i="91"/>
  <c r="M18" i="91"/>
  <c r="L18" i="91"/>
  <c r="K18" i="91"/>
  <c r="J18" i="91"/>
  <c r="I18" i="91"/>
  <c r="H18" i="91"/>
  <c r="G18" i="91"/>
  <c r="F18" i="91"/>
  <c r="R17" i="91"/>
  <c r="Q17" i="91"/>
  <c r="P17" i="91"/>
  <c r="O17" i="91"/>
  <c r="N17" i="91"/>
  <c r="M17" i="91"/>
  <c r="L17" i="91"/>
  <c r="K17" i="91"/>
  <c r="J17" i="91"/>
  <c r="I17" i="91"/>
  <c r="H17" i="91"/>
  <c r="G17" i="91"/>
  <c r="F17" i="91"/>
  <c r="R16" i="91"/>
  <c r="Q16" i="91"/>
  <c r="P16" i="91"/>
  <c r="O16" i="91"/>
  <c r="N16" i="91"/>
  <c r="M16" i="91"/>
  <c r="L16" i="91"/>
  <c r="K16" i="91"/>
  <c r="J16" i="91"/>
  <c r="I16" i="91"/>
  <c r="H16" i="91"/>
  <c r="G16" i="91"/>
  <c r="F16" i="91"/>
  <c r="AG15" i="91"/>
  <c r="M15" i="91" s="1"/>
  <c r="Q15" i="91"/>
  <c r="P15" i="91"/>
  <c r="O15" i="91"/>
  <c r="N15" i="91"/>
  <c r="K15" i="91"/>
  <c r="AG14" i="91"/>
  <c r="R14" i="91" s="1"/>
  <c r="Q14" i="91"/>
  <c r="P14" i="91"/>
  <c r="O14" i="91"/>
  <c r="N14" i="91"/>
  <c r="H14" i="91"/>
  <c r="AG13" i="91"/>
  <c r="M13" i="91" s="1"/>
  <c r="Q13" i="91"/>
  <c r="P13" i="91"/>
  <c r="O13" i="91"/>
  <c r="N13" i="91"/>
  <c r="G13" i="91"/>
  <c r="AG12" i="91"/>
  <c r="R12" i="91" s="1"/>
  <c r="Q12" i="91"/>
  <c r="P12" i="91"/>
  <c r="O12" i="91"/>
  <c r="N12" i="91"/>
  <c r="M12" i="91"/>
  <c r="I12" i="91"/>
  <c r="H12" i="91"/>
  <c r="G12" i="91"/>
  <c r="AG11" i="91"/>
  <c r="M11" i="91" s="1"/>
  <c r="Q11" i="91"/>
  <c r="P11" i="91"/>
  <c r="O11" i="91"/>
  <c r="N11" i="91"/>
  <c r="AG10" i="91"/>
  <c r="R10" i="91" s="1"/>
  <c r="Q10" i="91"/>
  <c r="P10" i="91"/>
  <c r="O10" i="91"/>
  <c r="N10" i="91"/>
  <c r="M10" i="91"/>
  <c r="K10" i="91"/>
  <c r="I10" i="91"/>
  <c r="G10" i="91"/>
  <c r="R36" i="90"/>
  <c r="Q36" i="90"/>
  <c r="P36" i="90"/>
  <c r="O36" i="90"/>
  <c r="N36" i="90"/>
  <c r="M36" i="90"/>
  <c r="L36" i="90"/>
  <c r="K36" i="90"/>
  <c r="J36" i="90"/>
  <c r="I36" i="90"/>
  <c r="J36" i="88"/>
  <c r="J35" i="88"/>
  <c r="J34" i="88"/>
  <c r="J33" i="88"/>
  <c r="J32" i="88"/>
  <c r="J31" i="88"/>
  <c r="J30" i="88"/>
  <c r="J29" i="88"/>
  <c r="J28" i="88"/>
  <c r="J27" i="88"/>
  <c r="J26" i="88"/>
  <c r="J25" i="88"/>
  <c r="B21" i="88"/>
  <c r="B32" i="69" s="1"/>
  <c r="C33" i="87"/>
  <c r="C32" i="87"/>
  <c r="C34" i="87" s="1"/>
  <c r="B34" i="69" s="1"/>
  <c r="E23" i="87"/>
  <c r="E22" i="87"/>
  <c r="V21" i="87"/>
  <c r="V20" i="87"/>
  <c r="E20" i="87" s="1"/>
  <c r="V19" i="87"/>
  <c r="E19" i="87" s="1"/>
  <c r="V18" i="87"/>
  <c r="E18" i="87" s="1"/>
  <c r="E17" i="87"/>
  <c r="V16" i="87"/>
  <c r="E16" i="87" s="1"/>
  <c r="V15" i="87"/>
  <c r="E15" i="87" s="1"/>
  <c r="V14" i="87"/>
  <c r="E14" i="87" s="1"/>
  <c r="V13" i="87"/>
  <c r="E13" i="87" s="1"/>
  <c r="V12" i="87"/>
  <c r="E12" i="87" s="1"/>
  <c r="V11" i="87"/>
  <c r="E11" i="87" s="1"/>
  <c r="E10" i="87"/>
  <c r="E9" i="87"/>
  <c r="V8" i="87"/>
  <c r="E8" i="87" s="1"/>
  <c r="E7" i="87"/>
  <c r="B7" i="87" s="1"/>
  <c r="V6" i="87"/>
  <c r="E6" i="87" s="1"/>
  <c r="B6" i="87" s="1"/>
  <c r="V5" i="87"/>
  <c r="E5" i="87" s="1"/>
  <c r="G32" i="85"/>
  <c r="G23" i="85"/>
  <c r="C22" i="85"/>
  <c r="C21" i="85"/>
  <c r="C20" i="85"/>
  <c r="C19" i="85"/>
  <c r="C18" i="85"/>
  <c r="C17" i="85"/>
  <c r="C8" i="85"/>
  <c r="C96" i="84"/>
  <c r="A96" i="84" s="1"/>
  <c r="B96" i="84"/>
  <c r="C95" i="84"/>
  <c r="B95" i="84"/>
  <c r="A95" i="84"/>
  <c r="C94" i="84"/>
  <c r="A94" i="84" s="1"/>
  <c r="B94" i="84"/>
  <c r="C93" i="84"/>
  <c r="A93" i="84" s="1"/>
  <c r="B93" i="84"/>
  <c r="C92" i="84"/>
  <c r="B92" i="84"/>
  <c r="A92" i="84"/>
  <c r="C91" i="84"/>
  <c r="A91" i="84" s="1"/>
  <c r="B91" i="84"/>
  <c r="C90" i="84"/>
  <c r="A90" i="84" s="1"/>
  <c r="B90" i="84"/>
  <c r="C89" i="84"/>
  <c r="A89" i="84" s="1"/>
  <c r="B89" i="84"/>
  <c r="C88" i="84"/>
  <c r="A88" i="84" s="1"/>
  <c r="B88" i="84"/>
  <c r="C87" i="84"/>
  <c r="B87" i="84"/>
  <c r="A87" i="84"/>
  <c r="C86" i="84"/>
  <c r="A86" i="84" s="1"/>
  <c r="B86" i="84"/>
  <c r="C85" i="84"/>
  <c r="A85" i="84" s="1"/>
  <c r="B85" i="84"/>
  <c r="C84" i="84"/>
  <c r="B84" i="84"/>
  <c r="A84" i="84"/>
  <c r="C83" i="84"/>
  <c r="A83" i="84" s="1"/>
  <c r="B83" i="84"/>
  <c r="C82" i="84"/>
  <c r="A82" i="84" s="1"/>
  <c r="B82" i="84"/>
  <c r="C81" i="84"/>
  <c r="A81" i="84" s="1"/>
  <c r="B81" i="84"/>
  <c r="C80" i="84"/>
  <c r="A80" i="84" s="1"/>
  <c r="B80" i="84"/>
  <c r="C79" i="84"/>
  <c r="B79" i="84"/>
  <c r="A79" i="84"/>
  <c r="C78" i="84"/>
  <c r="A78" i="84" s="1"/>
  <c r="B78" i="84"/>
  <c r="C77" i="84"/>
  <c r="A77" i="84" s="1"/>
  <c r="B77" i="84"/>
  <c r="C76" i="84"/>
  <c r="B76" i="84"/>
  <c r="A76" i="84"/>
  <c r="C75" i="84"/>
  <c r="A75" i="84" s="1"/>
  <c r="B75" i="84"/>
  <c r="C74" i="84"/>
  <c r="A74" i="84" s="1"/>
  <c r="B74" i="84"/>
  <c r="C73" i="84"/>
  <c r="A73" i="84" s="1"/>
  <c r="B73" i="84"/>
  <c r="C72" i="84"/>
  <c r="A72" i="84" s="1"/>
  <c r="B72" i="84"/>
  <c r="C71" i="84"/>
  <c r="B71" i="84"/>
  <c r="A71" i="84"/>
  <c r="C70" i="84"/>
  <c r="A70" i="84" s="1"/>
  <c r="B70" i="84"/>
  <c r="C69" i="84"/>
  <c r="A69" i="84" s="1"/>
  <c r="B69" i="84"/>
  <c r="C68" i="84"/>
  <c r="B68" i="84"/>
  <c r="A68" i="84"/>
  <c r="C67" i="84"/>
  <c r="A67" i="84" s="1"/>
  <c r="B67" i="84"/>
  <c r="C66" i="84"/>
  <c r="A66" i="84" s="1"/>
  <c r="B66" i="84"/>
  <c r="C65" i="84"/>
  <c r="A65" i="84" s="1"/>
  <c r="B65" i="84"/>
  <c r="C64" i="84"/>
  <c r="A64" i="84" s="1"/>
  <c r="B64" i="84"/>
  <c r="C63" i="84"/>
  <c r="B63" i="84"/>
  <c r="A63" i="84"/>
  <c r="C62" i="84"/>
  <c r="A62" i="84" s="1"/>
  <c r="B62" i="84"/>
  <c r="C61" i="84"/>
  <c r="A61" i="84" s="1"/>
  <c r="B61" i="84"/>
  <c r="C60" i="84"/>
  <c r="B60" i="84"/>
  <c r="A60" i="84"/>
  <c r="C59" i="84"/>
  <c r="A59" i="84" s="1"/>
  <c r="B59" i="84"/>
  <c r="C58" i="84"/>
  <c r="A58" i="84" s="1"/>
  <c r="B58" i="84"/>
  <c r="C57" i="84"/>
  <c r="A57" i="84" s="1"/>
  <c r="B57" i="84"/>
  <c r="C56" i="84"/>
  <c r="A56" i="84" s="1"/>
  <c r="B56" i="84"/>
  <c r="C55" i="84"/>
  <c r="B55" i="84"/>
  <c r="A55" i="84"/>
  <c r="C54" i="84"/>
  <c r="A54" i="84" s="1"/>
  <c r="B54" i="84"/>
  <c r="C53" i="84"/>
  <c r="A53" i="84" s="1"/>
  <c r="B53" i="84"/>
  <c r="C52" i="84"/>
  <c r="B52" i="84"/>
  <c r="A52" i="84"/>
  <c r="C51" i="84"/>
  <c r="A51" i="84" s="1"/>
  <c r="B51" i="84"/>
  <c r="C50" i="84"/>
  <c r="A50" i="84" s="1"/>
  <c r="B50" i="84"/>
  <c r="C49" i="84"/>
  <c r="A49" i="84" s="1"/>
  <c r="B49" i="84"/>
  <c r="C48" i="84"/>
  <c r="A48" i="84" s="1"/>
  <c r="B48" i="84"/>
  <c r="C47" i="84"/>
  <c r="B47" i="84"/>
  <c r="A47" i="84"/>
  <c r="C46" i="84"/>
  <c r="A46" i="84" s="1"/>
  <c r="B46" i="84"/>
  <c r="C45" i="84"/>
  <c r="A45" i="84" s="1"/>
  <c r="B45" i="84"/>
  <c r="C44" i="84"/>
  <c r="B44" i="84"/>
  <c r="A44" i="84"/>
  <c r="C43" i="84"/>
  <c r="A43" i="84" s="1"/>
  <c r="B43" i="84"/>
  <c r="C42" i="84"/>
  <c r="A42" i="84" s="1"/>
  <c r="B42" i="84"/>
  <c r="C41" i="84"/>
  <c r="A41" i="84" s="1"/>
  <c r="B41" i="84"/>
  <c r="C40" i="84"/>
  <c r="A40" i="84" s="1"/>
  <c r="B40" i="84"/>
  <c r="C39" i="84"/>
  <c r="B39" i="84"/>
  <c r="A39" i="84"/>
  <c r="C38" i="84"/>
  <c r="A38" i="84" s="1"/>
  <c r="B38" i="84"/>
  <c r="C37" i="84"/>
  <c r="A37" i="84" s="1"/>
  <c r="B37" i="84"/>
  <c r="C36" i="84"/>
  <c r="B36" i="84"/>
  <c r="A36" i="84"/>
  <c r="C35" i="84"/>
  <c r="A35" i="84" s="1"/>
  <c r="B35" i="84"/>
  <c r="C34" i="84"/>
  <c r="A34" i="84" s="1"/>
  <c r="B34" i="84"/>
  <c r="C33" i="84"/>
  <c r="A33" i="84" s="1"/>
  <c r="B33" i="84"/>
  <c r="C32" i="84"/>
  <c r="A32" i="84" s="1"/>
  <c r="B32" i="84"/>
  <c r="C31" i="84"/>
  <c r="B31" i="84"/>
  <c r="A31" i="84"/>
  <c r="C30" i="84"/>
  <c r="A30" i="84" s="1"/>
  <c r="B30" i="84"/>
  <c r="C29" i="84"/>
  <c r="A29" i="84" s="1"/>
  <c r="B29" i="84"/>
  <c r="C28" i="84"/>
  <c r="B28" i="84"/>
  <c r="A28" i="84"/>
  <c r="C27" i="84"/>
  <c r="A27" i="84" s="1"/>
  <c r="B27" i="84"/>
  <c r="C26" i="84"/>
  <c r="A26" i="84" s="1"/>
  <c r="B26" i="84"/>
  <c r="C25" i="84"/>
  <c r="A25" i="84" s="1"/>
  <c r="B25" i="84"/>
  <c r="C24" i="84"/>
  <c r="A24" i="84" s="1"/>
  <c r="B24" i="84"/>
  <c r="C23" i="84"/>
  <c r="B23" i="84"/>
  <c r="A23" i="84"/>
  <c r="C22" i="84"/>
  <c r="A22" i="84" s="1"/>
  <c r="B22" i="84"/>
  <c r="C21" i="84"/>
  <c r="A21" i="84" s="1"/>
  <c r="B21" i="84"/>
  <c r="C20" i="84"/>
  <c r="B20" i="84"/>
  <c r="A20" i="84"/>
  <c r="C19" i="84"/>
  <c r="A19" i="84" s="1"/>
  <c r="B19" i="84"/>
  <c r="C18" i="84"/>
  <c r="A18" i="84" s="1"/>
  <c r="B18" i="84"/>
  <c r="C17" i="84"/>
  <c r="A17" i="84" s="1"/>
  <c r="B17" i="84"/>
  <c r="C16" i="84"/>
  <c r="A16" i="84" s="1"/>
  <c r="B16" i="84"/>
  <c r="C15" i="84"/>
  <c r="B15" i="84"/>
  <c r="A15" i="84"/>
  <c r="C14" i="84"/>
  <c r="A14" i="84" s="1"/>
  <c r="B14" i="84"/>
  <c r="C13" i="84"/>
  <c r="A13" i="84" s="1"/>
  <c r="B13" i="84"/>
  <c r="C12" i="84"/>
  <c r="B12" i="84"/>
  <c r="A12" i="84"/>
  <c r="C11" i="84"/>
  <c r="A11" i="84" s="1"/>
  <c r="B11" i="84"/>
  <c r="C10" i="84"/>
  <c r="A10" i="84" s="1"/>
  <c r="B10" i="84"/>
  <c r="C9" i="84"/>
  <c r="A9" i="84" s="1"/>
  <c r="B9" i="84"/>
  <c r="C8" i="84"/>
  <c r="A8" i="84" s="1"/>
  <c r="B8" i="84"/>
  <c r="C7" i="84"/>
  <c r="B7" i="84"/>
  <c r="A7" i="84"/>
  <c r="C6" i="84"/>
  <c r="A6" i="84" s="1"/>
  <c r="B6" i="84"/>
  <c r="K5" i="84"/>
  <c r="C5" i="84" s="1"/>
  <c r="A5" i="84" s="1"/>
  <c r="B5" i="84"/>
  <c r="B163" i="83"/>
  <c r="B162" i="83"/>
  <c r="B161" i="83"/>
  <c r="O160" i="83"/>
  <c r="O159" i="83"/>
  <c r="N162" i="83" s="1"/>
  <c r="A165" i="83" s="1"/>
  <c r="B165" i="83" s="1"/>
  <c r="B157" i="83"/>
  <c r="B156" i="83"/>
  <c r="B155" i="83"/>
  <c r="B154" i="83"/>
  <c r="B153" i="83"/>
  <c r="B147" i="83"/>
  <c r="B146" i="83"/>
  <c r="B145" i="83"/>
  <c r="B144" i="83"/>
  <c r="B143" i="83"/>
  <c r="B142" i="83"/>
  <c r="B141" i="83"/>
  <c r="B140" i="83"/>
  <c r="B139" i="83"/>
  <c r="B138" i="83"/>
  <c r="B137" i="83"/>
  <c r="B136" i="83"/>
  <c r="B135" i="83"/>
  <c r="B134" i="83"/>
  <c r="B133" i="83"/>
  <c r="B132" i="83"/>
  <c r="B131" i="83"/>
  <c r="B130" i="83"/>
  <c r="B129" i="83"/>
  <c r="B128" i="83"/>
  <c r="B127" i="83"/>
  <c r="B126" i="83"/>
  <c r="B125" i="83"/>
  <c r="B124" i="83"/>
  <c r="B123" i="83"/>
  <c r="F103" i="83"/>
  <c r="B103" i="83" s="1"/>
  <c r="F102" i="83"/>
  <c r="B102" i="83" s="1"/>
  <c r="F101" i="83"/>
  <c r="B101" i="83" s="1"/>
  <c r="F82" i="83"/>
  <c r="B82" i="83" s="1"/>
  <c r="F81" i="83"/>
  <c r="B81" i="83" s="1"/>
  <c r="B77" i="83"/>
  <c r="B76" i="83"/>
  <c r="B71" i="83"/>
  <c r="B70" i="83"/>
  <c r="B67" i="83"/>
  <c r="B61" i="83"/>
  <c r="B60" i="83"/>
  <c r="B59" i="83"/>
  <c r="B53" i="83"/>
  <c r="B51" i="83"/>
  <c r="B50" i="83"/>
  <c r="B49" i="83"/>
  <c r="B48" i="83"/>
  <c r="B47" i="83"/>
  <c r="B46" i="83"/>
  <c r="B45" i="83"/>
  <c r="B44" i="83"/>
  <c r="B43" i="83"/>
  <c r="B42" i="83"/>
  <c r="B41" i="83"/>
  <c r="B40" i="83"/>
  <c r="B39" i="83"/>
  <c r="B38" i="83"/>
  <c r="B36" i="83"/>
  <c r="B35" i="83"/>
  <c r="B34" i="83"/>
  <c r="B33" i="83"/>
  <c r="B32" i="83"/>
  <c r="B31" i="83"/>
  <c r="B30" i="83"/>
  <c r="B29" i="83"/>
  <c r="B28" i="83"/>
  <c r="B27" i="83"/>
  <c r="B26" i="83"/>
  <c r="B25" i="83"/>
  <c r="B24" i="83"/>
  <c r="B23" i="83"/>
  <c r="B22" i="83"/>
  <c r="B21" i="83"/>
  <c r="B20" i="83"/>
  <c r="B19" i="83"/>
  <c r="B18" i="83"/>
  <c r="B17" i="83"/>
  <c r="B16" i="83"/>
  <c r="B15" i="83"/>
  <c r="B14" i="83"/>
  <c r="B13" i="83"/>
  <c r="B11" i="83"/>
  <c r="B10" i="83"/>
  <c r="B9" i="83"/>
  <c r="B8" i="83"/>
  <c r="B7" i="83"/>
  <c r="L6" i="83"/>
  <c r="B6" i="83"/>
  <c r="B5" i="83"/>
  <c r="Q48" i="82"/>
  <c r="D50" i="82" s="1"/>
  <c r="D48" i="82"/>
  <c r="B48" i="82" s="1"/>
  <c r="D47" i="82"/>
  <c r="B47" i="82" s="1"/>
  <c r="B46" i="82"/>
  <c r="B45" i="82"/>
  <c r="B44" i="82"/>
  <c r="B43" i="82"/>
  <c r="B42" i="82"/>
  <c r="B41" i="82"/>
  <c r="B40" i="82"/>
  <c r="D39" i="82"/>
  <c r="B38" i="82"/>
  <c r="B37" i="82"/>
  <c r="B36" i="82"/>
  <c r="B35" i="82"/>
  <c r="B34" i="82"/>
  <c r="B33" i="82"/>
  <c r="B32" i="82"/>
  <c r="B31" i="82"/>
  <c r="B30" i="82"/>
  <c r="B29" i="82"/>
  <c r="D28" i="82"/>
  <c r="B28" i="82" s="1"/>
  <c r="B27" i="82"/>
  <c r="B26" i="82"/>
  <c r="B25" i="82"/>
  <c r="B24" i="82"/>
  <c r="B23" i="82"/>
  <c r="B22" i="82"/>
  <c r="B21" i="82"/>
  <c r="B20" i="82"/>
  <c r="B19" i="82"/>
  <c r="D18" i="82"/>
  <c r="B18" i="82" s="1"/>
  <c r="B17" i="82"/>
  <c r="B16" i="82"/>
  <c r="B15" i="82"/>
  <c r="B14" i="82"/>
  <c r="B13" i="82"/>
  <c r="B12" i="82"/>
  <c r="B11" i="82"/>
  <c r="B10" i="82"/>
  <c r="B9" i="82"/>
  <c r="D8" i="82"/>
  <c r="B7" i="82"/>
  <c r="M4" i="82"/>
  <c r="F221" i="81"/>
  <c r="B221" i="81" s="1"/>
  <c r="F220" i="81"/>
  <c r="B220" i="81" s="1"/>
  <c r="V218" i="81"/>
  <c r="V217" i="81"/>
  <c r="U220" i="81" s="1"/>
  <c r="N215" i="81"/>
  <c r="N216" i="81" s="1"/>
  <c r="N213" i="81"/>
  <c r="N214" i="81" s="1"/>
  <c r="F212" i="81"/>
  <c r="F214" i="81" s="1"/>
  <c r="B212" i="81"/>
  <c r="N211" i="81"/>
  <c r="F210" i="81"/>
  <c r="F213" i="81" s="1"/>
  <c r="B209" i="81"/>
  <c r="N207" i="81"/>
  <c r="N208" i="81" s="1"/>
  <c r="F208" i="81" s="1"/>
  <c r="B208" i="81" s="1"/>
  <c r="F207" i="81"/>
  <c r="B207" i="81" s="1"/>
  <c r="N205" i="81"/>
  <c r="F205" i="81" s="1"/>
  <c r="B205" i="81" s="1"/>
  <c r="F204" i="81"/>
  <c r="B204" i="81"/>
  <c r="F202" i="81"/>
  <c r="B202" i="81" s="1"/>
  <c r="F201" i="81"/>
  <c r="B201" i="81"/>
  <c r="F193" i="81"/>
  <c r="B193" i="81" s="1"/>
  <c r="F191" i="81"/>
  <c r="B191" i="81"/>
  <c r="B190" i="81"/>
  <c r="N188" i="81"/>
  <c r="N189" i="81" s="1"/>
  <c r="F189" i="81" s="1"/>
  <c r="B189" i="81" s="1"/>
  <c r="F188" i="81"/>
  <c r="B188" i="81" s="1"/>
  <c r="N186" i="81"/>
  <c r="F186" i="81"/>
  <c r="B186" i="81" s="1"/>
  <c r="F185" i="81"/>
  <c r="B185" i="81" s="1"/>
  <c r="A184" i="81"/>
  <c r="F183" i="81"/>
  <c r="B183" i="81"/>
  <c r="F182" i="81"/>
  <c r="B182" i="81" s="1"/>
  <c r="F178" i="81"/>
  <c r="B178" i="81" s="1"/>
  <c r="N177" i="81"/>
  <c r="N178" i="81" s="1"/>
  <c r="B176" i="81"/>
  <c r="N175" i="81"/>
  <c r="N176" i="81" s="1"/>
  <c r="B174" i="81"/>
  <c r="N173" i="81"/>
  <c r="F172" i="81"/>
  <c r="F175" i="81" s="1"/>
  <c r="F181" i="81" s="1"/>
  <c r="B171" i="81"/>
  <c r="N169" i="81"/>
  <c r="N170" i="81" s="1"/>
  <c r="F169" i="81"/>
  <c r="B169" i="81"/>
  <c r="N167" i="81"/>
  <c r="F166" i="81"/>
  <c r="B166" i="81" s="1"/>
  <c r="B165" i="81"/>
  <c r="A165" i="81"/>
  <c r="F163" i="81"/>
  <c r="B163" i="81" s="1"/>
  <c r="F162" i="81"/>
  <c r="B162" i="81"/>
  <c r="N157" i="81"/>
  <c r="N158" i="81" s="1"/>
  <c r="N155" i="81"/>
  <c r="N156" i="81" s="1"/>
  <c r="F154" i="81"/>
  <c r="B154" i="81"/>
  <c r="N153" i="81"/>
  <c r="F152" i="81"/>
  <c r="F153" i="81" s="1"/>
  <c r="F159" i="81" s="1"/>
  <c r="F160" i="81" s="1"/>
  <c r="B160" i="81" s="1"/>
  <c r="B152" i="81"/>
  <c r="B151" i="81"/>
  <c r="N149" i="81"/>
  <c r="N150" i="81" s="1"/>
  <c r="F150" i="81" s="1"/>
  <c r="B150" i="81" s="1"/>
  <c r="F149" i="81"/>
  <c r="B149" i="81" s="1"/>
  <c r="N147" i="81"/>
  <c r="F146" i="81"/>
  <c r="B146" i="81"/>
  <c r="B145" i="81"/>
  <c r="A145" i="81"/>
  <c r="F144" i="81"/>
  <c r="B144" i="81" s="1"/>
  <c r="F143" i="81"/>
  <c r="B143" i="81" s="1"/>
  <c r="N138" i="81"/>
  <c r="N139" i="81" s="1"/>
  <c r="N136" i="81"/>
  <c r="N137" i="81" s="1"/>
  <c r="F135" i="81"/>
  <c r="F137" i="81" s="1"/>
  <c r="B137" i="81" s="1"/>
  <c r="N134" i="81"/>
  <c r="F133" i="81"/>
  <c r="B133" i="81"/>
  <c r="B132" i="81"/>
  <c r="N130" i="81"/>
  <c r="F130" i="81" s="1"/>
  <c r="B130" i="81" s="1"/>
  <c r="N128" i="81"/>
  <c r="F127" i="81"/>
  <c r="B127" i="81" s="1"/>
  <c r="B126" i="81"/>
  <c r="A126" i="81"/>
  <c r="F125" i="81"/>
  <c r="B125" i="81"/>
  <c r="F124" i="81"/>
  <c r="B124" i="81"/>
  <c r="N119" i="81"/>
  <c r="N120" i="81" s="1"/>
  <c r="F118" i="81"/>
  <c r="F120" i="81" s="1"/>
  <c r="B120" i="81" s="1"/>
  <c r="N117" i="81"/>
  <c r="N118" i="81" s="1"/>
  <c r="B116" i="81"/>
  <c r="N115" i="81"/>
  <c r="F114" i="81"/>
  <c r="F117" i="81" s="1"/>
  <c r="B114" i="81"/>
  <c r="B113" i="81"/>
  <c r="B112" i="81"/>
  <c r="N111" i="81"/>
  <c r="F111" i="81" s="1"/>
  <c r="B111" i="81" s="1"/>
  <c r="N109" i="81"/>
  <c r="F109" i="81"/>
  <c r="B109" i="81" s="1"/>
  <c r="F108" i="81"/>
  <c r="B108" i="81" s="1"/>
  <c r="B107" i="81"/>
  <c r="A107" i="81"/>
  <c r="F106" i="81"/>
  <c r="B106" i="81"/>
  <c r="F105" i="81"/>
  <c r="B105" i="81"/>
  <c r="N100" i="81"/>
  <c r="N101" i="81" s="1"/>
  <c r="N98" i="81"/>
  <c r="N99" i="81" s="1"/>
  <c r="F97" i="81"/>
  <c r="B97" i="81"/>
  <c r="N96" i="81"/>
  <c r="F95" i="81"/>
  <c r="F96" i="81" s="1"/>
  <c r="B94" i="81"/>
  <c r="N92" i="81"/>
  <c r="F92" i="81" s="1"/>
  <c r="B92" i="81" s="1"/>
  <c r="N90" i="81"/>
  <c r="F89" i="81"/>
  <c r="B89" i="81"/>
  <c r="B88" i="81"/>
  <c r="A88" i="81"/>
  <c r="F87" i="81"/>
  <c r="B87" i="81" s="1"/>
  <c r="F86" i="81"/>
  <c r="B86" i="81" s="1"/>
  <c r="N81" i="81"/>
  <c r="N82" i="81" s="1"/>
  <c r="N79" i="81"/>
  <c r="N80" i="81" s="1"/>
  <c r="F78" i="81"/>
  <c r="N77" i="81"/>
  <c r="F76" i="81"/>
  <c r="F79" i="81" s="1"/>
  <c r="B75" i="81"/>
  <c r="N73" i="81"/>
  <c r="N74" i="81" s="1"/>
  <c r="F74" i="81" s="1"/>
  <c r="B74" i="81" s="1"/>
  <c r="N71" i="81"/>
  <c r="F71" i="81" s="1"/>
  <c r="B71" i="81" s="1"/>
  <c r="F70" i="81"/>
  <c r="B70" i="81" s="1"/>
  <c r="B69" i="81"/>
  <c r="B68" i="81"/>
  <c r="B67" i="81"/>
  <c r="B66" i="81"/>
  <c r="B65" i="81"/>
  <c r="B64" i="81"/>
  <c r="B63" i="81"/>
  <c r="B62" i="81"/>
  <c r="F61" i="81"/>
  <c r="B61" i="81" s="1"/>
  <c r="F60" i="81"/>
  <c r="B60" i="81" s="1"/>
  <c r="F59" i="81"/>
  <c r="B59" i="81" s="1"/>
  <c r="F58" i="81"/>
  <c r="B58" i="81" s="1"/>
  <c r="F57" i="81"/>
  <c r="B57" i="81" s="1"/>
  <c r="F56" i="81"/>
  <c r="B56" i="81" s="1"/>
  <c r="B55" i="81"/>
  <c r="F54" i="81"/>
  <c r="B54" i="81" s="1"/>
  <c r="F53" i="81"/>
  <c r="B53" i="81" s="1"/>
  <c r="F52" i="81"/>
  <c r="B52" i="81" s="1"/>
  <c r="F51" i="81"/>
  <c r="B51" i="81" s="1"/>
  <c r="F50" i="81"/>
  <c r="B50" i="81" s="1"/>
  <c r="F49" i="81"/>
  <c r="B49" i="81" s="1"/>
  <c r="F48" i="81"/>
  <c r="B48" i="81" s="1"/>
  <c r="F47" i="81"/>
  <c r="B47" i="81" s="1"/>
  <c r="F46" i="81"/>
  <c r="B46" i="81" s="1"/>
  <c r="F45" i="81"/>
  <c r="B45" i="81" s="1"/>
  <c r="F44" i="81"/>
  <c r="B44" i="81" s="1"/>
  <c r="F43" i="81"/>
  <c r="B43" i="81" s="1"/>
  <c r="F42" i="81"/>
  <c r="B42" i="81" s="1"/>
  <c r="F41" i="81"/>
  <c r="B41" i="81" s="1"/>
  <c r="F40" i="81"/>
  <c r="B40" i="81" s="1"/>
  <c r="B39" i="81"/>
  <c r="F38" i="81"/>
  <c r="B38" i="81"/>
  <c r="F37" i="81"/>
  <c r="B37" i="81" s="1"/>
  <c r="F36" i="81"/>
  <c r="B36" i="81"/>
  <c r="F35" i="81"/>
  <c r="B35" i="81" s="1"/>
  <c r="F34" i="81"/>
  <c r="B34" i="81"/>
  <c r="F33" i="81"/>
  <c r="B33" i="81" s="1"/>
  <c r="F32" i="81"/>
  <c r="B32" i="81" s="1"/>
  <c r="F31" i="81"/>
  <c r="B31" i="81" s="1"/>
  <c r="F30" i="81"/>
  <c r="B30" i="81"/>
  <c r="F29" i="81"/>
  <c r="B29" i="81" s="1"/>
  <c r="F28" i="81"/>
  <c r="B28" i="81"/>
  <c r="F27" i="81"/>
  <c r="B27" i="81" s="1"/>
  <c r="F26" i="81"/>
  <c r="B26" i="81"/>
  <c r="F25" i="81"/>
  <c r="B25" i="81" s="1"/>
  <c r="F24" i="81"/>
  <c r="B24" i="81" s="1"/>
  <c r="F23" i="81"/>
  <c r="B23" i="81" s="1"/>
  <c r="F22" i="81"/>
  <c r="B22" i="81"/>
  <c r="F21" i="81"/>
  <c r="B21" i="81" s="1"/>
  <c r="F20" i="81"/>
  <c r="B20" i="81"/>
  <c r="N19" i="81"/>
  <c r="C41" i="81" s="1"/>
  <c r="A41" i="81" s="1"/>
  <c r="F19" i="81"/>
  <c r="B19" i="81" s="1"/>
  <c r="F18" i="81"/>
  <c r="B18" i="81"/>
  <c r="F17" i="81"/>
  <c r="B17" i="81" s="1"/>
  <c r="F16" i="81"/>
  <c r="B16" i="81" s="1"/>
  <c r="F15" i="81"/>
  <c r="B15" i="81" s="1"/>
  <c r="F14" i="81"/>
  <c r="B14" i="81"/>
  <c r="B13" i="81"/>
  <c r="F12" i="81"/>
  <c r="B12" i="81"/>
  <c r="F11" i="81"/>
  <c r="B11" i="81" s="1"/>
  <c r="B10" i="81"/>
  <c r="F9" i="81"/>
  <c r="B9" i="81" s="1"/>
  <c r="C9" i="81"/>
  <c r="A9" i="81" s="1"/>
  <c r="F8" i="81"/>
  <c r="B8" i="81" s="1"/>
  <c r="F7" i="81"/>
  <c r="B7" i="81" s="1"/>
  <c r="F6" i="81"/>
  <c r="B6" i="81" s="1"/>
  <c r="U86" i="80"/>
  <c r="B86" i="80"/>
  <c r="U85" i="80"/>
  <c r="B85" i="80"/>
  <c r="U84" i="80"/>
  <c r="B84" i="80"/>
  <c r="U83" i="80"/>
  <c r="B83" i="80"/>
  <c r="U82" i="80"/>
  <c r="B82" i="80"/>
  <c r="U81" i="80"/>
  <c r="B81" i="80"/>
  <c r="U80" i="80"/>
  <c r="B80" i="80"/>
  <c r="U79" i="80"/>
  <c r="B79" i="80"/>
  <c r="U78" i="80"/>
  <c r="B78" i="80"/>
  <c r="U77" i="80"/>
  <c r="B77" i="80"/>
  <c r="U76" i="80"/>
  <c r="B76" i="80"/>
  <c r="U75" i="80"/>
  <c r="B75" i="80"/>
  <c r="U74" i="80"/>
  <c r="B74" i="80"/>
  <c r="U73" i="80"/>
  <c r="B73" i="80"/>
  <c r="U72" i="80"/>
  <c r="B72" i="80"/>
  <c r="U71" i="80"/>
  <c r="B71" i="80"/>
  <c r="U70" i="80"/>
  <c r="B70" i="80"/>
  <c r="U69" i="80"/>
  <c r="B69" i="80"/>
  <c r="U68" i="80"/>
  <c r="B68" i="80"/>
  <c r="U67" i="80"/>
  <c r="B67" i="80"/>
  <c r="U66" i="80"/>
  <c r="B66" i="80"/>
  <c r="U65" i="80"/>
  <c r="B65" i="80"/>
  <c r="U64" i="80"/>
  <c r="B64" i="80"/>
  <c r="U63" i="80"/>
  <c r="B63" i="80"/>
  <c r="U62" i="80"/>
  <c r="B62" i="80"/>
  <c r="U61" i="80"/>
  <c r="B61" i="80"/>
  <c r="U60" i="80"/>
  <c r="B60" i="80"/>
  <c r="U59" i="80"/>
  <c r="B59" i="80"/>
  <c r="U58" i="80"/>
  <c r="B58" i="80"/>
  <c r="U57" i="80"/>
  <c r="B57" i="80"/>
  <c r="U56" i="80"/>
  <c r="B56" i="80"/>
  <c r="U55" i="80"/>
  <c r="B55" i="80"/>
  <c r="U54" i="80"/>
  <c r="B54" i="80"/>
  <c r="U53" i="80"/>
  <c r="B53" i="80"/>
  <c r="U52" i="80"/>
  <c r="B52" i="80"/>
  <c r="U51" i="80"/>
  <c r="B51" i="80"/>
  <c r="U50" i="80"/>
  <c r="B50" i="80"/>
  <c r="U49" i="80"/>
  <c r="B49" i="80"/>
  <c r="U48" i="80"/>
  <c r="B48" i="80"/>
  <c r="U47" i="80"/>
  <c r="B47" i="80"/>
  <c r="U46" i="80"/>
  <c r="B46" i="80"/>
  <c r="U45" i="80"/>
  <c r="B45" i="80"/>
  <c r="U44" i="80"/>
  <c r="B44" i="80"/>
  <c r="U43" i="80"/>
  <c r="B43" i="80"/>
  <c r="U42" i="80"/>
  <c r="B42" i="80"/>
  <c r="U41" i="80"/>
  <c r="B41" i="80"/>
  <c r="U40" i="80"/>
  <c r="B40" i="80"/>
  <c r="U39" i="80"/>
  <c r="B39" i="80"/>
  <c r="U38" i="80"/>
  <c r="B38" i="80"/>
  <c r="U37" i="80"/>
  <c r="B37" i="80"/>
  <c r="U36" i="80"/>
  <c r="B36" i="80"/>
  <c r="U35" i="80"/>
  <c r="B35" i="80"/>
  <c r="U34" i="80"/>
  <c r="B34" i="80"/>
  <c r="U33" i="80"/>
  <c r="B33" i="80"/>
  <c r="U32" i="80"/>
  <c r="B32" i="80"/>
  <c r="U31" i="80"/>
  <c r="B31" i="80"/>
  <c r="U30" i="80"/>
  <c r="B30" i="80"/>
  <c r="U29" i="80"/>
  <c r="B29" i="80"/>
  <c r="U28" i="80"/>
  <c r="B28" i="80"/>
  <c r="U27" i="80"/>
  <c r="B27" i="80"/>
  <c r="U26" i="80"/>
  <c r="B26" i="80"/>
  <c r="U25" i="80"/>
  <c r="B25" i="80"/>
  <c r="U24" i="80"/>
  <c r="B24" i="80"/>
  <c r="U23" i="80"/>
  <c r="B23" i="80"/>
  <c r="U22" i="80"/>
  <c r="B22" i="80"/>
  <c r="U21" i="80"/>
  <c r="B21" i="80"/>
  <c r="U20" i="80"/>
  <c r="B20" i="80"/>
  <c r="U19" i="80"/>
  <c r="B19" i="80"/>
  <c r="U18" i="80"/>
  <c r="B18" i="80"/>
  <c r="U17" i="80"/>
  <c r="B17" i="80"/>
  <c r="U16" i="80"/>
  <c r="B16" i="80"/>
  <c r="U15" i="80"/>
  <c r="B15" i="80"/>
  <c r="U14" i="80"/>
  <c r="B14" i="80"/>
  <c r="U13" i="80"/>
  <c r="B13" i="80"/>
  <c r="U12" i="80"/>
  <c r="B12" i="80"/>
  <c r="U11" i="80"/>
  <c r="B11" i="80"/>
  <c r="U10" i="80"/>
  <c r="B10" i="80"/>
  <c r="U9" i="80"/>
  <c r="B9" i="80"/>
  <c r="U8" i="80"/>
  <c r="B8" i="80"/>
  <c r="U7" i="80"/>
  <c r="B7" i="80"/>
  <c r="U6" i="80"/>
  <c r="B6" i="80"/>
  <c r="U5" i="80"/>
  <c r="B5" i="80"/>
  <c r="U4" i="80"/>
  <c r="K4" i="80"/>
  <c r="C86" i="80" s="1"/>
  <c r="A86" i="80" s="1"/>
  <c r="B4" i="80"/>
  <c r="U3" i="80"/>
  <c r="B3" i="80"/>
  <c r="N12" i="79"/>
  <c r="B6" i="79"/>
  <c r="B5" i="79"/>
  <c r="B4" i="79"/>
  <c r="K3" i="79"/>
  <c r="T15" i="78"/>
  <c r="G11" i="78"/>
  <c r="G19" i="78"/>
  <c r="M29" i="77"/>
  <c r="E28" i="77" s="1"/>
  <c r="C27" i="77"/>
  <c r="B27" i="77" s="1"/>
  <c r="C25" i="77"/>
  <c r="B25" i="77" s="1"/>
  <c r="C23" i="77"/>
  <c r="B23" i="77" s="1"/>
  <c r="C21" i="77"/>
  <c r="B21" i="77" s="1"/>
  <c r="C19" i="77"/>
  <c r="B19" i="77"/>
  <c r="C16" i="77"/>
  <c r="C17" i="77" s="1"/>
  <c r="A15" i="77"/>
  <c r="C13" i="77"/>
  <c r="C12" i="77"/>
  <c r="A5" i="77"/>
  <c r="C4" i="77"/>
  <c r="B4" i="77" s="1"/>
  <c r="K3" i="77"/>
  <c r="D27" i="77" s="1"/>
  <c r="A27" i="77" s="1"/>
  <c r="C29" i="76"/>
  <c r="B29" i="76"/>
  <c r="C28" i="76"/>
  <c r="B28" i="76" s="1"/>
  <c r="C27" i="76"/>
  <c r="B27" i="76"/>
  <c r="K26" i="76"/>
  <c r="D29" i="76" s="1"/>
  <c r="C25" i="76"/>
  <c r="B25" i="76" s="1"/>
  <c r="C21" i="76"/>
  <c r="B21" i="76" s="1"/>
  <c r="M18" i="76"/>
  <c r="E15" i="76" s="1"/>
  <c r="C17" i="76"/>
  <c r="C18" i="76" s="1"/>
  <c r="C15" i="76"/>
  <c r="C14" i="76"/>
  <c r="B14" i="76" s="1"/>
  <c r="C13" i="76"/>
  <c r="B13" i="76" s="1"/>
  <c r="C11" i="76"/>
  <c r="B11" i="76" s="1"/>
  <c r="C4" i="76"/>
  <c r="B4" i="76" s="1"/>
  <c r="K3" i="76"/>
  <c r="D18" i="76" s="1"/>
  <c r="M5" i="75"/>
  <c r="D5" i="75"/>
  <c r="B5" i="75" s="1"/>
  <c r="C21" i="74"/>
  <c r="B21" i="74" s="1"/>
  <c r="A19" i="74"/>
  <c r="A17" i="74"/>
  <c r="A15" i="74"/>
  <c r="M11" i="74"/>
  <c r="E12" i="74" s="1"/>
  <c r="A11" i="74"/>
  <c r="C5" i="74"/>
  <c r="B5" i="74" s="1"/>
  <c r="E4" i="74"/>
  <c r="K3" i="74"/>
  <c r="D14" i="74" s="1"/>
  <c r="L32" i="73"/>
  <c r="D32" i="73" s="1"/>
  <c r="A29" i="73"/>
  <c r="A26" i="73"/>
  <c r="C24" i="73"/>
  <c r="C25" i="73" s="1"/>
  <c r="A23" i="73"/>
  <c r="C22" i="73"/>
  <c r="B22" i="73" s="1"/>
  <c r="A21" i="73"/>
  <c r="C20" i="73"/>
  <c r="A19" i="73"/>
  <c r="C16" i="73"/>
  <c r="C13" i="73"/>
  <c r="C14" i="73" s="1"/>
  <c r="B13" i="73"/>
  <c r="C12" i="73"/>
  <c r="B12" i="73" s="1"/>
  <c r="C6" i="73"/>
  <c r="C7" i="73" s="1"/>
  <c r="A5" i="73"/>
  <c r="C4" i="73"/>
  <c r="B4" i="73" s="1"/>
  <c r="K3" i="73"/>
  <c r="D22" i="73" s="1"/>
  <c r="A22" i="73" s="1"/>
  <c r="C22" i="72"/>
  <c r="C21" i="72"/>
  <c r="L20" i="72"/>
  <c r="E23" i="72" s="1"/>
  <c r="C20" i="72"/>
  <c r="B20" i="72" s="1"/>
  <c r="B19" i="72"/>
  <c r="A19" i="72"/>
  <c r="C17" i="72"/>
  <c r="B17" i="72" s="1"/>
  <c r="B16" i="72"/>
  <c r="E13" i="72"/>
  <c r="B12" i="72"/>
  <c r="E10" i="72"/>
  <c r="E8" i="72"/>
  <c r="E5" i="72"/>
  <c r="K3" i="72"/>
  <c r="D5" i="72" s="1"/>
  <c r="B43" i="71"/>
  <c r="B34" i="71"/>
  <c r="B32" i="71"/>
  <c r="B28" i="71"/>
  <c r="B25" i="71"/>
  <c r="L23" i="71"/>
  <c r="B23" i="71"/>
  <c r="B21" i="71"/>
  <c r="E18" i="71"/>
  <c r="B17" i="71"/>
  <c r="E16" i="71"/>
  <c r="B10" i="71"/>
  <c r="B7" i="71"/>
  <c r="K3" i="71"/>
  <c r="L31" i="70"/>
  <c r="D30" i="70"/>
  <c r="C30" i="70"/>
  <c r="C29" i="70"/>
  <c r="B29" i="70" s="1"/>
  <c r="B28" i="70"/>
  <c r="E27" i="70"/>
  <c r="C27" i="70"/>
  <c r="B27" i="70"/>
  <c r="C24" i="70"/>
  <c r="C25" i="70" s="1"/>
  <c r="B23" i="70"/>
  <c r="C21" i="70"/>
  <c r="C22" i="70" s="1"/>
  <c r="B20" i="70"/>
  <c r="C19" i="70"/>
  <c r="B19" i="70" s="1"/>
  <c r="B18" i="70"/>
  <c r="C17" i="70"/>
  <c r="B17" i="70" s="1"/>
  <c r="B16" i="70"/>
  <c r="E13" i="70"/>
  <c r="C13" i="70"/>
  <c r="C15" i="70" s="1"/>
  <c r="B12" i="70"/>
  <c r="E11" i="70"/>
  <c r="C9" i="70"/>
  <c r="C10" i="70" s="1"/>
  <c r="C8" i="70"/>
  <c r="B8" i="70" s="1"/>
  <c r="B7" i="70"/>
  <c r="C6" i="70"/>
  <c r="B6" i="70" s="1"/>
  <c r="B5" i="70"/>
  <c r="C4" i="70"/>
  <c r="B4" i="70" s="1"/>
  <c r="K3" i="70"/>
  <c r="M38" i="69"/>
  <c r="F7" i="69" s="1"/>
  <c r="E26" i="1" s="1"/>
  <c r="G67" i="68"/>
  <c r="G55" i="68"/>
  <c r="G47" i="68"/>
  <c r="G38" i="68"/>
  <c r="G30" i="68"/>
  <c r="G22" i="68"/>
  <c r="Q26" i="91" l="1"/>
  <c r="C11" i="71" s="1"/>
  <c r="B11" i="71" s="1"/>
  <c r="C39" i="82"/>
  <c r="A39" i="82" s="1"/>
  <c r="C8" i="82"/>
  <c r="A8" i="82" s="1"/>
  <c r="B7" i="79"/>
  <c r="M18" i="69" s="1"/>
  <c r="D28" i="77"/>
  <c r="C46" i="82"/>
  <c r="A46" i="82" s="1"/>
  <c r="C47" i="82"/>
  <c r="A47" i="82" s="1"/>
  <c r="C44" i="82"/>
  <c r="A44" i="82" s="1"/>
  <c r="C34" i="82"/>
  <c r="A34" i="82" s="1"/>
  <c r="C31" i="82"/>
  <c r="A31" i="82" s="1"/>
  <c r="C23" i="82"/>
  <c r="A23" i="82" s="1"/>
  <c r="C20" i="82"/>
  <c r="A20" i="82" s="1"/>
  <c r="C18" i="82"/>
  <c r="A18" i="82" s="1"/>
  <c r="C12" i="82"/>
  <c r="A12" i="82" s="1"/>
  <c r="C9" i="82"/>
  <c r="A9" i="82" s="1"/>
  <c r="C7" i="82"/>
  <c r="A7" i="82" s="1"/>
  <c r="D142" i="81"/>
  <c r="C142" i="81" s="1"/>
  <c r="A142" i="81" s="1"/>
  <c r="A223" i="81"/>
  <c r="B223" i="81" s="1"/>
  <c r="N168" i="81"/>
  <c r="F168" i="81" s="1"/>
  <c r="B168" i="81" s="1"/>
  <c r="F170" i="81"/>
  <c r="B170" i="81" s="1"/>
  <c r="F134" i="81"/>
  <c r="F136" i="81"/>
  <c r="F142" i="81" s="1"/>
  <c r="B142" i="81" s="1"/>
  <c r="E19" i="79"/>
  <c r="E17" i="79"/>
  <c r="E13" i="79"/>
  <c r="D5" i="79"/>
  <c r="A5" i="79" s="1"/>
  <c r="D6" i="79"/>
  <c r="A6" i="79" s="1"/>
  <c r="D4" i="79"/>
  <c r="A4" i="79" s="1"/>
  <c r="D14" i="75"/>
  <c r="D6" i="75"/>
  <c r="E41" i="71"/>
  <c r="E40" i="71"/>
  <c r="D40" i="71" s="1"/>
  <c r="E38" i="71"/>
  <c r="D33" i="71"/>
  <c r="D29" i="71"/>
  <c r="D16" i="71"/>
  <c r="D22" i="70"/>
  <c r="D9" i="70"/>
  <c r="A9" i="70" s="1"/>
  <c r="C3" i="80"/>
  <c r="A3" i="80" s="1"/>
  <c r="C4" i="80"/>
  <c r="A4" i="80" s="1"/>
  <c r="C17" i="80"/>
  <c r="A17" i="80" s="1"/>
  <c r="C25" i="80"/>
  <c r="A25" i="80" s="1"/>
  <c r="C22" i="80"/>
  <c r="A22" i="80" s="1"/>
  <c r="C21" i="80"/>
  <c r="A21" i="80" s="1"/>
  <c r="C18" i="80"/>
  <c r="A18" i="80" s="1"/>
  <c r="C26" i="80"/>
  <c r="A26" i="80" s="1"/>
  <c r="F80" i="83"/>
  <c r="B80" i="83" s="1"/>
  <c r="A28" i="77"/>
  <c r="C6" i="77"/>
  <c r="B6" i="77" s="1"/>
  <c r="K19" i="95"/>
  <c r="C6" i="74" s="1"/>
  <c r="B6" i="74" s="1"/>
  <c r="C18" i="74"/>
  <c r="B18" i="74" s="1"/>
  <c r="M19" i="95"/>
  <c r="C20" i="74" s="1"/>
  <c r="B20" i="74" s="1"/>
  <c r="B6" i="73"/>
  <c r="K6" i="93"/>
  <c r="J7" i="93"/>
  <c r="K10" i="93"/>
  <c r="L11" i="93"/>
  <c r="P20" i="93"/>
  <c r="C11" i="72" s="1"/>
  <c r="I6" i="93"/>
  <c r="I10" i="93"/>
  <c r="H11" i="93"/>
  <c r="H12" i="93"/>
  <c r="J10" i="93"/>
  <c r="J11" i="93"/>
  <c r="G26" i="92"/>
  <c r="C36" i="71" s="1"/>
  <c r="L26" i="92"/>
  <c r="C45" i="71" s="1"/>
  <c r="F12" i="92"/>
  <c r="F14" i="92"/>
  <c r="J16" i="92"/>
  <c r="J18" i="92"/>
  <c r="F21" i="92"/>
  <c r="F23" i="92"/>
  <c r="J23" i="92"/>
  <c r="J25" i="92"/>
  <c r="H26" i="92"/>
  <c r="C40" i="71" s="1"/>
  <c r="F11" i="92"/>
  <c r="J11" i="92"/>
  <c r="J13" i="92"/>
  <c r="F16" i="92"/>
  <c r="F18" i="92"/>
  <c r="J20" i="92"/>
  <c r="J22" i="92"/>
  <c r="F25" i="92"/>
  <c r="J10" i="92"/>
  <c r="F13" i="92"/>
  <c r="F15" i="92"/>
  <c r="J15" i="92"/>
  <c r="J17" i="92"/>
  <c r="F20" i="92"/>
  <c r="F12" i="91"/>
  <c r="K12" i="91"/>
  <c r="K13" i="91"/>
  <c r="I14" i="91"/>
  <c r="G15" i="91"/>
  <c r="O26" i="91"/>
  <c r="G11" i="91"/>
  <c r="G26" i="91" s="1"/>
  <c r="C18" i="71" s="1"/>
  <c r="K14" i="91"/>
  <c r="P26" i="91"/>
  <c r="C15" i="71" s="1"/>
  <c r="K11" i="91"/>
  <c r="K26" i="91" s="1"/>
  <c r="C12" i="71" s="1"/>
  <c r="B12" i="71" s="1"/>
  <c r="G14" i="91"/>
  <c r="M14" i="91"/>
  <c r="M26" i="91" s="1"/>
  <c r="C16" i="71" s="1"/>
  <c r="N26" i="91"/>
  <c r="C33" i="71" s="1"/>
  <c r="B33" i="71" s="1"/>
  <c r="A30" i="70"/>
  <c r="C32" i="85"/>
  <c r="B8" i="86"/>
  <c r="C23" i="85"/>
  <c r="C24" i="85" s="1"/>
  <c r="B97" i="84"/>
  <c r="M26" i="69" s="1"/>
  <c r="A97" i="84"/>
  <c r="J26" i="69" s="1"/>
  <c r="H26" i="69" s="1"/>
  <c r="E26" i="69" s="1"/>
  <c r="B26" i="69" s="1"/>
  <c r="C160" i="83"/>
  <c r="F100" i="83"/>
  <c r="B100" i="83" s="1"/>
  <c r="C19" i="82"/>
  <c r="A19" i="82" s="1"/>
  <c r="C24" i="82"/>
  <c r="A24" i="82" s="1"/>
  <c r="C30" i="82"/>
  <c r="A30" i="82" s="1"/>
  <c r="C35" i="82"/>
  <c r="A35" i="82" s="1"/>
  <c r="C38" i="82"/>
  <c r="A38" i="82" s="1"/>
  <c r="C48" i="82"/>
  <c r="A48" i="82" s="1"/>
  <c r="C13" i="82"/>
  <c r="A13" i="82" s="1"/>
  <c r="C40" i="82"/>
  <c r="A40" i="82" s="1"/>
  <c r="C43" i="82"/>
  <c r="A43" i="82" s="1"/>
  <c r="N131" i="81"/>
  <c r="B153" i="81"/>
  <c r="N187" i="81"/>
  <c r="F187" i="81" s="1"/>
  <c r="B187" i="81" s="1"/>
  <c r="C7" i="81"/>
  <c r="A7" i="81" s="1"/>
  <c r="N93" i="81"/>
  <c r="F93" i="81" s="1"/>
  <c r="B93" i="81" s="1"/>
  <c r="F98" i="81"/>
  <c r="F100" i="81" s="1"/>
  <c r="B100" i="81" s="1"/>
  <c r="B159" i="81"/>
  <c r="B95" i="81"/>
  <c r="F99" i="81"/>
  <c r="B99" i="81" s="1"/>
  <c r="B118" i="81"/>
  <c r="F128" i="81"/>
  <c r="B128" i="81" s="1"/>
  <c r="N148" i="81"/>
  <c r="F148" i="81" s="1"/>
  <c r="B148" i="81" s="1"/>
  <c r="F156" i="81"/>
  <c r="B156" i="81" s="1"/>
  <c r="C161" i="81"/>
  <c r="F167" i="81"/>
  <c r="B167" i="81" s="1"/>
  <c r="B172" i="81"/>
  <c r="C19" i="80"/>
  <c r="A19" i="80" s="1"/>
  <c r="C23" i="80"/>
  <c r="A23" i="80" s="1"/>
  <c r="C20" i="80"/>
  <c r="A20" i="80" s="1"/>
  <c r="C24" i="80"/>
  <c r="A24" i="80" s="1"/>
  <c r="A7" i="79"/>
  <c r="J18" i="69" s="1"/>
  <c r="H18" i="69" s="1"/>
  <c r="B18" i="69" s="1"/>
  <c r="E21" i="79"/>
  <c r="B16" i="77"/>
  <c r="A29" i="76"/>
  <c r="E17" i="76"/>
  <c r="D17" i="76" s="1"/>
  <c r="A17" i="76" s="1"/>
  <c r="D12" i="74"/>
  <c r="A12" i="74" s="1"/>
  <c r="E16" i="73"/>
  <c r="E15" i="71"/>
  <c r="B15" i="71" s="1"/>
  <c r="D22" i="71"/>
  <c r="D18" i="71"/>
  <c r="D41" i="71"/>
  <c r="D30" i="71"/>
  <c r="D39" i="71"/>
  <c r="D31" i="71"/>
  <c r="E36" i="71"/>
  <c r="B40" i="71"/>
  <c r="E45" i="71"/>
  <c r="D19" i="70"/>
  <c r="A19" i="70" s="1"/>
  <c r="B24" i="70"/>
  <c r="D27" i="70"/>
  <c r="A27" i="70" s="1"/>
  <c r="B30" i="70"/>
  <c r="D10" i="70"/>
  <c r="A10" i="70" s="1"/>
  <c r="D8" i="70"/>
  <c r="A8" i="70" s="1"/>
  <c r="D11" i="70"/>
  <c r="A11" i="70" s="1"/>
  <c r="D29" i="70"/>
  <c r="A29" i="70" s="1"/>
  <c r="B87" i="80"/>
  <c r="M24" i="69" s="1"/>
  <c r="G7" i="78"/>
  <c r="G18" i="78"/>
  <c r="G4" i="78"/>
  <c r="G15" i="78"/>
  <c r="B10" i="70"/>
  <c r="B15" i="70"/>
  <c r="C26" i="70"/>
  <c r="B25" i="70"/>
  <c r="B41" i="71"/>
  <c r="B22" i="70"/>
  <c r="A22" i="70"/>
  <c r="D4" i="70"/>
  <c r="A4" i="70" s="1"/>
  <c r="B9" i="70"/>
  <c r="B11" i="70"/>
  <c r="D14" i="70"/>
  <c r="D15" i="70"/>
  <c r="A15" i="70" s="1"/>
  <c r="D24" i="70"/>
  <c r="A24" i="70" s="1"/>
  <c r="D25" i="70"/>
  <c r="D26" i="70"/>
  <c r="D8" i="71"/>
  <c r="D9" i="71"/>
  <c r="D24" i="71"/>
  <c r="A33" i="71"/>
  <c r="D35" i="71"/>
  <c r="A41" i="71"/>
  <c r="D42" i="71"/>
  <c r="A42" i="71" s="1"/>
  <c r="D4" i="72"/>
  <c r="D8" i="72"/>
  <c r="B14" i="73"/>
  <c r="A32" i="73"/>
  <c r="B14" i="75"/>
  <c r="K14" i="75"/>
  <c r="B15" i="76"/>
  <c r="D15" i="76"/>
  <c r="D6" i="70"/>
  <c r="A6" i="70" s="1"/>
  <c r="B13" i="70"/>
  <c r="D17" i="70"/>
  <c r="A17" i="70" s="1"/>
  <c r="B21" i="70"/>
  <c r="D11" i="71"/>
  <c r="A11" i="71" s="1"/>
  <c r="D12" i="71"/>
  <c r="D13" i="71"/>
  <c r="D14" i="71"/>
  <c r="D15" i="71"/>
  <c r="A15" i="71" s="1"/>
  <c r="D19" i="71"/>
  <c r="D20" i="71"/>
  <c r="D26" i="71"/>
  <c r="D27" i="71"/>
  <c r="D37" i="71"/>
  <c r="D38" i="71"/>
  <c r="D44" i="71"/>
  <c r="D45" i="71"/>
  <c r="D3" i="72"/>
  <c r="D10" i="72"/>
  <c r="B25" i="73"/>
  <c r="B16" i="74"/>
  <c r="A15" i="76"/>
  <c r="B17" i="77"/>
  <c r="D26" i="72"/>
  <c r="D25" i="72"/>
  <c r="D24" i="72"/>
  <c r="D20" i="72"/>
  <c r="A20" i="72" s="1"/>
  <c r="D13" i="72"/>
  <c r="D11" i="72"/>
  <c r="D18" i="72"/>
  <c r="D17" i="72"/>
  <c r="A17" i="72" s="1"/>
  <c r="D9" i="72"/>
  <c r="D15" i="72"/>
  <c r="D14" i="72"/>
  <c r="D7" i="72"/>
  <c r="D6" i="72"/>
  <c r="D23" i="72"/>
  <c r="C8" i="73"/>
  <c r="B7" i="73"/>
  <c r="A10" i="76"/>
  <c r="C19" i="76"/>
  <c r="B18" i="76"/>
  <c r="A18" i="76"/>
  <c r="D13" i="70"/>
  <c r="A13" i="70" s="1"/>
  <c r="C14" i="70"/>
  <c r="D21" i="70"/>
  <c r="A21" i="70" s="1"/>
  <c r="D4" i="71"/>
  <c r="D5" i="71"/>
  <c r="D6" i="71"/>
  <c r="D6" i="73"/>
  <c r="A6" i="73" s="1"/>
  <c r="D7" i="73"/>
  <c r="D8" i="73"/>
  <c r="D10" i="73"/>
  <c r="A10" i="73" s="1"/>
  <c r="D12" i="73"/>
  <c r="A12" i="73" s="1"/>
  <c r="D13" i="73"/>
  <c r="A13" i="73" s="1"/>
  <c r="D14" i="73"/>
  <c r="A14" i="73" s="1"/>
  <c r="C17" i="73"/>
  <c r="C18" i="73"/>
  <c r="B20" i="73"/>
  <c r="D24" i="73"/>
  <c r="A24" i="73" s="1"/>
  <c r="D25" i="73"/>
  <c r="A25" i="73" s="1"/>
  <c r="B30" i="73"/>
  <c r="B32" i="73"/>
  <c r="D5" i="74"/>
  <c r="D6" i="74"/>
  <c r="D7" i="74"/>
  <c r="D8" i="74"/>
  <c r="D9" i="74"/>
  <c r="D10" i="74"/>
  <c r="B12" i="74"/>
  <c r="D16" i="74"/>
  <c r="A16" i="74" s="1"/>
  <c r="D4" i="75"/>
  <c r="K5" i="75"/>
  <c r="D9" i="75"/>
  <c r="D13" i="75"/>
  <c r="C6" i="76"/>
  <c r="D19" i="76"/>
  <c r="D21" i="76"/>
  <c r="A21" i="76" s="1"/>
  <c r="D23" i="76"/>
  <c r="D25" i="76"/>
  <c r="B10" i="77"/>
  <c r="B12" i="77"/>
  <c r="B13" i="77"/>
  <c r="G6" i="78"/>
  <c r="G10" i="78"/>
  <c r="G14" i="78"/>
  <c r="G17" i="78"/>
  <c r="E16" i="79"/>
  <c r="E20" i="79"/>
  <c r="C5" i="80"/>
  <c r="A5" i="80" s="1"/>
  <c r="C6" i="80"/>
  <c r="A6" i="80" s="1"/>
  <c r="C7" i="80"/>
  <c r="A7" i="80" s="1"/>
  <c r="C8" i="80"/>
  <c r="A8" i="80" s="1"/>
  <c r="C9" i="80"/>
  <c r="A9" i="80" s="1"/>
  <c r="C10" i="80"/>
  <c r="A10" i="80" s="1"/>
  <c r="C11" i="80"/>
  <c r="A11" i="80" s="1"/>
  <c r="C12" i="80"/>
  <c r="A12" i="80" s="1"/>
  <c r="C13" i="80"/>
  <c r="A13" i="80" s="1"/>
  <c r="C14" i="80"/>
  <c r="A14" i="80" s="1"/>
  <c r="C15" i="80"/>
  <c r="A15" i="80" s="1"/>
  <c r="C16" i="80"/>
  <c r="A16" i="80" s="1"/>
  <c r="C8" i="81"/>
  <c r="A8" i="81" s="1"/>
  <c r="B117" i="81"/>
  <c r="F123" i="81"/>
  <c r="B123" i="81" s="1"/>
  <c r="E21" i="72"/>
  <c r="D21" i="72" s="1"/>
  <c r="A21" i="72" s="1"/>
  <c r="C23" i="72"/>
  <c r="D17" i="73"/>
  <c r="D18" i="73"/>
  <c r="D27" i="73"/>
  <c r="A27" i="73" s="1"/>
  <c r="D28" i="73"/>
  <c r="A28" i="73" s="1"/>
  <c r="B4" i="74"/>
  <c r="A5" i="74"/>
  <c r="D18" i="74"/>
  <c r="D8" i="75"/>
  <c r="D12" i="75"/>
  <c r="B15" i="75"/>
  <c r="D4" i="76"/>
  <c r="A4" i="76" s="1"/>
  <c r="D6" i="76"/>
  <c r="D7" i="76"/>
  <c r="D8" i="76"/>
  <c r="D10" i="76"/>
  <c r="D11" i="76"/>
  <c r="A11" i="76" s="1"/>
  <c r="D13" i="76"/>
  <c r="A13" i="76" s="1"/>
  <c r="D14" i="76"/>
  <c r="A14" i="76" s="1"/>
  <c r="A23" i="76"/>
  <c r="A25" i="76"/>
  <c r="D27" i="76"/>
  <c r="A27" i="76" s="1"/>
  <c r="D28" i="76"/>
  <c r="A28" i="76" s="1"/>
  <c r="D4" i="77"/>
  <c r="A4" i="77" s="1"/>
  <c r="C7" i="77"/>
  <c r="C14" i="77"/>
  <c r="B28" i="77"/>
  <c r="C27" i="80"/>
  <c r="A27" i="80" s="1"/>
  <c r="C28" i="80"/>
  <c r="A28" i="80" s="1"/>
  <c r="C29" i="80"/>
  <c r="A29" i="80" s="1"/>
  <c r="C30" i="80"/>
  <c r="A30" i="80" s="1"/>
  <c r="C31" i="80"/>
  <c r="A31" i="80" s="1"/>
  <c r="C32" i="80"/>
  <c r="A32" i="80" s="1"/>
  <c r="C33" i="80"/>
  <c r="A33" i="80" s="1"/>
  <c r="C34" i="80"/>
  <c r="A34" i="80" s="1"/>
  <c r="C35" i="80"/>
  <c r="A35" i="80" s="1"/>
  <c r="C36" i="80"/>
  <c r="A36" i="80" s="1"/>
  <c r="C37" i="80"/>
  <c r="A37" i="80" s="1"/>
  <c r="C38" i="80"/>
  <c r="A38" i="80" s="1"/>
  <c r="C39" i="80"/>
  <c r="A39" i="80" s="1"/>
  <c r="C40" i="80"/>
  <c r="A40" i="80" s="1"/>
  <c r="C41" i="80"/>
  <c r="A41" i="80" s="1"/>
  <c r="C42" i="80"/>
  <c r="A42" i="80" s="1"/>
  <c r="C43" i="80"/>
  <c r="A43" i="80" s="1"/>
  <c r="C44" i="80"/>
  <c r="A44" i="80" s="1"/>
  <c r="C45" i="80"/>
  <c r="A45" i="80" s="1"/>
  <c r="C46" i="80"/>
  <c r="A46" i="80" s="1"/>
  <c r="C47" i="80"/>
  <c r="A47" i="80" s="1"/>
  <c r="C48" i="80"/>
  <c r="A48" i="80" s="1"/>
  <c r="C49" i="80"/>
  <c r="A49" i="80" s="1"/>
  <c r="C50" i="80"/>
  <c r="A50" i="80" s="1"/>
  <c r="C51" i="80"/>
  <c r="A51" i="80" s="1"/>
  <c r="C52" i="80"/>
  <c r="A52" i="80" s="1"/>
  <c r="C53" i="80"/>
  <c r="A53" i="80" s="1"/>
  <c r="C54" i="80"/>
  <c r="A54" i="80" s="1"/>
  <c r="C55" i="80"/>
  <c r="A55" i="80" s="1"/>
  <c r="C56" i="80"/>
  <c r="A56" i="80" s="1"/>
  <c r="C57" i="80"/>
  <c r="A57" i="80" s="1"/>
  <c r="C58" i="80"/>
  <c r="A58" i="80" s="1"/>
  <c r="C59" i="80"/>
  <c r="A59" i="80" s="1"/>
  <c r="C60" i="80"/>
  <c r="A60" i="80" s="1"/>
  <c r="C61" i="80"/>
  <c r="A61" i="80" s="1"/>
  <c r="C62" i="80"/>
  <c r="A62" i="80" s="1"/>
  <c r="C63" i="80"/>
  <c r="A63" i="80" s="1"/>
  <c r="C64" i="80"/>
  <c r="A64" i="80" s="1"/>
  <c r="C65" i="80"/>
  <c r="A65" i="80" s="1"/>
  <c r="C66" i="80"/>
  <c r="A66" i="80" s="1"/>
  <c r="C67" i="80"/>
  <c r="A67" i="80" s="1"/>
  <c r="C68" i="80"/>
  <c r="A68" i="80" s="1"/>
  <c r="C69" i="80"/>
  <c r="A69" i="80" s="1"/>
  <c r="C70" i="80"/>
  <c r="A70" i="80" s="1"/>
  <c r="C71" i="80"/>
  <c r="A71" i="80" s="1"/>
  <c r="C72" i="80"/>
  <c r="A72" i="80" s="1"/>
  <c r="C73" i="80"/>
  <c r="A73" i="80" s="1"/>
  <c r="C74" i="80"/>
  <c r="A74" i="80" s="1"/>
  <c r="C75" i="80"/>
  <c r="A75" i="80" s="1"/>
  <c r="C76" i="80"/>
  <c r="A76" i="80" s="1"/>
  <c r="C77" i="80"/>
  <c r="A77" i="80" s="1"/>
  <c r="C78" i="80"/>
  <c r="A78" i="80" s="1"/>
  <c r="C79" i="80"/>
  <c r="A79" i="80" s="1"/>
  <c r="C80" i="80"/>
  <c r="A80" i="80" s="1"/>
  <c r="C81" i="80"/>
  <c r="A81" i="80" s="1"/>
  <c r="C82" i="80"/>
  <c r="A82" i="80" s="1"/>
  <c r="C83" i="80"/>
  <c r="A83" i="80" s="1"/>
  <c r="C84" i="80"/>
  <c r="A84" i="80" s="1"/>
  <c r="C85" i="80"/>
  <c r="A85" i="80" s="1"/>
  <c r="C225" i="81"/>
  <c r="C218" i="81"/>
  <c r="C214" i="81"/>
  <c r="A214" i="81" s="1"/>
  <c r="C205" i="81"/>
  <c r="A205" i="81" s="1"/>
  <c r="C204" i="81"/>
  <c r="A204" i="81" s="1"/>
  <c r="C202" i="81"/>
  <c r="A202" i="81" s="1"/>
  <c r="C201" i="81"/>
  <c r="A201" i="81" s="1"/>
  <c r="C200" i="81"/>
  <c r="C199" i="81"/>
  <c r="C198" i="81"/>
  <c r="C197" i="81"/>
  <c r="C196" i="81"/>
  <c r="C195" i="81"/>
  <c r="C194" i="81"/>
  <c r="C193" i="81"/>
  <c r="A193" i="81" s="1"/>
  <c r="C192" i="81"/>
  <c r="C191" i="81"/>
  <c r="A191" i="81" s="1"/>
  <c r="C189" i="81"/>
  <c r="A189" i="81" s="1"/>
  <c r="C183" i="81"/>
  <c r="A183" i="81" s="1"/>
  <c r="C182" i="81"/>
  <c r="A182" i="81" s="1"/>
  <c r="C175" i="81"/>
  <c r="A175" i="81" s="1"/>
  <c r="C173" i="81"/>
  <c r="C172" i="81"/>
  <c r="A172" i="81" s="1"/>
  <c r="C170" i="81"/>
  <c r="A170" i="81" s="1"/>
  <c r="C163" i="81"/>
  <c r="A163" i="81" s="1"/>
  <c r="C162" i="81"/>
  <c r="A162" i="81" s="1"/>
  <c r="C160" i="81"/>
  <c r="A160" i="81" s="1"/>
  <c r="C159" i="81"/>
  <c r="A159" i="81" s="1"/>
  <c r="C155" i="81"/>
  <c r="C154" i="81"/>
  <c r="A154" i="81" s="1"/>
  <c r="C151" i="81"/>
  <c r="A151" i="81" s="1"/>
  <c r="C217" i="81"/>
  <c r="C213" i="81"/>
  <c r="A213" i="81" s="1"/>
  <c r="C212" i="81"/>
  <c r="A212" i="81" s="1"/>
  <c r="C209" i="81"/>
  <c r="C208" i="81"/>
  <c r="A208" i="81" s="1"/>
  <c r="C223" i="81"/>
  <c r="C221" i="81"/>
  <c r="A221" i="81" s="1"/>
  <c r="C216" i="81"/>
  <c r="C211" i="81"/>
  <c r="C210" i="81"/>
  <c r="A210" i="81" s="1"/>
  <c r="C207" i="81"/>
  <c r="A207" i="81" s="1"/>
  <c r="C224" i="81"/>
  <c r="C220" i="81"/>
  <c r="A220" i="81" s="1"/>
  <c r="C219" i="81"/>
  <c r="C215" i="81"/>
  <c r="C206" i="81"/>
  <c r="C190" i="81"/>
  <c r="A190" i="81" s="1"/>
  <c r="C186" i="81"/>
  <c r="A186" i="81" s="1"/>
  <c r="C185" i="81"/>
  <c r="A185" i="81" s="1"/>
  <c r="C177" i="81"/>
  <c r="C176" i="81"/>
  <c r="A176" i="81" s="1"/>
  <c r="C174" i="81"/>
  <c r="A174" i="81" s="1"/>
  <c r="C171" i="81"/>
  <c r="A171" i="81" s="1"/>
  <c r="C167" i="81"/>
  <c r="C166" i="81"/>
  <c r="A166" i="81" s="1"/>
  <c r="C156" i="81"/>
  <c r="C188" i="81"/>
  <c r="A188" i="81" s="1"/>
  <c r="C179" i="81"/>
  <c r="C169" i="81"/>
  <c r="A169" i="81" s="1"/>
  <c r="C152" i="81"/>
  <c r="A152" i="81" s="1"/>
  <c r="C150" i="81"/>
  <c r="A150" i="81" s="1"/>
  <c r="C138" i="81"/>
  <c r="C130" i="81"/>
  <c r="A130" i="81" s="1"/>
  <c r="C125" i="81"/>
  <c r="A125" i="81" s="1"/>
  <c r="C124" i="81"/>
  <c r="A124" i="81" s="1"/>
  <c r="C123" i="81"/>
  <c r="A123" i="81" s="1"/>
  <c r="C122" i="81"/>
  <c r="C121" i="81"/>
  <c r="C117" i="81"/>
  <c r="A117" i="81" s="1"/>
  <c r="C115" i="81"/>
  <c r="C114" i="81"/>
  <c r="A114" i="81" s="1"/>
  <c r="C110" i="81"/>
  <c r="C101" i="81"/>
  <c r="C96" i="81"/>
  <c r="A96" i="81" s="1"/>
  <c r="C95" i="81"/>
  <c r="A95" i="81" s="1"/>
  <c r="C93" i="81"/>
  <c r="C80" i="81"/>
  <c r="C72" i="81"/>
  <c r="C153" i="81"/>
  <c r="A153" i="81" s="1"/>
  <c r="C149" i="81"/>
  <c r="A149" i="81" s="1"/>
  <c r="C144" i="81"/>
  <c r="A144" i="81" s="1"/>
  <c r="C143" i="81"/>
  <c r="A143" i="81" s="1"/>
  <c r="C137" i="81"/>
  <c r="A137" i="81" s="1"/>
  <c r="C129" i="81"/>
  <c r="C120" i="81"/>
  <c r="A120" i="81" s="1"/>
  <c r="C109" i="81"/>
  <c r="A109" i="81" s="1"/>
  <c r="C108" i="81"/>
  <c r="A108" i="81" s="1"/>
  <c r="C100" i="81"/>
  <c r="C92" i="81"/>
  <c r="A92" i="81" s="1"/>
  <c r="C87" i="81"/>
  <c r="A87" i="81" s="1"/>
  <c r="C86" i="81"/>
  <c r="A86" i="81" s="1"/>
  <c r="C85" i="81"/>
  <c r="C84" i="81"/>
  <c r="C83" i="81"/>
  <c r="C79" i="81"/>
  <c r="A79" i="81" s="1"/>
  <c r="C78" i="81"/>
  <c r="A78" i="81" s="1"/>
  <c r="C75" i="81"/>
  <c r="A75" i="81" s="1"/>
  <c r="C71" i="81"/>
  <c r="A71" i="81" s="1"/>
  <c r="C70" i="81"/>
  <c r="A70" i="81" s="1"/>
  <c r="C64" i="81"/>
  <c r="A64" i="81" s="1"/>
  <c r="C62" i="81"/>
  <c r="A62" i="81" s="1"/>
  <c r="C61" i="81"/>
  <c r="A61" i="81" s="1"/>
  <c r="C60" i="81"/>
  <c r="A60" i="81" s="1"/>
  <c r="C59" i="81"/>
  <c r="A59" i="81" s="1"/>
  <c r="C180" i="81"/>
  <c r="C158" i="81"/>
  <c r="C157" i="81"/>
  <c r="C148" i="81"/>
  <c r="C141" i="81"/>
  <c r="C140" i="81"/>
  <c r="C136" i="81"/>
  <c r="C135" i="81"/>
  <c r="A135" i="81" s="1"/>
  <c r="C132" i="81"/>
  <c r="A132" i="81" s="1"/>
  <c r="C128" i="81"/>
  <c r="C127" i="81"/>
  <c r="A127" i="81" s="1"/>
  <c r="C119" i="81"/>
  <c r="C112" i="81"/>
  <c r="A112" i="81" s="1"/>
  <c r="C99" i="81"/>
  <c r="C91" i="81"/>
  <c r="C82" i="81"/>
  <c r="C77" i="81"/>
  <c r="C76" i="81"/>
  <c r="A76" i="81" s="1"/>
  <c r="C74" i="81"/>
  <c r="A74" i="81" s="1"/>
  <c r="C67" i="81"/>
  <c r="A67" i="81" s="1"/>
  <c r="C65" i="81"/>
  <c r="A65" i="81" s="1"/>
  <c r="C54" i="81"/>
  <c r="A54" i="81" s="1"/>
  <c r="C53" i="81"/>
  <c r="A53" i="81" s="1"/>
  <c r="C52" i="81"/>
  <c r="A52" i="81" s="1"/>
  <c r="C51" i="81"/>
  <c r="A51" i="81" s="1"/>
  <c r="C50" i="81"/>
  <c r="A50" i="81" s="1"/>
  <c r="C49" i="81"/>
  <c r="A49" i="81" s="1"/>
  <c r="C48" i="81"/>
  <c r="A48" i="81" s="1"/>
  <c r="C47" i="81"/>
  <c r="A47" i="81" s="1"/>
  <c r="C46" i="81"/>
  <c r="A46" i="81" s="1"/>
  <c r="C45" i="81"/>
  <c r="A45" i="81" s="1"/>
  <c r="C44" i="81"/>
  <c r="A44" i="81" s="1"/>
  <c r="C43" i="81"/>
  <c r="A43" i="81" s="1"/>
  <c r="C42" i="81"/>
  <c r="A42" i="81" s="1"/>
  <c r="C187" i="81"/>
  <c r="C178" i="81"/>
  <c r="A178" i="81" s="1"/>
  <c r="C168" i="81"/>
  <c r="C147" i="81"/>
  <c r="C146" i="81"/>
  <c r="A146" i="81" s="1"/>
  <c r="C139" i="81"/>
  <c r="C134" i="81"/>
  <c r="A134" i="81" s="1"/>
  <c r="C133" i="81"/>
  <c r="A133" i="81" s="1"/>
  <c r="C131" i="81"/>
  <c r="C118" i="81"/>
  <c r="A118" i="81" s="1"/>
  <c r="C116" i="81"/>
  <c r="A116" i="81" s="1"/>
  <c r="C113" i="81"/>
  <c r="A113" i="81" s="1"/>
  <c r="C111" i="81"/>
  <c r="A111" i="81" s="1"/>
  <c r="C106" i="81"/>
  <c r="A106" i="81" s="1"/>
  <c r="C105" i="81"/>
  <c r="A105" i="81" s="1"/>
  <c r="C104" i="81"/>
  <c r="C103" i="81"/>
  <c r="C102" i="81"/>
  <c r="C98" i="81"/>
  <c r="C97" i="81"/>
  <c r="A97" i="81" s="1"/>
  <c r="C94" i="81"/>
  <c r="A94" i="81" s="1"/>
  <c r="C90" i="81"/>
  <c r="C89" i="81"/>
  <c r="A89" i="81" s="1"/>
  <c r="C81" i="81"/>
  <c r="C73" i="81"/>
  <c r="C38" i="81"/>
  <c r="A38" i="81" s="1"/>
  <c r="C37" i="81"/>
  <c r="A37" i="81" s="1"/>
  <c r="C36" i="81"/>
  <c r="A36" i="81" s="1"/>
  <c r="C35" i="81"/>
  <c r="A35" i="81" s="1"/>
  <c r="C34" i="81"/>
  <c r="A34" i="81" s="1"/>
  <c r="C33" i="81"/>
  <c r="A33" i="81" s="1"/>
  <c r="C32" i="81"/>
  <c r="A32" i="81" s="1"/>
  <c r="C31" i="81"/>
  <c r="A31" i="81" s="1"/>
  <c r="C30" i="81"/>
  <c r="A30" i="81" s="1"/>
  <c r="C29" i="81"/>
  <c r="A29" i="81" s="1"/>
  <c r="C28" i="81"/>
  <c r="A28" i="81" s="1"/>
  <c r="C27" i="81"/>
  <c r="A27" i="81" s="1"/>
  <c r="C26" i="81"/>
  <c r="A26" i="81" s="1"/>
  <c r="C25" i="81"/>
  <c r="A25" i="81" s="1"/>
  <c r="C24" i="81"/>
  <c r="A24" i="81" s="1"/>
  <c r="C23" i="81"/>
  <c r="A23" i="81" s="1"/>
  <c r="C22" i="81"/>
  <c r="A22" i="81" s="1"/>
  <c r="C21" i="81"/>
  <c r="A21" i="81" s="1"/>
  <c r="C20" i="81"/>
  <c r="A20" i="81" s="1"/>
  <c r="C40" i="81"/>
  <c r="A40" i="81" s="1"/>
  <c r="C56" i="81"/>
  <c r="A56" i="81" s="1"/>
  <c r="C58" i="81"/>
  <c r="A58" i="81" s="1"/>
  <c r="B96" i="81"/>
  <c r="F102" i="81"/>
  <c r="E22" i="72"/>
  <c r="D22" i="72" s="1"/>
  <c r="A22" i="72" s="1"/>
  <c r="D20" i="73"/>
  <c r="A20" i="73" s="1"/>
  <c r="B24" i="73"/>
  <c r="D30" i="73"/>
  <c r="A30" i="73" s="1"/>
  <c r="D31" i="73"/>
  <c r="A31" i="73" s="1"/>
  <c r="C13" i="74"/>
  <c r="C14" i="74"/>
  <c r="D20" i="74"/>
  <c r="D21" i="74"/>
  <c r="A21" i="74" s="1"/>
  <c r="D3" i="75"/>
  <c r="D7" i="75"/>
  <c r="D11" i="75"/>
  <c r="B16" i="75"/>
  <c r="D6" i="77"/>
  <c r="D7" i="77"/>
  <c r="D8" i="77"/>
  <c r="D10" i="77"/>
  <c r="A10" i="77" s="1"/>
  <c r="D12" i="77"/>
  <c r="A12" i="77" s="1"/>
  <c r="D13" i="77"/>
  <c r="A13" i="77" s="1"/>
  <c r="D14" i="77"/>
  <c r="G5" i="78"/>
  <c r="G8" i="78"/>
  <c r="G12" i="78"/>
  <c r="E11" i="79"/>
  <c r="E14" i="79"/>
  <c r="E18" i="79"/>
  <c r="E24" i="79"/>
  <c r="C6" i="81"/>
  <c r="A6" i="81" s="1"/>
  <c r="C12" i="81"/>
  <c r="A12" i="81" s="1"/>
  <c r="B134" i="81"/>
  <c r="F140" i="81"/>
  <c r="D4" i="73"/>
  <c r="A4" i="73" s="1"/>
  <c r="D4" i="74"/>
  <c r="A4" i="74" s="1"/>
  <c r="D13" i="74"/>
  <c r="D10" i="75"/>
  <c r="D16" i="77"/>
  <c r="A16" i="77" s="1"/>
  <c r="D17" i="77"/>
  <c r="A17" i="77" s="1"/>
  <c r="D19" i="77"/>
  <c r="A19" i="77" s="1"/>
  <c r="D21" i="77"/>
  <c r="A21" i="77" s="1"/>
  <c r="D23" i="77"/>
  <c r="A23" i="77" s="1"/>
  <c r="D25" i="77"/>
  <c r="A25" i="77" s="1"/>
  <c r="G9" i="78"/>
  <c r="G13" i="78"/>
  <c r="G16" i="78"/>
  <c r="E12" i="79"/>
  <c r="E15" i="79"/>
  <c r="C11" i="81"/>
  <c r="A11" i="81" s="1"/>
  <c r="C14" i="81"/>
  <c r="A14" i="81" s="1"/>
  <c r="C15" i="81"/>
  <c r="A15" i="81" s="1"/>
  <c r="C16" i="81"/>
  <c r="A16" i="81" s="1"/>
  <c r="C17" i="81"/>
  <c r="A17" i="81" s="1"/>
  <c r="C18" i="81"/>
  <c r="A18" i="81" s="1"/>
  <c r="C19" i="81"/>
  <c r="A19" i="81" s="1"/>
  <c r="C57" i="81"/>
  <c r="A57" i="81" s="1"/>
  <c r="F85" i="81"/>
  <c r="B85" i="81" s="1"/>
  <c r="B79" i="81"/>
  <c r="B76" i="81"/>
  <c r="F80" i="81"/>
  <c r="F115" i="81"/>
  <c r="B135" i="81"/>
  <c r="B136" i="81"/>
  <c r="F138" i="81"/>
  <c r="B138" i="81" s="1"/>
  <c r="B175" i="81"/>
  <c r="N206" i="81"/>
  <c r="F206" i="81" s="1"/>
  <c r="B206" i="81" s="1"/>
  <c r="F219" i="81"/>
  <c r="B219" i="81" s="1"/>
  <c r="B213" i="81"/>
  <c r="N72" i="81"/>
  <c r="F72" i="81" s="1"/>
  <c r="B72" i="81" s="1"/>
  <c r="F73" i="81"/>
  <c r="B73" i="81" s="1"/>
  <c r="B78" i="81"/>
  <c r="F90" i="81"/>
  <c r="B90" i="81" s="1"/>
  <c r="N110" i="81"/>
  <c r="F110" i="81" s="1"/>
  <c r="B110" i="81" s="1"/>
  <c r="F139" i="81"/>
  <c r="B139" i="81" s="1"/>
  <c r="F147" i="81"/>
  <c r="B147" i="81" s="1"/>
  <c r="F77" i="81"/>
  <c r="C50" i="82"/>
  <c r="A50" i="82" s="1"/>
  <c r="B50" i="82"/>
  <c r="F216" i="81"/>
  <c r="B216" i="81" s="1"/>
  <c r="B214" i="81"/>
  <c r="F155" i="81"/>
  <c r="F173" i="81"/>
  <c r="F192" i="81"/>
  <c r="F194" i="81"/>
  <c r="F195" i="81"/>
  <c r="B195" i="81" s="1"/>
  <c r="B210" i="81"/>
  <c r="B8" i="82"/>
  <c r="C10" i="82"/>
  <c r="A10" i="82" s="1"/>
  <c r="C14" i="82"/>
  <c r="A14" i="82" s="1"/>
  <c r="C21" i="82"/>
  <c r="A21" i="82" s="1"/>
  <c r="C25" i="82"/>
  <c r="A25" i="82" s="1"/>
  <c r="C27" i="82"/>
  <c r="A27" i="82" s="1"/>
  <c r="C32" i="82"/>
  <c r="A32" i="82" s="1"/>
  <c r="B39" i="82"/>
  <c r="C41" i="82"/>
  <c r="A41" i="82" s="1"/>
  <c r="C45" i="82"/>
  <c r="A45" i="82" s="1"/>
  <c r="D49" i="82"/>
  <c r="A225" i="81"/>
  <c r="B225" i="81" s="1"/>
  <c r="C157" i="83"/>
  <c r="A157" i="83" s="1"/>
  <c r="C153" i="83"/>
  <c r="A153" i="83" s="1"/>
  <c r="C156" i="83"/>
  <c r="A156" i="83" s="1"/>
  <c r="C152" i="83"/>
  <c r="A152" i="83" s="1"/>
  <c r="C150" i="83"/>
  <c r="A150" i="83" s="1"/>
  <c r="C148" i="83"/>
  <c r="A148" i="83" s="1"/>
  <c r="C162" i="83"/>
  <c r="A162" i="83" s="1"/>
  <c r="C154" i="83"/>
  <c r="A154" i="83" s="1"/>
  <c r="C151" i="83"/>
  <c r="A151" i="83" s="1"/>
  <c r="C147" i="83"/>
  <c r="A147" i="83" s="1"/>
  <c r="C143" i="83"/>
  <c r="A143" i="83" s="1"/>
  <c r="C139" i="83"/>
  <c r="A139" i="83" s="1"/>
  <c r="C135" i="83"/>
  <c r="A135" i="83" s="1"/>
  <c r="C131" i="83"/>
  <c r="A131" i="83" s="1"/>
  <c r="C127" i="83"/>
  <c r="A127" i="83" s="1"/>
  <c r="C123" i="83"/>
  <c r="A123" i="83" s="1"/>
  <c r="C82" i="83"/>
  <c r="A82" i="83" s="1"/>
  <c r="C81" i="83"/>
  <c r="A81" i="83" s="1"/>
  <c r="C80" i="83"/>
  <c r="A80" i="83" s="1"/>
  <c r="C70" i="83"/>
  <c r="A70" i="83" s="1"/>
  <c r="C65" i="83"/>
  <c r="A65" i="83" s="1"/>
  <c r="C63" i="83"/>
  <c r="A63" i="83" s="1"/>
  <c r="C61" i="83"/>
  <c r="A61" i="83" s="1"/>
  <c r="C51" i="83"/>
  <c r="A51" i="83" s="1"/>
  <c r="C47" i="83"/>
  <c r="A47" i="83" s="1"/>
  <c r="C43" i="83"/>
  <c r="A43" i="83" s="1"/>
  <c r="C39" i="83"/>
  <c r="A39" i="83" s="1"/>
  <c r="C36" i="83"/>
  <c r="A36" i="83" s="1"/>
  <c r="C32" i="83"/>
  <c r="A32" i="83" s="1"/>
  <c r="C28" i="83"/>
  <c r="A28" i="83" s="1"/>
  <c r="C24" i="83"/>
  <c r="A24" i="83" s="1"/>
  <c r="C20" i="83"/>
  <c r="A20" i="83" s="1"/>
  <c r="C16" i="83"/>
  <c r="A16" i="83" s="1"/>
  <c r="C12" i="83"/>
  <c r="A12" i="83" s="1"/>
  <c r="C9" i="83"/>
  <c r="A9" i="83" s="1"/>
  <c r="C163" i="83"/>
  <c r="A163" i="83" s="1"/>
  <c r="C144" i="83"/>
  <c r="A144" i="83" s="1"/>
  <c r="C140" i="83"/>
  <c r="A140" i="83" s="1"/>
  <c r="C136" i="83"/>
  <c r="A136" i="83" s="1"/>
  <c r="C132" i="83"/>
  <c r="A132" i="83" s="1"/>
  <c r="C128" i="83"/>
  <c r="A128" i="83" s="1"/>
  <c r="C124" i="83"/>
  <c r="A124" i="83" s="1"/>
  <c r="C121" i="83"/>
  <c r="A121" i="83" s="1"/>
  <c r="C119" i="83"/>
  <c r="A119" i="83" s="1"/>
  <c r="C117" i="83"/>
  <c r="A117" i="83" s="1"/>
  <c r="C115" i="83"/>
  <c r="A115" i="83" s="1"/>
  <c r="C113" i="83"/>
  <c r="A113" i="83" s="1"/>
  <c r="C111" i="83"/>
  <c r="A111" i="83" s="1"/>
  <c r="C109" i="83"/>
  <c r="A109" i="83" s="1"/>
  <c r="C107" i="83"/>
  <c r="A107" i="83" s="1"/>
  <c r="C105" i="83"/>
  <c r="A105" i="83" s="1"/>
  <c r="C99" i="83"/>
  <c r="A99" i="83" s="1"/>
  <c r="C97" i="83"/>
  <c r="A97" i="83" s="1"/>
  <c r="C95" i="83"/>
  <c r="A95" i="83" s="1"/>
  <c r="C93" i="83"/>
  <c r="A93" i="83" s="1"/>
  <c r="C91" i="83"/>
  <c r="A91" i="83" s="1"/>
  <c r="C89" i="83"/>
  <c r="A89" i="83" s="1"/>
  <c r="C87" i="83"/>
  <c r="A87" i="83" s="1"/>
  <c r="C85" i="83"/>
  <c r="A85" i="83" s="1"/>
  <c r="C83" i="83"/>
  <c r="A83" i="83" s="1"/>
  <c r="C78" i="83"/>
  <c r="A78" i="83" s="1"/>
  <c r="C75" i="83"/>
  <c r="A75" i="83" s="1"/>
  <c r="C73" i="83"/>
  <c r="A73" i="83" s="1"/>
  <c r="C71" i="83"/>
  <c r="A71" i="83" s="1"/>
  <c r="C68" i="83"/>
  <c r="A68" i="83" s="1"/>
  <c r="C58" i="83"/>
  <c r="A58" i="83" s="1"/>
  <c r="C56" i="83"/>
  <c r="A56" i="83" s="1"/>
  <c r="C54" i="83"/>
  <c r="A54" i="83" s="1"/>
  <c r="C48" i="83"/>
  <c r="A48" i="83" s="1"/>
  <c r="C44" i="83"/>
  <c r="A44" i="83" s="1"/>
  <c r="C40" i="83"/>
  <c r="A40" i="83" s="1"/>
  <c r="C161" i="83"/>
  <c r="A161" i="83" s="1"/>
  <c r="C155" i="83"/>
  <c r="A155" i="83" s="1"/>
  <c r="C149" i="83"/>
  <c r="A149" i="83" s="1"/>
  <c r="C145" i="83"/>
  <c r="A145" i="83" s="1"/>
  <c r="C141" i="83"/>
  <c r="A141" i="83" s="1"/>
  <c r="C137" i="83"/>
  <c r="A137" i="83" s="1"/>
  <c r="C133" i="83"/>
  <c r="A133" i="83" s="1"/>
  <c r="C129" i="83"/>
  <c r="A129" i="83" s="1"/>
  <c r="C125" i="83"/>
  <c r="A125" i="83" s="1"/>
  <c r="C103" i="83"/>
  <c r="A103" i="83" s="1"/>
  <c r="C102" i="83"/>
  <c r="A102" i="83" s="1"/>
  <c r="C101" i="83"/>
  <c r="A101" i="83" s="1"/>
  <c r="C100" i="83"/>
  <c r="C76" i="83"/>
  <c r="A76" i="83" s="1"/>
  <c r="C66" i="83"/>
  <c r="A66" i="83" s="1"/>
  <c r="C64" i="83"/>
  <c r="A64" i="83" s="1"/>
  <c r="C62" i="83"/>
  <c r="A62" i="83" s="1"/>
  <c r="C59" i="83"/>
  <c r="A59" i="83" s="1"/>
  <c r="C52" i="83"/>
  <c r="A52" i="83" s="1"/>
  <c r="C49" i="83"/>
  <c r="A49" i="83" s="1"/>
  <c r="C45" i="83"/>
  <c r="A45" i="83" s="1"/>
  <c r="C41" i="83"/>
  <c r="A41" i="83" s="1"/>
  <c r="C37" i="83"/>
  <c r="A37" i="83" s="1"/>
  <c r="C34" i="83"/>
  <c r="A34" i="83" s="1"/>
  <c r="C30" i="83"/>
  <c r="A30" i="83" s="1"/>
  <c r="C26" i="83"/>
  <c r="A26" i="83" s="1"/>
  <c r="C22" i="83"/>
  <c r="A22" i="83" s="1"/>
  <c r="C18" i="83"/>
  <c r="A18" i="83" s="1"/>
  <c r="C14" i="83"/>
  <c r="A14" i="83" s="1"/>
  <c r="C11" i="83"/>
  <c r="A11" i="83" s="1"/>
  <c r="C7" i="83"/>
  <c r="A7" i="83" s="1"/>
  <c r="C6" i="83"/>
  <c r="A6" i="83" s="1"/>
  <c r="C146" i="83"/>
  <c r="A146" i="83" s="1"/>
  <c r="C142" i="83"/>
  <c r="A142" i="83" s="1"/>
  <c r="C138" i="83"/>
  <c r="A138" i="83" s="1"/>
  <c r="C134" i="83"/>
  <c r="A134" i="83" s="1"/>
  <c r="C130" i="83"/>
  <c r="A130" i="83" s="1"/>
  <c r="C126" i="83"/>
  <c r="A126" i="83" s="1"/>
  <c r="C122" i="83"/>
  <c r="A122" i="83" s="1"/>
  <c r="C120" i="83"/>
  <c r="A120" i="83" s="1"/>
  <c r="C118" i="83"/>
  <c r="A118" i="83" s="1"/>
  <c r="C116" i="83"/>
  <c r="A116" i="83" s="1"/>
  <c r="C114" i="83"/>
  <c r="A114" i="83" s="1"/>
  <c r="C112" i="83"/>
  <c r="A112" i="83" s="1"/>
  <c r="C110" i="83"/>
  <c r="A110" i="83" s="1"/>
  <c r="C108" i="83"/>
  <c r="A108" i="83" s="1"/>
  <c r="C106" i="83"/>
  <c r="A106" i="83" s="1"/>
  <c r="C104" i="83"/>
  <c r="A104" i="83" s="1"/>
  <c r="C98" i="83"/>
  <c r="A98" i="83" s="1"/>
  <c r="C96" i="83"/>
  <c r="A96" i="83" s="1"/>
  <c r="C94" i="83"/>
  <c r="A94" i="83" s="1"/>
  <c r="C92" i="83"/>
  <c r="A92" i="83" s="1"/>
  <c r="C90" i="83"/>
  <c r="A90" i="83" s="1"/>
  <c r="C88" i="83"/>
  <c r="A88" i="83" s="1"/>
  <c r="C86" i="83"/>
  <c r="A86" i="83" s="1"/>
  <c r="C84" i="83"/>
  <c r="A84" i="83" s="1"/>
  <c r="C79" i="83"/>
  <c r="A79" i="83" s="1"/>
  <c r="C77" i="83"/>
  <c r="A77" i="83" s="1"/>
  <c r="C74" i="83"/>
  <c r="A74" i="83" s="1"/>
  <c r="C72" i="83"/>
  <c r="A72" i="83" s="1"/>
  <c r="C69" i="83"/>
  <c r="A69" i="83" s="1"/>
  <c r="C67" i="83"/>
  <c r="A67" i="83" s="1"/>
  <c r="C60" i="83"/>
  <c r="A60" i="83" s="1"/>
  <c r="C57" i="83"/>
  <c r="A57" i="83" s="1"/>
  <c r="C55" i="83"/>
  <c r="A55" i="83" s="1"/>
  <c r="C53" i="83"/>
  <c r="A53" i="83" s="1"/>
  <c r="C50" i="83"/>
  <c r="A50" i="83" s="1"/>
  <c r="C46" i="83"/>
  <c r="A46" i="83" s="1"/>
  <c r="C42" i="83"/>
  <c r="A42" i="83" s="1"/>
  <c r="C38" i="83"/>
  <c r="A38" i="83" s="1"/>
  <c r="C35" i="83"/>
  <c r="A35" i="83" s="1"/>
  <c r="C31" i="83"/>
  <c r="A31" i="83" s="1"/>
  <c r="C27" i="83"/>
  <c r="A27" i="83" s="1"/>
  <c r="C23" i="83"/>
  <c r="A23" i="83" s="1"/>
  <c r="C19" i="83"/>
  <c r="A19" i="83" s="1"/>
  <c r="C15" i="83"/>
  <c r="A15" i="83" s="1"/>
  <c r="C8" i="83"/>
  <c r="A8" i="83" s="1"/>
  <c r="C17" i="83"/>
  <c r="A17" i="83" s="1"/>
  <c r="C25" i="83"/>
  <c r="A25" i="83" s="1"/>
  <c r="C33" i="83"/>
  <c r="A33" i="83" s="1"/>
  <c r="F211" i="81"/>
  <c r="F215" i="81" s="1"/>
  <c r="B215" i="81" s="1"/>
  <c r="A224" i="81"/>
  <c r="B224" i="81" s="1"/>
  <c r="C164" i="81"/>
  <c r="D181" i="81"/>
  <c r="C11" i="82"/>
  <c r="A11" i="82" s="1"/>
  <c r="C15" i="82"/>
  <c r="A15" i="82" s="1"/>
  <c r="C17" i="82"/>
  <c r="A17" i="82" s="1"/>
  <c r="C22" i="82"/>
  <c r="A22" i="82" s="1"/>
  <c r="C28" i="82"/>
  <c r="A28" i="82" s="1"/>
  <c r="C29" i="82"/>
  <c r="A29" i="82" s="1"/>
  <c r="C33" i="82"/>
  <c r="A33" i="82" s="1"/>
  <c r="C42" i="82"/>
  <c r="A42" i="82" s="1"/>
  <c r="C5" i="83"/>
  <c r="A5" i="83" s="1"/>
  <c r="C10" i="83"/>
  <c r="A10" i="83" s="1"/>
  <c r="C13" i="83"/>
  <c r="A13" i="83" s="1"/>
  <c r="C21" i="83"/>
  <c r="A21" i="83" s="1"/>
  <c r="C29" i="83"/>
  <c r="A29" i="83" s="1"/>
  <c r="A166" i="83"/>
  <c r="B166" i="83" s="1"/>
  <c r="C159" i="83"/>
  <c r="A164" i="83"/>
  <c r="B164" i="83" s="1"/>
  <c r="H10" i="91"/>
  <c r="L10" i="91"/>
  <c r="F11" i="91"/>
  <c r="J11" i="91"/>
  <c r="R11" i="91"/>
  <c r="L12" i="91"/>
  <c r="F13" i="91"/>
  <c r="J13" i="91"/>
  <c r="R13" i="91"/>
  <c r="L14" i="91"/>
  <c r="F15" i="91"/>
  <c r="J15" i="91"/>
  <c r="R15" i="91"/>
  <c r="I12" i="92"/>
  <c r="I16" i="92"/>
  <c r="I20" i="92"/>
  <c r="I24" i="92"/>
  <c r="I7" i="93"/>
  <c r="M7" i="93"/>
  <c r="M20" i="93" s="1"/>
  <c r="C10" i="72" s="1"/>
  <c r="K11" i="93"/>
  <c r="F10" i="91"/>
  <c r="J10" i="91"/>
  <c r="H11" i="91"/>
  <c r="L11" i="91"/>
  <c r="J12" i="91"/>
  <c r="H13" i="91"/>
  <c r="L13" i="91"/>
  <c r="F14" i="91"/>
  <c r="J14" i="91"/>
  <c r="H15" i="91"/>
  <c r="L15" i="91"/>
  <c r="I10" i="92"/>
  <c r="I14" i="92"/>
  <c r="I18" i="92"/>
  <c r="I22" i="92"/>
  <c r="K7" i="93"/>
  <c r="H10" i="93"/>
  <c r="L10" i="93"/>
  <c r="L20" i="93" s="1"/>
  <c r="C9" i="72" s="1"/>
  <c r="I11" i="93"/>
  <c r="O13" i="93"/>
  <c r="O20" i="93" s="1"/>
  <c r="I11" i="91"/>
  <c r="I13" i="91"/>
  <c r="I15" i="91"/>
  <c r="I13" i="92"/>
  <c r="I17" i="92"/>
  <c r="I21" i="92"/>
  <c r="H7" i="93"/>
  <c r="H20" i="93" s="1"/>
  <c r="C3" i="72" s="1"/>
  <c r="A11" i="72" l="1"/>
  <c r="J20" i="93"/>
  <c r="C7" i="72" s="1"/>
  <c r="B7" i="72" s="1"/>
  <c r="F26" i="92"/>
  <c r="C35" i="71" s="1"/>
  <c r="C37" i="71" s="1"/>
  <c r="B37" i="71" s="1"/>
  <c r="A18" i="74"/>
  <c r="A100" i="83"/>
  <c r="A167" i="81"/>
  <c r="A93" i="81"/>
  <c r="A136" i="81"/>
  <c r="A128" i="81"/>
  <c r="A187" i="81"/>
  <c r="A168" i="81"/>
  <c r="A20" i="74"/>
  <c r="A6" i="77"/>
  <c r="R26" i="91"/>
  <c r="C9" i="71" s="1"/>
  <c r="I20" i="93"/>
  <c r="C4" i="72" s="1"/>
  <c r="I26" i="91"/>
  <c r="C26" i="71" s="1"/>
  <c r="B6" i="75"/>
  <c r="K6" i="75"/>
  <c r="C41" i="71"/>
  <c r="A40" i="71"/>
  <c r="A160" i="83"/>
  <c r="B160" i="83"/>
  <c r="F131" i="81"/>
  <c r="N129" i="81"/>
  <c r="F129" i="81" s="1"/>
  <c r="D16" i="73"/>
  <c r="A16" i="73" s="1"/>
  <c r="B16" i="73"/>
  <c r="B80" i="81"/>
  <c r="F82" i="81"/>
  <c r="B82" i="81" s="1"/>
  <c r="A6" i="74"/>
  <c r="C7" i="74"/>
  <c r="K20" i="93"/>
  <c r="C8" i="72" s="1"/>
  <c r="B11" i="72"/>
  <c r="A7" i="72"/>
  <c r="B35" i="71"/>
  <c r="A35" i="71"/>
  <c r="J26" i="92"/>
  <c r="C38" i="71" s="1"/>
  <c r="A45" i="71"/>
  <c r="B45" i="71"/>
  <c r="C20" i="71"/>
  <c r="B20" i="71" s="1"/>
  <c r="C19" i="71"/>
  <c r="B18" i="71"/>
  <c r="A12" i="71"/>
  <c r="A20" i="71"/>
  <c r="A18" i="71"/>
  <c r="A91" i="81"/>
  <c r="F158" i="81"/>
  <c r="F101" i="81"/>
  <c r="F104" i="81"/>
  <c r="B104" i="81" s="1"/>
  <c r="B98" i="81"/>
  <c r="A98" i="81"/>
  <c r="A104" i="81"/>
  <c r="A99" i="81"/>
  <c r="A148" i="81"/>
  <c r="A100" i="81"/>
  <c r="A156" i="81"/>
  <c r="N91" i="81"/>
  <c r="F91" i="81" s="1"/>
  <c r="B91" i="81" s="1"/>
  <c r="B17" i="76"/>
  <c r="D36" i="71"/>
  <c r="A36" i="71" s="1"/>
  <c r="B36" i="71"/>
  <c r="A87" i="80"/>
  <c r="J24" i="69" s="1"/>
  <c r="H24" i="69" s="1"/>
  <c r="E24" i="69" s="1"/>
  <c r="B24" i="69" s="1"/>
  <c r="G20" i="78"/>
  <c r="J15" i="69" s="1"/>
  <c r="M15" i="69" s="1"/>
  <c r="B10" i="72"/>
  <c r="A10" i="72"/>
  <c r="B9" i="72"/>
  <c r="A9" i="72"/>
  <c r="C5" i="72"/>
  <c r="B3" i="72"/>
  <c r="A3" i="72"/>
  <c r="I26" i="92"/>
  <c r="J26" i="91"/>
  <c r="C13" i="71" s="1"/>
  <c r="L26" i="91"/>
  <c r="A159" i="83"/>
  <c r="B159" i="83"/>
  <c r="F26" i="91"/>
  <c r="H26" i="91"/>
  <c r="C8" i="71" s="1"/>
  <c r="A164" i="81"/>
  <c r="B164" i="81"/>
  <c r="F179" i="81"/>
  <c r="A179" i="81" s="1"/>
  <c r="B173" i="81"/>
  <c r="F177" i="81"/>
  <c r="B177" i="81" s="1"/>
  <c r="F83" i="81"/>
  <c r="A83" i="81" s="1"/>
  <c r="B77" i="81"/>
  <c r="F81" i="81"/>
  <c r="B81" i="81" s="1"/>
  <c r="A73" i="81"/>
  <c r="A211" i="81"/>
  <c r="A192" i="81"/>
  <c r="A23" i="72"/>
  <c r="C26" i="72"/>
  <c r="C25" i="72"/>
  <c r="C24" i="72"/>
  <c r="B23" i="72"/>
  <c r="B31" i="73"/>
  <c r="B21" i="72"/>
  <c r="B8" i="73"/>
  <c r="A8" i="73"/>
  <c r="A7" i="73"/>
  <c r="C13" i="72"/>
  <c r="C18" i="72"/>
  <c r="C49" i="82"/>
  <c r="A49" i="82" s="1"/>
  <c r="A53" i="82" s="1"/>
  <c r="B49" i="82"/>
  <c r="B51" i="82" s="1"/>
  <c r="M23" i="69" s="1"/>
  <c r="F161" i="81"/>
  <c r="F157" i="81"/>
  <c r="B157" i="81" s="1"/>
  <c r="B155" i="81"/>
  <c r="E25" i="79"/>
  <c r="E12" i="69" s="1"/>
  <c r="K11" i="75"/>
  <c r="B11" i="75"/>
  <c r="A147" i="81"/>
  <c r="A140" i="81"/>
  <c r="A72" i="81"/>
  <c r="A115" i="81"/>
  <c r="A138" i="81"/>
  <c r="A206" i="81"/>
  <c r="A216" i="81"/>
  <c r="A14" i="77"/>
  <c r="B14" i="77"/>
  <c r="B6" i="76"/>
  <c r="A6" i="76"/>
  <c r="C8" i="76"/>
  <c r="C7" i="76"/>
  <c r="B18" i="73"/>
  <c r="A18" i="73"/>
  <c r="B14" i="70"/>
  <c r="A14" i="70"/>
  <c r="B22" i="72"/>
  <c r="F200" i="81"/>
  <c r="B200" i="81" s="1"/>
  <c r="B194" i="81"/>
  <c r="B10" i="75"/>
  <c r="K10" i="75"/>
  <c r="F141" i="81"/>
  <c r="B141" i="81" s="1"/>
  <c r="B140" i="81"/>
  <c r="K7" i="75"/>
  <c r="B7" i="75"/>
  <c r="B14" i="74"/>
  <c r="A14" i="74"/>
  <c r="B102" i="81"/>
  <c r="F103" i="81"/>
  <c r="B103" i="81" s="1"/>
  <c r="A77" i="81"/>
  <c r="A80" i="81"/>
  <c r="A215" i="81"/>
  <c r="A173" i="81"/>
  <c r="A194" i="81"/>
  <c r="A198" i="81"/>
  <c r="C8" i="77"/>
  <c r="B7" i="77"/>
  <c r="K12" i="75"/>
  <c r="B12" i="75"/>
  <c r="B13" i="75"/>
  <c r="K13" i="75"/>
  <c r="B4" i="75"/>
  <c r="K4" i="75"/>
  <c r="B17" i="73"/>
  <c r="A17" i="73"/>
  <c r="A16" i="71"/>
  <c r="B16" i="71"/>
  <c r="A167" i="83"/>
  <c r="J25" i="69" s="1"/>
  <c r="H25" i="69" s="1"/>
  <c r="E25" i="69" s="1"/>
  <c r="B25" i="69" s="1"/>
  <c r="C181" i="81"/>
  <c r="A181" i="81" s="1"/>
  <c r="B181" i="81"/>
  <c r="F217" i="81"/>
  <c r="A217" i="81" s="1"/>
  <c r="B211" i="81"/>
  <c r="F198" i="81"/>
  <c r="B192" i="81"/>
  <c r="F197" i="81"/>
  <c r="B197" i="81" s="1"/>
  <c r="F196" i="81"/>
  <c r="B196" i="81" s="1"/>
  <c r="F119" i="81"/>
  <c r="B119" i="81" s="1"/>
  <c r="B115" i="81"/>
  <c r="F121" i="81"/>
  <c r="A121" i="81" s="1"/>
  <c r="B13" i="74"/>
  <c r="A13" i="74"/>
  <c r="A90" i="81"/>
  <c r="A102" i="81"/>
  <c r="A139" i="81"/>
  <c r="A82" i="81"/>
  <c r="A85" i="81"/>
  <c r="A110" i="81"/>
  <c r="A219" i="81"/>
  <c r="A155" i="81"/>
  <c r="A195" i="81"/>
  <c r="K8" i="75"/>
  <c r="B8" i="75"/>
  <c r="B9" i="75"/>
  <c r="K9" i="75"/>
  <c r="B19" i="76"/>
  <c r="A19" i="76"/>
  <c r="B26" i="70"/>
  <c r="A26" i="70"/>
  <c r="A25" i="70"/>
  <c r="B18" i="3"/>
  <c r="C18" i="3"/>
  <c r="A131" i="81" l="1"/>
  <c r="B131" i="81"/>
  <c r="B167" i="83"/>
  <c r="M25" i="69" s="1"/>
  <c r="B9" i="71"/>
  <c r="A9" i="71"/>
  <c r="C6" i="72"/>
  <c r="B4" i="72"/>
  <c r="A4" i="72"/>
  <c r="B26" i="71"/>
  <c r="A26" i="71"/>
  <c r="C27" i="71"/>
  <c r="B129" i="81"/>
  <c r="A129" i="81"/>
  <c r="A8" i="72"/>
  <c r="B8" i="72"/>
  <c r="B38" i="71"/>
  <c r="A38" i="71"/>
  <c r="B19" i="71"/>
  <c r="A19" i="71"/>
  <c r="B158" i="81"/>
  <c r="A158" i="81"/>
  <c r="B101" i="81"/>
  <c r="A101" i="81"/>
  <c r="G127" i="13"/>
  <c r="F90" i="13"/>
  <c r="H90" i="13" s="1"/>
  <c r="G138" i="13" s="1"/>
  <c r="D39" i="7" s="1"/>
  <c r="F23" i="87"/>
  <c r="B23" i="87" s="1"/>
  <c r="B7" i="86"/>
  <c r="B21" i="86"/>
  <c r="B15" i="86"/>
  <c r="B12" i="86"/>
  <c r="B11" i="86"/>
  <c r="B9" i="86"/>
  <c r="B18" i="86"/>
  <c r="B13" i="86"/>
  <c r="B10" i="86"/>
  <c r="B17" i="86"/>
  <c r="B23" i="86"/>
  <c r="B19" i="86"/>
  <c r="B14" i="86"/>
  <c r="N35" i="8"/>
  <c r="N33" i="8"/>
  <c r="N28" i="8"/>
  <c r="O812" i="9"/>
  <c r="C35" i="85"/>
  <c r="C34" i="85"/>
  <c r="G7" i="85"/>
  <c r="C7" i="85" s="1"/>
  <c r="G4" i="85"/>
  <c r="C4" i="85" s="1"/>
  <c r="C33" i="85"/>
  <c r="C36" i="85" s="1"/>
  <c r="G6" i="85"/>
  <c r="C6" i="85" s="1"/>
  <c r="G5" i="85"/>
  <c r="C5" i="85" s="1"/>
  <c r="E36" i="88"/>
  <c r="B36" i="88" s="1"/>
  <c r="E35" i="88"/>
  <c r="B35" i="88" s="1"/>
  <c r="E34" i="88"/>
  <c r="B34" i="88" s="1"/>
  <c r="E33" i="88"/>
  <c r="B33" i="88" s="1"/>
  <c r="E32" i="88"/>
  <c r="B32" i="88" s="1"/>
  <c r="E31" i="88"/>
  <c r="B31" i="88" s="1"/>
  <c r="E30" i="88"/>
  <c r="B30" i="88" s="1"/>
  <c r="E29" i="88"/>
  <c r="B29" i="88" s="1"/>
  <c r="E28" i="88"/>
  <c r="B28" i="88" s="1"/>
  <c r="E27" i="88"/>
  <c r="B27" i="88" s="1"/>
  <c r="E26" i="88"/>
  <c r="B26" i="88" s="1"/>
  <c r="E25" i="88"/>
  <c r="B25" i="88" s="1"/>
  <c r="B37" i="88" s="1"/>
  <c r="B33" i="69" s="1"/>
  <c r="I16" i="88"/>
  <c r="B16" i="88" s="1"/>
  <c r="I15" i="88"/>
  <c r="B15" i="88" s="1"/>
  <c r="I14" i="88"/>
  <c r="B14" i="88" s="1"/>
  <c r="I13" i="88"/>
  <c r="B13" i="88" s="1"/>
  <c r="I12" i="88"/>
  <c r="B12" i="88" s="1"/>
  <c r="I10" i="88"/>
  <c r="B10" i="88" s="1"/>
  <c r="I9" i="88"/>
  <c r="B9" i="88" s="1"/>
  <c r="I7" i="88"/>
  <c r="B7" i="88" s="1"/>
  <c r="I5" i="88"/>
  <c r="B5" i="88" s="1"/>
  <c r="F20" i="87"/>
  <c r="B20" i="87" s="1"/>
  <c r="I11" i="88"/>
  <c r="B11" i="88" s="1"/>
  <c r="I8" i="88"/>
  <c r="B8" i="88" s="1"/>
  <c r="I6" i="88"/>
  <c r="B6" i="88" s="1"/>
  <c r="I4" i="88"/>
  <c r="B4" i="88" s="1"/>
  <c r="B17" i="88" s="1"/>
  <c r="B31" i="69" s="1"/>
  <c r="F22" i="87"/>
  <c r="B22" i="87" s="1"/>
  <c r="F21" i="87"/>
  <c r="B21" i="87" s="1"/>
  <c r="F18" i="87"/>
  <c r="B18" i="87" s="1"/>
  <c r="F16" i="87"/>
  <c r="B16" i="87" s="1"/>
  <c r="F13" i="87"/>
  <c r="B13" i="87" s="1"/>
  <c r="F10" i="87"/>
  <c r="B10" i="87" s="1"/>
  <c r="F9" i="87"/>
  <c r="B9" i="87" s="1"/>
  <c r="F26" i="87"/>
  <c r="B26" i="87" s="1"/>
  <c r="F25" i="87"/>
  <c r="B25" i="87" s="1"/>
  <c r="F24" i="87"/>
  <c r="B24" i="87" s="1"/>
  <c r="F19" i="87"/>
  <c r="B19" i="87" s="1"/>
  <c r="F17" i="87"/>
  <c r="B17" i="87" s="1"/>
  <c r="F15" i="87"/>
  <c r="B15" i="87" s="1"/>
  <c r="F14" i="87"/>
  <c r="B14" i="87" s="1"/>
  <c r="F12" i="87"/>
  <c r="B12" i="87" s="1"/>
  <c r="F11" i="87"/>
  <c r="B11" i="87" s="1"/>
  <c r="F8" i="87"/>
  <c r="B8" i="87" s="1"/>
  <c r="B22" i="86"/>
  <c r="B16" i="86"/>
  <c r="F5" i="87"/>
  <c r="B5" i="87" s="1"/>
  <c r="F97" i="13"/>
  <c r="H97" i="13" s="1"/>
  <c r="F95" i="13"/>
  <c r="H95" i="13" s="1"/>
  <c r="F92" i="13"/>
  <c r="H92" i="13" s="1"/>
  <c r="F67" i="13"/>
  <c r="H67" i="13" s="1"/>
  <c r="F94" i="13"/>
  <c r="H94" i="13" s="1"/>
  <c r="F68" i="13"/>
  <c r="H68" i="13" s="1"/>
  <c r="F93" i="13"/>
  <c r="H93" i="13" s="1"/>
  <c r="F69" i="13"/>
  <c r="H69" i="13" s="1"/>
  <c r="H47" i="8"/>
  <c r="F63" i="13"/>
  <c r="H63" i="13" s="1"/>
  <c r="F58" i="13"/>
  <c r="H58" i="13" s="1"/>
  <c r="F16" i="13"/>
  <c r="H16" i="13" s="1"/>
  <c r="H35" i="8"/>
  <c r="K35" i="8" s="1"/>
  <c r="H34" i="8"/>
  <c r="K34" i="8" s="1"/>
  <c r="H33" i="8"/>
  <c r="K33" i="8" s="1"/>
  <c r="H32" i="8"/>
  <c r="K32" i="8" s="1"/>
  <c r="K134" i="8" s="1"/>
  <c r="F60" i="13"/>
  <c r="H60" i="13" s="1"/>
  <c r="F123" i="13"/>
  <c r="H123" i="13" s="1"/>
  <c r="F106" i="13"/>
  <c r="H106" i="13" s="1"/>
  <c r="F64" i="13"/>
  <c r="H64" i="13" s="1"/>
  <c r="F61" i="13"/>
  <c r="H61" i="13" s="1"/>
  <c r="F55" i="13"/>
  <c r="H55" i="13" s="1"/>
  <c r="F53" i="13"/>
  <c r="H53" i="13" s="1"/>
  <c r="F52" i="13"/>
  <c r="H52" i="13" s="1"/>
  <c r="F51" i="13"/>
  <c r="H51" i="13" s="1"/>
  <c r="F50" i="13"/>
  <c r="H50" i="13" s="1"/>
  <c r="F49" i="13"/>
  <c r="H49" i="13" s="1"/>
  <c r="F48" i="13"/>
  <c r="H48" i="13" s="1"/>
  <c r="F46" i="13"/>
  <c r="H46" i="13" s="1"/>
  <c r="F45" i="13"/>
  <c r="H45" i="13" s="1"/>
  <c r="F44" i="13"/>
  <c r="H44" i="13" s="1"/>
  <c r="F43" i="13"/>
  <c r="H43" i="13" s="1"/>
  <c r="F38" i="13"/>
  <c r="H38" i="13" s="1"/>
  <c r="F37" i="13"/>
  <c r="H37" i="13" s="1"/>
  <c r="F35" i="13"/>
  <c r="H35" i="13" s="1"/>
  <c r="F31" i="13"/>
  <c r="H31" i="13" s="1"/>
  <c r="F30" i="13"/>
  <c r="H30" i="13" s="1"/>
  <c r="F27" i="13"/>
  <c r="H27" i="13" s="1"/>
  <c r="F25" i="13"/>
  <c r="H25" i="13" s="1"/>
  <c r="F65" i="13"/>
  <c r="H65" i="13" s="1"/>
  <c r="F59" i="13"/>
  <c r="H59" i="13" s="1"/>
  <c r="F41" i="13"/>
  <c r="H41" i="13" s="1"/>
  <c r="F40" i="13"/>
  <c r="H40" i="13" s="1"/>
  <c r="F39" i="13"/>
  <c r="H39" i="13" s="1"/>
  <c r="F36" i="13"/>
  <c r="H36" i="13" s="1"/>
  <c r="F34" i="13"/>
  <c r="H34" i="13" s="1"/>
  <c r="F32" i="13"/>
  <c r="H32" i="13" s="1"/>
  <c r="F29" i="13"/>
  <c r="H29" i="13" s="1"/>
  <c r="F28" i="13"/>
  <c r="H28" i="13" s="1"/>
  <c r="F26" i="13"/>
  <c r="H26" i="13" s="1"/>
  <c r="F42" i="13"/>
  <c r="H42" i="13" s="1"/>
  <c r="F62" i="13"/>
  <c r="F57" i="13"/>
  <c r="H57" i="13" s="1"/>
  <c r="F24" i="13"/>
  <c r="H24" i="13" s="1"/>
  <c r="F23" i="13"/>
  <c r="H23" i="13" s="1"/>
  <c r="F22" i="13"/>
  <c r="H22" i="13" s="1"/>
  <c r="F21" i="13"/>
  <c r="H21" i="13" s="1"/>
  <c r="F20" i="13"/>
  <c r="H20" i="13" s="1"/>
  <c r="F19" i="13"/>
  <c r="H19" i="13" s="1"/>
  <c r="F18" i="13"/>
  <c r="H18" i="13" s="1"/>
  <c r="F17" i="13"/>
  <c r="H17" i="13" s="1"/>
  <c r="F96" i="13"/>
  <c r="H96" i="13" s="1"/>
  <c r="F15" i="13"/>
  <c r="H15" i="13" s="1"/>
  <c r="F14" i="13"/>
  <c r="H14" i="13" s="1"/>
  <c r="F13" i="13"/>
  <c r="H13" i="13" s="1"/>
  <c r="F12" i="13"/>
  <c r="H12" i="13" s="1"/>
  <c r="F11" i="13"/>
  <c r="H11" i="13" s="1"/>
  <c r="F54" i="13"/>
  <c r="H54" i="13" s="1"/>
  <c r="G4" i="10"/>
  <c r="F6" i="13"/>
  <c r="H6" i="13" s="1"/>
  <c r="G133" i="13" s="1"/>
  <c r="G134" i="13" s="1"/>
  <c r="D35" i="7" s="1"/>
  <c r="H114" i="8"/>
  <c r="K114" i="8" s="1"/>
  <c r="K128" i="8" s="1"/>
  <c r="C8" i="74"/>
  <c r="C10" i="74"/>
  <c r="C9" i="74"/>
  <c r="B7" i="74"/>
  <c r="A7" i="74"/>
  <c r="A33" i="73"/>
  <c r="J16" i="69" s="1"/>
  <c r="H16" i="69" s="1"/>
  <c r="B16" i="69" s="1"/>
  <c r="A37" i="71"/>
  <c r="B31" i="70"/>
  <c r="M12" i="69" s="1"/>
  <c r="A31" i="70"/>
  <c r="J12" i="69" s="1"/>
  <c r="H12" i="69" s="1"/>
  <c r="B12" i="69" s="1"/>
  <c r="H15" i="69"/>
  <c r="B15" i="69" s="1"/>
  <c r="A141" i="81"/>
  <c r="B8" i="76"/>
  <c r="A8" i="76"/>
  <c r="A177" i="81"/>
  <c r="A81" i="81"/>
  <c r="B161" i="81"/>
  <c r="A161" i="81"/>
  <c r="C15" i="72"/>
  <c r="C14" i="72"/>
  <c r="B13" i="72"/>
  <c r="A13" i="72"/>
  <c r="A103" i="81"/>
  <c r="F180" i="81"/>
  <c r="B179" i="81"/>
  <c r="C4" i="71"/>
  <c r="C29" i="71"/>
  <c r="B13" i="71"/>
  <c r="A13" i="71"/>
  <c r="C14" i="71"/>
  <c r="B27" i="71"/>
  <c r="A27" i="71"/>
  <c r="B217" i="81"/>
  <c r="F218" i="81"/>
  <c r="B17" i="75"/>
  <c r="J21" i="69" s="1"/>
  <c r="H21" i="69" s="1"/>
  <c r="B21" i="69" s="1"/>
  <c r="A197" i="81"/>
  <c r="B24" i="72"/>
  <c r="A24" i="72"/>
  <c r="A200" i="81"/>
  <c r="F84" i="81"/>
  <c r="B83" i="81"/>
  <c r="A51" i="82"/>
  <c r="J23" i="69" s="1"/>
  <c r="H23" i="69" s="1"/>
  <c r="E23" i="69" s="1"/>
  <c r="B23" i="69" s="1"/>
  <c r="B121" i="81"/>
  <c r="F122" i="81"/>
  <c r="A119" i="81"/>
  <c r="B25" i="72"/>
  <c r="A25" i="72"/>
  <c r="A196" i="81"/>
  <c r="C39" i="71"/>
  <c r="C44" i="71"/>
  <c r="B5" i="72"/>
  <c r="A5" i="72"/>
  <c r="F199" i="81"/>
  <c r="B198" i="81"/>
  <c r="A8" i="77"/>
  <c r="A7" i="77"/>
  <c r="B8" i="77"/>
  <c r="B29" i="77" s="1"/>
  <c r="M20" i="69" s="1"/>
  <c r="B7" i="76"/>
  <c r="B30" i="76" s="1"/>
  <c r="M19" i="69" s="1"/>
  <c r="A7" i="76"/>
  <c r="B18" i="72"/>
  <c r="A18" i="72"/>
  <c r="B33" i="73"/>
  <c r="M16" i="69" s="1"/>
  <c r="B26" i="72"/>
  <c r="A26" i="72"/>
  <c r="A157" i="81"/>
  <c r="B8" i="71"/>
  <c r="A8" i="71"/>
  <c r="C24" i="71"/>
  <c r="C22" i="71"/>
  <c r="B6" i="72"/>
  <c r="A6" i="72"/>
  <c r="K135" i="8" l="1"/>
  <c r="K47" i="8"/>
  <c r="B24" i="86"/>
  <c r="M30" i="69" s="1"/>
  <c r="C9" i="85"/>
  <c r="M31" i="69" s="1"/>
  <c r="B27" i="87"/>
  <c r="B30" i="69" s="1"/>
  <c r="B36" i="69" s="1"/>
  <c r="F6" i="69" s="1"/>
  <c r="E25" i="1" s="1"/>
  <c r="G136" i="13"/>
  <c r="B9" i="74"/>
  <c r="A9" i="74"/>
  <c r="A10" i="74"/>
  <c r="B10" i="74"/>
  <c r="B8" i="74"/>
  <c r="A8" i="74"/>
  <c r="A29" i="77"/>
  <c r="J20" i="69" s="1"/>
  <c r="H20" i="69" s="1"/>
  <c r="B20" i="69" s="1"/>
  <c r="A30" i="76"/>
  <c r="J19" i="69" s="1"/>
  <c r="H19" i="69" s="1"/>
  <c r="B19" i="69" s="1"/>
  <c r="B24" i="71"/>
  <c r="A24" i="71"/>
  <c r="B199" i="81"/>
  <c r="A199" i="81"/>
  <c r="A39" i="71"/>
  <c r="B39" i="71"/>
  <c r="B180" i="81"/>
  <c r="A180" i="81"/>
  <c r="B14" i="72"/>
  <c r="A14" i="72"/>
  <c r="B122" i="81"/>
  <c r="A122" i="81"/>
  <c r="B14" i="71"/>
  <c r="A14" i="71"/>
  <c r="C5" i="71"/>
  <c r="B4" i="71"/>
  <c r="A4" i="71"/>
  <c r="B218" i="81"/>
  <c r="A218" i="81"/>
  <c r="A29" i="71"/>
  <c r="C31" i="71"/>
  <c r="C30" i="71"/>
  <c r="B30" i="71" s="1"/>
  <c r="B29" i="71"/>
  <c r="B15" i="72"/>
  <c r="A15" i="72"/>
  <c r="A22" i="71"/>
  <c r="B22" i="71"/>
  <c r="B44" i="71"/>
  <c r="A44" i="71"/>
  <c r="B84" i="81"/>
  <c r="A84" i="81"/>
  <c r="A239" i="81" s="1"/>
  <c r="J22" i="69" s="1"/>
  <c r="H22" i="69" s="1"/>
  <c r="E22" i="69" s="1"/>
  <c r="M33" i="69" l="1"/>
  <c r="F5" i="69" s="1"/>
  <c r="E24" i="1" s="1"/>
  <c r="A22" i="74"/>
  <c r="J17" i="69" s="1"/>
  <c r="H17" i="69" s="1"/>
  <c r="B17" i="69" s="1"/>
  <c r="B22" i="74"/>
  <c r="M17" i="69" s="1"/>
  <c r="A27" i="72"/>
  <c r="J13" i="69" s="1"/>
  <c r="H13" i="69" s="1"/>
  <c r="B27" i="72"/>
  <c r="M13" i="69" s="1"/>
  <c r="C6" i="71"/>
  <c r="B5" i="71"/>
  <c r="B239" i="81"/>
  <c r="M22" i="69" s="1"/>
  <c r="B22" i="69"/>
  <c r="E27" i="69"/>
  <c r="F3" i="69" s="1"/>
  <c r="E22" i="1" s="1"/>
  <c r="A31" i="71"/>
  <c r="A30" i="71"/>
  <c r="B31" i="71"/>
  <c r="N809" i="9"/>
  <c r="O809" i="9" s="1"/>
  <c r="I13" i="10"/>
  <c r="I8" i="10"/>
  <c r="B6" i="71" l="1"/>
  <c r="B46" i="71" s="1"/>
  <c r="M14" i="69" s="1"/>
  <c r="M27" i="69" s="1"/>
  <c r="A6" i="71"/>
  <c r="A5" i="71"/>
  <c r="B13" i="69"/>
  <c r="J12" i="3"/>
  <c r="K12" i="3"/>
  <c r="L12" i="3"/>
  <c r="I12" i="3"/>
  <c r="J2" i="3"/>
  <c r="K2" i="3"/>
  <c r="L2" i="3"/>
  <c r="J3" i="3"/>
  <c r="K3" i="3"/>
  <c r="L3" i="3"/>
  <c r="J4" i="3"/>
  <c r="K4" i="3"/>
  <c r="L4" i="3"/>
  <c r="J5" i="3"/>
  <c r="K5" i="3"/>
  <c r="L5" i="3"/>
  <c r="J6" i="3"/>
  <c r="K6" i="3"/>
  <c r="L6" i="3"/>
  <c r="J7" i="3"/>
  <c r="K7" i="3"/>
  <c r="L7" i="3"/>
  <c r="J8" i="3"/>
  <c r="K8" i="3"/>
  <c r="L8" i="3"/>
  <c r="I3" i="3"/>
  <c r="I4" i="3"/>
  <c r="I5" i="3"/>
  <c r="I6" i="3"/>
  <c r="I7" i="3"/>
  <c r="I8" i="3"/>
  <c r="I2" i="3"/>
  <c r="J49" i="8"/>
  <c r="A46" i="71" l="1"/>
  <c r="J14" i="69" s="1"/>
  <c r="H14" i="69" s="1"/>
  <c r="N4" i="8"/>
  <c r="J5" i="10"/>
  <c r="J4" i="10"/>
  <c r="K14" i="3"/>
  <c r="L14" i="3"/>
  <c r="J14" i="3"/>
  <c r="I14" i="3"/>
  <c r="J27" i="69" l="1"/>
  <c r="B14" i="69"/>
  <c r="B27" i="69" s="1"/>
  <c r="H27" i="69"/>
  <c r="F4" i="69" s="1"/>
  <c r="E23" i="1" s="1"/>
  <c r="E27" i="1" s="1"/>
  <c r="C5" i="4" s="1"/>
  <c r="H31" i="8"/>
  <c r="H107" i="8"/>
  <c r="H95" i="8"/>
  <c r="H108" i="8"/>
  <c r="H100" i="8"/>
  <c r="H96" i="8"/>
  <c r="H103" i="8"/>
  <c r="H110" i="8"/>
  <c r="H106" i="8"/>
  <c r="H98" i="8"/>
  <c r="H101" i="8"/>
  <c r="H111" i="8"/>
  <c r="H99" i="8"/>
  <c r="Z13" i="64"/>
  <c r="Y22" i="51" s="1"/>
  <c r="Y13" i="64"/>
  <c r="X22" i="51" s="1"/>
  <c r="Z330" i="63"/>
  <c r="Y330" i="63"/>
  <c r="X330" i="63"/>
  <c r="W330" i="63"/>
  <c r="T330" i="63"/>
  <c r="S330" i="63"/>
  <c r="R330" i="63"/>
  <c r="Q330" i="63"/>
  <c r="P330" i="63"/>
  <c r="O330" i="63"/>
  <c r="N330" i="63"/>
  <c r="M330" i="63"/>
  <c r="L330" i="63"/>
  <c r="K330" i="63"/>
  <c r="J330" i="63"/>
  <c r="I330" i="63"/>
  <c r="H330" i="63"/>
  <c r="G330" i="63"/>
  <c r="F330" i="63"/>
  <c r="E330" i="63"/>
  <c r="D330" i="63"/>
  <c r="C330" i="63"/>
  <c r="Z328" i="63"/>
  <c r="Y21" i="51" s="1"/>
  <c r="Y328" i="63"/>
  <c r="X21" i="51" s="1"/>
  <c r="X328" i="63"/>
  <c r="W21" i="51" s="1"/>
  <c r="W328" i="63"/>
  <c r="V21" i="51" s="1"/>
  <c r="T328" i="63"/>
  <c r="S21" i="51" s="1"/>
  <c r="S328" i="63"/>
  <c r="R21" i="51" s="1"/>
  <c r="R328" i="63"/>
  <c r="Q21" i="51" s="1"/>
  <c r="Q328" i="63"/>
  <c r="P21" i="51" s="1"/>
  <c r="P328" i="63"/>
  <c r="O21" i="51" s="1"/>
  <c r="O328" i="63"/>
  <c r="N21" i="51" s="1"/>
  <c r="N328" i="63"/>
  <c r="M21" i="51" s="1"/>
  <c r="M328" i="63"/>
  <c r="L21" i="51" s="1"/>
  <c r="L328" i="63"/>
  <c r="K21" i="51" s="1"/>
  <c r="K328" i="63"/>
  <c r="J21" i="51" s="1"/>
  <c r="J328" i="63"/>
  <c r="I21" i="51" s="1"/>
  <c r="I328" i="63"/>
  <c r="H21" i="51" s="1"/>
  <c r="H328" i="63"/>
  <c r="G21" i="51" s="1"/>
  <c r="G328" i="63"/>
  <c r="F21" i="51" s="1"/>
  <c r="F328" i="63"/>
  <c r="E21" i="51" s="1"/>
  <c r="E328" i="63"/>
  <c r="D21" i="51" s="1"/>
  <c r="D328" i="63"/>
  <c r="C21" i="51" s="1"/>
  <c r="C328" i="63"/>
  <c r="B21" i="51" s="1"/>
  <c r="AA185" i="63"/>
  <c r="V185" i="63"/>
  <c r="U185" i="63"/>
  <c r="AA182" i="63"/>
  <c r="V182" i="63"/>
  <c r="U182" i="63"/>
  <c r="AA177" i="63"/>
  <c r="V177" i="63"/>
  <c r="U177" i="63"/>
  <c r="AA173" i="63"/>
  <c r="V173" i="63"/>
  <c r="U173" i="63"/>
  <c r="AA169" i="63"/>
  <c r="AA144" i="63"/>
  <c r="AA124" i="63"/>
  <c r="AA118" i="63"/>
  <c r="AA109" i="63"/>
  <c r="AA101" i="63"/>
  <c r="AA78" i="63"/>
  <c r="AA69" i="63"/>
  <c r="V69" i="63"/>
  <c r="U69" i="63"/>
  <c r="AA66" i="63"/>
  <c r="V66" i="63"/>
  <c r="U66" i="63"/>
  <c r="AA61" i="63"/>
  <c r="V61" i="63"/>
  <c r="U61" i="63"/>
  <c r="AA57" i="63"/>
  <c r="V57" i="63"/>
  <c r="U57" i="63"/>
  <c r="U330" i="63" s="1"/>
  <c r="AA53" i="63"/>
  <c r="V53" i="63"/>
  <c r="U53" i="63"/>
  <c r="AA37" i="63"/>
  <c r="AA21" i="63"/>
  <c r="AA85" i="62"/>
  <c r="Z85" i="62"/>
  <c r="Y85" i="62"/>
  <c r="X85" i="62"/>
  <c r="W85" i="62"/>
  <c r="V85" i="62"/>
  <c r="U85" i="62"/>
  <c r="T85" i="62"/>
  <c r="T78" i="62" s="1"/>
  <c r="T83" i="62" s="1"/>
  <c r="S19" i="51" s="1"/>
  <c r="S85" i="62"/>
  <c r="R85" i="62"/>
  <c r="Q85" i="62"/>
  <c r="P85" i="62"/>
  <c r="O85" i="62"/>
  <c r="N85" i="62"/>
  <c r="M85" i="62"/>
  <c r="L85" i="62"/>
  <c r="K85" i="62"/>
  <c r="J85" i="62"/>
  <c r="I85" i="62"/>
  <c r="H85" i="62"/>
  <c r="G85" i="62"/>
  <c r="F85" i="62"/>
  <c r="E85" i="62"/>
  <c r="D85" i="62"/>
  <c r="C85" i="62"/>
  <c r="Z83" i="62"/>
  <c r="Y83" i="62"/>
  <c r="X83" i="62"/>
  <c r="W83" i="62"/>
  <c r="V83" i="62"/>
  <c r="U83" i="62"/>
  <c r="R83" i="62"/>
  <c r="Q19" i="51" s="1"/>
  <c r="Q83" i="62"/>
  <c r="P19" i="51" s="1"/>
  <c r="P83" i="62"/>
  <c r="O19" i="51" s="1"/>
  <c r="O83" i="62"/>
  <c r="N19" i="51" s="1"/>
  <c r="N83" i="62"/>
  <c r="M19" i="51" s="1"/>
  <c r="M83" i="62"/>
  <c r="L19" i="51" s="1"/>
  <c r="L83" i="62"/>
  <c r="K19" i="51" s="1"/>
  <c r="K83" i="62"/>
  <c r="J19" i="51" s="1"/>
  <c r="J83" i="62"/>
  <c r="I19" i="51" s="1"/>
  <c r="I83" i="62"/>
  <c r="H19" i="51" s="1"/>
  <c r="H83" i="62"/>
  <c r="G19" i="51" s="1"/>
  <c r="G83" i="62"/>
  <c r="F19" i="51" s="1"/>
  <c r="F83" i="62"/>
  <c r="E19" i="51" s="1"/>
  <c r="E83" i="62"/>
  <c r="D19" i="51" s="1"/>
  <c r="D83" i="62"/>
  <c r="C19" i="51" s="1"/>
  <c r="C83" i="62"/>
  <c r="B19" i="51" s="1"/>
  <c r="Z154" i="61"/>
  <c r="Y154" i="61"/>
  <c r="X154" i="61"/>
  <c r="W154" i="61"/>
  <c r="V154" i="61"/>
  <c r="U154" i="61"/>
  <c r="T154" i="61"/>
  <c r="S154" i="61"/>
  <c r="R154" i="61"/>
  <c r="Q154" i="61"/>
  <c r="P154" i="61"/>
  <c r="O154" i="61"/>
  <c r="N154" i="61"/>
  <c r="M154" i="61"/>
  <c r="L154" i="61"/>
  <c r="K154" i="61"/>
  <c r="J154" i="61"/>
  <c r="I154" i="61"/>
  <c r="H154" i="61"/>
  <c r="G154" i="61"/>
  <c r="F154" i="61"/>
  <c r="E154" i="61"/>
  <c r="D154" i="61"/>
  <c r="C154" i="61"/>
  <c r="Z152" i="61"/>
  <c r="Y18" i="51" s="1"/>
  <c r="Y152" i="61"/>
  <c r="X18" i="51" s="1"/>
  <c r="X152" i="61"/>
  <c r="W18" i="51" s="1"/>
  <c r="W152" i="61"/>
  <c r="V18" i="51" s="1"/>
  <c r="V152" i="61"/>
  <c r="U18" i="51" s="1"/>
  <c r="U152" i="61"/>
  <c r="T18" i="51" s="1"/>
  <c r="T152" i="61"/>
  <c r="S18" i="51" s="1"/>
  <c r="S152" i="61"/>
  <c r="R18" i="51" s="1"/>
  <c r="P152" i="61"/>
  <c r="O18" i="51" s="1"/>
  <c r="O152" i="61"/>
  <c r="N18" i="51" s="1"/>
  <c r="N152" i="61"/>
  <c r="M18" i="51" s="1"/>
  <c r="M152" i="61"/>
  <c r="L18" i="51" s="1"/>
  <c r="L152" i="61"/>
  <c r="K18" i="51" s="1"/>
  <c r="K152" i="61"/>
  <c r="J18" i="51" s="1"/>
  <c r="J152" i="61"/>
  <c r="I18" i="51" s="1"/>
  <c r="I152" i="61"/>
  <c r="H18" i="51" s="1"/>
  <c r="H152" i="61"/>
  <c r="G18" i="51" s="1"/>
  <c r="G152" i="61"/>
  <c r="F18" i="51" s="1"/>
  <c r="F152" i="61"/>
  <c r="E18" i="51" s="1"/>
  <c r="E152" i="61"/>
  <c r="D18" i="51" s="1"/>
  <c r="D152" i="61"/>
  <c r="C18" i="51" s="1"/>
  <c r="C152" i="61"/>
  <c r="B18" i="51" s="1"/>
  <c r="Q148" i="61"/>
  <c r="Q152" i="61" s="1"/>
  <c r="P18" i="51" s="1"/>
  <c r="R147" i="61"/>
  <c r="R152" i="61" s="1"/>
  <c r="Q18" i="51" s="1"/>
  <c r="Q147" i="61"/>
  <c r="AA136" i="61"/>
  <c r="AA154" i="61" s="1"/>
  <c r="AA55" i="60"/>
  <c r="Z55" i="60"/>
  <c r="Y55" i="60"/>
  <c r="X55" i="60"/>
  <c r="X48" i="60" s="1"/>
  <c r="X53" i="60" s="1"/>
  <c r="W17" i="51" s="1"/>
  <c r="W55" i="60"/>
  <c r="V55" i="60"/>
  <c r="U55" i="60"/>
  <c r="T55" i="60"/>
  <c r="S55" i="60"/>
  <c r="R55" i="60"/>
  <c r="Q55" i="60"/>
  <c r="P55" i="60"/>
  <c r="O55" i="60"/>
  <c r="N55" i="60"/>
  <c r="M55" i="60"/>
  <c r="L55" i="60"/>
  <c r="K55" i="60"/>
  <c r="J55" i="60"/>
  <c r="I55" i="60"/>
  <c r="H55" i="60"/>
  <c r="G55" i="60"/>
  <c r="F55" i="60"/>
  <c r="E55" i="60"/>
  <c r="D55" i="60"/>
  <c r="C55" i="60"/>
  <c r="Z53" i="60"/>
  <c r="Y17" i="51" s="1"/>
  <c r="Y53" i="60"/>
  <c r="X17" i="51" s="1"/>
  <c r="V53" i="60"/>
  <c r="U17" i="51" s="1"/>
  <c r="U53" i="60"/>
  <c r="T17" i="51" s="1"/>
  <c r="T53" i="60"/>
  <c r="S17" i="51" s="1"/>
  <c r="S53" i="60"/>
  <c r="R17" i="51" s="1"/>
  <c r="R53" i="60"/>
  <c r="Q17" i="51" s="1"/>
  <c r="Q53" i="60"/>
  <c r="P17" i="51" s="1"/>
  <c r="P53" i="60"/>
  <c r="O17" i="51" s="1"/>
  <c r="O53" i="60"/>
  <c r="N17" i="51" s="1"/>
  <c r="N53" i="60"/>
  <c r="M17" i="51" s="1"/>
  <c r="M53" i="60"/>
  <c r="L17" i="51" s="1"/>
  <c r="L53" i="60"/>
  <c r="K17" i="51" s="1"/>
  <c r="K53" i="60"/>
  <c r="J17" i="51" s="1"/>
  <c r="J53" i="60"/>
  <c r="I17" i="51" s="1"/>
  <c r="I53" i="60"/>
  <c r="H17" i="51" s="1"/>
  <c r="H53" i="60"/>
  <c r="G17" i="51" s="1"/>
  <c r="G53" i="60"/>
  <c r="F17" i="51" s="1"/>
  <c r="F53" i="60"/>
  <c r="E17" i="51" s="1"/>
  <c r="E53" i="60"/>
  <c r="D17" i="51" s="1"/>
  <c r="D53" i="60"/>
  <c r="C17" i="51" s="1"/>
  <c r="C53" i="60"/>
  <c r="B17" i="51" s="1"/>
  <c r="AA49" i="60"/>
  <c r="W49" i="60"/>
  <c r="W53" i="60" s="1"/>
  <c r="V17" i="51" s="1"/>
  <c r="AA48" i="60"/>
  <c r="AA53" i="60" s="1"/>
  <c r="Z17" i="51" s="1"/>
  <c r="AK14" i="51" s="1"/>
  <c r="W48" i="60"/>
  <c r="AA238" i="59"/>
  <c r="AA231" i="59" s="1"/>
  <c r="Z238" i="59"/>
  <c r="Y238" i="59"/>
  <c r="X238" i="59"/>
  <c r="W238" i="59"/>
  <c r="V238" i="59"/>
  <c r="U238" i="59"/>
  <c r="T238" i="59"/>
  <c r="S238" i="59"/>
  <c r="R238" i="59"/>
  <c r="Q238" i="59"/>
  <c r="P238" i="59"/>
  <c r="O238" i="59"/>
  <c r="O230" i="59" s="1"/>
  <c r="N238" i="59"/>
  <c r="M238" i="59"/>
  <c r="L238" i="59"/>
  <c r="K238" i="59"/>
  <c r="J238" i="59"/>
  <c r="I238" i="59"/>
  <c r="H238" i="59"/>
  <c r="G238" i="59"/>
  <c r="F238" i="59"/>
  <c r="E238" i="59"/>
  <c r="D238" i="59"/>
  <c r="C238" i="59"/>
  <c r="Z235" i="59"/>
  <c r="Y16" i="51" s="1"/>
  <c r="Y235" i="59"/>
  <c r="X16" i="51" s="1"/>
  <c r="X235" i="59"/>
  <c r="W16" i="51" s="1"/>
  <c r="W235" i="59"/>
  <c r="V16" i="51" s="1"/>
  <c r="V235" i="59"/>
  <c r="U16" i="51" s="1"/>
  <c r="U235" i="59"/>
  <c r="T16" i="51" s="1"/>
  <c r="T235" i="59"/>
  <c r="S16" i="51" s="1"/>
  <c r="S235" i="59"/>
  <c r="R16" i="51" s="1"/>
  <c r="R235" i="59"/>
  <c r="Q16" i="51" s="1"/>
  <c r="Q235" i="59"/>
  <c r="P16" i="51" s="1"/>
  <c r="N235" i="59"/>
  <c r="M16" i="51" s="1"/>
  <c r="M235" i="59"/>
  <c r="L16" i="51" s="1"/>
  <c r="L235" i="59"/>
  <c r="K16" i="51" s="1"/>
  <c r="K235" i="59"/>
  <c r="J16" i="51" s="1"/>
  <c r="J235" i="59"/>
  <c r="I16" i="51" s="1"/>
  <c r="I235" i="59"/>
  <c r="H16" i="51" s="1"/>
  <c r="H235" i="59"/>
  <c r="G16" i="51" s="1"/>
  <c r="G235" i="59"/>
  <c r="F16" i="51" s="1"/>
  <c r="F235" i="59"/>
  <c r="E16" i="51" s="1"/>
  <c r="E235" i="59"/>
  <c r="D16" i="51" s="1"/>
  <c r="D235" i="59"/>
  <c r="C16" i="51" s="1"/>
  <c r="C235" i="59"/>
  <c r="B16" i="51" s="1"/>
  <c r="AA230" i="59"/>
  <c r="AA235" i="59" s="1"/>
  <c r="Z16" i="51" s="1"/>
  <c r="AK13" i="51" s="1"/>
  <c r="P230" i="59"/>
  <c r="P235" i="59" s="1"/>
  <c r="O16" i="51" s="1"/>
  <c r="AA195" i="58"/>
  <c r="Z195" i="58"/>
  <c r="Y195" i="58"/>
  <c r="X195" i="58"/>
  <c r="W195" i="58"/>
  <c r="V195" i="58"/>
  <c r="U195" i="58"/>
  <c r="T195" i="58"/>
  <c r="S195" i="58"/>
  <c r="R195" i="58"/>
  <c r="Q195" i="58"/>
  <c r="P195" i="58"/>
  <c r="O195" i="58"/>
  <c r="N195" i="58"/>
  <c r="N187" i="58" s="1"/>
  <c r="N192" i="58" s="1"/>
  <c r="M15" i="51" s="1"/>
  <c r="M195" i="58"/>
  <c r="L195" i="58"/>
  <c r="K195" i="58"/>
  <c r="J195" i="58"/>
  <c r="I195" i="58"/>
  <c r="H195" i="58"/>
  <c r="G195" i="58"/>
  <c r="F195" i="58"/>
  <c r="E195" i="58"/>
  <c r="D195" i="58"/>
  <c r="C195" i="58"/>
  <c r="Z192" i="58"/>
  <c r="Y15" i="51" s="1"/>
  <c r="Y192" i="58"/>
  <c r="X15" i="51" s="1"/>
  <c r="X192" i="58"/>
  <c r="W15" i="51" s="1"/>
  <c r="W192" i="58"/>
  <c r="V15" i="51" s="1"/>
  <c r="V192" i="58"/>
  <c r="U15" i="51" s="1"/>
  <c r="U192" i="58"/>
  <c r="T15" i="51" s="1"/>
  <c r="T192" i="58"/>
  <c r="S15" i="51" s="1"/>
  <c r="S192" i="58"/>
  <c r="R15" i="51" s="1"/>
  <c r="R192" i="58"/>
  <c r="Q15" i="51" s="1"/>
  <c r="Q192" i="58"/>
  <c r="P15" i="51" s="1"/>
  <c r="P192" i="58"/>
  <c r="O192" i="58"/>
  <c r="N15" i="51" s="1"/>
  <c r="L192" i="58"/>
  <c r="K192" i="58"/>
  <c r="J15" i="51" s="1"/>
  <c r="J192" i="58"/>
  <c r="I192" i="58"/>
  <c r="H192" i="58"/>
  <c r="G192" i="58"/>
  <c r="F15" i="51" s="1"/>
  <c r="F192" i="58"/>
  <c r="E192" i="58"/>
  <c r="D192" i="58"/>
  <c r="C192" i="58"/>
  <c r="B15" i="51" s="1"/>
  <c r="AA71" i="58"/>
  <c r="AA57" i="58"/>
  <c r="Z153" i="57"/>
  <c r="Y153" i="57"/>
  <c r="X153" i="57"/>
  <c r="W153" i="57"/>
  <c r="V153" i="57"/>
  <c r="U153" i="57"/>
  <c r="T153" i="57"/>
  <c r="S153" i="57"/>
  <c r="R153" i="57"/>
  <c r="Q153" i="57"/>
  <c r="P153" i="57"/>
  <c r="O153" i="57"/>
  <c r="N153" i="57"/>
  <c r="M153" i="57"/>
  <c r="J153" i="57"/>
  <c r="I153" i="57"/>
  <c r="H153" i="57"/>
  <c r="G153" i="57"/>
  <c r="F153" i="57"/>
  <c r="E153" i="57"/>
  <c r="D153" i="57"/>
  <c r="C153" i="57"/>
  <c r="Z151" i="57"/>
  <c r="Y14" i="51" s="1"/>
  <c r="Y151" i="57"/>
  <c r="X14" i="51" s="1"/>
  <c r="X151" i="57"/>
  <c r="W14" i="51" s="1"/>
  <c r="W151" i="57"/>
  <c r="V14" i="51" s="1"/>
  <c r="V151" i="57"/>
  <c r="U14" i="51" s="1"/>
  <c r="U151" i="57"/>
  <c r="T14" i="51" s="1"/>
  <c r="T151" i="57"/>
  <c r="S14" i="51" s="1"/>
  <c r="S151" i="57"/>
  <c r="R14" i="51" s="1"/>
  <c r="R151" i="57"/>
  <c r="Q14" i="51" s="1"/>
  <c r="Q151" i="57"/>
  <c r="P14" i="51" s="1"/>
  <c r="P151" i="57"/>
  <c r="O14" i="51" s="1"/>
  <c r="O151" i="57"/>
  <c r="N14" i="51" s="1"/>
  <c r="N151" i="57"/>
  <c r="M14" i="51" s="1"/>
  <c r="M151" i="57"/>
  <c r="L14" i="51" s="1"/>
  <c r="J151" i="57"/>
  <c r="I14" i="51" s="1"/>
  <c r="I151" i="57"/>
  <c r="H14" i="51" s="1"/>
  <c r="H151" i="57"/>
  <c r="G14" i="51" s="1"/>
  <c r="G151" i="57"/>
  <c r="F14" i="51" s="1"/>
  <c r="F151" i="57"/>
  <c r="E14" i="51" s="1"/>
  <c r="E151" i="57"/>
  <c r="D14" i="51" s="1"/>
  <c r="D151" i="57"/>
  <c r="C14" i="51" s="1"/>
  <c r="C151" i="57"/>
  <c r="B14" i="51" s="1"/>
  <c r="L142" i="57"/>
  <c r="K142" i="57"/>
  <c r="AA6" i="57"/>
  <c r="AA153" i="57" s="1"/>
  <c r="L6" i="57"/>
  <c r="K6" i="57"/>
  <c r="AA79" i="56"/>
  <c r="Z79" i="56"/>
  <c r="Y79" i="56"/>
  <c r="X79" i="56"/>
  <c r="W79" i="56"/>
  <c r="V79" i="56"/>
  <c r="U79" i="56"/>
  <c r="T79" i="56"/>
  <c r="S79" i="56"/>
  <c r="R79" i="56"/>
  <c r="Q79" i="56"/>
  <c r="P79" i="56"/>
  <c r="O79" i="56"/>
  <c r="N79" i="56"/>
  <c r="M79" i="56"/>
  <c r="L79" i="56"/>
  <c r="K79" i="56"/>
  <c r="J79" i="56"/>
  <c r="J72" i="56" s="1"/>
  <c r="J77" i="56" s="1"/>
  <c r="I13" i="51" s="1"/>
  <c r="I79" i="56"/>
  <c r="H79" i="56"/>
  <c r="G79" i="56"/>
  <c r="F79" i="56"/>
  <c r="E79" i="56"/>
  <c r="D79" i="56"/>
  <c r="C79" i="56"/>
  <c r="Z77" i="56"/>
  <c r="Y13" i="51" s="1"/>
  <c r="Y77" i="56"/>
  <c r="X13" i="51" s="1"/>
  <c r="X77" i="56"/>
  <c r="W13" i="51" s="1"/>
  <c r="W77" i="56"/>
  <c r="V13" i="51" s="1"/>
  <c r="V77" i="56"/>
  <c r="U13" i="51" s="1"/>
  <c r="U77" i="56"/>
  <c r="T13" i="51" s="1"/>
  <c r="T77" i="56"/>
  <c r="S13" i="51" s="1"/>
  <c r="S77" i="56"/>
  <c r="R13" i="51" s="1"/>
  <c r="R77" i="56"/>
  <c r="Q13" i="51" s="1"/>
  <c r="Q77" i="56"/>
  <c r="P77" i="56"/>
  <c r="O13" i="51" s="1"/>
  <c r="O77" i="56"/>
  <c r="N77" i="56"/>
  <c r="M77" i="56"/>
  <c r="L77" i="56"/>
  <c r="K13" i="51" s="1"/>
  <c r="K77" i="56"/>
  <c r="H77" i="56"/>
  <c r="G13" i="51" s="1"/>
  <c r="G77" i="56"/>
  <c r="F77" i="56"/>
  <c r="E77" i="56"/>
  <c r="D77" i="56"/>
  <c r="C13" i="51" s="1"/>
  <c r="C77" i="56"/>
  <c r="AA53" i="55"/>
  <c r="Z53" i="55"/>
  <c r="Y53" i="55"/>
  <c r="X53" i="55"/>
  <c r="W53" i="55"/>
  <c r="V53" i="55"/>
  <c r="U53" i="55"/>
  <c r="T53" i="55"/>
  <c r="S53" i="55"/>
  <c r="R53" i="55"/>
  <c r="Q53" i="55"/>
  <c r="P53" i="55"/>
  <c r="O53" i="55"/>
  <c r="N53" i="55"/>
  <c r="M53" i="55"/>
  <c r="L53" i="55"/>
  <c r="K53" i="55"/>
  <c r="J53" i="55"/>
  <c r="I53" i="55"/>
  <c r="H53" i="55"/>
  <c r="G53" i="55"/>
  <c r="F53" i="55"/>
  <c r="E53" i="55"/>
  <c r="D53" i="55"/>
  <c r="C53" i="55"/>
  <c r="Z51" i="55"/>
  <c r="Y51" i="55"/>
  <c r="X51" i="55"/>
  <c r="W51" i="55"/>
  <c r="V12" i="51" s="1"/>
  <c r="V51" i="55"/>
  <c r="U12" i="51" s="1"/>
  <c r="U51" i="55"/>
  <c r="T12" i="51" s="1"/>
  <c r="T51" i="55"/>
  <c r="S12" i="51" s="1"/>
  <c r="S51" i="55"/>
  <c r="R12" i="51" s="1"/>
  <c r="R51" i="55"/>
  <c r="Q12" i="51" s="1"/>
  <c r="Q51" i="55"/>
  <c r="P12" i="51" s="1"/>
  <c r="P51" i="55"/>
  <c r="O12" i="51" s="1"/>
  <c r="O51" i="55"/>
  <c r="N12" i="51" s="1"/>
  <c r="N51" i="55"/>
  <c r="M12" i="51" s="1"/>
  <c r="M51" i="55"/>
  <c r="L12" i="51" s="1"/>
  <c r="L51" i="55"/>
  <c r="K12" i="51" s="1"/>
  <c r="K51" i="55"/>
  <c r="J12" i="51" s="1"/>
  <c r="J51" i="55"/>
  <c r="I12" i="51" s="1"/>
  <c r="I51" i="55"/>
  <c r="H12" i="51" s="1"/>
  <c r="F51" i="55"/>
  <c r="E12" i="51" s="1"/>
  <c r="E51" i="55"/>
  <c r="D12" i="51" s="1"/>
  <c r="D51" i="55"/>
  <c r="C12" i="51" s="1"/>
  <c r="C51" i="55"/>
  <c r="B12" i="51" s="1"/>
  <c r="AA47" i="55"/>
  <c r="G47" i="55"/>
  <c r="AA46" i="55"/>
  <c r="AA51" i="55" s="1"/>
  <c r="Z12" i="51" s="1"/>
  <c r="AK9" i="51" s="1"/>
  <c r="H46" i="55"/>
  <c r="H51" i="55" s="1"/>
  <c r="G12" i="51" s="1"/>
  <c r="G46" i="55"/>
  <c r="G51" i="55" s="1"/>
  <c r="F12" i="51" s="1"/>
  <c r="AA147" i="54"/>
  <c r="Z147" i="54"/>
  <c r="Y147" i="54"/>
  <c r="X147" i="54"/>
  <c r="W147" i="54"/>
  <c r="V147" i="54"/>
  <c r="U147" i="54"/>
  <c r="T147" i="54"/>
  <c r="S147" i="54"/>
  <c r="R147" i="54"/>
  <c r="Q147" i="54"/>
  <c r="P147" i="54"/>
  <c r="N147" i="54"/>
  <c r="M147" i="54"/>
  <c r="L147" i="54"/>
  <c r="K147" i="54"/>
  <c r="J147" i="54"/>
  <c r="I147" i="54"/>
  <c r="H147" i="54"/>
  <c r="G147" i="54"/>
  <c r="F147" i="54"/>
  <c r="F140" i="54" s="1"/>
  <c r="F145" i="54" s="1"/>
  <c r="E11" i="51" s="1"/>
  <c r="E147" i="54"/>
  <c r="D147" i="54"/>
  <c r="C147" i="54"/>
  <c r="Z145" i="54"/>
  <c r="Y11" i="51" s="1"/>
  <c r="Y145" i="54"/>
  <c r="X11" i="51" s="1"/>
  <c r="X145" i="54"/>
  <c r="W11" i="51" s="1"/>
  <c r="W145" i="54"/>
  <c r="V11" i="51" s="1"/>
  <c r="V145" i="54"/>
  <c r="U11" i="51" s="1"/>
  <c r="U145" i="54"/>
  <c r="T11" i="51" s="1"/>
  <c r="T145" i="54"/>
  <c r="S11" i="51" s="1"/>
  <c r="S145" i="54"/>
  <c r="R11" i="51" s="1"/>
  <c r="R145" i="54"/>
  <c r="Q11" i="51" s="1"/>
  <c r="Q145" i="54"/>
  <c r="P11" i="51" s="1"/>
  <c r="P145" i="54"/>
  <c r="N145" i="54"/>
  <c r="M145" i="54"/>
  <c r="L145" i="54"/>
  <c r="K145" i="54"/>
  <c r="J145" i="54"/>
  <c r="I145" i="54"/>
  <c r="H145" i="54"/>
  <c r="G145" i="54"/>
  <c r="D145" i="54"/>
  <c r="C145" i="54"/>
  <c r="O127" i="54"/>
  <c r="O126" i="54"/>
  <c r="O125" i="54"/>
  <c r="Z148" i="53"/>
  <c r="Y148" i="53"/>
  <c r="X148" i="53"/>
  <c r="W148" i="53"/>
  <c r="V148" i="53"/>
  <c r="U148" i="53"/>
  <c r="T148" i="53"/>
  <c r="S148" i="53"/>
  <c r="R148" i="53"/>
  <c r="Q148" i="53"/>
  <c r="P148" i="53"/>
  <c r="O148" i="53"/>
  <c r="N148" i="53"/>
  <c r="L148" i="53"/>
  <c r="K148" i="53"/>
  <c r="J148" i="53"/>
  <c r="I148" i="53"/>
  <c r="H148" i="53"/>
  <c r="G148" i="53"/>
  <c r="F148" i="53"/>
  <c r="E148" i="53"/>
  <c r="D148" i="53"/>
  <c r="C148" i="53"/>
  <c r="C145" i="53" s="1"/>
  <c r="C146" i="53" s="1"/>
  <c r="B10" i="51" s="1"/>
  <c r="Z146" i="53"/>
  <c r="Y10" i="51" s="1"/>
  <c r="Y146" i="53"/>
  <c r="X10" i="51" s="1"/>
  <c r="X146" i="53"/>
  <c r="W10" i="51" s="1"/>
  <c r="W146" i="53"/>
  <c r="V10" i="51" s="1"/>
  <c r="V146" i="53"/>
  <c r="U10" i="51" s="1"/>
  <c r="U146" i="53"/>
  <c r="T10" i="51" s="1"/>
  <c r="T146" i="53"/>
  <c r="S10" i="51" s="1"/>
  <c r="S146" i="53"/>
  <c r="R10" i="51" s="1"/>
  <c r="R146" i="53"/>
  <c r="Q10" i="51" s="1"/>
  <c r="Q146" i="53"/>
  <c r="P10" i="51" s="1"/>
  <c r="P146" i="53"/>
  <c r="O10" i="51" s="1"/>
  <c r="O146" i="53"/>
  <c r="N10" i="51" s="1"/>
  <c r="N146" i="53"/>
  <c r="M10" i="51" s="1"/>
  <c r="L146" i="53"/>
  <c r="K10" i="51" s="1"/>
  <c r="K146" i="53"/>
  <c r="J10" i="51" s="1"/>
  <c r="J146" i="53"/>
  <c r="I10" i="51" s="1"/>
  <c r="I146" i="53"/>
  <c r="H10" i="51" s="1"/>
  <c r="H146" i="53"/>
  <c r="G10" i="51" s="1"/>
  <c r="G146" i="53"/>
  <c r="F10" i="51" s="1"/>
  <c r="F146" i="53"/>
  <c r="E10" i="51" s="1"/>
  <c r="E146" i="53"/>
  <c r="D10" i="51" s="1"/>
  <c r="D146" i="53"/>
  <c r="C10" i="51" s="1"/>
  <c r="AA141" i="53"/>
  <c r="AA134" i="53"/>
  <c r="AA131" i="53"/>
  <c r="M69" i="53"/>
  <c r="M68" i="53"/>
  <c r="M67" i="53"/>
  <c r="M66" i="53"/>
  <c r="M65" i="53"/>
  <c r="M64" i="53"/>
  <c r="M63" i="53"/>
  <c r="M62" i="53"/>
  <c r="M61" i="53"/>
  <c r="M60" i="53"/>
  <c r="M59" i="53"/>
  <c r="M58" i="53"/>
  <c r="M57" i="53"/>
  <c r="M56" i="53"/>
  <c r="M55" i="53"/>
  <c r="M54" i="53"/>
  <c r="M53" i="53"/>
  <c r="M52" i="53"/>
  <c r="M51" i="53"/>
  <c r="M50" i="53"/>
  <c r="M49" i="53"/>
  <c r="M48" i="53"/>
  <c r="M47" i="53"/>
  <c r="M46" i="53"/>
  <c r="M45" i="53"/>
  <c r="M44" i="53"/>
  <c r="M43" i="53"/>
  <c r="M42" i="53"/>
  <c r="M41" i="53"/>
  <c r="AA38" i="53"/>
  <c r="AA31" i="53"/>
  <c r="AA28" i="53"/>
  <c r="AA19" i="53"/>
  <c r="AA12" i="53"/>
  <c r="AA5" i="53"/>
  <c r="E16" i="52"/>
  <c r="Z22" i="51"/>
  <c r="AK18" i="51" s="1"/>
  <c r="W22" i="51"/>
  <c r="V22" i="51"/>
  <c r="U22" i="51"/>
  <c r="T22" i="51"/>
  <c r="S22" i="51"/>
  <c r="R22" i="51"/>
  <c r="Q22" i="51"/>
  <c r="P22" i="51"/>
  <c r="O22" i="51"/>
  <c r="N22" i="51"/>
  <c r="M22" i="51"/>
  <c r="L22" i="51"/>
  <c r="K22" i="51"/>
  <c r="J22" i="51"/>
  <c r="I22" i="51"/>
  <c r="H22" i="51"/>
  <c r="G22" i="51"/>
  <c r="F22" i="51"/>
  <c r="E22" i="51"/>
  <c r="D22" i="51"/>
  <c r="C22" i="51"/>
  <c r="B22" i="51"/>
  <c r="Y19" i="51"/>
  <c r="X19" i="51"/>
  <c r="W19" i="51"/>
  <c r="V19" i="51"/>
  <c r="U19" i="51"/>
  <c r="T19" i="51"/>
  <c r="O15" i="51"/>
  <c r="K15" i="51"/>
  <c r="I15" i="51"/>
  <c r="H15" i="51"/>
  <c r="G15" i="51"/>
  <c r="E15" i="51"/>
  <c r="D15" i="51"/>
  <c r="C15" i="51"/>
  <c r="P13" i="51"/>
  <c r="N13" i="51"/>
  <c r="M13" i="51"/>
  <c r="L13" i="51"/>
  <c r="J13" i="51"/>
  <c r="F13" i="51"/>
  <c r="E13" i="51"/>
  <c r="D13" i="51"/>
  <c r="B13" i="51"/>
  <c r="Y12" i="51"/>
  <c r="X12" i="51"/>
  <c r="W12" i="51"/>
  <c r="O11" i="51"/>
  <c r="M11" i="51"/>
  <c r="L11" i="51"/>
  <c r="K11" i="51"/>
  <c r="J11" i="51"/>
  <c r="I11" i="51"/>
  <c r="H11" i="51"/>
  <c r="G11" i="51"/>
  <c r="F11" i="51"/>
  <c r="C11" i="51"/>
  <c r="B11" i="51"/>
  <c r="W9" i="51"/>
  <c r="U9" i="51"/>
  <c r="S9" i="51"/>
  <c r="Q9" i="51"/>
  <c r="O9" i="51"/>
  <c r="M9" i="51"/>
  <c r="K9" i="51"/>
  <c r="I9" i="51"/>
  <c r="G9" i="51"/>
  <c r="E9" i="51"/>
  <c r="C9" i="51"/>
  <c r="O147" i="54" l="1"/>
  <c r="M148" i="53"/>
  <c r="AA148" i="53"/>
  <c r="AA145" i="53" s="1"/>
  <c r="AA146" i="53" s="1"/>
  <c r="Z10" i="51" s="1"/>
  <c r="AK7" i="51" s="1"/>
  <c r="AA79" i="62"/>
  <c r="AA78" i="62"/>
  <c r="S79" i="62"/>
  <c r="S78" i="62"/>
  <c r="S83" i="62" s="1"/>
  <c r="R19" i="51" s="1"/>
  <c r="R23" i="51" s="1"/>
  <c r="AJ15" i="51" s="1"/>
  <c r="AP30" i="51"/>
  <c r="AP29" i="51"/>
  <c r="AP28" i="51"/>
  <c r="AP27" i="51"/>
  <c r="AP25" i="51"/>
  <c r="AP26" i="51"/>
  <c r="AA187" i="58"/>
  <c r="AA188" i="58"/>
  <c r="M188" i="58"/>
  <c r="M187" i="58"/>
  <c r="AA146" i="57"/>
  <c r="AA151" i="57" s="1"/>
  <c r="Z14" i="51" s="1"/>
  <c r="AK11" i="51" s="1"/>
  <c r="AA147" i="57"/>
  <c r="L153" i="57"/>
  <c r="L146" i="57" s="1"/>
  <c r="L151" i="57" s="1"/>
  <c r="K14" i="51" s="1"/>
  <c r="K23" i="51" s="1"/>
  <c r="AI11" i="51" s="1"/>
  <c r="AA73" i="56"/>
  <c r="AA72" i="56"/>
  <c r="AA77" i="56" s="1"/>
  <c r="Z13" i="51" s="1"/>
  <c r="I73" i="56"/>
  <c r="I72" i="56"/>
  <c r="I77" i="56" s="1"/>
  <c r="H13" i="51" s="1"/>
  <c r="AP15" i="51"/>
  <c r="AP14" i="51"/>
  <c r="AP13" i="51"/>
  <c r="AA141" i="54"/>
  <c r="AA145" i="54" s="1"/>
  <c r="Z11" i="51" s="1"/>
  <c r="AK8" i="51" s="1"/>
  <c r="AA140" i="54"/>
  <c r="E141" i="54"/>
  <c r="E140" i="54"/>
  <c r="E145" i="54" s="1"/>
  <c r="D11" i="51" s="1"/>
  <c r="AP42" i="51"/>
  <c r="AP40" i="51"/>
  <c r="AP41" i="51"/>
  <c r="G5" i="4"/>
  <c r="C13" i="4" s="1"/>
  <c r="G13" i="4" s="1"/>
  <c r="E5" i="4"/>
  <c r="I5" i="4" s="1"/>
  <c r="AK10" i="51"/>
  <c r="C23" i="51"/>
  <c r="AI7" i="51" s="1"/>
  <c r="S23" i="51"/>
  <c r="AI15" i="51" s="1"/>
  <c r="P23" i="51"/>
  <c r="AJ14" i="51" s="1"/>
  <c r="X23" i="51"/>
  <c r="AJ18" i="51" s="1"/>
  <c r="AI3" i="51"/>
  <c r="B23" i="51"/>
  <c r="AJ7" i="51" s="1"/>
  <c r="E23" i="51"/>
  <c r="AI8" i="51" s="1"/>
  <c r="D23" i="51"/>
  <c r="AJ8" i="51" s="1"/>
  <c r="H23" i="51"/>
  <c r="AJ10" i="51" s="1"/>
  <c r="Q23" i="51"/>
  <c r="AI14" i="51" s="1"/>
  <c r="Y23" i="51"/>
  <c r="AI18" i="51" s="1"/>
  <c r="V23" i="51"/>
  <c r="AJ17" i="51" s="1"/>
  <c r="I23" i="51"/>
  <c r="AI10" i="51" s="1"/>
  <c r="G23" i="51"/>
  <c r="AI9" i="51" s="1"/>
  <c r="F8" i="69"/>
  <c r="M23" i="51"/>
  <c r="AI12" i="51" s="1"/>
  <c r="F23" i="51"/>
  <c r="AJ9" i="51" s="1"/>
  <c r="O23" i="51"/>
  <c r="AI13" i="51" s="1"/>
  <c r="W23" i="51"/>
  <c r="AI17" i="51" s="1"/>
  <c r="AA147" i="61"/>
  <c r="AA148" i="61"/>
  <c r="U323" i="63"/>
  <c r="U328" i="63" s="1"/>
  <c r="T21" i="51" s="1"/>
  <c r="T23" i="51" s="1"/>
  <c r="AJ16" i="51" s="1"/>
  <c r="U324" i="63"/>
  <c r="V330" i="63"/>
  <c r="V323" i="63" s="1"/>
  <c r="V328" i="63" s="1"/>
  <c r="U21" i="51" s="1"/>
  <c r="U23" i="51" s="1"/>
  <c r="M146" i="53"/>
  <c r="L10" i="51" s="1"/>
  <c r="O145" i="54"/>
  <c r="N11" i="51" s="1"/>
  <c r="O231" i="59"/>
  <c r="O235" i="59" s="1"/>
  <c r="N16" i="51" s="1"/>
  <c r="AA330" i="63"/>
  <c r="K153" i="57"/>
  <c r="AA152" i="61"/>
  <c r="Z18" i="51" s="1"/>
  <c r="AK15" i="51" s="1"/>
  <c r="AP11" i="51" l="1"/>
  <c r="AV11" i="51" s="1"/>
  <c r="AP10" i="51"/>
  <c r="AP12" i="51"/>
  <c r="AA83" i="62"/>
  <c r="Z19" i="51" s="1"/>
  <c r="AK16" i="51" s="1"/>
  <c r="AA192" i="58"/>
  <c r="Z15" i="51" s="1"/>
  <c r="AK12" i="51" s="1"/>
  <c r="M192" i="58"/>
  <c r="L15" i="51" s="1"/>
  <c r="L23" i="51" s="1"/>
  <c r="AJ12" i="51" s="1"/>
  <c r="N23" i="51"/>
  <c r="AJ13" i="51" s="1"/>
  <c r="AP7" i="51"/>
  <c r="AP9" i="51"/>
  <c r="AP8" i="51"/>
  <c r="AQ33" i="51"/>
  <c r="AQ32" i="51"/>
  <c r="AQ31" i="51"/>
  <c r="AP21" i="51"/>
  <c r="AP20" i="51"/>
  <c r="AP19" i="51"/>
  <c r="AR21" i="51"/>
  <c r="AR20" i="51"/>
  <c r="AR19" i="51"/>
  <c r="AP17" i="51"/>
  <c r="AP18" i="51"/>
  <c r="AP16" i="51"/>
  <c r="AR7" i="51"/>
  <c r="AR8" i="51"/>
  <c r="AR9" i="51"/>
  <c r="AR33" i="51"/>
  <c r="AR32" i="51"/>
  <c r="AR31" i="51"/>
  <c r="AQ30" i="51"/>
  <c r="AQ29" i="51"/>
  <c r="AQ28" i="51"/>
  <c r="AQ40" i="51"/>
  <c r="AQ42" i="51"/>
  <c r="AQ41" i="51"/>
  <c r="AQ9" i="51"/>
  <c r="AQ8" i="51"/>
  <c r="AQ7" i="51"/>
  <c r="AR10" i="51"/>
  <c r="AR12" i="51"/>
  <c r="AR11" i="51"/>
  <c r="AQ11" i="51"/>
  <c r="AQ12" i="51"/>
  <c r="AQ10" i="51"/>
  <c r="AQ16" i="51"/>
  <c r="AQ17" i="51"/>
  <c r="AQ18" i="51"/>
  <c r="AR28" i="51"/>
  <c r="AR29" i="51"/>
  <c r="AR30" i="51"/>
  <c r="AR40" i="51"/>
  <c r="AR42" i="51"/>
  <c r="AR41" i="51"/>
  <c r="AQ38" i="51"/>
  <c r="AQ37" i="51"/>
  <c r="AQ39" i="51"/>
  <c r="AR16" i="51"/>
  <c r="AR17" i="51"/>
  <c r="AR18" i="51"/>
  <c r="AR15" i="51"/>
  <c r="AR13" i="51"/>
  <c r="AR14" i="51"/>
  <c r="AR23" i="51"/>
  <c r="AR22" i="51"/>
  <c r="AR24" i="51"/>
  <c r="AQ15" i="51"/>
  <c r="AQ14" i="51"/>
  <c r="AQ13" i="51"/>
  <c r="AR25" i="51"/>
  <c r="AR27" i="51"/>
  <c r="AR26" i="51"/>
  <c r="AR37" i="51"/>
  <c r="AR38" i="51"/>
  <c r="AR39" i="51"/>
  <c r="AQ35" i="51"/>
  <c r="AQ34" i="51"/>
  <c r="AQ36" i="51"/>
  <c r="AP32" i="51"/>
  <c r="AP33" i="51"/>
  <c r="AP31" i="51"/>
  <c r="H13" i="4"/>
  <c r="E13" i="4"/>
  <c r="AV40" i="51"/>
  <c r="AV14" i="51"/>
  <c r="AV15" i="51"/>
  <c r="AV30" i="51"/>
  <c r="AV18" i="51"/>
  <c r="AV10" i="51"/>
  <c r="AI16" i="51"/>
  <c r="AA324" i="63"/>
  <c r="AA323" i="63"/>
  <c r="AA328" i="63" s="1"/>
  <c r="Z21" i="51" s="1"/>
  <c r="AK17" i="51" s="1"/>
  <c r="K146" i="57"/>
  <c r="K147" i="57"/>
  <c r="AP34" i="51" l="1"/>
  <c r="AP35" i="51"/>
  <c r="AP36" i="51"/>
  <c r="AV36" i="51" s="1"/>
  <c r="AP22" i="51"/>
  <c r="AP23" i="51"/>
  <c r="AV23" i="51" s="1"/>
  <c r="AP24" i="51"/>
  <c r="AQ23" i="51"/>
  <c r="AQ22" i="51"/>
  <c r="AQ21" i="51"/>
  <c r="AQ27" i="51"/>
  <c r="AV27" i="51" s="1"/>
  <c r="AQ26" i="51"/>
  <c r="AQ25" i="51"/>
  <c r="AV25" i="51" s="1"/>
  <c r="K151" i="57"/>
  <c r="J14" i="51" s="1"/>
  <c r="J23" i="51" s="1"/>
  <c r="AR34" i="51"/>
  <c r="AR43" i="51" s="1"/>
  <c r="AR35" i="51"/>
  <c r="AR36" i="51"/>
  <c r="AP37" i="51"/>
  <c r="AV37" i="51" s="1"/>
  <c r="AP38" i="51"/>
  <c r="AV38" i="51" s="1"/>
  <c r="AP39" i="51"/>
  <c r="AV39" i="51" s="1"/>
  <c r="AV28" i="51"/>
  <c r="AV32" i="51"/>
  <c r="AV13" i="51"/>
  <c r="AV31" i="51"/>
  <c r="AV26" i="51"/>
  <c r="AV29" i="51"/>
  <c r="AV7" i="51"/>
  <c r="AV16" i="51"/>
  <c r="AV17" i="51"/>
  <c r="AV41" i="51"/>
  <c r="AV21" i="51"/>
  <c r="AV8" i="51"/>
  <c r="AV33" i="51"/>
  <c r="AV12" i="51"/>
  <c r="AV42" i="51"/>
  <c r="AV9" i="51"/>
  <c r="AI19" i="51"/>
  <c r="AV34" i="51"/>
  <c r="AV35" i="51"/>
  <c r="AJ11" i="51"/>
  <c r="Z23" i="51"/>
  <c r="AK19" i="51"/>
  <c r="AV22" i="51" l="1"/>
  <c r="AP43" i="51"/>
  <c r="AQ19" i="51"/>
  <c r="AQ20" i="51"/>
  <c r="AQ24" i="51"/>
  <c r="AJ19" i="51"/>
  <c r="AV19" i="51"/>
  <c r="AV24" i="51"/>
  <c r="AV20" i="51"/>
  <c r="N18" i="8"/>
  <c r="N14" i="8"/>
  <c r="N10" i="8"/>
  <c r="N6" i="8"/>
  <c r="N114" i="8"/>
  <c r="N92" i="8"/>
  <c r="N68" i="8"/>
  <c r="N64" i="8"/>
  <c r="N60" i="8"/>
  <c r="N56" i="8"/>
  <c r="N52" i="8"/>
  <c r="N48" i="8"/>
  <c r="N44" i="8"/>
  <c r="N40" i="8"/>
  <c r="N36" i="8"/>
  <c r="N30" i="8"/>
  <c r="N25" i="8"/>
  <c r="N21" i="8"/>
  <c r="N17" i="8"/>
  <c r="N13" i="8"/>
  <c r="N9" i="8"/>
  <c r="N113" i="8"/>
  <c r="N67" i="8"/>
  <c r="N63" i="8"/>
  <c r="N55" i="8"/>
  <c r="N47" i="8"/>
  <c r="N39" i="8"/>
  <c r="N29" i="8"/>
  <c r="N20" i="8"/>
  <c r="N12" i="8"/>
  <c r="N112" i="8"/>
  <c r="N83" i="8"/>
  <c r="N66" i="8"/>
  <c r="N62" i="8"/>
  <c r="N58" i="8"/>
  <c r="N54" i="8"/>
  <c r="N50" i="8"/>
  <c r="N46" i="8"/>
  <c r="N42" i="8"/>
  <c r="N38" i="8"/>
  <c r="N32" i="8"/>
  <c r="N27" i="8"/>
  <c r="N23" i="8"/>
  <c r="N19" i="8"/>
  <c r="N15" i="8"/>
  <c r="N11" i="8"/>
  <c r="N7" i="8"/>
  <c r="D21" i="11"/>
  <c r="F21" i="11" s="1"/>
  <c r="N93" i="8"/>
  <c r="N69" i="8"/>
  <c r="N65" i="8"/>
  <c r="N61" i="8"/>
  <c r="N57" i="8"/>
  <c r="N53" i="8"/>
  <c r="N49" i="8"/>
  <c r="N45" i="8"/>
  <c r="N41" i="8"/>
  <c r="N37" i="8"/>
  <c r="N31" i="8"/>
  <c r="N26" i="8"/>
  <c r="N22" i="8"/>
  <c r="N5" i="8"/>
  <c r="N91" i="8"/>
  <c r="N59" i="8"/>
  <c r="N51" i="8"/>
  <c r="N43" i="8"/>
  <c r="N34" i="8"/>
  <c r="N24" i="8"/>
  <c r="N16" i="8"/>
  <c r="N8" i="8"/>
  <c r="E20" i="11"/>
  <c r="E16" i="11"/>
  <c r="E12" i="11"/>
  <c r="E8" i="11"/>
  <c r="E4" i="11"/>
  <c r="G16" i="10"/>
  <c r="G10" i="10"/>
  <c r="E19" i="11"/>
  <c r="E15" i="11"/>
  <c r="E11" i="11"/>
  <c r="E7" i="11"/>
  <c r="G14" i="10"/>
  <c r="G9" i="10"/>
  <c r="E17" i="11"/>
  <c r="E13" i="11"/>
  <c r="E9" i="11"/>
  <c r="E5" i="11"/>
  <c r="G17" i="10"/>
  <c r="G11" i="10"/>
  <c r="G5" i="10"/>
  <c r="E18" i="11"/>
  <c r="G7" i="10"/>
  <c r="E14" i="11"/>
  <c r="E6" i="11"/>
  <c r="G12" i="10"/>
  <c r="M806" i="9"/>
  <c r="M802" i="9"/>
  <c r="M798" i="9"/>
  <c r="M794" i="9"/>
  <c r="M790" i="9"/>
  <c r="M786" i="9"/>
  <c r="M782" i="9"/>
  <c r="M778" i="9"/>
  <c r="M774" i="9"/>
  <c r="M770" i="9"/>
  <c r="M766" i="9"/>
  <c r="M762" i="9"/>
  <c r="M758" i="9"/>
  <c r="M754" i="9"/>
  <c r="M750" i="9"/>
  <c r="M746" i="9"/>
  <c r="M742" i="9"/>
  <c r="M738" i="9"/>
  <c r="M805" i="9"/>
  <c r="M801" i="9"/>
  <c r="M797" i="9"/>
  <c r="E10" i="11"/>
  <c r="M810" i="9"/>
  <c r="M803" i="9"/>
  <c r="M799" i="9"/>
  <c r="M795" i="9"/>
  <c r="M791" i="9"/>
  <c r="M787" i="9"/>
  <c r="M783" i="9"/>
  <c r="M779" i="9"/>
  <c r="M775" i="9"/>
  <c r="M771" i="9"/>
  <c r="M767" i="9"/>
  <c r="M763" i="9"/>
  <c r="M759" i="9"/>
  <c r="M755" i="9"/>
  <c r="M751" i="9"/>
  <c r="M747" i="9"/>
  <c r="M743" i="9"/>
  <c r="M739" i="9"/>
  <c r="M735" i="9"/>
  <c r="M731" i="9"/>
  <c r="M727" i="9"/>
  <c r="M723" i="9"/>
  <c r="M719" i="9"/>
  <c r="M715" i="9"/>
  <c r="M711" i="9"/>
  <c r="M707" i="9"/>
  <c r="M703" i="9"/>
  <c r="M699" i="9"/>
  <c r="M695" i="9"/>
  <c r="M691" i="9"/>
  <c r="M687" i="9"/>
  <c r="M683" i="9"/>
  <c r="M679" i="9"/>
  <c r="M675" i="9"/>
  <c r="M671" i="9"/>
  <c r="M667" i="9"/>
  <c r="M663" i="9"/>
  <c r="M659" i="9"/>
  <c r="M655" i="9"/>
  <c r="M651" i="9"/>
  <c r="M647" i="9"/>
  <c r="M643" i="9"/>
  <c r="M639" i="9"/>
  <c r="M635" i="9"/>
  <c r="M631" i="9"/>
  <c r="M627" i="9"/>
  <c r="M623" i="9"/>
  <c r="M619" i="9"/>
  <c r="M615" i="9"/>
  <c r="M611" i="9"/>
  <c r="M607" i="9"/>
  <c r="M603" i="9"/>
  <c r="M599" i="9"/>
  <c r="M595" i="9"/>
  <c r="M591" i="9"/>
  <c r="M587" i="9"/>
  <c r="M583" i="9"/>
  <c r="M579" i="9"/>
  <c r="M575" i="9"/>
  <c r="M571" i="9"/>
  <c r="M567" i="9"/>
  <c r="M563" i="9"/>
  <c r="M796" i="9"/>
  <c r="M788" i="9"/>
  <c r="M780" i="9"/>
  <c r="M772" i="9"/>
  <c r="M764" i="9"/>
  <c r="M756" i="9"/>
  <c r="M748" i="9"/>
  <c r="M740" i="9"/>
  <c r="M733" i="9"/>
  <c r="M728" i="9"/>
  <c r="M722" i="9"/>
  <c r="M717" i="9"/>
  <c r="M712" i="9"/>
  <c r="M706" i="9"/>
  <c r="M701" i="9"/>
  <c r="M696" i="9"/>
  <c r="M690" i="9"/>
  <c r="M685" i="9"/>
  <c r="M680" i="9"/>
  <c r="M674" i="9"/>
  <c r="M669" i="9"/>
  <c r="M664" i="9"/>
  <c r="M658" i="9"/>
  <c r="M653" i="9"/>
  <c r="M648" i="9"/>
  <c r="M642" i="9"/>
  <c r="M637" i="9"/>
  <c r="M632" i="9"/>
  <c r="M626" i="9"/>
  <c r="M621" i="9"/>
  <c r="M616" i="9"/>
  <c r="M610" i="9"/>
  <c r="M605" i="9"/>
  <c r="M600" i="9"/>
  <c r="M594" i="9"/>
  <c r="M589" i="9"/>
  <c r="M584" i="9"/>
  <c r="M578" i="9"/>
  <c r="M573" i="9"/>
  <c r="M568" i="9"/>
  <c r="M562" i="9"/>
  <c r="M558" i="9"/>
  <c r="M554" i="9"/>
  <c r="M550" i="9"/>
  <c r="M546" i="9"/>
  <c r="M542" i="9"/>
  <c r="M538" i="9"/>
  <c r="M534" i="9"/>
  <c r="M530" i="9"/>
  <c r="M526" i="9"/>
  <c r="M522" i="9"/>
  <c r="M518" i="9"/>
  <c r="M514" i="9"/>
  <c r="M510" i="9"/>
  <c r="M506" i="9"/>
  <c r="M502" i="9"/>
  <c r="M498" i="9"/>
  <c r="M494" i="9"/>
  <c r="M490" i="9"/>
  <c r="M486" i="9"/>
  <c r="M482" i="9"/>
  <c r="M478" i="9"/>
  <c r="M474" i="9"/>
  <c r="M470" i="9"/>
  <c r="M466" i="9"/>
  <c r="M462" i="9"/>
  <c r="M458" i="9"/>
  <c r="M454" i="9"/>
  <c r="M450" i="9"/>
  <c r="M446" i="9"/>
  <c r="M442" i="9"/>
  <c r="M438" i="9"/>
  <c r="M434" i="9"/>
  <c r="M430" i="9"/>
  <c r="M426" i="9"/>
  <c r="M422" i="9"/>
  <c r="M418" i="9"/>
  <c r="M414" i="9"/>
  <c r="M410" i="9"/>
  <c r="M406" i="9"/>
  <c r="M402" i="9"/>
  <c r="M398" i="9"/>
  <c r="M394" i="9"/>
  <c r="M390" i="9"/>
  <c r="M807" i="9"/>
  <c r="N807" i="9" s="1"/>
  <c r="O807" i="9" s="1"/>
  <c r="M793" i="9"/>
  <c r="M785" i="9"/>
  <c r="M777" i="9"/>
  <c r="M769" i="9"/>
  <c r="M761" i="9"/>
  <c r="M753" i="9"/>
  <c r="M745" i="9"/>
  <c r="M737" i="9"/>
  <c r="M732" i="9"/>
  <c r="M726" i="9"/>
  <c r="M721" i="9"/>
  <c r="M716" i="9"/>
  <c r="M710" i="9"/>
  <c r="M705" i="9"/>
  <c r="M700" i="9"/>
  <c r="M694" i="9"/>
  <c r="M689" i="9"/>
  <c r="M684" i="9"/>
  <c r="M678" i="9"/>
  <c r="M673" i="9"/>
  <c r="M668" i="9"/>
  <c r="M662" i="9"/>
  <c r="M657" i="9"/>
  <c r="M652" i="9"/>
  <c r="M646" i="9"/>
  <c r="M641" i="9"/>
  <c r="M636" i="9"/>
  <c r="M630" i="9"/>
  <c r="M625" i="9"/>
  <c r="M620" i="9"/>
  <c r="M614" i="9"/>
  <c r="M609" i="9"/>
  <c r="M604" i="9"/>
  <c r="M598" i="9"/>
  <c r="M593" i="9"/>
  <c r="M588" i="9"/>
  <c r="M582" i="9"/>
  <c r="M577" i="9"/>
  <c r="M572" i="9"/>
  <c r="M566" i="9"/>
  <c r="M561" i="9"/>
  <c r="M557" i="9"/>
  <c r="M553" i="9"/>
  <c r="M549" i="9"/>
  <c r="M545" i="9"/>
  <c r="M541" i="9"/>
  <c r="M537" i="9"/>
  <c r="M533" i="9"/>
  <c r="M529" i="9"/>
  <c r="M525" i="9"/>
  <c r="M521" i="9"/>
  <c r="M517" i="9"/>
  <c r="M513" i="9"/>
  <c r="M509" i="9"/>
  <c r="M505" i="9"/>
  <c r="M501" i="9"/>
  <c r="M497" i="9"/>
  <c r="M493" i="9"/>
  <c r="M489" i="9"/>
  <c r="M485" i="9"/>
  <c r="M481" i="9"/>
  <c r="M477" i="9"/>
  <c r="M473" i="9"/>
  <c r="M469" i="9"/>
  <c r="M465" i="9"/>
  <c r="M461" i="9"/>
  <c r="M457" i="9"/>
  <c r="M453" i="9"/>
  <c r="M449" i="9"/>
  <c r="M800" i="9"/>
  <c r="M789" i="9"/>
  <c r="M781" i="9"/>
  <c r="M773" i="9"/>
  <c r="M765" i="9"/>
  <c r="M757" i="9"/>
  <c r="M749" i="9"/>
  <c r="M741" i="9"/>
  <c r="M734" i="9"/>
  <c r="M729" i="9"/>
  <c r="M724" i="9"/>
  <c r="M718" i="9"/>
  <c r="M713" i="9"/>
  <c r="M708" i="9"/>
  <c r="M702" i="9"/>
  <c r="M697" i="9"/>
  <c r="M692" i="9"/>
  <c r="M686" i="9"/>
  <c r="M681" i="9"/>
  <c r="M676" i="9"/>
  <c r="M670" i="9"/>
  <c r="M665" i="9"/>
  <c r="M660" i="9"/>
  <c r="M654" i="9"/>
  <c r="M649" i="9"/>
  <c r="M644" i="9"/>
  <c r="M638" i="9"/>
  <c r="M633" i="9"/>
  <c r="M628" i="9"/>
  <c r="M622" i="9"/>
  <c r="M617" i="9"/>
  <c r="M612" i="9"/>
  <c r="M606" i="9"/>
  <c r="M601" i="9"/>
  <c r="M596" i="9"/>
  <c r="M590" i="9"/>
  <c r="M585" i="9"/>
  <c r="M580" i="9"/>
  <c r="M574" i="9"/>
  <c r="M569" i="9"/>
  <c r="M564" i="9"/>
  <c r="M559" i="9"/>
  <c r="M555" i="9"/>
  <c r="M551" i="9"/>
  <c r="M547" i="9"/>
  <c r="M543" i="9"/>
  <c r="M539" i="9"/>
  <c r="M535" i="9"/>
  <c r="M531" i="9"/>
  <c r="M527" i="9"/>
  <c r="M523" i="9"/>
  <c r="M519" i="9"/>
  <c r="M515" i="9"/>
  <c r="M511" i="9"/>
  <c r="M507" i="9"/>
  <c r="M503" i="9"/>
  <c r="M499" i="9"/>
  <c r="M495" i="9"/>
  <c r="M491" i="9"/>
  <c r="M487" i="9"/>
  <c r="M483" i="9"/>
  <c r="M479" i="9"/>
  <c r="M475" i="9"/>
  <c r="M471" i="9"/>
  <c r="M467" i="9"/>
  <c r="M463" i="9"/>
  <c r="M459" i="9"/>
  <c r="M455" i="9"/>
  <c r="M451" i="9"/>
  <c r="M447" i="9"/>
  <c r="M443" i="9"/>
  <c r="M439" i="9"/>
  <c r="M435" i="9"/>
  <c r="M431" i="9"/>
  <c r="M427" i="9"/>
  <c r="M423" i="9"/>
  <c r="M419" i="9"/>
  <c r="M415" i="9"/>
  <c r="M411" i="9"/>
  <c r="M407" i="9"/>
  <c r="M403" i="9"/>
  <c r="M399" i="9"/>
  <c r="M395" i="9"/>
  <c r="M391" i="9"/>
  <c r="M387" i="9"/>
  <c r="M383" i="9"/>
  <c r="M379" i="9"/>
  <c r="M375" i="9"/>
  <c r="M371" i="9"/>
  <c r="M367" i="9"/>
  <c r="M363" i="9"/>
  <c r="M359" i="9"/>
  <c r="M355" i="9"/>
  <c r="M351" i="9"/>
  <c r="M347" i="9"/>
  <c r="M343" i="9"/>
  <c r="M339" i="9"/>
  <c r="M335" i="9"/>
  <c r="M331" i="9"/>
  <c r="M327" i="9"/>
  <c r="M323" i="9"/>
  <c r="M319" i="9"/>
  <c r="M315" i="9"/>
  <c r="M311" i="9"/>
  <c r="M307" i="9"/>
  <c r="M303" i="9"/>
  <c r="M299" i="9"/>
  <c r="M295" i="9"/>
  <c r="M291" i="9"/>
  <c r="M287" i="9"/>
  <c r="M283" i="9"/>
  <c r="M279" i="9"/>
  <c r="M275" i="9"/>
  <c r="M271" i="9"/>
  <c r="M267" i="9"/>
  <c r="M263" i="9"/>
  <c r="M259" i="9"/>
  <c r="M255" i="9"/>
  <c r="M251" i="9"/>
  <c r="M247" i="9"/>
  <c r="M243" i="9"/>
  <c r="M239" i="9"/>
  <c r="M235" i="9"/>
  <c r="M231" i="9"/>
  <c r="M227" i="9"/>
  <c r="M223" i="9"/>
  <c r="M219" i="9"/>
  <c r="M215" i="9"/>
  <c r="M211" i="9"/>
  <c r="M207" i="9"/>
  <c r="M203" i="9"/>
  <c r="M199" i="9"/>
  <c r="M195" i="9"/>
  <c r="M191" i="9"/>
  <c r="M187" i="9"/>
  <c r="M183" i="9"/>
  <c r="M179" i="9"/>
  <c r="M175" i="9"/>
  <c r="M171" i="9"/>
  <c r="M167" i="9"/>
  <c r="M163" i="9"/>
  <c r="M159" i="9"/>
  <c r="M155" i="9"/>
  <c r="M151" i="9"/>
  <c r="M147" i="9"/>
  <c r="M143" i="9"/>
  <c r="M139" i="9"/>
  <c r="M135" i="9"/>
  <c r="M131" i="9"/>
  <c r="M127" i="9"/>
  <c r="M804" i="9"/>
  <c r="M768" i="9"/>
  <c r="M736" i="9"/>
  <c r="M714" i="9"/>
  <c r="M693" i="9"/>
  <c r="M672" i="9"/>
  <c r="M650" i="9"/>
  <c r="M629" i="9"/>
  <c r="M608" i="9"/>
  <c r="M586" i="9"/>
  <c r="M565" i="9"/>
  <c r="M548" i="9"/>
  <c r="M532" i="9"/>
  <c r="M516" i="9"/>
  <c r="M500" i="9"/>
  <c r="M484" i="9"/>
  <c r="M468" i="9"/>
  <c r="M452" i="9"/>
  <c r="M441" i="9"/>
  <c r="M433" i="9"/>
  <c r="M425" i="9"/>
  <c r="M417" i="9"/>
  <c r="M409" i="9"/>
  <c r="M401" i="9"/>
  <c r="M393" i="9"/>
  <c r="M386" i="9"/>
  <c r="M381" i="9"/>
  <c r="M376" i="9"/>
  <c r="M370" i="9"/>
  <c r="M365" i="9"/>
  <c r="M360" i="9"/>
  <c r="M354" i="9"/>
  <c r="M349" i="9"/>
  <c r="M344" i="9"/>
  <c r="M338" i="9"/>
  <c r="M333" i="9"/>
  <c r="M328" i="9"/>
  <c r="M322" i="9"/>
  <c r="M317" i="9"/>
  <c r="M312" i="9"/>
  <c r="M306" i="9"/>
  <c r="M301" i="9"/>
  <c r="M296" i="9"/>
  <c r="M290" i="9"/>
  <c r="M285" i="9"/>
  <c r="M280" i="9"/>
  <c r="M274" i="9"/>
  <c r="M269" i="9"/>
  <c r="M264" i="9"/>
  <c r="M258" i="9"/>
  <c r="M253" i="9"/>
  <c r="M248" i="9"/>
  <c r="M242" i="9"/>
  <c r="M237" i="9"/>
  <c r="M232" i="9"/>
  <c r="M226" i="9"/>
  <c r="M221" i="9"/>
  <c r="M216" i="9"/>
  <c r="M210" i="9"/>
  <c r="M205" i="9"/>
  <c r="M200" i="9"/>
  <c r="M194" i="9"/>
  <c r="M189" i="9"/>
  <c r="M184" i="9"/>
  <c r="M178" i="9"/>
  <c r="M173" i="9"/>
  <c r="M168" i="9"/>
  <c r="M162" i="9"/>
  <c r="M157" i="9"/>
  <c r="M152" i="9"/>
  <c r="M146" i="9"/>
  <c r="M141" i="9"/>
  <c r="M136" i="9"/>
  <c r="M130" i="9"/>
  <c r="M125" i="9"/>
  <c r="M121" i="9"/>
  <c r="M117" i="9"/>
  <c r="M113" i="9"/>
  <c r="M109" i="9"/>
  <c r="M105" i="9"/>
  <c r="M101" i="9"/>
  <c r="M97" i="9"/>
  <c r="M93" i="9"/>
  <c r="M89" i="9"/>
  <c r="M85" i="9"/>
  <c r="M81" i="9"/>
  <c r="M73" i="9"/>
  <c r="M69" i="9"/>
  <c r="M65" i="9"/>
  <c r="M57" i="9"/>
  <c r="M49" i="9"/>
  <c r="M37" i="9"/>
  <c r="M29" i="9"/>
  <c r="M17" i="9"/>
  <c r="M9" i="9"/>
  <c r="M725" i="9"/>
  <c r="M682" i="9"/>
  <c r="M597" i="9"/>
  <c r="M524" i="9"/>
  <c r="M492" i="9"/>
  <c r="M437" i="9"/>
  <c r="M413" i="9"/>
  <c r="M384" i="9"/>
  <c r="M368" i="9"/>
  <c r="M352" i="9"/>
  <c r="M330" i="9"/>
  <c r="M314" i="9"/>
  <c r="M293" i="9"/>
  <c r="M277" i="9"/>
  <c r="M261" i="9"/>
  <c r="M240" i="9"/>
  <c r="M224" i="9"/>
  <c r="M208" i="9"/>
  <c r="M186" i="9"/>
  <c r="M170" i="9"/>
  <c r="M149" i="9"/>
  <c r="M133" i="9"/>
  <c r="M119" i="9"/>
  <c r="M107" i="9"/>
  <c r="M91" i="9"/>
  <c r="M83" i="9"/>
  <c r="M63" i="9"/>
  <c r="M55" i="9"/>
  <c r="M39" i="9"/>
  <c r="M27" i="9"/>
  <c r="M11" i="9"/>
  <c r="M792" i="9"/>
  <c r="M760" i="9"/>
  <c r="M730" i="9"/>
  <c r="M709" i="9"/>
  <c r="M688" i="9"/>
  <c r="M666" i="9"/>
  <c r="M645" i="9"/>
  <c r="M624" i="9"/>
  <c r="M602" i="9"/>
  <c r="M581" i="9"/>
  <c r="M560" i="9"/>
  <c r="M544" i="9"/>
  <c r="M528" i="9"/>
  <c r="M512" i="9"/>
  <c r="M496" i="9"/>
  <c r="M480" i="9"/>
  <c r="M464" i="9"/>
  <c r="M448" i="9"/>
  <c r="M440" i="9"/>
  <c r="M432" i="9"/>
  <c r="M424" i="9"/>
  <c r="M416" i="9"/>
  <c r="M408" i="9"/>
  <c r="M400" i="9"/>
  <c r="M392" i="9"/>
  <c r="M385" i="9"/>
  <c r="M380" i="9"/>
  <c r="M374" i="9"/>
  <c r="M369" i="9"/>
  <c r="M364" i="9"/>
  <c r="M358" i="9"/>
  <c r="M353" i="9"/>
  <c r="M348" i="9"/>
  <c r="M342" i="9"/>
  <c r="M337" i="9"/>
  <c r="M332" i="9"/>
  <c r="M326" i="9"/>
  <c r="M321" i="9"/>
  <c r="M316" i="9"/>
  <c r="M310" i="9"/>
  <c r="M305" i="9"/>
  <c r="M300" i="9"/>
  <c r="M294" i="9"/>
  <c r="M289" i="9"/>
  <c r="M284" i="9"/>
  <c r="M278" i="9"/>
  <c r="M273" i="9"/>
  <c r="M268" i="9"/>
  <c r="M262" i="9"/>
  <c r="M257" i="9"/>
  <c r="M252" i="9"/>
  <c r="M246" i="9"/>
  <c r="M241" i="9"/>
  <c r="M236" i="9"/>
  <c r="M230" i="9"/>
  <c r="M225" i="9"/>
  <c r="M220" i="9"/>
  <c r="M214" i="9"/>
  <c r="M209" i="9"/>
  <c r="M204" i="9"/>
  <c r="M198" i="9"/>
  <c r="M193" i="9"/>
  <c r="M188" i="9"/>
  <c r="M182" i="9"/>
  <c r="M177" i="9"/>
  <c r="M172" i="9"/>
  <c r="M166" i="9"/>
  <c r="M161" i="9"/>
  <c r="M156" i="9"/>
  <c r="M150" i="9"/>
  <c r="M145" i="9"/>
  <c r="M140" i="9"/>
  <c r="M134" i="9"/>
  <c r="M129" i="9"/>
  <c r="M124" i="9"/>
  <c r="M120" i="9"/>
  <c r="M116" i="9"/>
  <c r="M112" i="9"/>
  <c r="M108" i="9"/>
  <c r="M104" i="9"/>
  <c r="M100" i="9"/>
  <c r="M96" i="9"/>
  <c r="M92" i="9"/>
  <c r="M88" i="9"/>
  <c r="M84" i="9"/>
  <c r="M80" i="9"/>
  <c r="M76" i="9"/>
  <c r="M72" i="9"/>
  <c r="M68" i="9"/>
  <c r="M64" i="9"/>
  <c r="M60" i="9"/>
  <c r="M56" i="9"/>
  <c r="M52" i="9"/>
  <c r="M48" i="9"/>
  <c r="M44" i="9"/>
  <c r="M40" i="9"/>
  <c r="M36" i="9"/>
  <c r="M32" i="9"/>
  <c r="M28" i="9"/>
  <c r="M24" i="9"/>
  <c r="M20" i="9"/>
  <c r="M16" i="9"/>
  <c r="M12" i="9"/>
  <c r="M4" i="9"/>
  <c r="M752" i="9"/>
  <c r="M661" i="9"/>
  <c r="M576" i="9"/>
  <c r="M540" i="9"/>
  <c r="M476" i="9"/>
  <c r="M429" i="9"/>
  <c r="M405" i="9"/>
  <c r="M378" i="9"/>
  <c r="M362" i="9"/>
  <c r="M341" i="9"/>
  <c r="M325" i="9"/>
  <c r="M309" i="9"/>
  <c r="M288" i="9"/>
  <c r="M272" i="9"/>
  <c r="M250" i="9"/>
  <c r="M234" i="9"/>
  <c r="M218" i="9"/>
  <c r="M197" i="9"/>
  <c r="M181" i="9"/>
  <c r="M160" i="9"/>
  <c r="M144" i="9"/>
  <c r="M123" i="9"/>
  <c r="M111" i="9"/>
  <c r="M95" i="9"/>
  <c r="M79" i="9"/>
  <c r="M67" i="9"/>
  <c r="M51" i="9"/>
  <c r="M35" i="9"/>
  <c r="M19" i="9"/>
  <c r="M7" i="9"/>
  <c r="M776" i="9"/>
  <c r="M744" i="9"/>
  <c r="M720" i="9"/>
  <c r="M698" i="9"/>
  <c r="M677" i="9"/>
  <c r="M656" i="9"/>
  <c r="M634" i="9"/>
  <c r="M613" i="9"/>
  <c r="M592" i="9"/>
  <c r="M570" i="9"/>
  <c r="M552" i="9"/>
  <c r="M536" i="9"/>
  <c r="M520" i="9"/>
  <c r="M504" i="9"/>
  <c r="M488" i="9"/>
  <c r="M472" i="9"/>
  <c r="M456" i="9"/>
  <c r="M444" i="9"/>
  <c r="M436" i="9"/>
  <c r="M428" i="9"/>
  <c r="M420" i="9"/>
  <c r="M412" i="9"/>
  <c r="M404" i="9"/>
  <c r="M396" i="9"/>
  <c r="M388" i="9"/>
  <c r="M382" i="9"/>
  <c r="M377" i="9"/>
  <c r="M372" i="9"/>
  <c r="M366" i="9"/>
  <c r="M361" i="9"/>
  <c r="M356" i="9"/>
  <c r="M350" i="9"/>
  <c r="M345" i="9"/>
  <c r="M340" i="9"/>
  <c r="M334" i="9"/>
  <c r="M329" i="9"/>
  <c r="M324" i="9"/>
  <c r="M318" i="9"/>
  <c r="M313" i="9"/>
  <c r="M308" i="9"/>
  <c r="M302" i="9"/>
  <c r="M297" i="9"/>
  <c r="M292" i="9"/>
  <c r="M286" i="9"/>
  <c r="M281" i="9"/>
  <c r="M276" i="9"/>
  <c r="M270" i="9"/>
  <c r="M265" i="9"/>
  <c r="M260" i="9"/>
  <c r="M254" i="9"/>
  <c r="M249" i="9"/>
  <c r="M244" i="9"/>
  <c r="M238" i="9"/>
  <c r="M233" i="9"/>
  <c r="M228" i="9"/>
  <c r="M222" i="9"/>
  <c r="M217" i="9"/>
  <c r="M212" i="9"/>
  <c r="M206" i="9"/>
  <c r="M201" i="9"/>
  <c r="M196" i="9"/>
  <c r="M190" i="9"/>
  <c r="M185" i="9"/>
  <c r="M180" i="9"/>
  <c r="M174" i="9"/>
  <c r="M169" i="9"/>
  <c r="M164" i="9"/>
  <c r="M158" i="9"/>
  <c r="M153" i="9"/>
  <c r="M148" i="9"/>
  <c r="M142" i="9"/>
  <c r="M137" i="9"/>
  <c r="M132" i="9"/>
  <c r="M126" i="9"/>
  <c r="M122" i="9"/>
  <c r="M118" i="9"/>
  <c r="M114" i="9"/>
  <c r="M110" i="9"/>
  <c r="M106" i="9"/>
  <c r="M102" i="9"/>
  <c r="M98" i="9"/>
  <c r="M94" i="9"/>
  <c r="M90" i="9"/>
  <c r="M86" i="9"/>
  <c r="M82" i="9"/>
  <c r="M78" i="9"/>
  <c r="M74" i="9"/>
  <c r="M70" i="9"/>
  <c r="M66" i="9"/>
  <c r="M62" i="9"/>
  <c r="M58" i="9"/>
  <c r="M54" i="9"/>
  <c r="M50" i="9"/>
  <c r="M46" i="9"/>
  <c r="M42" i="9"/>
  <c r="M38" i="9"/>
  <c r="M34" i="9"/>
  <c r="M30" i="9"/>
  <c r="M26" i="9"/>
  <c r="M22" i="9"/>
  <c r="M18" i="9"/>
  <c r="M14" i="9"/>
  <c r="M10" i="9"/>
  <c r="M6" i="9"/>
  <c r="M77" i="9"/>
  <c r="M61" i="9"/>
  <c r="M53" i="9"/>
  <c r="M45" i="9"/>
  <c r="M41" i="9"/>
  <c r="M33" i="9"/>
  <c r="M25" i="9"/>
  <c r="M21" i="9"/>
  <c r="M13" i="9"/>
  <c r="M5" i="9"/>
  <c r="M8" i="9"/>
  <c r="M784" i="9"/>
  <c r="M704" i="9"/>
  <c r="M640" i="9"/>
  <c r="M618" i="9"/>
  <c r="M556" i="9"/>
  <c r="M508" i="9"/>
  <c r="M460" i="9"/>
  <c r="M445" i="9"/>
  <c r="M421" i="9"/>
  <c r="M397" i="9"/>
  <c r="M389" i="9"/>
  <c r="M373" i="9"/>
  <c r="M357" i="9"/>
  <c r="M346" i="9"/>
  <c r="M336" i="9"/>
  <c r="M320" i="9"/>
  <c r="M304" i="9"/>
  <c r="M298" i="9"/>
  <c r="M282" i="9"/>
  <c r="M266" i="9"/>
  <c r="M256" i="9"/>
  <c r="M245" i="9"/>
  <c r="M229" i="9"/>
  <c r="M213" i="9"/>
  <c r="M202" i="9"/>
  <c r="M192" i="9"/>
  <c r="M176" i="9"/>
  <c r="M165" i="9"/>
  <c r="M154" i="9"/>
  <c r="M138" i="9"/>
  <c r="M128" i="9"/>
  <c r="M115" i="9"/>
  <c r="M103" i="9"/>
  <c r="M99" i="9"/>
  <c r="M87" i="9"/>
  <c r="M75" i="9"/>
  <c r="M71" i="9"/>
  <c r="M59" i="9"/>
  <c r="M47" i="9"/>
  <c r="M43" i="9"/>
  <c r="M31" i="9"/>
  <c r="M23" i="9"/>
  <c r="M15" i="9"/>
  <c r="G3" i="7"/>
  <c r="D37" i="11"/>
  <c r="D33" i="11"/>
  <c r="J14" i="10"/>
  <c r="J10" i="10"/>
  <c r="J6" i="10"/>
  <c r="D36" i="11"/>
  <c r="J13" i="10"/>
  <c r="K112" i="8"/>
  <c r="D39" i="11"/>
  <c r="E39" i="11" s="1"/>
  <c r="D31" i="11"/>
  <c r="J12" i="10"/>
  <c r="D38" i="11"/>
  <c r="D34" i="11"/>
  <c r="J16" i="10"/>
  <c r="J11" i="10"/>
  <c r="J7" i="10"/>
  <c r="D32" i="11"/>
  <c r="J9" i="10"/>
  <c r="D35" i="11"/>
  <c r="J17" i="10"/>
  <c r="J8" i="10"/>
  <c r="K88" i="8"/>
  <c r="K84" i="8"/>
  <c r="K87" i="8"/>
  <c r="K90" i="8"/>
  <c r="K89" i="8"/>
  <c r="K85" i="8"/>
  <c r="K91" i="8"/>
  <c r="K86" i="8"/>
  <c r="G2" i="7"/>
  <c r="E138" i="13"/>
  <c r="C39" i="7" s="1"/>
  <c r="E139" i="13"/>
  <c r="C40" i="7" s="1"/>
  <c r="G175" i="12"/>
  <c r="C26" i="7" s="1"/>
  <c r="G178" i="12"/>
  <c r="C29" i="7" s="1"/>
  <c r="G179" i="12"/>
  <c r="C30" i="7" s="1"/>
  <c r="I132" i="8"/>
  <c r="C9" i="7" s="1"/>
  <c r="I138" i="8"/>
  <c r="C15" i="7" s="1"/>
  <c r="I139" i="8"/>
  <c r="C16" i="7" s="1"/>
  <c r="I140" i="8"/>
  <c r="C17" i="7" s="1"/>
  <c r="I141" i="8"/>
  <c r="C18" i="7" s="1"/>
  <c r="I142" i="8"/>
  <c r="C19" i="7" s="1"/>
  <c r="AQ43" i="51" l="1"/>
  <c r="E21" i="10"/>
  <c r="M808" i="9"/>
  <c r="N808" i="9" s="1"/>
  <c r="AV43" i="51"/>
  <c r="AJ37" i="51" s="1"/>
  <c r="E3" i="1" s="1"/>
  <c r="AE3" i="51"/>
  <c r="F142" i="13"/>
  <c r="E142" i="13" s="1"/>
  <c r="C42" i="7" s="1"/>
  <c r="I123" i="13"/>
  <c r="I122" i="13"/>
  <c r="I121" i="13"/>
  <c r="I120" i="13"/>
  <c r="D119" i="13"/>
  <c r="I118" i="13"/>
  <c r="I116" i="13"/>
  <c r="D115" i="13"/>
  <c r="I114" i="13"/>
  <c r="I113" i="13"/>
  <c r="I112" i="13"/>
  <c r="I110" i="13"/>
  <c r="I109" i="13"/>
  <c r="I107" i="13"/>
  <c r="I106" i="13"/>
  <c r="I104" i="13"/>
  <c r="I103" i="13"/>
  <c r="I101" i="13"/>
  <c r="I97" i="13"/>
  <c r="I96" i="13"/>
  <c r="I95" i="13"/>
  <c r="I94" i="13"/>
  <c r="I93" i="13"/>
  <c r="I92" i="13"/>
  <c r="H89" i="13"/>
  <c r="H88" i="13"/>
  <c r="H87" i="13"/>
  <c r="H86" i="13"/>
  <c r="H85" i="13"/>
  <c r="H84" i="13"/>
  <c r="H83" i="13"/>
  <c r="H82" i="13"/>
  <c r="H81" i="13"/>
  <c r="H80" i="13"/>
  <c r="H79" i="13"/>
  <c r="H78" i="13"/>
  <c r="H77" i="13"/>
  <c r="H76" i="13"/>
  <c r="H75" i="13"/>
  <c r="H74" i="13"/>
  <c r="H73" i="13"/>
  <c r="H72" i="13"/>
  <c r="H71" i="13"/>
  <c r="I69" i="13"/>
  <c r="I68" i="13"/>
  <c r="I67" i="13"/>
  <c r="I65" i="13"/>
  <c r="I64" i="13"/>
  <c r="I63" i="13"/>
  <c r="D62" i="13"/>
  <c r="I61" i="13"/>
  <c r="I60" i="13"/>
  <c r="I59" i="13"/>
  <c r="I58" i="13"/>
  <c r="I57" i="13"/>
  <c r="I55" i="13"/>
  <c r="I54" i="13"/>
  <c r="I53" i="13"/>
  <c r="I52" i="13"/>
  <c r="I51" i="13"/>
  <c r="I50" i="13"/>
  <c r="I49" i="13"/>
  <c r="I48" i="13"/>
  <c r="I45" i="13"/>
  <c r="I44" i="13"/>
  <c r="I43" i="13"/>
  <c r="I42" i="13"/>
  <c r="I41" i="13"/>
  <c r="I40" i="13"/>
  <c r="I39" i="13"/>
  <c r="I38" i="13"/>
  <c r="I37" i="13"/>
  <c r="I36" i="13"/>
  <c r="I35" i="13"/>
  <c r="I34" i="13"/>
  <c r="I32" i="13"/>
  <c r="I31" i="13"/>
  <c r="I30" i="13"/>
  <c r="I29" i="13"/>
  <c r="I28" i="13"/>
  <c r="I27" i="13"/>
  <c r="I26" i="13"/>
  <c r="I25" i="13"/>
  <c r="I24" i="13"/>
  <c r="I23" i="13"/>
  <c r="I22" i="13"/>
  <c r="I21" i="13"/>
  <c r="I20" i="13"/>
  <c r="I19" i="13"/>
  <c r="I18" i="13"/>
  <c r="I17" i="13"/>
  <c r="I16" i="13"/>
  <c r="I15" i="13"/>
  <c r="I14" i="13"/>
  <c r="I13" i="13"/>
  <c r="I12" i="13"/>
  <c r="I11" i="13"/>
  <c r="I10" i="13"/>
  <c r="I9" i="13"/>
  <c r="I8" i="13"/>
  <c r="I6" i="13"/>
  <c r="I5" i="13"/>
  <c r="I177" i="12"/>
  <c r="G177" i="12" s="1"/>
  <c r="C28" i="7" s="1"/>
  <c r="I174" i="12"/>
  <c r="G174" i="12" s="1"/>
  <c r="C25" i="7" s="1"/>
  <c r="E38" i="11"/>
  <c r="E37" i="11"/>
  <c r="E36" i="11"/>
  <c r="E35" i="11"/>
  <c r="E34" i="11"/>
  <c r="E33" i="11"/>
  <c r="E32" i="11"/>
  <c r="E31" i="11"/>
  <c r="F27" i="11"/>
  <c r="G20" i="11"/>
  <c r="G19" i="11"/>
  <c r="G18" i="11"/>
  <c r="G17" i="11"/>
  <c r="G16" i="11"/>
  <c r="G15" i="11"/>
  <c r="G14" i="11"/>
  <c r="G13" i="11"/>
  <c r="G12" i="11"/>
  <c r="G11" i="11"/>
  <c r="G10" i="11"/>
  <c r="G9" i="11"/>
  <c r="G8" i="11"/>
  <c r="G7" i="11"/>
  <c r="G6" i="11"/>
  <c r="G5" i="11"/>
  <c r="G4" i="11"/>
  <c r="H17" i="10"/>
  <c r="H16" i="10"/>
  <c r="H15" i="10"/>
  <c r="H14" i="10"/>
  <c r="I14" i="10" s="1"/>
  <c r="H12" i="10"/>
  <c r="I12" i="10" s="1"/>
  <c r="H11" i="10"/>
  <c r="I11" i="10" s="1"/>
  <c r="H10" i="10"/>
  <c r="I10" i="10" s="1"/>
  <c r="H9" i="10"/>
  <c r="I9" i="10" s="1"/>
  <c r="H7" i="10"/>
  <c r="I7" i="10" s="1"/>
  <c r="H5" i="10"/>
  <c r="I5" i="10" s="1"/>
  <c r="H4" i="10"/>
  <c r="I4" i="10" s="1"/>
  <c r="T830" i="9"/>
  <c r="K815" i="9"/>
  <c r="N810" i="9"/>
  <c r="O810" i="9" s="1"/>
  <c r="N806" i="9"/>
  <c r="O806" i="9" s="1"/>
  <c r="N805" i="9"/>
  <c r="O805" i="9" s="1"/>
  <c r="N804" i="9"/>
  <c r="O804" i="9" s="1"/>
  <c r="N803" i="9"/>
  <c r="O803" i="9" s="1"/>
  <c r="N802" i="9"/>
  <c r="O802" i="9" s="1"/>
  <c r="N801" i="9"/>
  <c r="O801" i="9" s="1"/>
  <c r="N800" i="9"/>
  <c r="O800" i="9" s="1"/>
  <c r="N799" i="9"/>
  <c r="O799" i="9" s="1"/>
  <c r="N798" i="9"/>
  <c r="O798" i="9" s="1"/>
  <c r="N797" i="9"/>
  <c r="O797" i="9" s="1"/>
  <c r="N796" i="9"/>
  <c r="O796" i="9" s="1"/>
  <c r="N795" i="9"/>
  <c r="O795" i="9" s="1"/>
  <c r="N794" i="9"/>
  <c r="O794" i="9" s="1"/>
  <c r="N793" i="9"/>
  <c r="O793" i="9" s="1"/>
  <c r="N792" i="9"/>
  <c r="O792" i="9" s="1"/>
  <c r="N791" i="9"/>
  <c r="O791" i="9" s="1"/>
  <c r="N790" i="9"/>
  <c r="O790" i="9" s="1"/>
  <c r="N789" i="9"/>
  <c r="O789" i="9" s="1"/>
  <c r="N788" i="9"/>
  <c r="O788" i="9" s="1"/>
  <c r="N787" i="9"/>
  <c r="O787" i="9" s="1"/>
  <c r="N786" i="9"/>
  <c r="O786" i="9" s="1"/>
  <c r="N785" i="9"/>
  <c r="O785" i="9" s="1"/>
  <c r="N784" i="9"/>
  <c r="O784" i="9" s="1"/>
  <c r="N783" i="9"/>
  <c r="O783" i="9" s="1"/>
  <c r="N782" i="9"/>
  <c r="O782" i="9" s="1"/>
  <c r="N781" i="9"/>
  <c r="O781" i="9" s="1"/>
  <c r="N780" i="9"/>
  <c r="O780" i="9" s="1"/>
  <c r="N779" i="9"/>
  <c r="O779" i="9" s="1"/>
  <c r="N778" i="9"/>
  <c r="O778" i="9" s="1"/>
  <c r="N777" i="9"/>
  <c r="O777" i="9" s="1"/>
  <c r="N776" i="9"/>
  <c r="N775" i="9"/>
  <c r="O775" i="9" s="1"/>
  <c r="N774" i="9"/>
  <c r="O774" i="9" s="1"/>
  <c r="N773" i="9"/>
  <c r="O773" i="9" s="1"/>
  <c r="N772" i="9"/>
  <c r="O772" i="9" s="1"/>
  <c r="N771" i="9"/>
  <c r="O771" i="9" s="1"/>
  <c r="N770" i="9"/>
  <c r="O770" i="9" s="1"/>
  <c r="N769" i="9"/>
  <c r="O769" i="9" s="1"/>
  <c r="N768" i="9"/>
  <c r="O768" i="9" s="1"/>
  <c r="N767" i="9"/>
  <c r="O767" i="9" s="1"/>
  <c r="N766" i="9"/>
  <c r="O766" i="9" s="1"/>
  <c r="N765" i="9"/>
  <c r="O765" i="9" s="1"/>
  <c r="N764" i="9"/>
  <c r="O764" i="9" s="1"/>
  <c r="N763" i="9"/>
  <c r="O763" i="9" s="1"/>
  <c r="N762" i="9"/>
  <c r="O762" i="9" s="1"/>
  <c r="N761" i="9"/>
  <c r="O761" i="9" s="1"/>
  <c r="N760" i="9"/>
  <c r="O760" i="9" s="1"/>
  <c r="N759" i="9"/>
  <c r="O759" i="9" s="1"/>
  <c r="N758" i="9"/>
  <c r="O758" i="9" s="1"/>
  <c r="N757" i="9"/>
  <c r="O757" i="9" s="1"/>
  <c r="N756" i="9"/>
  <c r="O756" i="9" s="1"/>
  <c r="N755" i="9"/>
  <c r="O755" i="9" s="1"/>
  <c r="N754" i="9"/>
  <c r="O754" i="9" s="1"/>
  <c r="N753" i="9"/>
  <c r="O753" i="9" s="1"/>
  <c r="N752" i="9"/>
  <c r="O752" i="9" s="1"/>
  <c r="N751" i="9"/>
  <c r="O751" i="9" s="1"/>
  <c r="N750" i="9"/>
  <c r="O750" i="9" s="1"/>
  <c r="N749" i="9"/>
  <c r="O749" i="9" s="1"/>
  <c r="N748" i="9"/>
  <c r="O748" i="9" s="1"/>
  <c r="N747" i="9"/>
  <c r="O747" i="9" s="1"/>
  <c r="N746" i="9"/>
  <c r="O746" i="9" s="1"/>
  <c r="N745" i="9"/>
  <c r="O745" i="9" s="1"/>
  <c r="N744" i="9"/>
  <c r="O744" i="9" s="1"/>
  <c r="N743" i="9"/>
  <c r="O743" i="9" s="1"/>
  <c r="N742" i="9"/>
  <c r="O742" i="9" s="1"/>
  <c r="N741" i="9"/>
  <c r="O741" i="9" s="1"/>
  <c r="N740" i="9"/>
  <c r="O740" i="9" s="1"/>
  <c r="N739" i="9"/>
  <c r="O739" i="9" s="1"/>
  <c r="N738" i="9"/>
  <c r="O738" i="9" s="1"/>
  <c r="N737" i="9"/>
  <c r="O737" i="9" s="1"/>
  <c r="N736" i="9"/>
  <c r="O736" i="9" s="1"/>
  <c r="N735" i="9"/>
  <c r="O735" i="9" s="1"/>
  <c r="N734" i="9"/>
  <c r="O734" i="9" s="1"/>
  <c r="N733" i="9"/>
  <c r="O733" i="9" s="1"/>
  <c r="N732" i="9"/>
  <c r="O732" i="9" s="1"/>
  <c r="N731" i="9"/>
  <c r="O731" i="9" s="1"/>
  <c r="N730" i="9"/>
  <c r="O730" i="9" s="1"/>
  <c r="N729" i="9"/>
  <c r="O729" i="9" s="1"/>
  <c r="N728" i="9"/>
  <c r="O728" i="9" s="1"/>
  <c r="N727" i="9"/>
  <c r="O727" i="9" s="1"/>
  <c r="N726" i="9"/>
  <c r="O726" i="9" s="1"/>
  <c r="N725" i="9"/>
  <c r="O725" i="9" s="1"/>
  <c r="N724" i="9"/>
  <c r="O724" i="9" s="1"/>
  <c r="N723" i="9"/>
  <c r="O723" i="9" s="1"/>
  <c r="N722" i="9"/>
  <c r="O722" i="9" s="1"/>
  <c r="N721" i="9"/>
  <c r="O721" i="9" s="1"/>
  <c r="N720" i="9"/>
  <c r="O720" i="9" s="1"/>
  <c r="N719" i="9"/>
  <c r="O719" i="9" s="1"/>
  <c r="N718" i="9"/>
  <c r="O718" i="9" s="1"/>
  <c r="N717" i="9"/>
  <c r="O717" i="9" s="1"/>
  <c r="N716" i="9"/>
  <c r="O716" i="9" s="1"/>
  <c r="N715" i="9"/>
  <c r="O715" i="9" s="1"/>
  <c r="N714" i="9"/>
  <c r="O714" i="9" s="1"/>
  <c r="N713" i="9"/>
  <c r="O713" i="9" s="1"/>
  <c r="N712" i="9"/>
  <c r="O712" i="9" s="1"/>
  <c r="N711" i="9"/>
  <c r="O711" i="9" s="1"/>
  <c r="N710" i="9"/>
  <c r="O710" i="9" s="1"/>
  <c r="N709" i="9"/>
  <c r="O709" i="9" s="1"/>
  <c r="N708" i="9"/>
  <c r="O708" i="9" s="1"/>
  <c r="N707" i="9"/>
  <c r="O707" i="9" s="1"/>
  <c r="N706" i="9"/>
  <c r="O706" i="9" s="1"/>
  <c r="N705" i="9"/>
  <c r="O705" i="9" s="1"/>
  <c r="N704" i="9"/>
  <c r="O704" i="9" s="1"/>
  <c r="N703" i="9"/>
  <c r="O703" i="9" s="1"/>
  <c r="N702" i="9"/>
  <c r="O702" i="9" s="1"/>
  <c r="N701" i="9"/>
  <c r="O701" i="9" s="1"/>
  <c r="N700" i="9"/>
  <c r="O700" i="9" s="1"/>
  <c r="N699" i="9"/>
  <c r="O699" i="9" s="1"/>
  <c r="N698" i="9"/>
  <c r="O698" i="9" s="1"/>
  <c r="N697" i="9"/>
  <c r="O697" i="9" s="1"/>
  <c r="N696" i="9"/>
  <c r="O696" i="9" s="1"/>
  <c r="N695" i="9"/>
  <c r="O695" i="9" s="1"/>
  <c r="N694" i="9"/>
  <c r="O694" i="9" s="1"/>
  <c r="N693" i="9"/>
  <c r="O693" i="9" s="1"/>
  <c r="N692" i="9"/>
  <c r="O692" i="9" s="1"/>
  <c r="N691" i="9"/>
  <c r="O691" i="9" s="1"/>
  <c r="N690" i="9"/>
  <c r="O690" i="9" s="1"/>
  <c r="N689" i="9"/>
  <c r="O689" i="9" s="1"/>
  <c r="N688" i="9"/>
  <c r="O688" i="9" s="1"/>
  <c r="N687" i="9"/>
  <c r="O687" i="9" s="1"/>
  <c r="N686" i="9"/>
  <c r="O686" i="9" s="1"/>
  <c r="N685" i="9"/>
  <c r="O685" i="9" s="1"/>
  <c r="N684" i="9"/>
  <c r="O684" i="9" s="1"/>
  <c r="N683" i="9"/>
  <c r="O683" i="9" s="1"/>
  <c r="N682" i="9"/>
  <c r="O682" i="9" s="1"/>
  <c r="N681" i="9"/>
  <c r="O681" i="9" s="1"/>
  <c r="N680" i="9"/>
  <c r="O680" i="9" s="1"/>
  <c r="N679" i="9"/>
  <c r="O679" i="9" s="1"/>
  <c r="N678" i="9"/>
  <c r="O678" i="9" s="1"/>
  <c r="N677" i="9"/>
  <c r="O677" i="9" s="1"/>
  <c r="N676" i="9"/>
  <c r="O676" i="9" s="1"/>
  <c r="N675" i="9"/>
  <c r="O675" i="9" s="1"/>
  <c r="N674" i="9"/>
  <c r="O674" i="9" s="1"/>
  <c r="N673" i="9"/>
  <c r="O673" i="9" s="1"/>
  <c r="N672" i="9"/>
  <c r="O672" i="9" s="1"/>
  <c r="N671" i="9"/>
  <c r="O671" i="9" s="1"/>
  <c r="N670" i="9"/>
  <c r="O670" i="9" s="1"/>
  <c r="N669" i="9"/>
  <c r="O669" i="9" s="1"/>
  <c r="N668" i="9"/>
  <c r="O668" i="9" s="1"/>
  <c r="N667" i="9"/>
  <c r="O667" i="9" s="1"/>
  <c r="N666" i="9"/>
  <c r="O666" i="9" s="1"/>
  <c r="N665" i="9"/>
  <c r="O665" i="9" s="1"/>
  <c r="N664" i="9"/>
  <c r="O664" i="9" s="1"/>
  <c r="N663" i="9"/>
  <c r="O663" i="9" s="1"/>
  <c r="N662" i="9"/>
  <c r="O662" i="9" s="1"/>
  <c r="N661" i="9"/>
  <c r="O661" i="9" s="1"/>
  <c r="N660" i="9"/>
  <c r="O660" i="9" s="1"/>
  <c r="N659" i="9"/>
  <c r="O659" i="9" s="1"/>
  <c r="N658" i="9"/>
  <c r="O658" i="9" s="1"/>
  <c r="N657" i="9"/>
  <c r="O657" i="9" s="1"/>
  <c r="N656" i="9"/>
  <c r="O656" i="9" s="1"/>
  <c r="N655" i="9"/>
  <c r="O655" i="9" s="1"/>
  <c r="N654" i="9"/>
  <c r="O654" i="9" s="1"/>
  <c r="N653" i="9"/>
  <c r="O653" i="9" s="1"/>
  <c r="N652" i="9"/>
  <c r="O652" i="9" s="1"/>
  <c r="N651" i="9"/>
  <c r="O651" i="9" s="1"/>
  <c r="N650" i="9"/>
  <c r="O650" i="9" s="1"/>
  <c r="N649" i="9"/>
  <c r="O649" i="9" s="1"/>
  <c r="N648" i="9"/>
  <c r="O648" i="9" s="1"/>
  <c r="N647" i="9"/>
  <c r="O647" i="9" s="1"/>
  <c r="N646" i="9"/>
  <c r="O646" i="9" s="1"/>
  <c r="N645" i="9"/>
  <c r="O645" i="9" s="1"/>
  <c r="N644" i="9"/>
  <c r="O644" i="9" s="1"/>
  <c r="N643" i="9"/>
  <c r="O643" i="9" s="1"/>
  <c r="N642" i="9"/>
  <c r="O642" i="9" s="1"/>
  <c r="N641" i="9"/>
  <c r="O641" i="9" s="1"/>
  <c r="N640" i="9"/>
  <c r="O640" i="9" s="1"/>
  <c r="N639" i="9"/>
  <c r="O639" i="9" s="1"/>
  <c r="N638" i="9"/>
  <c r="O638" i="9" s="1"/>
  <c r="N637" i="9"/>
  <c r="O637" i="9" s="1"/>
  <c r="N636" i="9"/>
  <c r="O636" i="9" s="1"/>
  <c r="N635" i="9"/>
  <c r="O635" i="9" s="1"/>
  <c r="N634" i="9"/>
  <c r="O634" i="9" s="1"/>
  <c r="N633" i="9"/>
  <c r="O633" i="9" s="1"/>
  <c r="N632" i="9"/>
  <c r="O632" i="9" s="1"/>
  <c r="N631" i="9"/>
  <c r="O631" i="9" s="1"/>
  <c r="N630" i="9"/>
  <c r="O630" i="9" s="1"/>
  <c r="N629" i="9"/>
  <c r="O629" i="9" s="1"/>
  <c r="N628" i="9"/>
  <c r="O628" i="9" s="1"/>
  <c r="N627" i="9"/>
  <c r="O627" i="9" s="1"/>
  <c r="N626" i="9"/>
  <c r="O626" i="9" s="1"/>
  <c r="N625" i="9"/>
  <c r="O625" i="9" s="1"/>
  <c r="N624" i="9"/>
  <c r="O624" i="9" s="1"/>
  <c r="N623" i="9"/>
  <c r="O623" i="9" s="1"/>
  <c r="N622" i="9"/>
  <c r="O622" i="9" s="1"/>
  <c r="N621" i="9"/>
  <c r="O621" i="9" s="1"/>
  <c r="N620" i="9"/>
  <c r="O620" i="9" s="1"/>
  <c r="N619" i="9"/>
  <c r="O619" i="9" s="1"/>
  <c r="N618" i="9"/>
  <c r="O618" i="9" s="1"/>
  <c r="N617" i="9"/>
  <c r="O617" i="9" s="1"/>
  <c r="N616" i="9"/>
  <c r="O616" i="9" s="1"/>
  <c r="N615" i="9"/>
  <c r="O615" i="9" s="1"/>
  <c r="N614" i="9"/>
  <c r="O614" i="9" s="1"/>
  <c r="N613" i="9"/>
  <c r="O613" i="9" s="1"/>
  <c r="N612" i="9"/>
  <c r="O612" i="9" s="1"/>
  <c r="N611" i="9"/>
  <c r="O611" i="9" s="1"/>
  <c r="N610" i="9"/>
  <c r="O610" i="9" s="1"/>
  <c r="N609" i="9"/>
  <c r="O609" i="9" s="1"/>
  <c r="N608" i="9"/>
  <c r="O608" i="9" s="1"/>
  <c r="N607" i="9"/>
  <c r="O607" i="9" s="1"/>
  <c r="N606" i="9"/>
  <c r="O606" i="9" s="1"/>
  <c r="N605" i="9"/>
  <c r="O605" i="9" s="1"/>
  <c r="N604" i="9"/>
  <c r="O604" i="9" s="1"/>
  <c r="N603" i="9"/>
  <c r="O603" i="9" s="1"/>
  <c r="N602" i="9"/>
  <c r="O602" i="9" s="1"/>
  <c r="N601" i="9"/>
  <c r="O601" i="9" s="1"/>
  <c r="N600" i="9"/>
  <c r="O600" i="9" s="1"/>
  <c r="N599" i="9"/>
  <c r="O599" i="9" s="1"/>
  <c r="N598" i="9"/>
  <c r="O598" i="9" s="1"/>
  <c r="N597" i="9"/>
  <c r="O597" i="9" s="1"/>
  <c r="N596" i="9"/>
  <c r="O596" i="9" s="1"/>
  <c r="N595" i="9"/>
  <c r="O595" i="9" s="1"/>
  <c r="N594" i="9"/>
  <c r="O594" i="9" s="1"/>
  <c r="N593" i="9"/>
  <c r="O593" i="9" s="1"/>
  <c r="N592" i="9"/>
  <c r="O592" i="9" s="1"/>
  <c r="N591" i="9"/>
  <c r="O591" i="9" s="1"/>
  <c r="N590" i="9"/>
  <c r="O590" i="9" s="1"/>
  <c r="N589" i="9"/>
  <c r="O589" i="9" s="1"/>
  <c r="N588" i="9"/>
  <c r="O588" i="9" s="1"/>
  <c r="N587" i="9"/>
  <c r="O587" i="9" s="1"/>
  <c r="N586" i="9"/>
  <c r="O586" i="9" s="1"/>
  <c r="N585" i="9"/>
  <c r="O585" i="9" s="1"/>
  <c r="N584" i="9"/>
  <c r="O584" i="9" s="1"/>
  <c r="N583" i="9"/>
  <c r="O583" i="9" s="1"/>
  <c r="N582" i="9"/>
  <c r="O582" i="9" s="1"/>
  <c r="N581" i="9"/>
  <c r="O581" i="9" s="1"/>
  <c r="N580" i="9"/>
  <c r="O580" i="9" s="1"/>
  <c r="N579" i="9"/>
  <c r="O579" i="9" s="1"/>
  <c r="N578" i="9"/>
  <c r="O578" i="9" s="1"/>
  <c r="N577" i="9"/>
  <c r="O577" i="9" s="1"/>
  <c r="N576" i="9"/>
  <c r="O576" i="9" s="1"/>
  <c r="N575" i="9"/>
  <c r="O575" i="9" s="1"/>
  <c r="N574" i="9"/>
  <c r="O574" i="9" s="1"/>
  <c r="N573" i="9"/>
  <c r="O573" i="9" s="1"/>
  <c r="N572" i="9"/>
  <c r="O572" i="9" s="1"/>
  <c r="N571" i="9"/>
  <c r="O571" i="9" s="1"/>
  <c r="N570" i="9"/>
  <c r="O570" i="9" s="1"/>
  <c r="N569" i="9"/>
  <c r="O569" i="9" s="1"/>
  <c r="N568" i="9"/>
  <c r="O568" i="9" s="1"/>
  <c r="N567" i="9"/>
  <c r="O567" i="9" s="1"/>
  <c r="N566" i="9"/>
  <c r="O566" i="9" s="1"/>
  <c r="N565" i="9"/>
  <c r="O565" i="9" s="1"/>
  <c r="N564" i="9"/>
  <c r="O564" i="9" s="1"/>
  <c r="N563" i="9"/>
  <c r="O563" i="9" s="1"/>
  <c r="N562" i="9"/>
  <c r="O562" i="9" s="1"/>
  <c r="N561" i="9"/>
  <c r="O561" i="9" s="1"/>
  <c r="N560" i="9"/>
  <c r="O560" i="9" s="1"/>
  <c r="N559" i="9"/>
  <c r="O559" i="9" s="1"/>
  <c r="N558" i="9"/>
  <c r="O558" i="9" s="1"/>
  <c r="N557" i="9"/>
  <c r="O557" i="9" s="1"/>
  <c r="N556" i="9"/>
  <c r="O556" i="9" s="1"/>
  <c r="N555" i="9"/>
  <c r="O555" i="9" s="1"/>
  <c r="N554" i="9"/>
  <c r="O554" i="9" s="1"/>
  <c r="N553" i="9"/>
  <c r="O553" i="9" s="1"/>
  <c r="N552" i="9"/>
  <c r="O552" i="9" s="1"/>
  <c r="N551" i="9"/>
  <c r="O551" i="9" s="1"/>
  <c r="N550" i="9"/>
  <c r="O550" i="9" s="1"/>
  <c r="N549" i="9"/>
  <c r="O549" i="9" s="1"/>
  <c r="N548" i="9"/>
  <c r="O548" i="9" s="1"/>
  <c r="N547" i="9"/>
  <c r="O547" i="9" s="1"/>
  <c r="N546" i="9"/>
  <c r="O546" i="9" s="1"/>
  <c r="N545" i="9"/>
  <c r="O545" i="9" s="1"/>
  <c r="N544" i="9"/>
  <c r="O544" i="9" s="1"/>
  <c r="N543" i="9"/>
  <c r="O543" i="9" s="1"/>
  <c r="N542" i="9"/>
  <c r="O542" i="9" s="1"/>
  <c r="N541" i="9"/>
  <c r="O541" i="9" s="1"/>
  <c r="N540" i="9"/>
  <c r="O540" i="9" s="1"/>
  <c r="N539" i="9"/>
  <c r="O539" i="9" s="1"/>
  <c r="N538" i="9"/>
  <c r="O538" i="9" s="1"/>
  <c r="N537" i="9"/>
  <c r="O537" i="9" s="1"/>
  <c r="N536" i="9"/>
  <c r="O536" i="9" s="1"/>
  <c r="N535" i="9"/>
  <c r="O535" i="9" s="1"/>
  <c r="N534" i="9"/>
  <c r="O534" i="9" s="1"/>
  <c r="N533" i="9"/>
  <c r="O533" i="9" s="1"/>
  <c r="N532" i="9"/>
  <c r="O532" i="9" s="1"/>
  <c r="N531" i="9"/>
  <c r="O531" i="9" s="1"/>
  <c r="N530" i="9"/>
  <c r="O530" i="9" s="1"/>
  <c r="N529" i="9"/>
  <c r="O529" i="9" s="1"/>
  <c r="N528" i="9"/>
  <c r="O528" i="9" s="1"/>
  <c r="N527" i="9"/>
  <c r="O527" i="9" s="1"/>
  <c r="N526" i="9"/>
  <c r="O526" i="9" s="1"/>
  <c r="N525" i="9"/>
  <c r="O525" i="9" s="1"/>
  <c r="N524" i="9"/>
  <c r="O524" i="9" s="1"/>
  <c r="N523" i="9"/>
  <c r="O523" i="9" s="1"/>
  <c r="N522" i="9"/>
  <c r="O522" i="9" s="1"/>
  <c r="N521" i="9"/>
  <c r="O521" i="9" s="1"/>
  <c r="N520" i="9"/>
  <c r="O520" i="9" s="1"/>
  <c r="N519" i="9"/>
  <c r="O519" i="9" s="1"/>
  <c r="N518" i="9"/>
  <c r="O518" i="9" s="1"/>
  <c r="N517" i="9"/>
  <c r="O517" i="9" s="1"/>
  <c r="N516" i="9"/>
  <c r="O516" i="9" s="1"/>
  <c r="N515" i="9"/>
  <c r="O515" i="9" s="1"/>
  <c r="N514" i="9"/>
  <c r="O514" i="9" s="1"/>
  <c r="N513" i="9"/>
  <c r="O513" i="9" s="1"/>
  <c r="N512" i="9"/>
  <c r="O512" i="9" s="1"/>
  <c r="N511" i="9"/>
  <c r="O511" i="9" s="1"/>
  <c r="N510" i="9"/>
  <c r="O510" i="9" s="1"/>
  <c r="N509" i="9"/>
  <c r="O509" i="9" s="1"/>
  <c r="N508" i="9"/>
  <c r="O508" i="9" s="1"/>
  <c r="N507" i="9"/>
  <c r="O507" i="9" s="1"/>
  <c r="N506" i="9"/>
  <c r="O506" i="9" s="1"/>
  <c r="N505" i="9"/>
  <c r="O505" i="9" s="1"/>
  <c r="N504" i="9"/>
  <c r="O504" i="9" s="1"/>
  <c r="N503" i="9"/>
  <c r="O503" i="9" s="1"/>
  <c r="N502" i="9"/>
  <c r="O502" i="9" s="1"/>
  <c r="N501" i="9"/>
  <c r="O501" i="9" s="1"/>
  <c r="N500" i="9"/>
  <c r="O500" i="9" s="1"/>
  <c r="N499" i="9"/>
  <c r="O499" i="9" s="1"/>
  <c r="N498" i="9"/>
  <c r="O498" i="9" s="1"/>
  <c r="N497" i="9"/>
  <c r="O497" i="9" s="1"/>
  <c r="N496" i="9"/>
  <c r="O496" i="9" s="1"/>
  <c r="N495" i="9"/>
  <c r="O495" i="9" s="1"/>
  <c r="N494" i="9"/>
  <c r="O494" i="9" s="1"/>
  <c r="N493" i="9"/>
  <c r="O493" i="9" s="1"/>
  <c r="N492" i="9"/>
  <c r="O492" i="9" s="1"/>
  <c r="N491" i="9"/>
  <c r="O491" i="9" s="1"/>
  <c r="N490" i="9"/>
  <c r="O490" i="9" s="1"/>
  <c r="N489" i="9"/>
  <c r="O489" i="9" s="1"/>
  <c r="N488" i="9"/>
  <c r="O488" i="9" s="1"/>
  <c r="N487" i="9"/>
  <c r="O487" i="9" s="1"/>
  <c r="N486" i="9"/>
  <c r="O486" i="9" s="1"/>
  <c r="N485" i="9"/>
  <c r="O485" i="9" s="1"/>
  <c r="N484" i="9"/>
  <c r="O484" i="9" s="1"/>
  <c r="N483" i="9"/>
  <c r="O483" i="9" s="1"/>
  <c r="N482" i="9"/>
  <c r="O482" i="9" s="1"/>
  <c r="N481" i="9"/>
  <c r="O481" i="9" s="1"/>
  <c r="N480" i="9"/>
  <c r="O480" i="9" s="1"/>
  <c r="N479" i="9"/>
  <c r="O479" i="9" s="1"/>
  <c r="N478" i="9"/>
  <c r="O478" i="9" s="1"/>
  <c r="N477" i="9"/>
  <c r="O477" i="9" s="1"/>
  <c r="N476" i="9"/>
  <c r="O476" i="9" s="1"/>
  <c r="N475" i="9"/>
  <c r="O475" i="9" s="1"/>
  <c r="N474" i="9"/>
  <c r="O474" i="9" s="1"/>
  <c r="N473" i="9"/>
  <c r="O473" i="9" s="1"/>
  <c r="N472" i="9"/>
  <c r="O472" i="9" s="1"/>
  <c r="N471" i="9"/>
  <c r="O471" i="9" s="1"/>
  <c r="N470" i="9"/>
  <c r="O470" i="9" s="1"/>
  <c r="N469" i="9"/>
  <c r="O469" i="9" s="1"/>
  <c r="N468" i="9"/>
  <c r="O468" i="9" s="1"/>
  <c r="N467" i="9"/>
  <c r="O467" i="9" s="1"/>
  <c r="N466" i="9"/>
  <c r="O466" i="9" s="1"/>
  <c r="N465" i="9"/>
  <c r="O465" i="9" s="1"/>
  <c r="N464" i="9"/>
  <c r="O464" i="9" s="1"/>
  <c r="N463" i="9"/>
  <c r="O463" i="9" s="1"/>
  <c r="N462" i="9"/>
  <c r="O462" i="9" s="1"/>
  <c r="N461" i="9"/>
  <c r="O461" i="9" s="1"/>
  <c r="N460" i="9"/>
  <c r="O460" i="9" s="1"/>
  <c r="N459" i="9"/>
  <c r="O459" i="9" s="1"/>
  <c r="N458" i="9"/>
  <c r="O458" i="9" s="1"/>
  <c r="N457" i="9"/>
  <c r="O457" i="9" s="1"/>
  <c r="N456" i="9"/>
  <c r="O456" i="9" s="1"/>
  <c r="N455" i="9"/>
  <c r="O455" i="9" s="1"/>
  <c r="N454" i="9"/>
  <c r="O454" i="9" s="1"/>
  <c r="N453" i="9"/>
  <c r="O453" i="9" s="1"/>
  <c r="N452" i="9"/>
  <c r="O452" i="9" s="1"/>
  <c r="N451" i="9"/>
  <c r="O451" i="9" s="1"/>
  <c r="N450" i="9"/>
  <c r="O450" i="9" s="1"/>
  <c r="N449" i="9"/>
  <c r="O449" i="9" s="1"/>
  <c r="N448" i="9"/>
  <c r="O448" i="9" s="1"/>
  <c r="N447" i="9"/>
  <c r="O447" i="9" s="1"/>
  <c r="N446" i="9"/>
  <c r="O446" i="9" s="1"/>
  <c r="N445" i="9"/>
  <c r="O445" i="9" s="1"/>
  <c r="N444" i="9"/>
  <c r="O444" i="9" s="1"/>
  <c r="N443" i="9"/>
  <c r="O443" i="9" s="1"/>
  <c r="N442" i="9"/>
  <c r="O442" i="9" s="1"/>
  <c r="N441" i="9"/>
  <c r="O441" i="9" s="1"/>
  <c r="N440" i="9"/>
  <c r="O440" i="9" s="1"/>
  <c r="N439" i="9"/>
  <c r="O439" i="9" s="1"/>
  <c r="N438" i="9"/>
  <c r="O438" i="9" s="1"/>
  <c r="N437" i="9"/>
  <c r="O437" i="9" s="1"/>
  <c r="N436" i="9"/>
  <c r="O436" i="9" s="1"/>
  <c r="N435" i="9"/>
  <c r="O435" i="9" s="1"/>
  <c r="N434" i="9"/>
  <c r="O434" i="9" s="1"/>
  <c r="N433" i="9"/>
  <c r="O433" i="9" s="1"/>
  <c r="N432" i="9"/>
  <c r="O432" i="9" s="1"/>
  <c r="N431" i="9"/>
  <c r="O431" i="9" s="1"/>
  <c r="N430" i="9"/>
  <c r="O430" i="9" s="1"/>
  <c r="N429" i="9"/>
  <c r="O429" i="9" s="1"/>
  <c r="N428" i="9"/>
  <c r="O428" i="9" s="1"/>
  <c r="N427" i="9"/>
  <c r="O427" i="9" s="1"/>
  <c r="N426" i="9"/>
  <c r="O426" i="9" s="1"/>
  <c r="N425" i="9"/>
  <c r="O425" i="9" s="1"/>
  <c r="N424" i="9"/>
  <c r="O424" i="9" s="1"/>
  <c r="N423" i="9"/>
  <c r="O423" i="9" s="1"/>
  <c r="N422" i="9"/>
  <c r="O422" i="9" s="1"/>
  <c r="N421" i="9"/>
  <c r="O421" i="9" s="1"/>
  <c r="N420" i="9"/>
  <c r="O420" i="9" s="1"/>
  <c r="N419" i="9"/>
  <c r="O419" i="9" s="1"/>
  <c r="N418" i="9"/>
  <c r="O418" i="9" s="1"/>
  <c r="N417" i="9"/>
  <c r="O417" i="9" s="1"/>
  <c r="N416" i="9"/>
  <c r="O416" i="9" s="1"/>
  <c r="N415" i="9"/>
  <c r="O415" i="9" s="1"/>
  <c r="N414" i="9"/>
  <c r="O414" i="9" s="1"/>
  <c r="N413" i="9"/>
  <c r="O413" i="9" s="1"/>
  <c r="N412" i="9"/>
  <c r="O412" i="9" s="1"/>
  <c r="N411" i="9"/>
  <c r="O411" i="9" s="1"/>
  <c r="N410" i="9"/>
  <c r="O410" i="9" s="1"/>
  <c r="N409" i="9"/>
  <c r="O409" i="9" s="1"/>
  <c r="N408" i="9"/>
  <c r="O408" i="9" s="1"/>
  <c r="N407" i="9"/>
  <c r="O407" i="9" s="1"/>
  <c r="N406" i="9"/>
  <c r="O406" i="9" s="1"/>
  <c r="N405" i="9"/>
  <c r="O405" i="9" s="1"/>
  <c r="N404" i="9"/>
  <c r="O404" i="9" s="1"/>
  <c r="N403" i="9"/>
  <c r="O403" i="9" s="1"/>
  <c r="N402" i="9"/>
  <c r="O402" i="9" s="1"/>
  <c r="N401" i="9"/>
  <c r="O401" i="9" s="1"/>
  <c r="N400" i="9"/>
  <c r="O400" i="9" s="1"/>
  <c r="N399" i="9"/>
  <c r="O399" i="9" s="1"/>
  <c r="N398" i="9"/>
  <c r="O398" i="9" s="1"/>
  <c r="N397" i="9"/>
  <c r="O397" i="9" s="1"/>
  <c r="N396" i="9"/>
  <c r="O396" i="9" s="1"/>
  <c r="N395" i="9"/>
  <c r="O395" i="9" s="1"/>
  <c r="N394" i="9"/>
  <c r="O394" i="9" s="1"/>
  <c r="N393" i="9"/>
  <c r="O393" i="9" s="1"/>
  <c r="N392" i="9"/>
  <c r="O392" i="9" s="1"/>
  <c r="N391" i="9"/>
  <c r="O391" i="9" s="1"/>
  <c r="N390" i="9"/>
  <c r="O390" i="9" s="1"/>
  <c r="N389" i="9"/>
  <c r="O389" i="9" s="1"/>
  <c r="N388" i="9"/>
  <c r="O388" i="9" s="1"/>
  <c r="N387" i="9"/>
  <c r="O387" i="9" s="1"/>
  <c r="N386" i="9"/>
  <c r="O386" i="9" s="1"/>
  <c r="N385" i="9"/>
  <c r="O385" i="9" s="1"/>
  <c r="N384" i="9"/>
  <c r="O384" i="9" s="1"/>
  <c r="N383" i="9"/>
  <c r="O383" i="9" s="1"/>
  <c r="N382" i="9"/>
  <c r="O382" i="9" s="1"/>
  <c r="N381" i="9"/>
  <c r="O381" i="9" s="1"/>
  <c r="N380" i="9"/>
  <c r="O380" i="9" s="1"/>
  <c r="N379" i="9"/>
  <c r="O379" i="9" s="1"/>
  <c r="N378" i="9"/>
  <c r="O378" i="9" s="1"/>
  <c r="N377" i="9"/>
  <c r="O377" i="9" s="1"/>
  <c r="N376" i="9"/>
  <c r="O376" i="9" s="1"/>
  <c r="N375" i="9"/>
  <c r="O375" i="9" s="1"/>
  <c r="N374" i="9"/>
  <c r="O374" i="9" s="1"/>
  <c r="N373" i="9"/>
  <c r="O373" i="9" s="1"/>
  <c r="N372" i="9"/>
  <c r="O372" i="9" s="1"/>
  <c r="N371" i="9"/>
  <c r="O371" i="9" s="1"/>
  <c r="N370" i="9"/>
  <c r="O370" i="9" s="1"/>
  <c r="N369" i="9"/>
  <c r="O369" i="9" s="1"/>
  <c r="N368" i="9"/>
  <c r="O368" i="9" s="1"/>
  <c r="N367" i="9"/>
  <c r="O367" i="9" s="1"/>
  <c r="N366" i="9"/>
  <c r="O366" i="9" s="1"/>
  <c r="N365" i="9"/>
  <c r="O365" i="9" s="1"/>
  <c r="N364" i="9"/>
  <c r="O364" i="9" s="1"/>
  <c r="N363" i="9"/>
  <c r="O363" i="9" s="1"/>
  <c r="N362" i="9"/>
  <c r="O362" i="9" s="1"/>
  <c r="N361" i="9"/>
  <c r="O361" i="9" s="1"/>
  <c r="N360" i="9"/>
  <c r="O360" i="9" s="1"/>
  <c r="N359" i="9"/>
  <c r="O359" i="9" s="1"/>
  <c r="N358" i="9"/>
  <c r="O358" i="9" s="1"/>
  <c r="N357" i="9"/>
  <c r="O357" i="9" s="1"/>
  <c r="N356" i="9"/>
  <c r="O356" i="9" s="1"/>
  <c r="N355" i="9"/>
  <c r="O355" i="9" s="1"/>
  <c r="N354" i="9"/>
  <c r="O354" i="9" s="1"/>
  <c r="N353" i="9"/>
  <c r="O353" i="9" s="1"/>
  <c r="N352" i="9"/>
  <c r="O352" i="9" s="1"/>
  <c r="N351" i="9"/>
  <c r="O351" i="9" s="1"/>
  <c r="N350" i="9"/>
  <c r="O350" i="9" s="1"/>
  <c r="N349" i="9"/>
  <c r="O349" i="9" s="1"/>
  <c r="N348" i="9"/>
  <c r="O348" i="9" s="1"/>
  <c r="N347" i="9"/>
  <c r="O347" i="9" s="1"/>
  <c r="N346" i="9"/>
  <c r="O346" i="9" s="1"/>
  <c r="N345" i="9"/>
  <c r="O345" i="9" s="1"/>
  <c r="N344" i="9"/>
  <c r="O344" i="9" s="1"/>
  <c r="N343" i="9"/>
  <c r="O343" i="9" s="1"/>
  <c r="N342" i="9"/>
  <c r="O342" i="9" s="1"/>
  <c r="N341" i="9"/>
  <c r="O341" i="9" s="1"/>
  <c r="N340" i="9"/>
  <c r="O340" i="9" s="1"/>
  <c r="N339" i="9"/>
  <c r="O339" i="9" s="1"/>
  <c r="N338" i="9"/>
  <c r="O338" i="9" s="1"/>
  <c r="N337" i="9"/>
  <c r="O337" i="9" s="1"/>
  <c r="N336" i="9"/>
  <c r="O336" i="9" s="1"/>
  <c r="N335" i="9"/>
  <c r="O335" i="9" s="1"/>
  <c r="N334" i="9"/>
  <c r="O334" i="9" s="1"/>
  <c r="N333" i="9"/>
  <c r="O333" i="9" s="1"/>
  <c r="N332" i="9"/>
  <c r="O332" i="9" s="1"/>
  <c r="N331" i="9"/>
  <c r="O331" i="9" s="1"/>
  <c r="N330" i="9"/>
  <c r="O330" i="9" s="1"/>
  <c r="N329" i="9"/>
  <c r="O329" i="9" s="1"/>
  <c r="N328" i="9"/>
  <c r="O328" i="9" s="1"/>
  <c r="N327" i="9"/>
  <c r="O327" i="9" s="1"/>
  <c r="N326" i="9"/>
  <c r="O326" i="9" s="1"/>
  <c r="N325" i="9"/>
  <c r="O325" i="9" s="1"/>
  <c r="N324" i="9"/>
  <c r="O324" i="9" s="1"/>
  <c r="N323" i="9"/>
  <c r="O323" i="9" s="1"/>
  <c r="N322" i="9"/>
  <c r="O322" i="9" s="1"/>
  <c r="N321" i="9"/>
  <c r="O321" i="9" s="1"/>
  <c r="N320" i="9"/>
  <c r="O320" i="9" s="1"/>
  <c r="N319" i="9"/>
  <c r="O319" i="9" s="1"/>
  <c r="N318" i="9"/>
  <c r="O318" i="9" s="1"/>
  <c r="N317" i="9"/>
  <c r="O317" i="9" s="1"/>
  <c r="N316" i="9"/>
  <c r="O316" i="9" s="1"/>
  <c r="N315" i="9"/>
  <c r="O315" i="9" s="1"/>
  <c r="N314" i="9"/>
  <c r="O314" i="9" s="1"/>
  <c r="N313" i="9"/>
  <c r="O313" i="9" s="1"/>
  <c r="N312" i="9"/>
  <c r="O312" i="9" s="1"/>
  <c r="N311" i="9"/>
  <c r="O311" i="9" s="1"/>
  <c r="N310" i="9"/>
  <c r="O310" i="9" s="1"/>
  <c r="N309" i="9"/>
  <c r="O309" i="9" s="1"/>
  <c r="N308" i="9"/>
  <c r="O308" i="9" s="1"/>
  <c r="N307" i="9"/>
  <c r="O307" i="9" s="1"/>
  <c r="N306" i="9"/>
  <c r="O306" i="9" s="1"/>
  <c r="N305" i="9"/>
  <c r="O305" i="9" s="1"/>
  <c r="N304" i="9"/>
  <c r="O304" i="9" s="1"/>
  <c r="N303" i="9"/>
  <c r="O303" i="9" s="1"/>
  <c r="N302" i="9"/>
  <c r="O302" i="9" s="1"/>
  <c r="N301" i="9"/>
  <c r="O301" i="9" s="1"/>
  <c r="N300" i="9"/>
  <c r="O300" i="9" s="1"/>
  <c r="N299" i="9"/>
  <c r="O299" i="9" s="1"/>
  <c r="N298" i="9"/>
  <c r="O298" i="9" s="1"/>
  <c r="N297" i="9"/>
  <c r="O297" i="9" s="1"/>
  <c r="N296" i="9"/>
  <c r="O296" i="9" s="1"/>
  <c r="N295" i="9"/>
  <c r="O295" i="9" s="1"/>
  <c r="N294" i="9"/>
  <c r="O294" i="9" s="1"/>
  <c r="N293" i="9"/>
  <c r="O293" i="9" s="1"/>
  <c r="N292" i="9"/>
  <c r="O292" i="9" s="1"/>
  <c r="N291" i="9"/>
  <c r="O291" i="9" s="1"/>
  <c r="N290" i="9"/>
  <c r="O290" i="9" s="1"/>
  <c r="N289" i="9"/>
  <c r="O289" i="9" s="1"/>
  <c r="N288" i="9"/>
  <c r="O288" i="9" s="1"/>
  <c r="N287" i="9"/>
  <c r="O287" i="9" s="1"/>
  <c r="N286" i="9"/>
  <c r="O286" i="9" s="1"/>
  <c r="N285" i="9"/>
  <c r="O285" i="9" s="1"/>
  <c r="N284" i="9"/>
  <c r="O284" i="9" s="1"/>
  <c r="N283" i="9"/>
  <c r="O283" i="9" s="1"/>
  <c r="N282" i="9"/>
  <c r="O282" i="9" s="1"/>
  <c r="N281" i="9"/>
  <c r="O281" i="9" s="1"/>
  <c r="N280" i="9"/>
  <c r="O280" i="9" s="1"/>
  <c r="N279" i="9"/>
  <c r="O279" i="9" s="1"/>
  <c r="N278" i="9"/>
  <c r="O278" i="9" s="1"/>
  <c r="N277" i="9"/>
  <c r="O277" i="9" s="1"/>
  <c r="N276" i="9"/>
  <c r="O276" i="9" s="1"/>
  <c r="N275" i="9"/>
  <c r="O275" i="9" s="1"/>
  <c r="N274" i="9"/>
  <c r="O274" i="9" s="1"/>
  <c r="N273" i="9"/>
  <c r="O273" i="9" s="1"/>
  <c r="N272" i="9"/>
  <c r="O272" i="9" s="1"/>
  <c r="N271" i="9"/>
  <c r="O271" i="9" s="1"/>
  <c r="N270" i="9"/>
  <c r="O270" i="9" s="1"/>
  <c r="N269" i="9"/>
  <c r="O269" i="9" s="1"/>
  <c r="N268" i="9"/>
  <c r="O268" i="9" s="1"/>
  <c r="N267" i="9"/>
  <c r="O267" i="9" s="1"/>
  <c r="N266" i="9"/>
  <c r="O266" i="9" s="1"/>
  <c r="N265" i="9"/>
  <c r="O265" i="9" s="1"/>
  <c r="N264" i="9"/>
  <c r="O264" i="9" s="1"/>
  <c r="N263" i="9"/>
  <c r="O263" i="9" s="1"/>
  <c r="N262" i="9"/>
  <c r="O262" i="9" s="1"/>
  <c r="N261" i="9"/>
  <c r="O261" i="9" s="1"/>
  <c r="N260" i="9"/>
  <c r="O260" i="9" s="1"/>
  <c r="N259" i="9"/>
  <c r="O259" i="9" s="1"/>
  <c r="N258" i="9"/>
  <c r="O258" i="9" s="1"/>
  <c r="N257" i="9"/>
  <c r="O257" i="9" s="1"/>
  <c r="N256" i="9"/>
  <c r="O256" i="9" s="1"/>
  <c r="N255" i="9"/>
  <c r="O255" i="9" s="1"/>
  <c r="N254" i="9"/>
  <c r="O254" i="9" s="1"/>
  <c r="N253" i="9"/>
  <c r="O253" i="9" s="1"/>
  <c r="N252" i="9"/>
  <c r="O252" i="9" s="1"/>
  <c r="N251" i="9"/>
  <c r="O251" i="9" s="1"/>
  <c r="N250" i="9"/>
  <c r="O250" i="9" s="1"/>
  <c r="N249" i="9"/>
  <c r="O249" i="9" s="1"/>
  <c r="N248" i="9"/>
  <c r="O248" i="9" s="1"/>
  <c r="N247" i="9"/>
  <c r="O247" i="9" s="1"/>
  <c r="N246" i="9"/>
  <c r="O246" i="9" s="1"/>
  <c r="N245" i="9"/>
  <c r="O245" i="9" s="1"/>
  <c r="N244" i="9"/>
  <c r="O244" i="9" s="1"/>
  <c r="N243" i="9"/>
  <c r="O243" i="9" s="1"/>
  <c r="N242" i="9"/>
  <c r="O242" i="9" s="1"/>
  <c r="N241" i="9"/>
  <c r="O241" i="9" s="1"/>
  <c r="N240" i="9"/>
  <c r="O240" i="9" s="1"/>
  <c r="N239" i="9"/>
  <c r="O239" i="9" s="1"/>
  <c r="N238" i="9"/>
  <c r="O238" i="9" s="1"/>
  <c r="N237" i="9"/>
  <c r="O237" i="9" s="1"/>
  <c r="N236" i="9"/>
  <c r="O236" i="9" s="1"/>
  <c r="N235" i="9"/>
  <c r="O235" i="9" s="1"/>
  <c r="N234" i="9"/>
  <c r="O234" i="9" s="1"/>
  <c r="N233" i="9"/>
  <c r="O233" i="9" s="1"/>
  <c r="N232" i="9"/>
  <c r="O232" i="9" s="1"/>
  <c r="N231" i="9"/>
  <c r="O231" i="9" s="1"/>
  <c r="N230" i="9"/>
  <c r="O230" i="9" s="1"/>
  <c r="N229" i="9"/>
  <c r="O229" i="9" s="1"/>
  <c r="N228" i="9"/>
  <c r="O228" i="9" s="1"/>
  <c r="N227" i="9"/>
  <c r="O227" i="9" s="1"/>
  <c r="N226" i="9"/>
  <c r="O226" i="9" s="1"/>
  <c r="N225" i="9"/>
  <c r="O225" i="9" s="1"/>
  <c r="N224" i="9"/>
  <c r="O224" i="9" s="1"/>
  <c r="N223" i="9"/>
  <c r="O223" i="9" s="1"/>
  <c r="N222" i="9"/>
  <c r="O222" i="9" s="1"/>
  <c r="N221" i="9"/>
  <c r="O221" i="9" s="1"/>
  <c r="N220" i="9"/>
  <c r="O220" i="9" s="1"/>
  <c r="N219" i="9"/>
  <c r="O219" i="9" s="1"/>
  <c r="N218" i="9"/>
  <c r="O218" i="9" s="1"/>
  <c r="N217" i="9"/>
  <c r="O217" i="9" s="1"/>
  <c r="N216" i="9"/>
  <c r="O216" i="9" s="1"/>
  <c r="N215" i="9"/>
  <c r="O215" i="9" s="1"/>
  <c r="N214" i="9"/>
  <c r="O214" i="9" s="1"/>
  <c r="N213" i="9"/>
  <c r="O213" i="9" s="1"/>
  <c r="N212" i="9"/>
  <c r="O212" i="9" s="1"/>
  <c r="N211" i="9"/>
  <c r="O211" i="9" s="1"/>
  <c r="N210" i="9"/>
  <c r="O210" i="9" s="1"/>
  <c r="N209" i="9"/>
  <c r="O209" i="9" s="1"/>
  <c r="N208" i="9"/>
  <c r="O208" i="9" s="1"/>
  <c r="N207" i="9"/>
  <c r="O207" i="9" s="1"/>
  <c r="N206" i="9"/>
  <c r="O206" i="9" s="1"/>
  <c r="N205" i="9"/>
  <c r="O205" i="9" s="1"/>
  <c r="N204" i="9"/>
  <c r="O204" i="9" s="1"/>
  <c r="N203" i="9"/>
  <c r="O203" i="9" s="1"/>
  <c r="N202" i="9"/>
  <c r="O202" i="9" s="1"/>
  <c r="N201" i="9"/>
  <c r="O201" i="9" s="1"/>
  <c r="N200" i="9"/>
  <c r="O200" i="9" s="1"/>
  <c r="N199" i="9"/>
  <c r="O199" i="9" s="1"/>
  <c r="N198" i="9"/>
  <c r="O198" i="9" s="1"/>
  <c r="N197" i="9"/>
  <c r="O197" i="9" s="1"/>
  <c r="N196" i="9"/>
  <c r="O196" i="9" s="1"/>
  <c r="N195" i="9"/>
  <c r="O195" i="9" s="1"/>
  <c r="N194" i="9"/>
  <c r="O194" i="9" s="1"/>
  <c r="N193" i="9"/>
  <c r="O193" i="9" s="1"/>
  <c r="N192" i="9"/>
  <c r="O192" i="9" s="1"/>
  <c r="N191" i="9"/>
  <c r="O191" i="9" s="1"/>
  <c r="N190" i="9"/>
  <c r="O190" i="9" s="1"/>
  <c r="N189" i="9"/>
  <c r="O189" i="9" s="1"/>
  <c r="N188" i="9"/>
  <c r="O188" i="9" s="1"/>
  <c r="N187" i="9"/>
  <c r="O187" i="9" s="1"/>
  <c r="N186" i="9"/>
  <c r="O186" i="9" s="1"/>
  <c r="N185" i="9"/>
  <c r="O185" i="9" s="1"/>
  <c r="N184" i="9"/>
  <c r="O184" i="9" s="1"/>
  <c r="N183" i="9"/>
  <c r="O183" i="9" s="1"/>
  <c r="N182" i="9"/>
  <c r="O182" i="9" s="1"/>
  <c r="N181" i="9"/>
  <c r="O181" i="9" s="1"/>
  <c r="N180" i="9"/>
  <c r="O180" i="9" s="1"/>
  <c r="N179" i="9"/>
  <c r="O179" i="9" s="1"/>
  <c r="N178" i="9"/>
  <c r="O178" i="9" s="1"/>
  <c r="N177" i="9"/>
  <c r="O177" i="9" s="1"/>
  <c r="N176" i="9"/>
  <c r="O176" i="9" s="1"/>
  <c r="N175" i="9"/>
  <c r="O175" i="9" s="1"/>
  <c r="N174" i="9"/>
  <c r="O174" i="9" s="1"/>
  <c r="N173" i="9"/>
  <c r="O173" i="9" s="1"/>
  <c r="N172" i="9"/>
  <c r="O172" i="9" s="1"/>
  <c r="N171" i="9"/>
  <c r="O171" i="9" s="1"/>
  <c r="N170" i="9"/>
  <c r="O170" i="9" s="1"/>
  <c r="N169" i="9"/>
  <c r="O169" i="9" s="1"/>
  <c r="N168" i="9"/>
  <c r="O168" i="9" s="1"/>
  <c r="N167" i="9"/>
  <c r="O167" i="9" s="1"/>
  <c r="N166" i="9"/>
  <c r="O166" i="9" s="1"/>
  <c r="N165" i="9"/>
  <c r="O165" i="9" s="1"/>
  <c r="N164" i="9"/>
  <c r="O164" i="9" s="1"/>
  <c r="N163" i="9"/>
  <c r="O163" i="9" s="1"/>
  <c r="N162" i="9"/>
  <c r="O162" i="9" s="1"/>
  <c r="N161" i="9"/>
  <c r="O161" i="9" s="1"/>
  <c r="N160" i="9"/>
  <c r="O160" i="9" s="1"/>
  <c r="N159" i="9"/>
  <c r="O159" i="9" s="1"/>
  <c r="N158" i="9"/>
  <c r="O158" i="9" s="1"/>
  <c r="N157" i="9"/>
  <c r="O157" i="9" s="1"/>
  <c r="N156" i="9"/>
  <c r="O156" i="9" s="1"/>
  <c r="N155" i="9"/>
  <c r="O155" i="9" s="1"/>
  <c r="N154" i="9"/>
  <c r="O154" i="9" s="1"/>
  <c r="N153" i="9"/>
  <c r="O153" i="9" s="1"/>
  <c r="N152" i="9"/>
  <c r="O152" i="9" s="1"/>
  <c r="N151" i="9"/>
  <c r="O151" i="9" s="1"/>
  <c r="N150" i="9"/>
  <c r="O150" i="9" s="1"/>
  <c r="N149" i="9"/>
  <c r="O149" i="9" s="1"/>
  <c r="N148" i="9"/>
  <c r="O148" i="9" s="1"/>
  <c r="N147" i="9"/>
  <c r="O147" i="9" s="1"/>
  <c r="N146" i="9"/>
  <c r="O146" i="9" s="1"/>
  <c r="N145" i="9"/>
  <c r="O145" i="9" s="1"/>
  <c r="N144" i="9"/>
  <c r="O144" i="9" s="1"/>
  <c r="N143" i="9"/>
  <c r="O143" i="9" s="1"/>
  <c r="N142" i="9"/>
  <c r="O142" i="9" s="1"/>
  <c r="N141" i="9"/>
  <c r="O141" i="9" s="1"/>
  <c r="N140" i="9"/>
  <c r="O140" i="9" s="1"/>
  <c r="N139" i="9"/>
  <c r="O139" i="9" s="1"/>
  <c r="N138" i="9"/>
  <c r="O138" i="9" s="1"/>
  <c r="N137" i="9"/>
  <c r="O137" i="9" s="1"/>
  <c r="N136" i="9"/>
  <c r="O136" i="9" s="1"/>
  <c r="N135" i="9"/>
  <c r="O135" i="9" s="1"/>
  <c r="N134" i="9"/>
  <c r="O134" i="9" s="1"/>
  <c r="N133" i="9"/>
  <c r="O133" i="9" s="1"/>
  <c r="N132" i="9"/>
  <c r="O132" i="9" s="1"/>
  <c r="N131" i="9"/>
  <c r="O131" i="9" s="1"/>
  <c r="N130" i="9"/>
  <c r="O130" i="9" s="1"/>
  <c r="N129" i="9"/>
  <c r="O129" i="9" s="1"/>
  <c r="N128" i="9"/>
  <c r="O128" i="9" s="1"/>
  <c r="N127" i="9"/>
  <c r="O127" i="9" s="1"/>
  <c r="N126" i="9"/>
  <c r="O126" i="9" s="1"/>
  <c r="N125" i="9"/>
  <c r="O125" i="9" s="1"/>
  <c r="N124" i="9"/>
  <c r="O124" i="9" s="1"/>
  <c r="N123" i="9"/>
  <c r="O123" i="9" s="1"/>
  <c r="N122" i="9"/>
  <c r="O122" i="9" s="1"/>
  <c r="N121" i="9"/>
  <c r="O121" i="9" s="1"/>
  <c r="N120" i="9"/>
  <c r="O120" i="9" s="1"/>
  <c r="N119" i="9"/>
  <c r="O119" i="9" s="1"/>
  <c r="N118" i="9"/>
  <c r="O118" i="9" s="1"/>
  <c r="N117" i="9"/>
  <c r="O117" i="9" s="1"/>
  <c r="N116" i="9"/>
  <c r="O116" i="9" s="1"/>
  <c r="N115" i="9"/>
  <c r="O115" i="9" s="1"/>
  <c r="N114" i="9"/>
  <c r="O114" i="9" s="1"/>
  <c r="N113" i="9"/>
  <c r="O113" i="9" s="1"/>
  <c r="N112" i="9"/>
  <c r="O112" i="9" s="1"/>
  <c r="N111" i="9"/>
  <c r="O111" i="9" s="1"/>
  <c r="N110" i="9"/>
  <c r="O110" i="9" s="1"/>
  <c r="N109" i="9"/>
  <c r="O109" i="9" s="1"/>
  <c r="N108" i="9"/>
  <c r="O108" i="9" s="1"/>
  <c r="N107" i="9"/>
  <c r="O107" i="9" s="1"/>
  <c r="N106" i="9"/>
  <c r="O106" i="9" s="1"/>
  <c r="N105" i="9"/>
  <c r="O105" i="9" s="1"/>
  <c r="N104" i="9"/>
  <c r="O104" i="9" s="1"/>
  <c r="N103" i="9"/>
  <c r="O103" i="9" s="1"/>
  <c r="N102" i="9"/>
  <c r="O102" i="9" s="1"/>
  <c r="N101" i="9"/>
  <c r="O101" i="9" s="1"/>
  <c r="N100" i="9"/>
  <c r="O100" i="9" s="1"/>
  <c r="N99" i="9"/>
  <c r="O99" i="9" s="1"/>
  <c r="N98" i="9"/>
  <c r="O98" i="9" s="1"/>
  <c r="N97" i="9"/>
  <c r="O97" i="9" s="1"/>
  <c r="N96" i="9"/>
  <c r="O96" i="9" s="1"/>
  <c r="N95" i="9"/>
  <c r="O95" i="9" s="1"/>
  <c r="N94" i="9"/>
  <c r="O94" i="9" s="1"/>
  <c r="N93" i="9"/>
  <c r="O93" i="9" s="1"/>
  <c r="N92" i="9"/>
  <c r="O92" i="9" s="1"/>
  <c r="N91" i="9"/>
  <c r="O91" i="9" s="1"/>
  <c r="N90" i="9"/>
  <c r="O90" i="9" s="1"/>
  <c r="N89" i="9"/>
  <c r="O89" i="9" s="1"/>
  <c r="N88" i="9"/>
  <c r="O88" i="9" s="1"/>
  <c r="N87" i="9"/>
  <c r="O87" i="9" s="1"/>
  <c r="N86" i="9"/>
  <c r="O86" i="9" s="1"/>
  <c r="N85" i="9"/>
  <c r="O85" i="9" s="1"/>
  <c r="N84" i="9"/>
  <c r="O84" i="9" s="1"/>
  <c r="N83" i="9"/>
  <c r="O83" i="9" s="1"/>
  <c r="N82" i="9"/>
  <c r="O82" i="9" s="1"/>
  <c r="N81" i="9"/>
  <c r="O81" i="9" s="1"/>
  <c r="N80" i="9"/>
  <c r="O80" i="9" s="1"/>
  <c r="N79" i="9"/>
  <c r="O79" i="9" s="1"/>
  <c r="N78" i="9"/>
  <c r="O78" i="9" s="1"/>
  <c r="N77" i="9"/>
  <c r="O77" i="9" s="1"/>
  <c r="N76" i="9"/>
  <c r="O76" i="9" s="1"/>
  <c r="N75" i="9"/>
  <c r="O75" i="9" s="1"/>
  <c r="N74" i="9"/>
  <c r="O74" i="9" s="1"/>
  <c r="N73" i="9"/>
  <c r="O73" i="9" s="1"/>
  <c r="N72" i="9"/>
  <c r="O72" i="9" s="1"/>
  <c r="N71" i="9"/>
  <c r="O71" i="9" s="1"/>
  <c r="N70" i="9"/>
  <c r="O70" i="9" s="1"/>
  <c r="N69" i="9"/>
  <c r="O69" i="9" s="1"/>
  <c r="N68" i="9"/>
  <c r="O68" i="9" s="1"/>
  <c r="N67" i="9"/>
  <c r="O67" i="9" s="1"/>
  <c r="N66" i="9"/>
  <c r="O66" i="9" s="1"/>
  <c r="N65" i="9"/>
  <c r="O65" i="9" s="1"/>
  <c r="N64" i="9"/>
  <c r="O64" i="9" s="1"/>
  <c r="N63" i="9"/>
  <c r="O63" i="9" s="1"/>
  <c r="N62" i="9"/>
  <c r="O62" i="9" s="1"/>
  <c r="N61" i="9"/>
  <c r="O61" i="9" s="1"/>
  <c r="N60" i="9"/>
  <c r="O60" i="9" s="1"/>
  <c r="N59" i="9"/>
  <c r="O59" i="9" s="1"/>
  <c r="N58" i="9"/>
  <c r="O58" i="9" s="1"/>
  <c r="N57" i="9"/>
  <c r="O57" i="9" s="1"/>
  <c r="N56" i="9"/>
  <c r="O56" i="9" s="1"/>
  <c r="N55" i="9"/>
  <c r="O55" i="9" s="1"/>
  <c r="N54" i="9"/>
  <c r="O54" i="9" s="1"/>
  <c r="N53" i="9"/>
  <c r="O53" i="9" s="1"/>
  <c r="N52" i="9"/>
  <c r="O52" i="9" s="1"/>
  <c r="N51" i="9"/>
  <c r="O51" i="9" s="1"/>
  <c r="N50" i="9"/>
  <c r="O50" i="9" s="1"/>
  <c r="N49" i="9"/>
  <c r="O49" i="9" s="1"/>
  <c r="N48" i="9"/>
  <c r="O48" i="9" s="1"/>
  <c r="N47" i="9"/>
  <c r="O47" i="9" s="1"/>
  <c r="N46" i="9"/>
  <c r="O46" i="9" s="1"/>
  <c r="N45" i="9"/>
  <c r="O45" i="9" s="1"/>
  <c r="N44" i="9"/>
  <c r="O44" i="9" s="1"/>
  <c r="N43" i="9"/>
  <c r="O43" i="9" s="1"/>
  <c r="N42" i="9"/>
  <c r="O42" i="9" s="1"/>
  <c r="N41" i="9"/>
  <c r="O41" i="9" s="1"/>
  <c r="N40" i="9"/>
  <c r="O40" i="9" s="1"/>
  <c r="N39" i="9"/>
  <c r="O39" i="9" s="1"/>
  <c r="N38" i="9"/>
  <c r="O38" i="9" s="1"/>
  <c r="N37" i="9"/>
  <c r="O37" i="9" s="1"/>
  <c r="N36" i="9"/>
  <c r="O36" i="9" s="1"/>
  <c r="N35" i="9"/>
  <c r="O35" i="9" s="1"/>
  <c r="N34" i="9"/>
  <c r="O34" i="9" s="1"/>
  <c r="N33" i="9"/>
  <c r="O33" i="9" s="1"/>
  <c r="N32" i="9"/>
  <c r="O32" i="9" s="1"/>
  <c r="N31" i="9"/>
  <c r="O31" i="9" s="1"/>
  <c r="N30" i="9"/>
  <c r="O30" i="9" s="1"/>
  <c r="N29" i="9"/>
  <c r="O29" i="9" s="1"/>
  <c r="N28" i="9"/>
  <c r="O28" i="9" s="1"/>
  <c r="N27" i="9"/>
  <c r="O27" i="9" s="1"/>
  <c r="N26" i="9"/>
  <c r="O26" i="9" s="1"/>
  <c r="N25" i="9"/>
  <c r="O25" i="9" s="1"/>
  <c r="N24" i="9"/>
  <c r="O24" i="9" s="1"/>
  <c r="N23" i="9"/>
  <c r="O23" i="9" s="1"/>
  <c r="N22" i="9"/>
  <c r="O22" i="9" s="1"/>
  <c r="N21" i="9"/>
  <c r="O21" i="9" s="1"/>
  <c r="N20" i="9"/>
  <c r="O20" i="9" s="1"/>
  <c r="N19" i="9"/>
  <c r="O19" i="9" s="1"/>
  <c r="N18" i="9"/>
  <c r="O18" i="9" s="1"/>
  <c r="N17" i="9"/>
  <c r="O17" i="9" s="1"/>
  <c r="N16" i="9"/>
  <c r="O16" i="9" s="1"/>
  <c r="N15" i="9"/>
  <c r="O15" i="9" s="1"/>
  <c r="N14" i="9"/>
  <c r="O14" i="9" s="1"/>
  <c r="N13" i="9"/>
  <c r="O13" i="9" s="1"/>
  <c r="N12" i="9"/>
  <c r="O12" i="9" s="1"/>
  <c r="N11" i="9"/>
  <c r="O11" i="9" s="1"/>
  <c r="N10" i="9"/>
  <c r="O10" i="9" s="1"/>
  <c r="N9" i="9"/>
  <c r="O9" i="9" s="1"/>
  <c r="N8" i="9"/>
  <c r="O8" i="9" s="1"/>
  <c r="N7" i="9"/>
  <c r="O7" i="9" s="1"/>
  <c r="N6" i="9"/>
  <c r="O6" i="9" s="1"/>
  <c r="N5" i="9"/>
  <c r="O5" i="9" s="1"/>
  <c r="N4" i="9"/>
  <c r="O4" i="9" s="1"/>
  <c r="I135" i="8"/>
  <c r="K42" i="8"/>
  <c r="K113" i="8"/>
  <c r="K141" i="8" s="1"/>
  <c r="K111" i="8"/>
  <c r="D5" i="7" s="1"/>
  <c r="K110" i="8"/>
  <c r="K109" i="8"/>
  <c r="K108" i="8"/>
  <c r="K107" i="8"/>
  <c r="K106" i="8"/>
  <c r="K105" i="8"/>
  <c r="K104" i="8"/>
  <c r="K103" i="8"/>
  <c r="K102" i="8"/>
  <c r="K101" i="8"/>
  <c r="K100" i="8"/>
  <c r="K99" i="8"/>
  <c r="K98" i="8"/>
  <c r="K97" i="8"/>
  <c r="K96" i="8"/>
  <c r="K95" i="8"/>
  <c r="K93" i="8"/>
  <c r="K92" i="8"/>
  <c r="K82" i="8"/>
  <c r="K81" i="8"/>
  <c r="K80" i="8"/>
  <c r="K79" i="8"/>
  <c r="K78" i="8"/>
  <c r="K77" i="8"/>
  <c r="K76" i="8"/>
  <c r="K75" i="8"/>
  <c r="K74" i="8"/>
  <c r="K73" i="8"/>
  <c r="K72" i="8"/>
  <c r="K71" i="8"/>
  <c r="K70" i="8"/>
  <c r="L68" i="8"/>
  <c r="L64" i="8"/>
  <c r="K63" i="8"/>
  <c r="K62" i="8"/>
  <c r="K61" i="8"/>
  <c r="K129" i="8" s="1"/>
  <c r="L60" i="8"/>
  <c r="M60" i="8" s="1"/>
  <c r="L58" i="8"/>
  <c r="M58" i="8" s="1"/>
  <c r="L57" i="8"/>
  <c r="M57" i="8" s="1"/>
  <c r="L55" i="8"/>
  <c r="L54" i="8"/>
  <c r="M54" i="8" s="1"/>
  <c r="L53" i="8"/>
  <c r="M53" i="8" s="1"/>
  <c r="K52" i="8"/>
  <c r="L51" i="8"/>
  <c r="M51" i="8" s="1"/>
  <c r="L50" i="8"/>
  <c r="M50" i="8" s="1"/>
  <c r="K48" i="8"/>
  <c r="L47" i="8"/>
  <c r="L46" i="8"/>
  <c r="M46" i="8" s="1"/>
  <c r="K45" i="8"/>
  <c r="L44" i="8"/>
  <c r="L43" i="8"/>
  <c r="L42" i="8"/>
  <c r="L41" i="8"/>
  <c r="L40" i="8"/>
  <c r="L39" i="8"/>
  <c r="L38" i="8"/>
  <c r="L37" i="8"/>
  <c r="L36" i="8"/>
  <c r="M36" i="8" s="1"/>
  <c r="L35" i="8"/>
  <c r="L34" i="8"/>
  <c r="L33" i="8"/>
  <c r="L32" i="8"/>
  <c r="K31" i="8"/>
  <c r="K30" i="8"/>
  <c r="L28" i="8"/>
  <c r="M28" i="8" s="1"/>
  <c r="L27" i="8"/>
  <c r="M27" i="8" s="1"/>
  <c r="L25" i="8"/>
  <c r="M25" i="8" s="1"/>
  <c r="L24" i="8"/>
  <c r="M24" i="8" s="1"/>
  <c r="L23" i="8"/>
  <c r="M23" i="8" s="1"/>
  <c r="L21" i="8"/>
  <c r="M21" i="8" s="1"/>
  <c r="L20" i="8"/>
  <c r="M20" i="8" s="1"/>
  <c r="L19" i="8"/>
  <c r="L18" i="8"/>
  <c r="M18" i="8" s="1"/>
  <c r="L17" i="8"/>
  <c r="M17" i="8" s="1"/>
  <c r="K15" i="8"/>
  <c r="L13" i="8"/>
  <c r="M13" i="8" s="1"/>
  <c r="L12" i="8"/>
  <c r="M12" i="8" s="1"/>
  <c r="L11" i="8"/>
  <c r="M11" i="8" s="1"/>
  <c r="L9" i="8"/>
  <c r="M9" i="8" s="1"/>
  <c r="L8" i="8"/>
  <c r="L7" i="8"/>
  <c r="M7" i="8" s="1"/>
  <c r="L6" i="8"/>
  <c r="L5" i="8"/>
  <c r="M5" i="8" s="1"/>
  <c r="L4" i="8"/>
  <c r="M4" i="8" s="1"/>
  <c r="D37" i="7"/>
  <c r="D14" i="7"/>
  <c r="D11" i="7"/>
  <c r="D10" i="7"/>
  <c r="D4" i="7"/>
  <c r="D3" i="7"/>
  <c r="I115" i="13" l="1"/>
  <c r="H115" i="13"/>
  <c r="I119" i="13"/>
  <c r="H119" i="13"/>
  <c r="I62" i="13"/>
  <c r="H62" i="13"/>
  <c r="G135" i="13" s="1"/>
  <c r="D36" i="7" s="1"/>
  <c r="M8" i="8"/>
  <c r="J127" i="8"/>
  <c r="I127" i="8" s="1"/>
  <c r="C4" i="7" s="1"/>
  <c r="J137" i="8"/>
  <c r="I137" i="8" s="1"/>
  <c r="C14" i="7" s="1"/>
  <c r="K140" i="8"/>
  <c r="D17" i="7" s="1"/>
  <c r="G139" i="13"/>
  <c r="M55" i="8"/>
  <c r="C12" i="7"/>
  <c r="D18" i="7"/>
  <c r="O776" i="9"/>
  <c r="N811" i="9"/>
  <c r="I815" i="9" s="1"/>
  <c r="D21" i="10"/>
  <c r="M6" i="8"/>
  <c r="J128" i="8"/>
  <c r="I128" i="8" s="1"/>
  <c r="I173" i="12"/>
  <c r="G173" i="12" s="1"/>
  <c r="C24" i="7" s="1"/>
  <c r="H177" i="12"/>
  <c r="D28" i="7" s="1"/>
  <c r="H174" i="12"/>
  <c r="D25" i="7" s="1"/>
  <c r="H173" i="12"/>
  <c r="D24" i="7" s="1"/>
  <c r="H175" i="12"/>
  <c r="D26" i="7" s="1"/>
  <c r="AJ36" i="51"/>
  <c r="E40" i="11"/>
  <c r="K142" i="8" s="1"/>
  <c r="C21" i="10"/>
  <c r="I131" i="8" s="1"/>
  <c r="C8" i="7" s="1"/>
  <c r="J815" i="9"/>
  <c r="I130" i="8" s="1"/>
  <c r="C7" i="7" s="1"/>
  <c r="J133" i="8"/>
  <c r="I133" i="8" s="1"/>
  <c r="C10" i="7" s="1"/>
  <c r="H166" i="12"/>
  <c r="F166" i="12" s="1"/>
  <c r="G27" i="11"/>
  <c r="F136" i="13"/>
  <c r="E136" i="13" s="1"/>
  <c r="C37" i="7" s="1"/>
  <c r="F135" i="13"/>
  <c r="I176" i="12"/>
  <c r="G176" i="12" s="1"/>
  <c r="C27" i="7" s="1"/>
  <c r="H176" i="12"/>
  <c r="D27" i="7" s="1"/>
  <c r="K138" i="8"/>
  <c r="D15" i="7" s="1"/>
  <c r="J136" i="8"/>
  <c r="I136" i="8" s="1"/>
  <c r="C13" i="7" s="1"/>
  <c r="K44" i="8"/>
  <c r="K37" i="8"/>
  <c r="K41" i="8"/>
  <c r="K40" i="8"/>
  <c r="L14" i="8"/>
  <c r="J129" i="8" s="1"/>
  <c r="I129" i="8" s="1"/>
  <c r="J134" i="8"/>
  <c r="I134" i="8" s="1"/>
  <c r="C11" i="7" s="1"/>
  <c r="J126" i="8"/>
  <c r="I126" i="8" s="1"/>
  <c r="K39" i="8"/>
  <c r="K43" i="8"/>
  <c r="K38" i="8"/>
  <c r="F133" i="13"/>
  <c r="I100" i="13"/>
  <c r="F137" i="13" s="1"/>
  <c r="H179" i="12"/>
  <c r="D30" i="7" s="1"/>
  <c r="H178" i="12"/>
  <c r="D29" i="7" s="1"/>
  <c r="I166" i="12"/>
  <c r="D127" i="13" l="1"/>
  <c r="AJ39" i="51"/>
  <c r="E2" i="1"/>
  <c r="E6" i="1" s="1"/>
  <c r="C3" i="4" s="1"/>
  <c r="K131" i="8"/>
  <c r="D8" i="7" s="1"/>
  <c r="E127" i="13"/>
  <c r="I124" i="13" s="1"/>
  <c r="G137" i="13"/>
  <c r="D38" i="7" s="1"/>
  <c r="E141" i="13"/>
  <c r="C41" i="7" s="1"/>
  <c r="G141" i="13"/>
  <c r="D41" i="7" s="1"/>
  <c r="K136" i="8"/>
  <c r="E135" i="13"/>
  <c r="D6" i="7"/>
  <c r="D19" i="7"/>
  <c r="E166" i="12"/>
  <c r="G166" i="12" s="1"/>
  <c r="E137" i="13"/>
  <c r="C38" i="7" s="1"/>
  <c r="E133" i="13"/>
  <c r="F134" i="13"/>
  <c r="F143" i="13" s="1"/>
  <c r="C5" i="7"/>
  <c r="C6" i="7"/>
  <c r="M14" i="8"/>
  <c r="C31" i="7"/>
  <c r="I180" i="12"/>
  <c r="G180" i="12" s="1"/>
  <c r="C3" i="7"/>
  <c r="H180" i="12"/>
  <c r="I117" i="8"/>
  <c r="G3" i="4" l="1"/>
  <c r="E3" i="4"/>
  <c r="I3" i="4" s="1"/>
  <c r="C11" i="4" s="1"/>
  <c r="E5" i="1"/>
  <c r="AJ40" i="51"/>
  <c r="C36" i="7"/>
  <c r="G117" i="8"/>
  <c r="I143" i="8"/>
  <c r="C20" i="7" s="1"/>
  <c r="C127" i="13"/>
  <c r="F127" i="13" s="1"/>
  <c r="E134" i="13"/>
  <c r="G140" i="13" s="1"/>
  <c r="D40" i="7" s="1"/>
  <c r="J143" i="8"/>
  <c r="E11" i="4" l="1"/>
  <c r="G11" i="4"/>
  <c r="H11" i="4"/>
  <c r="I11" i="4" s="1"/>
  <c r="E143" i="13"/>
  <c r="C35" i="7"/>
  <c r="C43" i="7" s="1"/>
  <c r="C48" i="7" s="1"/>
  <c r="F7" i="1" s="1"/>
  <c r="C49" i="7"/>
  <c r="F8" i="1" s="1"/>
  <c r="J117" i="8"/>
  <c r="G143" i="13"/>
  <c r="F21" i="1" l="1"/>
  <c r="D43" i="7"/>
  <c r="C55" i="7"/>
  <c r="D31" i="7"/>
  <c r="F29" i="1" l="1"/>
  <c r="D4" i="4"/>
  <c r="H4" i="4" s="1"/>
  <c r="D12" i="4" s="1"/>
  <c r="C7" i="98" s="1"/>
  <c r="G1" i="7"/>
  <c r="H16" i="4" l="1"/>
  <c r="D15" i="4"/>
  <c r="C21" i="4" s="1"/>
  <c r="D7" i="4"/>
  <c r="L815" i="9"/>
  <c r="U830" i="9"/>
  <c r="J16" i="4" l="1"/>
  <c r="J22" i="4" s="1"/>
  <c r="C10" i="98"/>
  <c r="C12" i="98" s="1"/>
  <c r="C16" i="98" s="1"/>
  <c r="K130" i="8"/>
  <c r="D7" i="7" s="1"/>
  <c r="D50" i="7"/>
  <c r="E11" i="1" s="1"/>
  <c r="H7" i="4"/>
  <c r="H67" i="8"/>
  <c r="K67" i="8" s="1"/>
  <c r="H16" i="8"/>
  <c r="K16" i="8" s="1"/>
  <c r="H65" i="8"/>
  <c r="K65" i="8" s="1"/>
  <c r="H56" i="8"/>
  <c r="K56" i="8" s="1"/>
  <c r="H29" i="8"/>
  <c r="K29" i="8" s="1"/>
  <c r="H66" i="8"/>
  <c r="K66" i="8" s="1"/>
  <c r="H26" i="8"/>
  <c r="K26" i="8" s="1"/>
  <c r="H22" i="8"/>
  <c r="H59" i="8"/>
  <c r="K59" i="8" s="1"/>
  <c r="K10" i="8"/>
  <c r="K22" i="8" l="1"/>
  <c r="H117" i="8" s="1"/>
  <c r="D12" i="7"/>
  <c r="K139" i="8"/>
  <c r="D16" i="7" s="1"/>
  <c r="K132" i="8" l="1"/>
  <c r="D9" i="7" s="1"/>
  <c r="D13" i="7"/>
  <c r="F117" i="8"/>
  <c r="K117" i="8" l="1"/>
  <c r="D52" i="7" s="1"/>
  <c r="E12" i="1" s="1"/>
  <c r="D20" i="7"/>
  <c r="D48" i="7" s="1"/>
  <c r="K143" i="8"/>
  <c r="D54" i="7" l="1"/>
  <c r="E13" i="1" s="1"/>
  <c r="E15" i="1"/>
  <c r="H124" i="13" l="1"/>
  <c r="D49" i="7" s="1"/>
  <c r="D51" i="7" l="1"/>
  <c r="E18" i="1" s="1"/>
  <c r="D53" i="7"/>
  <c r="E14" i="1" s="1"/>
  <c r="E16" i="1"/>
  <c r="D55" i="7" l="1"/>
  <c r="E21" i="1"/>
  <c r="E28" i="1" s="1"/>
  <c r="C4" i="4" l="1"/>
  <c r="C6" i="4"/>
  <c r="G4" i="4" l="1"/>
  <c r="C12" i="4" s="1"/>
  <c r="E6" i="4"/>
  <c r="G6" i="4"/>
  <c r="C14" i="4" s="1"/>
  <c r="E4" i="4"/>
  <c r="C7" i="4"/>
  <c r="E29" i="1"/>
  <c r="G12" i="4" l="1"/>
  <c r="A15" i="4"/>
  <c r="G14" i="4"/>
  <c r="B17" i="4"/>
  <c r="B23" i="4" s="1"/>
  <c r="H12" i="4"/>
  <c r="E14" i="4"/>
  <c r="H14" i="4"/>
  <c r="I6" i="4"/>
  <c r="I4" i="4"/>
  <c r="E7" i="4"/>
  <c r="F4" i="4" s="1"/>
  <c r="G7" i="4"/>
  <c r="A12" i="4" l="1"/>
  <c r="A14" i="4"/>
  <c r="A11" i="4"/>
  <c r="A13" i="4"/>
  <c r="H15" i="4"/>
  <c r="I12" i="4"/>
  <c r="G15" i="4"/>
  <c r="C8" i="98" s="1"/>
  <c r="I13" i="4"/>
  <c r="F6" i="4"/>
  <c r="E12" i="4"/>
  <c r="E15" i="4" s="1"/>
  <c r="E17" i="4" s="1"/>
  <c r="C15" i="4"/>
  <c r="F3" i="4"/>
  <c r="F5" i="4"/>
  <c r="I7" i="4"/>
  <c r="C20" i="4" l="1"/>
  <c r="C6" i="98"/>
  <c r="C11" i="98" s="1"/>
  <c r="I15" i="4"/>
  <c r="I16" i="4" s="1"/>
  <c r="J15" i="4" s="1"/>
  <c r="C9" i="98"/>
  <c r="J3" i="4"/>
  <c r="J5" i="4"/>
  <c r="F7" i="4"/>
  <c r="J4" i="4"/>
  <c r="J6" i="4"/>
  <c r="C15" i="98" l="1"/>
  <c r="J21" i="4"/>
  <c r="J7" i="4"/>
</calcChain>
</file>

<file path=xl/sharedStrings.xml><?xml version="1.0" encoding="utf-8"?>
<sst xmlns="http://schemas.openxmlformats.org/spreadsheetml/2006/main" count="14692" uniqueCount="4554">
  <si>
    <t>یورو</t>
  </si>
  <si>
    <t>ريال</t>
  </si>
  <si>
    <t>شرح</t>
  </si>
  <si>
    <t>خدمات مهندسی</t>
  </si>
  <si>
    <t xml:space="preserve">جمع خدمات مهندسی        </t>
  </si>
  <si>
    <t>هزینه تهیه و تامین کالا و تجهیزات خارجی</t>
  </si>
  <si>
    <t>الف</t>
  </si>
  <si>
    <t>هزینه تهیه و تامین قطعات یدکی برای دوران راه اندازی و 2 ساله تعمیر و نگهداری</t>
  </si>
  <si>
    <t>هزینه تهیه و تامین کالا و تجهیزات داخلی</t>
  </si>
  <si>
    <t>ب</t>
  </si>
  <si>
    <t>ج</t>
  </si>
  <si>
    <t>بازنگری و تائید مهندسی مقدماتی</t>
  </si>
  <si>
    <t>انجام خدمات مهندسی تفصیلی</t>
  </si>
  <si>
    <t>د</t>
  </si>
  <si>
    <t>و</t>
  </si>
  <si>
    <t>ز</t>
  </si>
  <si>
    <t>ه‍</t>
  </si>
  <si>
    <t>هزینه حمل خارجی</t>
  </si>
  <si>
    <r>
      <t>هزینه ترخیص شامل عوارض گمرکی و سود بازرگانی کالا و</t>
    </r>
    <r>
      <rPr>
        <sz val="11"/>
        <color theme="1"/>
        <rFont val="Times New Roman"/>
        <family val="1"/>
      </rPr>
      <t xml:space="preserve"> </t>
    </r>
    <r>
      <rPr>
        <sz val="11"/>
        <color theme="1"/>
        <rFont val="Calibri"/>
        <family val="2"/>
        <scheme val="minor"/>
      </rPr>
      <t>تجهیزات خارجی</t>
    </r>
  </si>
  <si>
    <t>هزینه خدمات فنی سازندگان در دوران نصب و راه اندازی</t>
  </si>
  <si>
    <t>هزینه بازرسی کالا و تجهیزات خارجی</t>
  </si>
  <si>
    <t>هزینه حمل داخلی</t>
  </si>
  <si>
    <t>هزینه بازرسی کالا و تجهیزات داخلی</t>
  </si>
  <si>
    <t>تجهیز و برچیدن</t>
  </si>
  <si>
    <t>ساخت و نصب و راه اندازی</t>
  </si>
  <si>
    <t>تسهیلات مورد نیاز کارفرما</t>
  </si>
  <si>
    <r>
      <t xml:space="preserve">الزامات </t>
    </r>
    <r>
      <rPr>
        <sz val="11"/>
        <color theme="1"/>
        <rFont val="Times New Roman"/>
        <family val="1"/>
      </rPr>
      <t xml:space="preserve">HSE </t>
    </r>
    <r>
      <rPr>
        <sz val="11"/>
        <color theme="1"/>
        <rFont val="Calibri"/>
        <family val="2"/>
        <scheme val="minor"/>
      </rPr>
      <t xml:space="preserve"> (مقررات ایمنی، بهداشت و محیط زیست شرکت ملی نفت ایران)</t>
    </r>
  </si>
  <si>
    <t>جمع</t>
  </si>
  <si>
    <t>ردیف</t>
  </si>
  <si>
    <r>
      <t xml:space="preserve">مطالعات ارزیابی اثرات زیست محیطی، </t>
    </r>
    <r>
      <rPr>
        <sz val="11"/>
        <color theme="1"/>
        <rFont val="Times New Roman"/>
        <family val="1"/>
      </rPr>
      <t>پيوست سلامت، هزاپ، ژئوتكنيك تكميلي، و نقشه برداري تكميلي</t>
    </r>
  </si>
  <si>
    <t>جمع خدمات تهیه و تامین کالا و تجهیزات</t>
  </si>
  <si>
    <t>جمع خدمات ساختمانی</t>
  </si>
  <si>
    <t>per Euro</t>
  </si>
  <si>
    <t>per $</t>
  </si>
  <si>
    <t>مهندسي</t>
  </si>
  <si>
    <t>كالا</t>
  </si>
  <si>
    <t>اجرا</t>
  </si>
  <si>
    <t>E</t>
  </si>
  <si>
    <t>P</t>
  </si>
  <si>
    <t>C</t>
  </si>
  <si>
    <t>بخش</t>
  </si>
  <si>
    <t>مجموع (ريال)</t>
  </si>
  <si>
    <t>درصد از كل پروژه</t>
  </si>
  <si>
    <t>overhead factor (P)</t>
  </si>
  <si>
    <t>overhead factor (C)</t>
  </si>
  <si>
    <t>مجموع (ريال با اعمال سربار)</t>
  </si>
  <si>
    <t>هزینه حمل داخلی کالا و تجهیزات خرید خارج و هزينه حمل كالاي داخلي</t>
  </si>
  <si>
    <t>عملیات ساختمانی و اجرا</t>
  </si>
  <si>
    <r>
      <t xml:space="preserve">2-2 تهیه و تامین کالا و تجهیزات داخلی برمبنای </t>
    </r>
    <r>
      <rPr>
        <sz val="12"/>
        <color theme="1"/>
        <rFont val="Times New Roman"/>
        <family val="1"/>
      </rPr>
      <t>تحويل در محل پروژه</t>
    </r>
  </si>
  <si>
    <t xml:space="preserve">هزینه بیمه کالا و تجهیزات خارجی </t>
  </si>
  <si>
    <t>در آيتم ه از 1-2 در نظر گرفته شده است</t>
  </si>
  <si>
    <t>هزینه بیمه کالا و تجهیزات داخلی  و هزينه هاي داخلي بيمه كالا و تجهيزات خريد خارج</t>
  </si>
  <si>
    <t>در آيتم و از 1-2 در نظر گرفته شده است</t>
  </si>
  <si>
    <t>در آيتم ز از 1-2 در نظر گرفته شده است</t>
  </si>
  <si>
    <t xml:space="preserve">در آيتم الف از 1-2 و ج از 2-2 در نظر گرفته شده است </t>
  </si>
  <si>
    <t>2-1 تهیه و تامین کالا و تجهیزات خارجی بر مبنای DAP  (تحويل در محل پروژه)</t>
  </si>
  <si>
    <t>جدول 2.1 -جدول خلاصه مالی تفكيكي تهيه و خريد كالاي مکانیک و لوله و اتصالات مورد نياز پروژه بر اساس پیوست 1،2 و3</t>
  </si>
  <si>
    <t>ارز مرجع</t>
  </si>
  <si>
    <t>رديف</t>
  </si>
  <si>
    <t>شرح فعاليت ها</t>
  </si>
  <si>
    <t xml:space="preserve">یورو </t>
  </si>
  <si>
    <t>الكترواستاتيك ها و ادوات مربوطه</t>
  </si>
  <si>
    <t>كوره ها و ادوات مربوطه</t>
  </si>
  <si>
    <t>مبدل نفت / نفت و مبدل آب / آب</t>
  </si>
  <si>
    <t>تلمبه ها</t>
  </si>
  <si>
    <t xml:space="preserve">شيرآلات و اتصالات ، رنگها و لوله های داخل سایت </t>
  </si>
  <si>
    <t>خرید لوله های بیرون سایت</t>
  </si>
  <si>
    <t>مخزن های اتمسفریک و تحت فشار</t>
  </si>
  <si>
    <t>سیستم پساب</t>
  </si>
  <si>
    <t>Flare &amp; Ignitor</t>
  </si>
  <si>
    <t>بسته های تزریق مواد شیمیایی</t>
  </si>
  <si>
    <t>Vacuum Deaerator Package</t>
  </si>
  <si>
    <r>
      <t xml:space="preserve">سیستم </t>
    </r>
    <r>
      <rPr>
        <sz val="11"/>
        <color indexed="8"/>
        <rFont val="Calibri"/>
        <family val="2"/>
      </rPr>
      <t>HVAC</t>
    </r>
  </si>
  <si>
    <t>جرثقیلهای سقفی</t>
  </si>
  <si>
    <t>خرید اقلام ایمنی و آتش نشانی</t>
  </si>
  <si>
    <t>گیرنده و فرستنده توپک</t>
  </si>
  <si>
    <t>مواد شیمیایی مصرفی</t>
  </si>
  <si>
    <t xml:space="preserve">جمع كل </t>
  </si>
  <si>
    <t>جدول 2.4 -جدول خلاصه مالی تفكيكي تهيه و خريد كالاي برق و مخابرات مورد نياز پروژه بر اساس پیوست 4</t>
  </si>
  <si>
    <t>تابلوها</t>
  </si>
  <si>
    <t>اتصالات برق (شامل گلندها، شرودها، جعبه هاي اتصال، مفصلها و ...)</t>
  </si>
  <si>
    <t>كابلهاي قدرت</t>
  </si>
  <si>
    <r>
      <t xml:space="preserve">ترانس ها و </t>
    </r>
    <r>
      <rPr>
        <sz val="11"/>
        <color indexed="8"/>
        <rFont val="Calibri"/>
        <family val="2"/>
      </rPr>
      <t>UPS</t>
    </r>
    <r>
      <rPr>
        <sz val="11"/>
        <color indexed="8"/>
        <rFont val="B Nazanin"/>
        <charset val="178"/>
      </rPr>
      <t xml:space="preserve"> دیزل ژنراتور</t>
    </r>
  </si>
  <si>
    <r>
      <t xml:space="preserve">وسايل و تجهيزات مخابرات، </t>
    </r>
    <r>
      <rPr>
        <sz val="11"/>
        <color indexed="8"/>
        <rFont val="B Nazanin"/>
        <charset val="178"/>
      </rPr>
      <t>و پیجینگ</t>
    </r>
  </si>
  <si>
    <t xml:space="preserve">پایه ها و برجهاي روشنائي و سایر ملحقات و ادوات روشنایی </t>
  </si>
  <si>
    <t>خط انتقال برق شامل کابل ، پایه ها و یراق آلات</t>
  </si>
  <si>
    <t>جدول 2.5 -جدول خلاصه مالی تفكيكي تهيه و خريدادوات و تجهیزات ابزاردقیق و تجهیزات آزمایشگاه  مورد نياز پروژه بر اساس پیوست 5و6</t>
  </si>
  <si>
    <t>ادوات ابزار دقیق شامل : ترانسمیترها ، سوئیچ ها ، گیج ها و ...</t>
  </si>
  <si>
    <r>
      <t xml:space="preserve">شیرآلات ابزار شامل : شیر </t>
    </r>
    <r>
      <rPr>
        <sz val="11"/>
        <color indexed="8"/>
        <rFont val="Calibri"/>
        <family val="2"/>
      </rPr>
      <t>ON/OFF</t>
    </r>
    <r>
      <rPr>
        <sz val="11"/>
        <color indexed="8"/>
        <rFont val="B Nazanin"/>
        <charset val="178"/>
      </rPr>
      <t xml:space="preserve"> ، شیرهای کنترلی ، </t>
    </r>
    <r>
      <rPr>
        <sz val="11"/>
        <color indexed="8"/>
        <rFont val="Calibri"/>
        <family val="2"/>
      </rPr>
      <t xml:space="preserve">PSV </t>
    </r>
    <r>
      <rPr>
        <sz val="11"/>
        <color indexed="8"/>
        <rFont val="B Nazanin"/>
        <charset val="178"/>
      </rPr>
      <t xml:space="preserve">، </t>
    </r>
    <r>
      <rPr>
        <sz val="11"/>
        <color indexed="8"/>
        <rFont val="Calibri"/>
        <family val="2"/>
      </rPr>
      <t>PCV</t>
    </r>
  </si>
  <si>
    <t>اقلام بالک ابزار دقیق</t>
  </si>
  <si>
    <t>کابلهای ابزار دقیق و ملحقات شامل : گلند سینی و ...</t>
  </si>
  <si>
    <t>تجهیزات آزمایشگاه</t>
  </si>
  <si>
    <t>CCTV</t>
  </si>
  <si>
    <t>جدول 1.7 -جدول خلاصه مالی تفكيكي تهيه و خريد كالاي پروژه</t>
  </si>
  <si>
    <t>ترخيص كالاي خارجي شامل هزينه هاي گمرك و بازرگاني ، عوارض موردنياز ماليات، هزينه‌هاي بانكي و ...</t>
  </si>
  <si>
    <t>بیمه حمل کالاهای داخلی و خارجی، بیمه مسئولیت، تمام خطر نصب و سایر بیمه های مورد نیاز</t>
  </si>
  <si>
    <t>هزينه هاي بارگيري ، حمل و تخليه كالاي خارجي، هزينه هاي بارگيري، حمل و تخليه كالاي داخلي</t>
  </si>
  <si>
    <t>هزینه های بازرسی اشخاص ثالث</t>
  </si>
  <si>
    <t>خدمات فنی سازندگان در دوران نصب و راه اندازی</t>
  </si>
  <si>
    <t>جمع كل</t>
  </si>
  <si>
    <t>ITEM</t>
  </si>
  <si>
    <t>TAG. NO.</t>
  </si>
  <si>
    <t>SERVICE</t>
  </si>
  <si>
    <t>SPECIFICATION</t>
  </si>
  <si>
    <t>UNIT</t>
  </si>
  <si>
    <t>Quantity</t>
  </si>
  <si>
    <t>هزینه واحد بدون ضریب</t>
  </si>
  <si>
    <t>هزینه کل بدون ضریب</t>
  </si>
  <si>
    <t>خرید</t>
  </si>
  <si>
    <t xml:space="preserve"> ترخیص</t>
  </si>
  <si>
    <t xml:space="preserve">حمل </t>
  </si>
  <si>
    <t>Rls</t>
  </si>
  <si>
    <t>Euro</t>
  </si>
  <si>
    <t>DE</t>
  </si>
  <si>
    <t>-001-A/B</t>
  </si>
  <si>
    <r>
      <t>1</t>
    </r>
    <r>
      <rPr>
        <vertAlign val="superscript"/>
        <sz val="10"/>
        <color indexed="8"/>
        <rFont val="Arial"/>
        <family val="2"/>
      </rPr>
      <t xml:space="preserve">at </t>
    </r>
    <r>
      <rPr>
        <sz val="10"/>
        <color indexed="8"/>
        <rFont val="Arial"/>
        <family val="2"/>
      </rPr>
      <t xml:space="preserve"> TRAIN DESALTER</t>
    </r>
  </si>
  <si>
    <t>536 m3/hr , 19.5 bar D.P.
 T/T=18000 mm , ID=5300 mm</t>
  </si>
  <si>
    <t>SET</t>
  </si>
  <si>
    <t>-002-A/B</t>
  </si>
  <si>
    <r>
      <t>2</t>
    </r>
    <r>
      <rPr>
        <vertAlign val="superscript"/>
        <sz val="10"/>
        <color indexed="8"/>
        <rFont val="Arial"/>
        <family val="2"/>
      </rPr>
      <t>nd</t>
    </r>
    <r>
      <rPr>
        <sz val="10"/>
        <color indexed="8"/>
        <rFont val="Arial"/>
        <family val="2"/>
      </rPr>
      <t xml:space="preserve"> TRAIN DESALTER</t>
    </r>
  </si>
  <si>
    <t>537 m3/hr , 19.5 bar D.P.
 T/T=18000 mm , ID=5300 mm</t>
  </si>
  <si>
    <t>SALTY CRUDE / DESALTED
CRUDE HEAT EXCHANGER</t>
  </si>
  <si>
    <t>COLD = 527 m³/h, HOT = 421 m³/h , D.P.=19.5barg, 5275 kw</t>
  </si>
  <si>
    <t>No.</t>
  </si>
  <si>
    <t>WATER / WATER HEAT
EXCHANGER</t>
  </si>
  <si>
    <t>COLD = 21 m³/h, HOT = 136.5   m³/h , D.P.=19.5barg, 1250 kw</t>
  </si>
  <si>
    <t>H</t>
  </si>
  <si>
    <t>-001-A1/A2</t>
  </si>
  <si>
    <t>CRUDE OIL INDIRECT 
FIRED HEATER</t>
  </si>
  <si>
    <t>245.4 m³/h (each) , D.P.=19.5barg
7155 kw</t>
  </si>
  <si>
    <t>-001-B1/B2</t>
  </si>
  <si>
    <t>TK</t>
  </si>
  <si>
    <t>-003</t>
  </si>
  <si>
    <t>OFF-SPEC TANK</t>
  </si>
  <si>
    <t>7363 m³,H=15000mm.D=25000mm</t>
  </si>
  <si>
    <t>Kg</t>
  </si>
  <si>
    <t xml:space="preserve"> </t>
  </si>
  <si>
    <t>MAIN TRANSFER PUMPS</t>
  </si>
  <si>
    <t>500m3/hr, 15.2 bar, 216.3 kw</t>
  </si>
  <si>
    <t>AUXILLIARY TRANSFER PUMPS</t>
  </si>
  <si>
    <t>250m3/hr, 15.2 bar, 108.1 kw</t>
  </si>
  <si>
    <t>-003-A/B</t>
  </si>
  <si>
    <t>OFF-SPEC PUMPS</t>
  </si>
  <si>
    <t>100 m3/hr , 15.5 bar,44.2 kw</t>
  </si>
  <si>
    <t>-005-A/B</t>
  </si>
  <si>
    <t>DEGASSING WATER  PUMPS</t>
  </si>
  <si>
    <t>30m3/hr, 3bar, 2.7 kw</t>
  </si>
  <si>
    <t>V</t>
  </si>
  <si>
    <t>FREE WATER K.O DRUM</t>
  </si>
  <si>
    <t>340 m³, L=21250mm, ID=4250mm</t>
  </si>
  <si>
    <t>-101</t>
  </si>
  <si>
    <t>DILUTION  WATER TANK</t>
  </si>
  <si>
    <t>1472 m³,H=12000mm, ID=12500mm</t>
  </si>
  <si>
    <t>-103</t>
  </si>
  <si>
    <t>DILUTION WATER PUMPS</t>
  </si>
  <si>
    <t>40m3/hr , 10.4 bar, 12 kw</t>
  </si>
  <si>
    <t>-106-A1/A2</t>
  </si>
  <si>
    <t>20 m3/hr, 10.4 bar, 6 kw</t>
  </si>
  <si>
    <t>PK</t>
  </si>
  <si>
    <t>VACUUM DEAERATOR PACKAGE</t>
  </si>
  <si>
    <t>41 m³/h</t>
  </si>
  <si>
    <t>-102-A/B</t>
  </si>
  <si>
    <t>DEAERATED WATER PUMPS</t>
  </si>
  <si>
    <t>20m3/hr, 2.4 bar, 1.35 kw</t>
  </si>
  <si>
    <t>-105</t>
  </si>
  <si>
    <t>40m3/hr, 2.4 bar, 2.7 kw</t>
  </si>
  <si>
    <t>-102</t>
  </si>
  <si>
    <t>POTABLE WATER TANK</t>
  </si>
  <si>
    <t>32.6 m³,H=2600mm, D=4000mm</t>
  </si>
  <si>
    <t>-104</t>
  </si>
  <si>
    <t>POTABLE WATER FILLING PUMP</t>
  </si>
  <si>
    <t>20m3/hr, 2.5 bar, 1.4 kw</t>
  </si>
  <si>
    <t>-201-A/B/C</t>
  </si>
  <si>
    <t>WATER INJECTION MAIN PUMPS</t>
  </si>
  <si>
    <t>73m3/hr (each),36.3 bar, 73.6 kw</t>
  </si>
  <si>
    <t>-206-A/B/C</t>
  </si>
  <si>
    <t>WATER INJECTION BOOSTER PUMPS</t>
  </si>
  <si>
    <t>36.5m3/hr (each),36.3 bar, 36.5 kw</t>
  </si>
  <si>
    <t>OS</t>
  </si>
  <si>
    <t>-201</t>
  </si>
  <si>
    <t>OIL SKIMMER TANK</t>
  </si>
  <si>
    <t>392.5 m³,H=5000mm, D=10000mm</t>
  </si>
  <si>
    <t>-201-A/B</t>
  </si>
  <si>
    <t>IGF PACKAGE</t>
  </si>
  <si>
    <t>18105 SBPD (each)</t>
  </si>
  <si>
    <t>-202</t>
  </si>
  <si>
    <t>NUTSHELL FILTER PACKAGE</t>
  </si>
  <si>
    <t>36100 SBPD</t>
  </si>
  <si>
    <t>یک قلم در ردیف فوق</t>
  </si>
  <si>
    <t>DISPOSAL TANK</t>
  </si>
  <si>
    <t>942 m³,H=12000mm,D=10000mm</t>
  </si>
  <si>
    <t>-301</t>
  </si>
  <si>
    <t>FUEL GAS K.O. DRUM</t>
  </si>
  <si>
    <t>1.5 m³ , T/T=2810 mm, D=860 mm</t>
  </si>
  <si>
    <t>-401</t>
  </si>
  <si>
    <t>AIR RECIEVER</t>
  </si>
  <si>
    <t>30 m³, T/T=7000mm, ID=2335mm</t>
  </si>
  <si>
    <t>-401-A/B</t>
  </si>
  <si>
    <t>AIR COMPRESSOR PACKAGE</t>
  </si>
  <si>
    <t>553 N m³/h, 10barg</t>
  </si>
  <si>
    <t>-402</t>
  </si>
  <si>
    <t>AIR DRYER PACKAGE</t>
  </si>
  <si>
    <t>453 N m³/h</t>
  </si>
  <si>
    <t>300 N m³/h, 10barg</t>
  </si>
  <si>
    <t>525 N m³/h</t>
  </si>
  <si>
    <t>-501-A/B/C</t>
  </si>
  <si>
    <t>CHEMICAL INJECTION PORTABLE PUMPS</t>
  </si>
  <si>
    <t>.8m³/h, 2bar, 0.45 kw</t>
  </si>
  <si>
    <t>-501</t>
  </si>
  <si>
    <t>DEMULSIFIER INJECTION PACKAGE</t>
  </si>
  <si>
    <t>10-20 LIT/HR 
Injection Pressure = 5 barg</t>
  </si>
  <si>
    <t>-502-A/B</t>
  </si>
  <si>
    <t>10-20 LIT/HR 
Injection Pressure = 15 bar</t>
  </si>
  <si>
    <t>OXYGEN SCAVENGER INJECTION PACKAGE</t>
  </si>
  <si>
    <t>2-10 LIT/HR 
Injection Pressure = 4.5 bar</t>
  </si>
  <si>
    <t>CORROSION INHIBITOR INJECTION PACKAGE</t>
  </si>
  <si>
    <t>2-10 LIT/HR 
Injection Pressure = 3 bar</t>
  </si>
  <si>
    <t>REVERSE DEMULSIFIER INJECTION PACKAGE</t>
  </si>
  <si>
    <t>-506-A</t>
  </si>
  <si>
    <t>BIOCIDE INJECTION PACKAGE (TYPE A)</t>
  </si>
  <si>
    <t>20-70 LIT/HR 
Injection Pressure = 3 bar</t>
  </si>
  <si>
    <t>-506-B</t>
  </si>
  <si>
    <t>BIOCIDE INJECTION PACKAGE (TYPE B)</t>
  </si>
  <si>
    <t>-507</t>
  </si>
  <si>
    <t>ANTI SCALE INJECTION PACKAGE</t>
  </si>
  <si>
    <t>2-10 LIT/HR 
Injection Pressure = 9 bar</t>
  </si>
  <si>
    <t>-601</t>
  </si>
  <si>
    <t>FLARE K.O. DRUM</t>
  </si>
  <si>
    <t>17.0 m³, T/T=7400 mm, ID=1600 mm</t>
  </si>
  <si>
    <t>-601-A/B</t>
  </si>
  <si>
    <t>FLARE K.O DRUM LIQUID PUMPS</t>
  </si>
  <si>
    <t>15m3/hr, 0.8 bar, 0.33 kw</t>
  </si>
  <si>
    <t>FLARE PACKAGE</t>
  </si>
  <si>
    <t>COLD FLARE PACKAGE</t>
  </si>
  <si>
    <t>BURN PIT IGNITION PACKAGE</t>
  </si>
  <si>
    <t>-701-A/B</t>
  </si>
  <si>
    <t>HC CLOSED DRAIN TRANSFER PUMPS</t>
  </si>
  <si>
    <t>27.5m3/hr, 4.3 bar, 3.3 kw</t>
  </si>
  <si>
    <t>-702A/B</t>
  </si>
  <si>
    <t>HC CLOSED DRAIN DRUM SUMP PUMP</t>
  </si>
  <si>
    <t>5.5m3/hr, 7 bar. 0.11 kw</t>
  </si>
  <si>
    <t>-701</t>
  </si>
  <si>
    <t>HC CLOSED DRAIN DRUM</t>
  </si>
  <si>
    <t>96.2 m³,T/T=10000 mm
ID=3500 mm</t>
  </si>
  <si>
    <t>-703-A/B</t>
  </si>
  <si>
    <t>CLEAN WATER PUMPS</t>
  </si>
  <si>
    <t>11m3/hr, 1.8 bar, 0.54 kw</t>
  </si>
  <si>
    <t>-704-A/B</t>
  </si>
  <si>
    <t>RECOVERED WASTE OIL PUMPS</t>
  </si>
  <si>
    <t>11 m3/hr, 2.7 bar, 0.8 kw</t>
  </si>
  <si>
    <t>-750</t>
  </si>
  <si>
    <t>OILY WATER SEPARATOR PUMP</t>
  </si>
  <si>
    <t>1m3/hr, 0.84 bar, 0.02kw</t>
  </si>
  <si>
    <t>DIRTY OILTANK</t>
  </si>
  <si>
    <t>21 m³,T/T=3000 mm, ID=3000 mm</t>
  </si>
  <si>
    <t>-705-A/B</t>
  </si>
  <si>
    <t>DIRTY OIL PUMPS</t>
  </si>
  <si>
    <t>5m3/hr, 2bar, 0.3 kw</t>
  </si>
  <si>
    <t>-706-A/B</t>
  </si>
  <si>
    <t>RECOVERED WASTE WATER  PUMPS</t>
  </si>
  <si>
    <t>33m3/hr, 1.5 bar, 1.35 kw</t>
  </si>
  <si>
    <t>-801</t>
  </si>
  <si>
    <t>DIESEL STORAGE TANK</t>
  </si>
  <si>
    <t>14.9 m³, T/T=4750mm
ID=2000mm</t>
  </si>
  <si>
    <t>DIESEL OIL PUMP</t>
  </si>
  <si>
    <t>10m3/hr, 0.6 bar, 0.16 kw</t>
  </si>
  <si>
    <t>-901A/B</t>
  </si>
  <si>
    <t>FIRE WATER MAIN ELECTRICAL PUMP</t>
  </si>
  <si>
    <t>480m3/hr, 10 barg,133kw</t>
  </si>
  <si>
    <t>902</t>
  </si>
  <si>
    <t>FIRE WATER MAIN DESEL PUMP</t>
  </si>
  <si>
    <t>-903-A/B</t>
  </si>
  <si>
    <t>FIRE WATER JOCKEY PUMPS</t>
  </si>
  <si>
    <t>15m3/hr, 6 barg, 2.5 kw</t>
  </si>
  <si>
    <t>108A/B</t>
  </si>
  <si>
    <t>UNIT SUPPLY WATER PUMP</t>
  </si>
  <si>
    <t>-901</t>
  </si>
  <si>
    <t>DISEL FUEL DAILY TANK</t>
  </si>
  <si>
    <t>2 m³</t>
  </si>
  <si>
    <t>-902-A/B</t>
  </si>
  <si>
    <t>FIRE WATER STORAGE TANK</t>
  </si>
  <si>
    <t>SUPPLY WATER STORAGE TANK</t>
  </si>
  <si>
    <t>1717.2 m³, T/T=14000mm, ID=12500mm</t>
  </si>
  <si>
    <t>-904</t>
  </si>
  <si>
    <t>FIRE WATER LOADING PUMP</t>
  </si>
  <si>
    <t>30m3/hr, 3 bar, 2.5 kw</t>
  </si>
  <si>
    <t>CRANES</t>
  </si>
  <si>
    <t>طبق لیست زیر</t>
  </si>
  <si>
    <t>CR</t>
  </si>
  <si>
    <t>001</t>
  </si>
  <si>
    <t>AIR COMPRESSOR ROOM CRANE</t>
  </si>
  <si>
    <t>002</t>
  </si>
  <si>
    <t>CHEMICAL STORAGE SHELTER CRANE (ex)</t>
  </si>
  <si>
    <t>003</t>
  </si>
  <si>
    <t>004</t>
  </si>
  <si>
    <t>CHEMICAL INJECTION PACKAGE SHELTER CRANE (ex)</t>
  </si>
  <si>
    <t>005</t>
  </si>
  <si>
    <t>006</t>
  </si>
  <si>
    <t>WORK SHOP CRANE</t>
  </si>
  <si>
    <t>007</t>
  </si>
  <si>
    <t>PUMP SHELTER CRANE (ex)</t>
  </si>
  <si>
    <t>008</t>
  </si>
  <si>
    <t>FIRE WATER SHELTER CRANE</t>
  </si>
  <si>
    <t>009</t>
  </si>
  <si>
    <t>PROCESS PUMP SHELTER CRANE (ex)</t>
  </si>
  <si>
    <t>65.10</t>
  </si>
  <si>
    <t>010</t>
  </si>
  <si>
    <t>DILUTION WATER PUMP SHELTER CRANE</t>
  </si>
  <si>
    <t>011</t>
  </si>
  <si>
    <t>DEARATOR WATER PUMP SHELTER CRANE</t>
  </si>
  <si>
    <t>012</t>
  </si>
  <si>
    <t>PU4 COMPRESSOR STATION CRANE</t>
  </si>
  <si>
    <t>013</t>
  </si>
  <si>
    <t>CHEMICAL STORAGE SHELTER CRANE(ex)</t>
  </si>
  <si>
    <t>HVAC</t>
  </si>
  <si>
    <t>HVAC  FOR ACCOMMODATION</t>
  </si>
  <si>
    <t>HVAC  FOR DE4 SWITCHGERA ROOM</t>
  </si>
  <si>
    <t>HVAC  FOR DE4 CONTROL ROOM</t>
  </si>
  <si>
    <t>HVAC  FOR 33 KV STATION</t>
  </si>
  <si>
    <t>HVAC  FOR 33/3.45 STATION</t>
  </si>
  <si>
    <t>HVAC  FOR GUARD HOUSE</t>
  </si>
  <si>
    <t>HVAC  FOR LABORATORY</t>
  </si>
  <si>
    <t>HVAC BULK</t>
  </si>
  <si>
    <t>a lot</t>
  </si>
  <si>
    <t>Waste water treatment package</t>
  </si>
  <si>
    <t>66.10</t>
  </si>
  <si>
    <t>Water treatment package</t>
  </si>
  <si>
    <t>SAFETY EQUIPMENT</t>
  </si>
  <si>
    <t xml:space="preserve"> WATER HYDRANT</t>
  </si>
  <si>
    <t>6"</t>
  </si>
  <si>
    <t xml:space="preserve"> WATER HYDRANT WITH MONITOR</t>
  </si>
  <si>
    <t xml:space="preserve">DELUGE VALVE </t>
  </si>
  <si>
    <t>4"</t>
  </si>
  <si>
    <t>DRY POWDER PORTABLE FIRE EXTINGUISHER</t>
  </si>
  <si>
    <t>12 KG</t>
  </si>
  <si>
    <t>DRY POWDER WHELEED FIRE EXTINGUISHER</t>
  </si>
  <si>
    <t>75 KG</t>
  </si>
  <si>
    <t>CO2 PORTABLE FIRE EXTINGUISHER</t>
  </si>
  <si>
    <t>5 KG</t>
  </si>
  <si>
    <t>CO2 WHEELD FIRE EXTINGUISHER</t>
  </si>
  <si>
    <t>30 KG</t>
  </si>
  <si>
    <t>SAFETY SHOWER &amp; EYE WASH</t>
  </si>
  <si>
    <t>-</t>
  </si>
  <si>
    <t>FIRST AID KIT</t>
  </si>
  <si>
    <t>OS&amp;Y GATE VALVE-ISOLATING VALVE, 12"</t>
  </si>
  <si>
    <t>OS&amp;Y GATE VALVE-ISOLATING VALVE, 6"</t>
  </si>
  <si>
    <t>9 LIT WATER EXTINGUISHER</t>
  </si>
  <si>
    <t>EMERGANCY BREATHING APPARATUS WITH MASK</t>
  </si>
  <si>
    <t>FIRE MAN CABINET</t>
  </si>
  <si>
    <t>FIRE SHED EQUIPMENT.
 100 lit foam drums, 3% FP (5 NOS.),
 Fire Hose, 25 m (10 NOS.)
 Foam Nozzle 10X (2 NOS.)
 Water Nozzle, 450 lpm (Fog/Jet/Stop) (5 NOS.))
12 kg portable powder fire extinguisher (6 NOS.)
75 kg Wheeled powder fire extinguisher (2 NOS.)
5 kg portable CO2 fire extinguisher (2 NOS.)
In Line Inductor, 450 lpm with pick up tube (2 NOS.)
Drum Wrench (1 NO.)
Hose Bridge (1 NO.)</t>
  </si>
  <si>
    <t>WATER SPRAY SYSTEM</t>
  </si>
  <si>
    <t>SAFETY SIGN</t>
  </si>
  <si>
    <r>
      <rPr>
        <sz val="11"/>
        <rFont val="Arial"/>
        <family val="2"/>
      </rPr>
      <t>Bulks</t>
    </r>
    <r>
      <rPr>
        <sz val="10"/>
        <rFont val="Arial"/>
        <family val="2"/>
      </rPr>
      <t xml:space="preserve">
OS&amp;Y GATE VALVE-ISOLATING VALVE;OS&amp;Y GATE VALVE-ISOLATING VALVE; WIND SOCK; HOSE REEL; EMERGENCY EQUIPMENT BOX;EMERGENCY BREATING APPARATUS WITH MASK; FIRE MAN CABINET;STRETCHER; FIRE DOSE SYSTEM;WATER SPRAY SYSTEM;SAFETY SIGN;AXE;RECHARGEABLE FLASHLIGHT (EXPLOSION PROOF);EMERGENCY BREATHING APPARATUS WITH AIR MASTER;BREATHING RECOVERY DEVICE</t>
    </r>
  </si>
  <si>
    <t>Pig Launcher &amp; Receiver</t>
  </si>
  <si>
    <t>CLEANING IN PLATE FOR EXCHANGER</t>
  </si>
  <si>
    <t>لوازم یدکی</t>
  </si>
  <si>
    <t>ریال</t>
  </si>
  <si>
    <t>نرخ ازاد یورو</t>
  </si>
  <si>
    <t>هزینه حمل دریایی یک کانتینر</t>
  </si>
  <si>
    <t>1500$</t>
  </si>
  <si>
    <t>6,500,000 ~ 8,000,000</t>
  </si>
  <si>
    <t>کمپرسور و خشک کن هوا</t>
  </si>
  <si>
    <t>NO</t>
  </si>
  <si>
    <t>AREA</t>
  </si>
  <si>
    <t>DESCRIPTION</t>
  </si>
  <si>
    <t>MATERIAL</t>
  </si>
  <si>
    <t>TYPE</t>
  </si>
  <si>
    <t>BORE 1</t>
  </si>
  <si>
    <t>BORE 2</t>
  </si>
  <si>
    <t>QTY</t>
  </si>
  <si>
    <t>CLASS</t>
  </si>
  <si>
    <t>S.CH./thK</t>
  </si>
  <si>
    <t>MATERIAL
 REMARK</t>
  </si>
  <si>
    <t>StudBolt&amp;nuts</t>
  </si>
  <si>
    <t>Fire Water Lines(Non Metal)</t>
  </si>
  <si>
    <t>5/8"</t>
  </si>
  <si>
    <t>No</t>
  </si>
  <si>
    <t>AX01</t>
  </si>
  <si>
    <t>For flange:2"150#</t>
  </si>
  <si>
    <t>A193 GR.B7/A194 GR.BH</t>
  </si>
  <si>
    <t>GALVD</t>
  </si>
  <si>
    <t>For flange:3"150#</t>
  </si>
  <si>
    <t>For flange:4"150#</t>
  </si>
  <si>
    <t>3/4"</t>
  </si>
  <si>
    <t>For flange:6"150#</t>
  </si>
  <si>
    <t>For flange:8"150#</t>
  </si>
  <si>
    <t>7/8"</t>
  </si>
  <si>
    <t>For flange:10"150#</t>
  </si>
  <si>
    <t>For flange:12"150#</t>
  </si>
  <si>
    <t>Fitting</t>
  </si>
  <si>
    <t>45deg.Elbow</t>
  </si>
  <si>
    <t>DR11</t>
  </si>
  <si>
    <t>HDPE 100</t>
  </si>
  <si>
    <t>90deg.Elbow</t>
  </si>
  <si>
    <t>Pipe Nipple</t>
  </si>
  <si>
    <t>Reducer</t>
  </si>
  <si>
    <t>Olet</t>
  </si>
  <si>
    <t>Tee</t>
  </si>
  <si>
    <t>1/2"</t>
  </si>
  <si>
    <t>Flange</t>
  </si>
  <si>
    <t xml:space="preserve"> ASTM A105</t>
  </si>
  <si>
    <t>Gasket</t>
  </si>
  <si>
    <t>FLAT</t>
  </si>
  <si>
    <t>Pipe</t>
  </si>
  <si>
    <t>m</t>
  </si>
  <si>
    <t>SDR11</t>
  </si>
  <si>
    <t>Special</t>
  </si>
  <si>
    <t>Filter</t>
  </si>
  <si>
    <t>ASTM A216-GR.WCB</t>
  </si>
  <si>
    <t>Orifice Flange</t>
  </si>
  <si>
    <t>Quick Coupling</t>
  </si>
  <si>
    <t>Valve</t>
  </si>
  <si>
    <t>Check</t>
  </si>
  <si>
    <t>ASTM B148</t>
  </si>
  <si>
    <t>Gate</t>
  </si>
  <si>
    <t>Globe</t>
  </si>
  <si>
    <t>In  Production Unit4</t>
  </si>
  <si>
    <t>AN01</t>
  </si>
  <si>
    <t>AN06</t>
  </si>
  <si>
    <t>AN16</t>
  </si>
  <si>
    <t>1"</t>
  </si>
  <si>
    <t>For flange:16"150#</t>
  </si>
  <si>
    <t>1 1/8"</t>
  </si>
  <si>
    <t>For flange:20"150#</t>
  </si>
  <si>
    <t>CN16</t>
  </si>
  <si>
    <t>For flange:6"300#</t>
  </si>
  <si>
    <t>For flange:8"300#</t>
  </si>
  <si>
    <t>For flange:10"300#</t>
  </si>
  <si>
    <t>For flange:12"300#</t>
  </si>
  <si>
    <t>For flange:14"300#</t>
  </si>
  <si>
    <t>1 1/4"</t>
  </si>
  <si>
    <t>For flange:20"300#</t>
  </si>
  <si>
    <t>SCH.STD</t>
  </si>
  <si>
    <t xml:space="preserve"> ASTM A234</t>
  </si>
  <si>
    <t>SCH.160</t>
  </si>
  <si>
    <t>SCH.80</t>
  </si>
  <si>
    <t>NACE</t>
  </si>
  <si>
    <t>SCH.40</t>
  </si>
  <si>
    <t>SCH.30</t>
  </si>
  <si>
    <t>SCH.60</t>
  </si>
  <si>
    <t>SCH.SCH.60</t>
  </si>
  <si>
    <t>Cap</t>
  </si>
  <si>
    <t>SCH.XXS</t>
  </si>
  <si>
    <t>API5L-GR.B</t>
  </si>
  <si>
    <t>Sockolet</t>
  </si>
  <si>
    <t>Weldolet</t>
  </si>
  <si>
    <t>11/2"</t>
  </si>
  <si>
    <t>Spectace</t>
  </si>
  <si>
    <t xml:space="preserve"> ASTM A516</t>
  </si>
  <si>
    <t>SPIRAL WOUND</t>
  </si>
  <si>
    <t>In Desalting Plant 4</t>
  </si>
  <si>
    <t>For flange:1"150#</t>
  </si>
  <si>
    <t>For flange:11/2"150#</t>
  </si>
  <si>
    <t>For flange:21/2"150#</t>
  </si>
  <si>
    <t>For flange:18"150#</t>
  </si>
  <si>
    <t>For flange:26"150#</t>
  </si>
  <si>
    <t>AZ00</t>
  </si>
  <si>
    <t>Plug</t>
  </si>
  <si>
    <t>21/2"</t>
  </si>
  <si>
    <t>Footvalve</t>
  </si>
  <si>
    <t>Water Trap</t>
  </si>
  <si>
    <t>Ball</t>
  </si>
  <si>
    <t>Glob</t>
  </si>
  <si>
    <t>Non Metal In Production Unit4</t>
  </si>
  <si>
    <t>AX00</t>
  </si>
  <si>
    <t>PTFE COATED</t>
  </si>
  <si>
    <t>GRE</t>
  </si>
  <si>
    <t>Union</t>
  </si>
  <si>
    <t>Non Metal Lines In Desalting Plant4</t>
  </si>
  <si>
    <t>FX00</t>
  </si>
  <si>
    <t>For flange:3"600#</t>
  </si>
  <si>
    <t>CADMIUM PLATED</t>
  </si>
  <si>
    <t>For flange:4"600#</t>
  </si>
  <si>
    <t>For flange:5"600#</t>
  </si>
  <si>
    <t>For flange:6"600#</t>
  </si>
  <si>
    <t>For flange:8"600#</t>
  </si>
  <si>
    <t>خرید پایپینگ مربوط به تفکیک نفت نمکی یک قلم</t>
  </si>
  <si>
    <t>Replacement of Existing Lines</t>
  </si>
  <si>
    <t xml:space="preserve">لوازم یدکی شیر الات معادل 5% قیمت خرید شیرآلات </t>
  </si>
  <si>
    <t>حمل زمینی اقلام پایپینگ در حدود 190 کفی</t>
  </si>
  <si>
    <t>ترخیص</t>
  </si>
  <si>
    <t>اجرای پایپینگ بر اساس dia-in</t>
  </si>
  <si>
    <t>هزینه حمل زمینی یک کانتینر</t>
  </si>
  <si>
    <t>حق گمرک و ترخیص لوله اتصالات فلزی</t>
  </si>
  <si>
    <t>اتاق ارز</t>
  </si>
  <si>
    <t>QUANTITY</t>
  </si>
  <si>
    <t>هزینه واحد خرید بدون ضریب</t>
  </si>
  <si>
    <t>PIPELINE</t>
  </si>
  <si>
    <t>SIZE(in)</t>
  </si>
  <si>
    <t>LENGTH(M)</t>
  </si>
  <si>
    <t>unit</t>
  </si>
  <si>
    <r>
      <rPr>
        <b/>
        <sz val="7"/>
        <color indexed="8"/>
        <rFont val="B Nazanin"/>
        <charset val="178"/>
      </rPr>
      <t xml:space="preserve"> </t>
    </r>
    <r>
      <rPr>
        <b/>
        <sz val="12"/>
        <color indexed="8"/>
        <rFont val="B Nazanin"/>
        <charset val="178"/>
      </rPr>
      <t>احداث خط لوله انتقال نفت نمکی  از واحد بهره برداری گچساران 4 به واحد نمک زدایی گچساران  4 ب</t>
    </r>
  </si>
  <si>
    <t>20"</t>
  </si>
  <si>
    <t xml:space="preserve">API 5L GR.X52/SCH.30/NACE </t>
  </si>
  <si>
    <t xml:space="preserve"> احداث خط لوله انتقال نفت نمک زدایی شده 20 اینچ روزمینی با جنس API 5L GR.X52/SCH.30/NACE   از واحد نمک زدایی گچساران 4 به واحد بهره برداری گچساران 4 به طول تقریبی 1500 متر.</t>
  </si>
  <si>
    <t>ساپورت فلزی و فونداسیون (بر اساس تناژ)</t>
  </si>
  <si>
    <t>kg</t>
  </si>
  <si>
    <t>C.S.</t>
  </si>
  <si>
    <t xml:space="preserve">تعویض خط لوله انتقال نفت از واحد بهره برداری پازنان 2 به واحد بهره برداری گچساران 2  با سایز 12 اینچ  </t>
  </si>
  <si>
    <t>12"</t>
  </si>
  <si>
    <t>API 5L GR.X52/SCH.40</t>
  </si>
  <si>
    <t>ساپورت فلزی و فونداسیون(61000/کیلو)</t>
  </si>
  <si>
    <t>جابجایی خط فشار بالای گاز موجود در سمت شرق سایت و احداث مجدد آن در فاصله  حداقل 200 متر از حصار تسهیلات بیرون واحد</t>
  </si>
  <si>
    <t>API5L GR.X52/SCH.80/NACE</t>
  </si>
  <si>
    <t xml:space="preserve">احداث خط لوله انتقال گاز 6 اینچ فلزی با جنس API5L GR.X52/SCH.80/NACE به صورت روزمینی از واحد بهره برداری گچساران 4 به واحد نمک زدایی گچساران 4 </t>
  </si>
  <si>
    <t>·احداث خط انتقال آب 6 اینچ فلزی با جنس API 5L0 به صورت رو زمینی  از تصفیه خانه خیر آباد  به واحدنمکزدایی گچساران-4</t>
  </si>
  <si>
    <t>API 5L GR.X52/SCH.STD</t>
  </si>
  <si>
    <r>
      <rPr>
        <b/>
        <sz val="7"/>
        <color indexed="8"/>
        <rFont val="B Nazanin"/>
        <charset val="178"/>
      </rPr>
      <t xml:space="preserve">  </t>
    </r>
    <r>
      <rPr>
        <b/>
        <sz val="12"/>
        <color indexed="8"/>
        <rFont val="B Nazanin"/>
        <charset val="178"/>
      </rPr>
      <t>احداث  خط لوله انتقال آب ازاد  غیر فلزی با جنس RTP  زیر زمینی از واحد بهره برداری گچساران-4 به واحدنمکزدایی گچساران-4</t>
    </r>
  </si>
  <si>
    <t>RTP</t>
  </si>
  <si>
    <r>
      <rPr>
        <b/>
        <sz val="7"/>
        <color indexed="8"/>
        <rFont val="B Nazanin"/>
        <charset val="178"/>
      </rPr>
      <t xml:space="preserve">  </t>
    </r>
    <r>
      <rPr>
        <b/>
        <sz val="12"/>
        <color indexed="8"/>
        <rFont val="B Nazanin"/>
        <charset val="178"/>
      </rPr>
      <t>احداث دو خط لوله انتقال پساب  غیر فلزی با جنس RTP  زیر زمینی از واحدنمکزدایی گچساران-4  به چاههای تزریق در فاصله تقریبی  3 کیلومتر برای هر خط لوله.</t>
    </r>
  </si>
  <si>
    <t>5"</t>
  </si>
  <si>
    <t>کندن کانال</t>
  </si>
  <si>
    <t xml:space="preserve">خط لوله آب "6 از چاههای لیشتر با جنس PE-100 </t>
  </si>
  <si>
    <t>PE-100</t>
  </si>
  <si>
    <t xml:space="preserve">خط لوله "12 آب آتش نشانی اتصال بین دو واحد با جنس PE-100  </t>
  </si>
  <si>
    <t>حق گمرک و ترخیص لوله فلزی</t>
  </si>
  <si>
    <t>حق گمرک و ترخیص لوله غیر فلزی</t>
  </si>
  <si>
    <t>Qty.</t>
  </si>
  <si>
    <t>Microwave Digestion System</t>
  </si>
  <si>
    <t>Ion Meter</t>
  </si>
  <si>
    <t>Oxygen  Meter</t>
  </si>
  <si>
    <t>Barometer</t>
  </si>
  <si>
    <t>Oil Test Centrifuge</t>
  </si>
  <si>
    <t>Dual Extraction Apparatus</t>
  </si>
  <si>
    <t>Evaporator Mantless (500 cc)</t>
  </si>
  <si>
    <t>Water Still For Douuble Distillation</t>
  </si>
  <si>
    <t>Ph Meter</t>
  </si>
  <si>
    <t>Balance</t>
  </si>
  <si>
    <t>R.V.P Automatic</t>
  </si>
  <si>
    <t>Thermostatic  Water Baths</t>
  </si>
  <si>
    <t>Density/Visco Meter</t>
  </si>
  <si>
    <t>Oxygen Meter</t>
  </si>
  <si>
    <t>Baro Meter</t>
  </si>
  <si>
    <t>Salt In Crude Analyzer</t>
  </si>
  <si>
    <t>H2S Analyzer For The Determination Of H2S in Fuel Oil</t>
  </si>
  <si>
    <t>Industrial Hood (complete set with valves , sinks , exhoust , etc)</t>
  </si>
  <si>
    <t>Sink (Chemically resistant with attachments)</t>
  </si>
  <si>
    <t>یک قلم در ردیف 19</t>
  </si>
  <si>
    <t>Industrial cupboards(floor &amp; wall mounted)</t>
  </si>
  <si>
    <t>Safty shower &amp; eyewash</t>
  </si>
  <si>
    <t>Exhaust Fan(Wall mounted)</t>
  </si>
  <si>
    <t>Ice Maker</t>
  </si>
  <si>
    <t>Volume (Liters)
(S.G.~1)</t>
  </si>
  <si>
    <t>هرینه واحد
(Rial/Kg)</t>
  </si>
  <si>
    <t>هزینه کل
(ریال)</t>
  </si>
  <si>
    <t>توضیحات</t>
  </si>
  <si>
    <t>Ethylene Glycol</t>
  </si>
  <si>
    <t>Anti-Scale</t>
  </si>
  <si>
    <t>Biocide TYPE A</t>
  </si>
  <si>
    <t>Biocide TYPE B</t>
  </si>
  <si>
    <t>Corrosion Inhibitor</t>
  </si>
  <si>
    <t>Demulsifier</t>
  </si>
  <si>
    <t>O 2 Scavenger</t>
  </si>
  <si>
    <t>Reverse Demulsifier</t>
  </si>
  <si>
    <t>Any other chemical required for operation</t>
  </si>
  <si>
    <t>SWITCHGEAR</t>
  </si>
  <si>
    <t>MV Switchgear, 33KV, 630A, 3 phase +E,  withdrawable  type, free floor standing, metal clad for indoor use, IP42, 25KA, 1Sec(with approximately 15 cell). In accordance with Specification No.: M9003-EB-EL-SPC-21010/Location:33KV station/DWG no. EL-SLD-21028</t>
  </si>
  <si>
    <t>MV Switchgear, 3.3KV, 1250A, 3 phase +E,  withdrawable  type, free floor standing, metal clad for indoor use, IP42, 25KA, 1Sec(with approximately 9 cell). In accordance with Specification No.: M9003-EB-EL-SPC-21010. /Location: DE4 Outdoor station/ DWG no. M9003-EB-EL-SLD-21026 : OUT-SWG-01</t>
  </si>
  <si>
    <t>یک قلم در ردیف 1.1</t>
  </si>
  <si>
    <t>MV Switchgear, 3.3KV, 630A, 3 phase +E,  withdrawable  type, free floor standing, metal clad for indoor use, IP42, 25KA, 1Sec(with approximately 12 cell). In accordance with Specification No.: M9003-EB-EL-SPC-21010./Location:DE4/ DWG no. M9003-EB-EL-SLD-21026 : DE4-SWG-01</t>
  </si>
  <si>
    <t xml:space="preserve">LV Switchgear, 400V, 4000A, 3 phase + N+E,  withdrawable  type, free floor standing, metal clad for indoor use, IP42, 50KA, 1Sec., in accordance with attached Specification No.: M9003-EB-EL-SPC-21008./Location: DE4 / / DWG no. M9003-EB-EL-SLD-21025 : (DE-MCC-001 </t>
  </si>
  <si>
    <t>33 KV transformer bay, withdrawable, outdoor type with OCB and all protection and metering devises in accordance to Dwg no. M9003-EB-EL-SLD-21026</t>
  </si>
  <si>
    <t>MV Switchgear, 3.3KV, 630A, 3 phase +E,  withdrawable  type, free floor standing, metal clad for indoor use, IP42, 25KA, 1Sec(with approximately 9 cell). In accordance with Specification No.: M9003-EB-EL-SPC-21010./Location:Production uni/ DWG no. M9003-EB-EL-SLD-21026 : PU4-SWG-01</t>
  </si>
  <si>
    <t>یک قلم در ردیف 1</t>
  </si>
  <si>
    <t>GACHSARAN 4-DESALTING UNIT EDP,400V SWITCHGEAR (EDP) / DWG no. M9003-EB-EL-SLD-21024</t>
  </si>
  <si>
    <t>یک قلم در ردیف 2</t>
  </si>
  <si>
    <t>TRANSFORMERS</t>
  </si>
  <si>
    <t>2.1</t>
  </si>
  <si>
    <t xml:space="preserve">TR1 : Power Transformer 2500 KVA, 3.3 / 0.42 Kv 50 Hz , Z= 6%, (secondary voltage at full load shall be 0.4KV) Oil immersed &amp; conservator type, 3-phase 2-winding Primary taps at nominal voltage +/-2 x 2.5 % with off-circuit tap changer Dyn11, ONAN, IP 54, Neutral solidly earthed Complete with accessories. </t>
  </si>
  <si>
    <t>2.2</t>
  </si>
  <si>
    <t xml:space="preserve">TR2 : Power Transformer 2500 KVA, 3.3 / 0.42 kV 50 Hz , Z= 6%, (secondary voltage at full load shall be 0.4KV)  Oil immersed &amp; conservator type, 3-phase, 2-winding Primary taps at nominal voltage +/-2 x 2.5 % with off-circuit tap changer Dyn11, ONAN, IP 54, Neutral solidly earthed Complete with accessories. </t>
  </si>
  <si>
    <t>2.3</t>
  </si>
  <si>
    <t>PTR1 : Power Transformer6000 KVA, 33 / 3.45kV 50 Hz , Z= 6%, (secondary voltage at full load shall be 0.4KV)  Oil immersed &amp; conservator type, 3-phase, 2-winding Primary taps at nominal voltage +/-2 x 2.5 % with off-circuit tap changer Dyn11, ONAN, IP 54, Neutral earthed with NGR.</t>
  </si>
  <si>
    <t>2.4</t>
  </si>
  <si>
    <t xml:space="preserve">PTR2 : Power Transformer 6000 KVA, 33 / 3.45kV  50 Hz , Z= 6%, (secondary voltage at full load shall be 0.4KV)   Oil immersed &amp; conservator type, 3-phase, 2-winding Primary taps at nominal voltage +/-2 x 2.5 % with off-circuit tap changer Dyn11, ONAN, IP 54, Neutral earthed with NGR. </t>
  </si>
  <si>
    <t xml:space="preserve">DIESEL GENERATOR EDG-1  
</t>
  </si>
  <si>
    <t>DIESEL GENERATOR EDG-1  
0.4 kv, 550kva, 50Hz, 1500rpm</t>
  </si>
  <si>
    <t>emergency diesel generator, 0.4 kv, 180KVA, 50Hz, 1500rpm,with automatic control panel</t>
  </si>
  <si>
    <t>UNINTERRUPTIBLE POWER SUPPLY (UPS)</t>
  </si>
  <si>
    <r>
      <t>UPS-001</t>
    </r>
    <r>
      <rPr>
        <i/>
        <sz val="13"/>
        <color indexed="8"/>
        <rFont val="B Nazanin"/>
        <charset val="178"/>
      </rPr>
      <t xml:space="preserve">/ </t>
    </r>
    <r>
      <rPr>
        <sz val="10"/>
        <color indexed="8"/>
        <rFont val="Arial"/>
        <family val="2"/>
      </rPr>
      <t>110V AC</t>
    </r>
  </si>
  <si>
    <t>4..1.1</t>
  </si>
  <si>
    <t>INVERTER: 20 KVA inverter with all metering and protective devices.</t>
  </si>
  <si>
    <t>4.1.2</t>
  </si>
  <si>
    <r>
      <t>DC-001</t>
    </r>
    <r>
      <rPr>
        <i/>
        <sz val="13"/>
        <color indexed="8"/>
        <rFont val="B Nazanin"/>
        <charset val="178"/>
      </rPr>
      <t>/</t>
    </r>
    <r>
      <rPr>
        <sz val="10"/>
        <color indexed="8"/>
        <rFont val="Arial"/>
        <family val="2"/>
      </rPr>
      <t>110V DC</t>
    </r>
  </si>
  <si>
    <t>یک قلم در ردیف 4.1</t>
  </si>
  <si>
    <t>4.2.1</t>
  </si>
  <si>
    <t>CHARGERS :Suitable to feed 13KW UPS load and charge batteries simultaneity, as per manufacturer standard battery chargers with all metering and protective devices.</t>
  </si>
  <si>
    <t>4.2.2</t>
  </si>
  <si>
    <r>
      <t>DC-002</t>
    </r>
    <r>
      <rPr>
        <i/>
        <sz val="13"/>
        <color indexed="8"/>
        <rFont val="B Nazanin"/>
        <charset val="178"/>
      </rPr>
      <t>/</t>
    </r>
    <r>
      <rPr>
        <sz val="10"/>
        <color indexed="8"/>
        <rFont val="Arial"/>
        <family val="2"/>
      </rPr>
      <t>24V DC</t>
    </r>
  </si>
  <si>
    <t>4.3.1</t>
  </si>
  <si>
    <t>CHARGERS :Suitable to feed 18KW UPS load and charge batteries simultaneity, as per manufacturer standard battery chargers with all metering and protective devices.</t>
  </si>
  <si>
    <t>4.3.3</t>
  </si>
  <si>
    <r>
      <t>DC-003</t>
    </r>
    <r>
      <rPr>
        <i/>
        <sz val="13"/>
        <color indexed="8"/>
        <rFont val="B Nazanin"/>
        <charset val="178"/>
      </rPr>
      <t>/</t>
    </r>
    <r>
      <rPr>
        <sz val="10"/>
        <color indexed="8"/>
        <rFont val="Arial"/>
        <family val="2"/>
      </rPr>
      <t>110V DC</t>
    </r>
  </si>
  <si>
    <t>یک قلم در ردیف 4.3</t>
  </si>
  <si>
    <t>4.4.1</t>
  </si>
  <si>
    <t>CHARGERS :Suitable to feed 11KW UPS load and charge batteries simultaneity, as per manufacturer standard battery chargers with all metering and protective devices.</t>
  </si>
  <si>
    <t>4.4.2</t>
  </si>
  <si>
    <r>
      <t>DC-004</t>
    </r>
    <r>
      <rPr>
        <i/>
        <sz val="13"/>
        <color indexed="8"/>
        <rFont val="B Nazanin"/>
        <charset val="178"/>
      </rPr>
      <t xml:space="preserve">/  </t>
    </r>
    <r>
      <rPr>
        <sz val="10"/>
        <color indexed="8"/>
        <rFont val="Arial"/>
        <family val="2"/>
      </rPr>
      <t>110V DC</t>
    </r>
  </si>
  <si>
    <t>4.5.1</t>
  </si>
  <si>
    <t>4.5.2</t>
  </si>
  <si>
    <r>
      <t>DC-005</t>
    </r>
    <r>
      <rPr>
        <i/>
        <sz val="13"/>
        <color indexed="8"/>
        <rFont val="B Nazanin"/>
        <charset val="178"/>
      </rPr>
      <t xml:space="preserve">/ </t>
    </r>
    <r>
      <rPr>
        <sz val="10"/>
        <color indexed="8"/>
        <rFont val="Arial"/>
        <family val="2"/>
      </rPr>
      <t xml:space="preserve">110V DC </t>
    </r>
  </si>
  <si>
    <t>یک قلم در ردیف 4.5</t>
  </si>
  <si>
    <t>4.6.1</t>
  </si>
  <si>
    <t>4.6.2</t>
  </si>
  <si>
    <t>Earthing</t>
  </si>
  <si>
    <t>120 mm2 BARE STRANDED COPPER CONDUCTOR</t>
  </si>
  <si>
    <t>120 mm2 INSULATED STRANDED COPPER, GREEN/YELLOW  PVC COVERED</t>
  </si>
  <si>
    <t>یک قلم در ردیف 5.1</t>
  </si>
  <si>
    <t>70 mm2 BARE STRANDED COPPER CONDUCTOR</t>
  </si>
  <si>
    <t>70 mm2 INSULATED STRANDED COPPER, GREEN/YELLOW PVC COVERED</t>
  </si>
  <si>
    <t>35 mm2 INSULATED STRANDED COPPER, GREEN/YELLOW PVC COVERED</t>
  </si>
  <si>
    <t>16 mm2 INSULATED STRANDED COPPER, GREEN/YELLOW PVC COVERED</t>
  </si>
  <si>
    <t>FLEXIBLE COPPER BRAID STRIP, 20x3 mm, HOLE=11mm,HOLE CENTERS= 250 mm</t>
  </si>
  <si>
    <t>CADWELD,CARTRIDGE, FOR TEE CONNECTION OF 120x120 mm2</t>
  </si>
  <si>
    <t>CADWELD,CARTRIDGE, FOR TEE CONNECTION OF 120x70 mm2</t>
  </si>
  <si>
    <t>5.10</t>
  </si>
  <si>
    <t>CADWELD,CARTRIDGE, FOR CROSS CONNECTION OF 70x70  mm2</t>
  </si>
  <si>
    <t>5.11</t>
  </si>
  <si>
    <t>CADWELD,CARTRIDGE, FOR TEE CONNECTION OF 70x35 mm2</t>
  </si>
  <si>
    <t>5.12</t>
  </si>
  <si>
    <t>CADWELD,CARTRIDGE, FOR TEE CONNECTION OF 70x16 mm2</t>
  </si>
  <si>
    <t>5.13</t>
  </si>
  <si>
    <t>CADWELD,CARTRIDGE, FOR  CONNECTION OF 70  mm2  COPPER CONDUCTOR TO COPPER  EARTH PLATE</t>
  </si>
  <si>
    <t>5.14</t>
  </si>
  <si>
    <t xml:space="preserve">10-WAY COPPER EARTH BAR,6mm THICKNESS,50 mm WIDE,700 mm LENGTH AND TWO WASHERS AND ONE NUT FOR EACH HOLE </t>
  </si>
  <si>
    <t>5.15</t>
  </si>
  <si>
    <t>EARTHING ROD, SOLID COPPER, 3000mm LONG x 20 mm DIA. WITH ALL FITTINGS &amp; ACC.</t>
  </si>
  <si>
    <t>5.16</t>
  </si>
  <si>
    <t>"U" bolt rod to cable clamp for nominal rod dia. 20 mm</t>
  </si>
  <si>
    <t>5.17</t>
  </si>
  <si>
    <t>TINNED COPPER COMPRESSION CABLE LUG FOR CABLE SIZE 120 mm2</t>
  </si>
  <si>
    <t>5.18</t>
  </si>
  <si>
    <t>TINNED COPPER COMPRESSION CABLE LUG FOR CABLE SIZE 70 mm2</t>
  </si>
  <si>
    <t>5.19</t>
  </si>
  <si>
    <t>TINNED COPPER COMPRESSION CABLE LUG FOR CABLE SIZE 35 mm2</t>
  </si>
  <si>
    <t>5.20</t>
  </si>
  <si>
    <t>TINNED COPPER COMPRESSION CABLE LUG FOR CABLE SIZE 16 mm2</t>
  </si>
  <si>
    <t>5.21</t>
  </si>
  <si>
    <t>CONDUIT , HEAVY GUAGE HOT DIP GALVANIZED ,RIGID STEEL,DOUBLE SIDE ISO THREADED, LENGTH 3000mm, size: M50</t>
  </si>
  <si>
    <t>5.22</t>
  </si>
  <si>
    <t>Conduit clamp, m50</t>
  </si>
  <si>
    <t>5.23</t>
  </si>
  <si>
    <t>Spark gap</t>
  </si>
  <si>
    <t>یک قلم در ردیف 5</t>
  </si>
  <si>
    <t>CABLE</t>
  </si>
  <si>
    <t>6.1</t>
  </si>
  <si>
    <t>0.6/1 KV, Stranded Annealed Copper Conductor, PVC Insulated, Lead Sheath, Extruded PVC Bedding, Galvanized Steel Wire Armored, PVC Sheathed, Cu-PVC-Lsh-Bd-SWA-PVC Power Cable</t>
  </si>
  <si>
    <t>6.2</t>
  </si>
  <si>
    <t>3C4</t>
  </si>
  <si>
    <t>6.3</t>
  </si>
  <si>
    <t>3C10</t>
  </si>
  <si>
    <t>یک قلم در ردیف 6.2</t>
  </si>
  <si>
    <t>6.4</t>
  </si>
  <si>
    <t>3C16</t>
  </si>
  <si>
    <t>6.5</t>
  </si>
  <si>
    <t>3C25</t>
  </si>
  <si>
    <t>6.6</t>
  </si>
  <si>
    <t>3C95</t>
  </si>
  <si>
    <t>6.7</t>
  </si>
  <si>
    <t>3C240+120</t>
  </si>
  <si>
    <t>6.8</t>
  </si>
  <si>
    <t>4C4</t>
  </si>
  <si>
    <t>6.9</t>
  </si>
  <si>
    <t>4C6</t>
  </si>
  <si>
    <t>6.10</t>
  </si>
  <si>
    <t>4C10</t>
  </si>
  <si>
    <t>6.11</t>
  </si>
  <si>
    <t>4C16</t>
  </si>
  <si>
    <t>6.12</t>
  </si>
  <si>
    <t>3C95+50</t>
  </si>
  <si>
    <t>6.13</t>
  </si>
  <si>
    <t>3C70</t>
  </si>
  <si>
    <t>6.14</t>
  </si>
  <si>
    <t>3C50</t>
  </si>
  <si>
    <t>6.15</t>
  </si>
  <si>
    <t>3C120+70</t>
  </si>
  <si>
    <t>6.16</t>
  </si>
  <si>
    <t>4C25</t>
  </si>
  <si>
    <t>6.17</t>
  </si>
  <si>
    <t>3C240</t>
  </si>
  <si>
    <t>6.18</t>
  </si>
  <si>
    <t>0.6/1 KV,  Stranded Annealed Copper Conductor, PVC Insulated, Galvanized Steel Wire Armored, PVC Sheathed, Cu-PVC-SWA-PVC Power Cable</t>
  </si>
  <si>
    <t>6.19</t>
  </si>
  <si>
    <t>1C300</t>
  </si>
  <si>
    <t>6.20</t>
  </si>
  <si>
    <t>6.21</t>
  </si>
  <si>
    <t>3C6</t>
  </si>
  <si>
    <t>6.22</t>
  </si>
  <si>
    <t>6.23</t>
  </si>
  <si>
    <t>6.24</t>
  </si>
  <si>
    <t>3C25+16</t>
  </si>
  <si>
    <t>6.25</t>
  </si>
  <si>
    <t>3C150+70</t>
  </si>
  <si>
    <t>6.26</t>
  </si>
  <si>
    <t>6.27</t>
  </si>
  <si>
    <t>6.28</t>
  </si>
  <si>
    <t>6.29</t>
  </si>
  <si>
    <t>6.30</t>
  </si>
  <si>
    <t>3C50+25</t>
  </si>
  <si>
    <t>6.31</t>
  </si>
  <si>
    <t>6.32</t>
  </si>
  <si>
    <t>یک قلم در ردیف 6.3</t>
  </si>
  <si>
    <t>6.33</t>
  </si>
  <si>
    <t xml:space="preserve">3/6 KV,  Stranded Annealed Copper Conductor, XLPE Insulated, Galvanized Steel Wire Armored, PVC Sheathed, Cu-XLPE-SWA-PVC Power Cable
</t>
  </si>
  <si>
    <t>6.34</t>
  </si>
  <si>
    <t>6.35</t>
  </si>
  <si>
    <t>6.36</t>
  </si>
  <si>
    <t>6.37</t>
  </si>
  <si>
    <t>6.38</t>
  </si>
  <si>
    <t>6.39</t>
  </si>
  <si>
    <t>33 KV,  Stranded Annealed Copper Conductor, XLPE Insulated, Galvanized Steel Wire Armored, PVC Sheathed, Cu-XLPE-SWA-PVC Power Cable</t>
  </si>
  <si>
    <t>1C95</t>
  </si>
  <si>
    <t>CONTROL CABLE</t>
  </si>
  <si>
    <t xml:space="preserve">LOCAL CONTROL STATION </t>
  </si>
  <si>
    <t>Local Control Stations for remote operation of the Motor through Starter.Local Control Stations shall be supplied with stop push Button, start push button, Local / Remote Selector Switch, ammeter and remote position indicator.(L4-T12,L2-T12 Schematic code).</t>
  </si>
  <si>
    <r>
      <t xml:space="preserve">Local Control Stations for remote operation of the Motor through Starter.Local Control Stations shall be explosion proof type, IP55, </t>
    </r>
    <r>
      <rPr>
        <sz val="10"/>
        <color indexed="10"/>
        <rFont val="Arial"/>
        <family val="2"/>
      </rPr>
      <t>EExd, IIB, T3</t>
    </r>
    <r>
      <rPr>
        <sz val="10"/>
        <color indexed="8"/>
        <rFont val="Arial"/>
        <family val="2"/>
      </rPr>
      <t xml:space="preserve"> and supplied with stop push Button, start push button, Local / Remote Selector Switch, ammeter and remote position indicator.(L4-T12,L2-T12 Schematic code).</t>
    </r>
  </si>
  <si>
    <t>یک قلم در ردیف 7.1</t>
  </si>
  <si>
    <t>Local Control Stations for remote operation of the Motor through Starter.Local Control Stations shall be supplied with stop push Button, start push button, Local / Remote Selector Switch and remote position indicator.(L1-T12 Schematic code).</t>
  </si>
  <si>
    <r>
      <t xml:space="preserve">Local Control Stations for remote operation of the Motor through Starter.Local Control Stations shall be explosion proof type, IP55, </t>
    </r>
    <r>
      <rPr>
        <sz val="10"/>
        <color indexed="10"/>
        <rFont val="Arial"/>
        <family val="2"/>
      </rPr>
      <t>EExd, IIB,T3</t>
    </r>
    <r>
      <rPr>
        <sz val="10"/>
        <color indexed="8"/>
        <rFont val="Arial"/>
        <family val="2"/>
      </rPr>
      <t xml:space="preserve"> and supplied with stop push Button, start push button, Local / Remote Selector Switch and remote position indicator.(L1-T12 Schematic code).</t>
    </r>
  </si>
  <si>
    <t xml:space="preserve">Local Control Stations for remote operation of the fire water pump.Local Control Stations shall be supplied with stop push Button, start push button, Local / Remote Selector Switch, ammeter and remote position indicator. </t>
  </si>
  <si>
    <t>Power Transition Line</t>
  </si>
  <si>
    <t xml:space="preserve">Cable ACSR -33KV –LYNX </t>
  </si>
  <si>
    <t>Cable ACSR -66KV –HORSE</t>
  </si>
  <si>
    <t>Shield wire -Horse</t>
  </si>
  <si>
    <t>Double Circuit 66 kv Overhead Line tower with accessories</t>
  </si>
  <si>
    <t>no.</t>
  </si>
  <si>
    <t>Lighting</t>
  </si>
  <si>
    <t>Lighting Fixture</t>
  </si>
  <si>
    <t>9.1.1</t>
  </si>
  <si>
    <r>
      <rPr>
        <b/>
        <sz val="9"/>
        <color indexed="8"/>
        <rFont val="Arial"/>
        <family val="2"/>
      </rPr>
      <t>INDUSTRIAL</t>
    </r>
    <r>
      <rPr>
        <sz val="9"/>
        <color indexed="8"/>
        <rFont val="Arial"/>
        <family val="2"/>
      </rPr>
      <t xml:space="preserve"> FLUORESCENT LIGHTING FIXTURE,  FOR 2x36W TUBES, BODY OF GALVANIZED SHEET STEEL , CORROSION RESISTANT , INJECTED MOULDED BOWL OF IMPACT RESISTANT OPAL PATTERNED POLYCARBONATE, 6-POLE TERMINAL BLOCKS AND THROUGH WIRING 3x2.5mm2, DEGREE  OF PROTECTION: IP55, WITH FULL SUPPORTING ACCESSORIES FOR: SURFACE MOUNTING, WITH TWO BI PIN LAMPS, TWO M25 HOLES SUITABLE FOR CONNECTING CONDUIT SIZE M25, CONNECTED PVC WIRE SIZE 2.5mm2 , AND ONE END PLUG, LAMP HOLDER : BI-PIN, WITH POWER FACTOR CORRECTION CAPACITOR.</t>
    </r>
  </si>
  <si>
    <t>9.1.2</t>
  </si>
  <si>
    <r>
      <t xml:space="preserve">INTERIOR FLUORESCENT LIGHTING FIXTURE WITH SYMMETRICAL LIGHT DISTRIBUTION, FOR 2x36 TUBES HOUSING OF STEEL SHEET SYMMETRICAL REFLECTOR AND </t>
    </r>
    <r>
      <rPr>
        <b/>
        <sz val="9"/>
        <color indexed="8"/>
        <rFont val="Arial"/>
        <family val="2"/>
      </rPr>
      <t>LOUVRE</t>
    </r>
    <r>
      <rPr>
        <sz val="9"/>
        <color indexed="8"/>
        <rFont val="Arial"/>
        <family val="2"/>
      </rPr>
      <t xml:space="preserve">, DEGREE  OF PROTECTION: IP41, </t>
    </r>
    <r>
      <rPr>
        <u/>
        <sz val="9"/>
        <color indexed="8"/>
        <rFont val="Arial"/>
        <family val="2"/>
      </rPr>
      <t>SURFACE MOUNTED</t>
    </r>
    <r>
      <rPr>
        <sz val="9"/>
        <color indexed="8"/>
        <rFont val="Arial"/>
        <family val="2"/>
      </rPr>
      <t>, 6-POLE TERMINAL  BLOCKS AND  THROUGH WIRING 3x2.5mm2, WITH TWO BI PIN LAMPS,TWO M25 HOLES  SUITABLE FOR CONNECTING CONDUIT SIZE M25, CONNECTED PVC WIRE SIZE 2.5mm2, AND ONE END PLUG, LAMP HOLDER : BI-PIN, WITH POWER FACTOR CORRECTION CAPACITOR.</t>
    </r>
  </si>
  <si>
    <t xml:space="preserve">یک قلم در ردیف 9.1.1 </t>
  </si>
  <si>
    <t>9.1.3</t>
  </si>
  <si>
    <r>
      <t xml:space="preserve">INDUSTRIAL FLUORESCENT LIGHTING FIXTURE, FOR 2x36W TUBES,BODY AND </t>
    </r>
    <r>
      <rPr>
        <b/>
        <sz val="9"/>
        <color indexed="8"/>
        <rFont val="Arial"/>
        <family val="2"/>
      </rPr>
      <t>REFLECTOR</t>
    </r>
    <r>
      <rPr>
        <sz val="9"/>
        <color indexed="8"/>
        <rFont val="Arial"/>
        <family val="2"/>
      </rPr>
      <t xml:space="preserve"> OF WHITE SHEET STEEL WITHOUT DIFFUSER, SURFACE MOUNTED, DEGREE  OF PROTECTION IP41, 6-POLE TERMINAL BLOCKS AND THROUGH  WIRING 3x2.5mm2,WITH BI PIN LAMPS, TWO M25 HOLES  SUITABLE FOR CONNECTING CONDUIT SIZE M25, CONNECTED PVC WIRE SIZE 2.5mm2, AND ONE END PLUG, LAMP HOLDER : BI-PIN, WITH POWER FACTOR CORRECTION CAPACITOR.</t>
    </r>
  </si>
  <si>
    <t>9.1.4</t>
  </si>
  <si>
    <r>
      <t xml:space="preserve">INTERIOR FLUORESCENT LIGHTING FIXTURE WITH SYMMETRICAL LIGHT DISTRIBUTION, FOR 2x36 TUBES HOUSING OF STEEL SHEET SYMMETRICAL REFLECTOR AND LOUVRE </t>
    </r>
    <r>
      <rPr>
        <b/>
        <sz val="9"/>
        <color indexed="8"/>
        <rFont val="Arial"/>
        <family val="2"/>
      </rPr>
      <t>WEATHER PROOF</t>
    </r>
    <r>
      <rPr>
        <sz val="9"/>
        <color indexed="8"/>
        <rFont val="Arial"/>
        <family val="2"/>
      </rPr>
      <t xml:space="preserve">, DEGREE  OF PROTECTION: IP55, </t>
    </r>
    <r>
      <rPr>
        <u/>
        <sz val="9"/>
        <color indexed="8"/>
        <rFont val="Arial"/>
        <family val="2"/>
      </rPr>
      <t>SURFACE MOUNTED</t>
    </r>
    <r>
      <rPr>
        <sz val="9"/>
        <color indexed="8"/>
        <rFont val="Arial"/>
        <family val="2"/>
      </rPr>
      <t>, 6-POLE TERMINAL  BLOCKS AND  THROUGH WIRING 3x2.5mm2, WITH TWO BI PIN LAMPS,TWO M25 HOLES  SUITABLE FOR CONNECTING CONDUIT SIZE M25, CONNECTED PVC WIRE SIZE 2.5mm2, AND ONE END PLUG, LAMP HOLDER : BI-PIN, WITH POWER FACTOR CORRECTION CAPACITOR.</t>
    </r>
  </si>
  <si>
    <t>یک قلم در ردیف 9.1.1</t>
  </si>
  <si>
    <t>9.1.5</t>
  </si>
  <si>
    <t>INDUSTRIAL LIGHTING FIXTURE SUITABLE FOR MOUNTING ON HAZARDOUS AREA ,ZONE 2 , 2x36W FLUORESCENT TUBES,BODY OF GALVANIZED SHEET STEEL , INJECTED MOULDED BOWL OF IMPACT RESISTANT OPAL .DEGREE  OF PROTECTION :IP55 , PATTERNED POLYCARBONATE, PROTECTION CLASS : EEX de IIB T3 , 6-POLE TERMINAL BLOCKS AND THROUGH WIRING 3x2.5mm2 , WITH SUPPORTING ACCESSORIES FOR SURFACE MOUNTED ,WITH TWO LAMPS,TWO M25 HOLES  SUITABLE FOR CONNECTING CONDUIT SIZE M25, CONNECTED PVC WIRE SIZE 2.5mm2, AND ONE END PLUG, LAMP HOLDER : BI-PIN, WITH POWER FACTOR CORRECTION CAPACITOR.</t>
  </si>
  <si>
    <t>9.1.6</t>
  </si>
  <si>
    <r>
      <t xml:space="preserve">INTERIOR FLUORESCENT LIGHTING FIXTURE WITH OPAL DIFFUSER, 4x20W TUBES , BODY OF STEEL SHEET, OPAL DIFFUSER, DEGREE OF PROTECTION: IP41, </t>
    </r>
    <r>
      <rPr>
        <u/>
        <sz val="9"/>
        <color indexed="8"/>
        <rFont val="Arial"/>
        <family val="2"/>
      </rPr>
      <t>SURFACE MOUNTED</t>
    </r>
    <r>
      <rPr>
        <sz val="9"/>
        <color indexed="8"/>
        <rFont val="Arial"/>
        <family val="2"/>
      </rPr>
      <t xml:space="preserve"> TYPE,6-POLE TERMINAL BLOCKS AND THROUGH  WIRING 3x2.5mm2,WITH FOUR LAMPS, TWO M25 HOLES  SUITABLE FOR CONNECTING CONDUIT SIZE M25, CONNECTED PVC WIRE SIZE 2.5mm2, AND ONE END PLUG, LAMP HOLDER : BI-PIN, WITH POWER FACTOR CORRECTION CAPACITOR.
DIMENSION:590x590x82mm</t>
    </r>
  </si>
  <si>
    <t>9.1.7</t>
  </si>
  <si>
    <r>
      <t xml:space="preserve">INTERIOR LIGHTING FIXTURE, 2x20W FLUORESCENT TUBES, BODY OF: STEEL SHEET,OPAL DIFFUSER, DEGREE  OF PROTECTION IP41, SURFACE MOUNTED, WITH LAMP, COMPLETE WITH ON-OFF (KNOT TYPE) SWITCH, WITH </t>
    </r>
    <r>
      <rPr>
        <u/>
        <sz val="9"/>
        <color indexed="8"/>
        <rFont val="Arial"/>
        <family val="2"/>
      </rPr>
      <t>BATTERY BACK UP</t>
    </r>
    <r>
      <rPr>
        <sz val="9"/>
        <color indexed="8"/>
        <rFont val="Arial"/>
        <family val="2"/>
      </rPr>
      <t xml:space="preserve"> FOR MAX. 1/2 HOUR, TWO M25 HOLES  SUITABLE FOR CONNECTING CONDUIT SIZE M25, CONNECTED PVC WIRE SIZE 2.5mm2, AND ONE END PLUG, LAMP HOLDER : BI-PIN, WITH POWER FACTOR CORRECTION CAPACITOR.</t>
    </r>
  </si>
  <si>
    <t>9.1.8</t>
  </si>
  <si>
    <r>
      <t xml:space="preserve">INTERIOR LIGHTING FIXTURE, EMERGENCY WHITE </t>
    </r>
    <r>
      <rPr>
        <b/>
        <sz val="9"/>
        <color indexed="8"/>
        <rFont val="Arial"/>
        <family val="2"/>
      </rPr>
      <t>EXIT</t>
    </r>
    <r>
      <rPr>
        <sz val="9"/>
        <color indexed="8"/>
        <rFont val="Arial"/>
        <family val="2"/>
      </rPr>
      <t xml:space="preserve"> SIGN ON GREEN BACKGROUND, FLUORESCENT FIXTURE, 1x8WATTS,BODY OF STEEL SHEET, DEGREE  OF PROTECTION IP41, SURFACE MOUNTED, 6-POLE TERMINAL BLOCKS AND THROUGH  WIRING 3x2.5mm2, WITH LAMP, WITH BACKUP BATTERY FOR 1/2 HOUR , TWO M25 HOLES  SUITABLE FOR CONNECTING CONDUIT SIZE M25, CONNECTED PVC WIRE SIZE 2.5mm2, AND ONE END PLUG, LAMP HOLDER : BI-PIN, WITH POWER FACTOR CORRECTION CAPACITOR.</t>
    </r>
  </si>
  <si>
    <t>9.1.9</t>
  </si>
  <si>
    <r>
      <rPr>
        <b/>
        <sz val="9"/>
        <color indexed="8"/>
        <rFont val="Arial"/>
        <family val="2"/>
      </rPr>
      <t>STREET LIGHTING</t>
    </r>
    <r>
      <rPr>
        <sz val="9"/>
        <color indexed="8"/>
        <rFont val="Arial"/>
        <family val="2"/>
      </rPr>
      <t>,1x250W HIGH PRESSURE MERCURY  VAPOUR LAMP,WEATHER PROOF BODY OF PRESSED ALUMINIUM SHEET WHICH IS CHROMATED AND ELECTROSTATICALLY STOVE-ENAMELLED, REFLECTOR OF ANODISED PURE ALUMINIUM AND BOWL OF GLASS, POLE MOUNTED, ON 44~60mm PIPE ANGELED AT 10 DEGREE TO HORIZONTAL, DEGREE OF PROTECTION: IP55, WITH CONTROL GEAR AND TERMINAL BLOCK SIZE 2.5 mm2,WITH LAMP AND POWER FACTOR CORRECTION CAPACITOR.</t>
    </r>
  </si>
  <si>
    <t>9.1.10</t>
  </si>
  <si>
    <r>
      <t xml:space="preserve">CORROSION RESISTANT </t>
    </r>
    <r>
      <rPr>
        <b/>
        <sz val="9"/>
        <rFont val="Arial"/>
        <family val="2"/>
      </rPr>
      <t>HIGH-BAY</t>
    </r>
    <r>
      <rPr>
        <sz val="9"/>
        <rFont val="Arial"/>
        <family val="2"/>
      </rPr>
      <t xml:space="preserve"> LUMINAIRE FOR 1x250W MERCURY VAPOUR LAMP, WIDE BEAM LIGHT DISTRIBUTION, WITH CONTROL GEAR BOX INCLUDING TERMINAL BLOCKS AND THROUGH WIRING 3x2.5mm2, HOT DIPPED GALVANIZED STEEL OR ALUMINIUM SHEET HOUSING , SYMMETRICAL REFLECTOR OF ANODISED ALUMINIUM. DEGREE  OF PROTECTION IP55, M20 HOLE SUITABLE FOR CONNECTING FLEXIBLE CONDUIT SIZE M20 , HANG TYPE MOUNTING, WITH LAMP.WIRING BETWEEN CONTROL GEAR AND FIXTURE SHALL BE PROVIDED BY VENDOR.WITH POWER FACTOR CORRECTION CAPACITOR.</t>
    </r>
  </si>
  <si>
    <t>9.1.11</t>
  </si>
  <si>
    <r>
      <t xml:space="preserve">CORROSION RESISTANT OUTDOOR AREA </t>
    </r>
    <r>
      <rPr>
        <b/>
        <sz val="9"/>
        <rFont val="Arial"/>
        <family val="2"/>
      </rPr>
      <t>FLOOD LIGHT</t>
    </r>
    <r>
      <rPr>
        <sz val="9"/>
        <rFont val="Arial"/>
        <family val="2"/>
      </rPr>
      <t>,1x400W METAL HALIDE LAMP, SYMMETRIC WIDE ANGLE BEAM LIGHT DISTRIBUTION, HIGH INTENSITY TYPE, BODY OF DIE CAST ALUMINIUM, DUST-PROOF SEALING, REFLECTOR OF PURE ALUMINIUM, DEGREE  OF PROTECTION: IP 55, M20 HOLE AND CABLE GLANDS SUITABLE FOR CABLE PVC/PVC 3x4mm2 ,CONTROL GEAR WITH 3x4mm2 TERMINAL BLOCKS,WITH LAMP AND MOUNTING BRACKET WHICH HAVING ADJUSTABLE VERTICAL AND HORIZENTAL ANGLES , WITH POWER FACTOR CORRECTION CAPACITOR.</t>
    </r>
  </si>
  <si>
    <t>9.1.12</t>
  </si>
  <si>
    <r>
      <t>INDOOR LIGHTING FITTING FOR 1x36W  LOW CONSUMPTION LAMP, BODY OF PORCELAIN, DUST AND WEATHER-PROOF SEALING BY GASKET BETWEEN BODY AND BOWL, BOWL OF PRISMATIC GLASS, 3 POLE TERMINAL BLOCKS FOR 3x2.5mm2 WIRING,</t>
    </r>
    <r>
      <rPr>
        <b/>
        <sz val="9"/>
        <rFont val="Arial"/>
        <family val="2"/>
      </rPr>
      <t>WALL MOUNTED</t>
    </r>
    <r>
      <rPr>
        <sz val="9"/>
        <rFont val="Arial"/>
        <family val="2"/>
      </rPr>
      <t>, DEGREE  OF PROTECTION IP41,WITH LAMP , TWO M25 HOLES  SUITABLE FOR CONNECTING CONDUIT SIZE M25, CONNECTED PVC WIRE SIZE 2.5mm2, AND ONE END PLUG.</t>
    </r>
  </si>
  <si>
    <t>9.1.13</t>
  </si>
  <si>
    <r>
      <t xml:space="preserve">OUTDOOR LIGHTING FITTING FOR 1x36W  LOW CONSUMPTION LAMP, </t>
    </r>
    <r>
      <rPr>
        <b/>
        <sz val="9"/>
        <rFont val="Arial"/>
        <family val="2"/>
      </rPr>
      <t>BULKHEAD TYPE</t>
    </r>
    <r>
      <rPr>
        <sz val="9"/>
        <rFont val="Arial"/>
        <family val="2"/>
      </rPr>
      <t xml:space="preserve"> , BODY OF DIE-CAST ALUMINUM,WITH GLASS AND CORROSION PROOF ,STEEL PROTECTIVE MESH, 3 POLE TERMINAL BLOCKS FOR 3x2.5mm2 WIRING,</t>
    </r>
    <r>
      <rPr>
        <b/>
        <sz val="9"/>
        <rFont val="Arial"/>
        <family val="2"/>
      </rPr>
      <t>SURFACE MOUNTED</t>
    </r>
    <r>
      <rPr>
        <sz val="9"/>
        <rFont val="Arial"/>
        <family val="2"/>
      </rPr>
      <t>, DEGREE  OF PROTECTION IP55,WITH LAMP, TWO M25 HOLES  SUITABLE FOR CONNECTING CONDUIT SIZE M25, CONNECTED PVC WIRE SIZE 2.5mm2, AND ONE END PLUG.</t>
    </r>
  </si>
  <si>
    <t>Socket Outlet</t>
  </si>
  <si>
    <t>9.2.1</t>
  </si>
  <si>
    <t>SOCKET OUTLET , OUTDOOR, LOCKABLE PLUG, SURFACE MOUNTING, GALVANIZED CAST IRON , THERMOPLASTIC ENCLOSURE,  WEATHER PROOF, 230 V, 16 A, 3 PIN (PH+N+PE) DEGREE  OF PROTECTION IP 55, WITH M25 HOLE AT TOP FOR CONNECTING CONDUIT SIZE M25, CONNECTED PVC WIRE SIZE 4mm2</t>
  </si>
  <si>
    <t>9.2.2</t>
  </si>
  <si>
    <r>
      <t xml:space="preserve">SOCKET OUTLET, INDOOR , RECESSED MOUNTING,  230 V, 16 A, EQUIPED </t>
    </r>
    <r>
      <rPr>
        <u/>
        <sz val="10"/>
        <rFont val="Arial"/>
        <family val="2"/>
      </rPr>
      <t>WITH ON-OFF SWITCH</t>
    </r>
    <r>
      <rPr>
        <sz val="10"/>
        <rFont val="Arial"/>
        <family val="2"/>
      </rPr>
      <t xml:space="preserve"> , DEGREE  OF PROTECTION IP 23, TWO POLES PLUS EARTH LUG, WITH M25 HOLE AT TOP FOR CONNECTING CONDUIT SIZE M25, CONNECTED PVC WIRE SIZE 4mm2, WITH SUITABLE GALVANIZED METAL FLUSH MOUNTING BOX WITH EARTH CONNECTION SCREW. METAL BOX HOLE SIZE PROPER FOR CONDUIT SIZE: M25  WITH DEPTH 35 mm.</t>
    </r>
  </si>
  <si>
    <t>9.2.3</t>
  </si>
  <si>
    <t>SOCKET OUTLET, INDOOR , RECESSED MOUNTING,  230 V, 16 A, DEGREE  OF PROTECTION IP 23, TWO POLES PLUS EARTH LUG, WITH M25 HOLE AT TOP FOR CONNECTING CONDUIT SIZE M25, CONNECTED PVC WIRE SIZE 4mm2 , WITH SUITABLE GALVANIZED METAL FLUSH MOUNTING BOX WITH EARTH CONNECTION SCREW. METAL BOX HOLE SIZE PROPER FOR CONDUIT SIZE: M25  WITH DEPTH 35 mm.</t>
  </si>
  <si>
    <t>9.2.4</t>
  </si>
  <si>
    <t>WELDING SOCKET OUTLET, INDUSTRIAL , SURFACE MOUNTING METAL CLAD  OR THERMO PLASTIC ENCLOSURE,  HINGED  FLAP, 400 V, 60 A, 4 POLES (3PH+PE) , LOCKABLE PLUG, DEGREE  OF PROTECTION IP55. WITH M32 CABLE GLAND FOR SWA CABLE  AT BOTTOM.</t>
  </si>
  <si>
    <t>9.2.5</t>
  </si>
  <si>
    <t>SOCKET OUTLET, EXPLOSION PROOF, LOCKABLE, SURFACE MOUNTING, CAST IRON ENCLOUSURE OR THERMOPLASTIC ENCLOSURE, HOT DIP GALVANIZED IF METAL, PROTECTION CLASS: EEX de IIB T3, FLAME PROOF, 230 V, 16 A, 2 POLES , PLUS EARTH LUG. EXPLOSION PROOF CABLE GLAND FOR NON-SWA FIRE RESISTANCE CABLE SIZE 3x4MM2 AT TOP OF SOCKET.</t>
  </si>
  <si>
    <t>9.2.6</t>
  </si>
  <si>
    <t>WELDING SOCKET OUTLET, EXPLPSION PROOF,WEATHER PROOF , SURFACE MOUNTING METAL CLAD  OR THERMOPLASTIC ENCLOSURE,  HINGED  FLAP, 400 V, 60 A, 4 POLES (3PH+PE) , LOCKABLE PLUG, DEGREE  OF PROTECTION IP55. WITH M32 CABLE GLAND FOR SWA CABLE  AT BOTTOM.</t>
  </si>
  <si>
    <t>Lighting Switch</t>
  </si>
  <si>
    <t>9.3.1</t>
  </si>
  <si>
    <r>
      <t xml:space="preserve">ON-OFF SWITCH FOR LIGHTING LUMINAIRES, RECESSED MOUNTED, 230V,10A, DEGREE  OF PROTECTION IP23 , </t>
    </r>
    <r>
      <rPr>
        <b/>
        <sz val="10"/>
        <rFont val="Arial"/>
        <family val="2"/>
      </rPr>
      <t>SINGLE POLE</t>
    </r>
    <r>
      <rPr>
        <sz val="10"/>
        <rFont val="Arial"/>
        <family val="2"/>
      </rPr>
      <t>, WITH SUITABLE GALVANIZED METAL FLUSH MOUNTING BOX WITH EARTH CONNECTION SCREW. METAL BOX HOLE SIZE PROPER FOR CONDUIT SIZE: M25  WITH DEPTH 35 mm.</t>
    </r>
  </si>
  <si>
    <t>9.3.2</t>
  </si>
  <si>
    <t>OUT DOOR ONE POLE SWITCH FOR LIGHTING PURPOSE, 230V,10A, DEGREE OF PROTECTION IP55 MIN.,SURFACE MOUNTING,MADE OF DIE-CAST ALUMINIUM ALLOY OR THERMOPLASTIC ENCLOSURE,HIGH RESISTANT AGAINST IMPACTS, WITH ONE M25 HOLE FOR CONNECTING CONDUIT SIZE M25, CONNECTED PVC WIRE SIZE 2.5mm2</t>
  </si>
  <si>
    <t>9.3.3</t>
  </si>
  <si>
    <r>
      <t xml:space="preserve">ON-OFF SWITCH FOR LIGHTING LUMINAIRS , 230V,10A, RECESSED MOUNTED, </t>
    </r>
    <r>
      <rPr>
        <b/>
        <sz val="10"/>
        <rFont val="Arial"/>
        <family val="2"/>
      </rPr>
      <t xml:space="preserve">MULTIPOSITION TYPE </t>
    </r>
    <r>
      <rPr>
        <sz val="10"/>
        <rFont val="Arial"/>
        <family val="2"/>
      </rPr>
      <t>( FOR DISCONNECTING TWO SEPARATE LINE OF ONE FEEDER : (TWO POLE ), DEGREE  OF PROTECTION IP23 , WITH SUITABLE GALVANIZED METAL FLUSH MOUNTING BOX, WITH EARTH CONNECTION SCREW. METAL BOX HOLE SIZE PROPER FOR CONDUIT SIZE: M25 , WITH DEPTH 35 mm.</t>
    </r>
  </si>
  <si>
    <t>9.3.4</t>
  </si>
  <si>
    <r>
      <t xml:space="preserve">ON-OFF SWITCH FOR LIGHTING LUMINAIRS , 230V,10A, RECESSED MOUNTED,  </t>
    </r>
    <r>
      <rPr>
        <b/>
        <sz val="10"/>
        <rFont val="Arial"/>
        <family val="2"/>
      </rPr>
      <t>TWO WAY TYPE</t>
    </r>
    <r>
      <rPr>
        <sz val="10"/>
        <rFont val="Arial"/>
        <family val="2"/>
      </rPr>
      <t>, DEGREE  OF PROTECTION IP23 , WITH SUITABLE GALVANIZED METAL FLUSH MOUNTING BOX, WITH EARTH CONNECTION SCREW. METAL BOX HOLE SIZE PROPER FOR CONDUIT SIZE: M25 , WITH DEPTH 35 mm.</t>
    </r>
  </si>
  <si>
    <t>9.3.5</t>
  </si>
  <si>
    <t>ONE POLE SWITCH FOR LIGHTING PURPOSE, EXPLOSION PROOF, PROTECTION CLASS: EEX de IIB T3, WALL SURFACE MOUNTING, MADE OF DIE-CAST ALUMINIUM ALLOY OR THERMOPLASTIC ENCLOSURE,HIGH RESISTANT AGAINST IMPACTS, VIBRATION AND AGGRESSIVE CHEMICAL SUBSTANCES,WITH M20 EXP-CABLE GLAND FOR NON-SWA FIRE RESISTENCE CABLE SIZE:3x2.5MM2  , HOLE AT TOP</t>
  </si>
  <si>
    <t>Lighting Pole</t>
  </si>
  <si>
    <t>9.4.1</t>
  </si>
  <si>
    <t>STREET LIGHTING POLE, HEIGHT :10m , DETAIL AS BELOW:  PIPE SIZE 6" ,168.28mm OD x 7.11mm THK, LENGTH:2700mm , PIPE SIZE 5" ,141.3mm OD x 6.55mm THK, LENGTH:2300mm , PIPE SIZE 4" ,114.3mm OD x 6.02mm THK, LENGTH:2300mm , PIPE SIZE 3" ,88.9mm OD x  5.5mm THK, LENGTH:2700mm, CARBON-STEEL PIPE,SAND BLOST,ANTI CORROSION COATED,SILVER COLORED FINISHING PAINT.</t>
  </si>
  <si>
    <t>9.4.2</t>
  </si>
  <si>
    <t>FLOODLIGHTING TOWER, HEIGHT: 15m, LATTICE TYPE WITH TOP PLATFORM (As per attached drawing), CARBONSTEEL PIPE,SAND BLOST,ANTICORROSION COATED,SILVER COLORED FINISHING PAINT.</t>
  </si>
  <si>
    <t>9.4.3</t>
  </si>
  <si>
    <t>POLE MOUNTED FLUORESCENT LIGHTING,2.5m EXPLOSION PROOF, PROTECTION CLASS: EEX de IIB T3, IP55, WITH FLOURECENT LAMP 2x36W EXPLOSION PROOF TYPE.</t>
  </si>
  <si>
    <t>Lighting panels</t>
  </si>
  <si>
    <t>9.5.1</t>
  </si>
  <si>
    <t>LIGHTING PANEL- 3PH + N + PE, 400/230V, 50HZ, 10KA, 1SEC, - OUTDOOR USE,  IP55, SUPPORT MOUNTING TYPE,INCOMING FEERDE MCCB 63A 4P WITH CONTACTOR 50A AC3 AND MCB 50A,ALSO 10 OUTGOING FEEDER 10A. MCCB,4P FOR INCOMING FEERDER  VOLTMETER ,AMMETER AND PHOTOCELL SHALL BE CONSIDERED.</t>
  </si>
  <si>
    <t>9.5.2</t>
  </si>
  <si>
    <t>LIGHTING PANEL- 3PH + N + PE, 400/230V, 50HZ, 10KA, 1SEC,  INDOOR USE,  IP42, WALL / RECESSED MOUNTING TYPE, INCOMING FEERDE MCCB 80A 4P WITH 12 OUTGOING FEEDER 10A 1PH AND 11 OUTGOING FEEDER FOR SOCKET OUTLET 16A 1PH WITH EARTH LEAKAGE PROTECTION. FOR INCOMING FEERDER  VOLTMETER ,AMMETER SHALL BE CONSIDERED.</t>
  </si>
  <si>
    <t>9.5.3</t>
  </si>
  <si>
    <t>LIGHTING PANEL- 3PH + N + PE, 400/230V, 50HZ, 15KA, 1SEC, - EXPLOSION PROOF , PROTECTION CLASS : ZONE2, IIB, T3,- OUTDOOR USE,  IP55, WALL / SURFACE MOUNTING TYPE, INCOMING FEERDE MCCB 25A 4P WITH 3 OUTGOING FEEDER 16A 1PH AND 2 OUTGOING FEEDER FOR SOCKET OUTLET 16A 1PH WITH EARTH LEAKAGE PROTECTION. FOR INCOMING FEERDER  VOLTMETER ,AMMETER SHALL BE CONSIDERED.</t>
  </si>
  <si>
    <t>Comunication</t>
  </si>
  <si>
    <t>Telephone System</t>
  </si>
  <si>
    <t>Telephone cable Outdoor(2500mX2pair, 350mX10pair, 300mX15pair)</t>
  </si>
  <si>
    <t>r(2500mX2pair, 350mX10pair, 300mX15pair)</t>
  </si>
  <si>
    <t>Paging</t>
  </si>
  <si>
    <t xml:space="preserve">Paging Cable </t>
  </si>
  <si>
    <t>Radio System</t>
  </si>
  <si>
    <t>Radio Cable</t>
  </si>
  <si>
    <t>set</t>
  </si>
  <si>
    <t>Gland &amp; Tray</t>
  </si>
  <si>
    <t>BUS DUCT</t>
  </si>
  <si>
    <t>BULK MATERIALS</t>
  </si>
  <si>
    <t>لوام یدکی</t>
  </si>
  <si>
    <t>ترانسفورماتورها، دستگاههاي شارژر صنعتي، UPS صنعتي و دیزل ژنراتور</t>
  </si>
  <si>
    <t>ANALYZER</t>
  </si>
  <si>
    <t>1.1</t>
  </si>
  <si>
    <t>BS&amp;W ANALYZER TRANSMITTER / ELEMENT</t>
  </si>
  <si>
    <t>NO.</t>
  </si>
  <si>
    <t>1.2</t>
  </si>
  <si>
    <t>DISSOLVED OXYGEN ANALYZER</t>
  </si>
  <si>
    <t>CORROSION INSTRUMENTS</t>
  </si>
  <si>
    <t>CORROSION COUPON</t>
  </si>
  <si>
    <t>FLOW TRANSMITTER (DIFF. PRESSURE TYPE) WITH 5-VALVE MANIFOLD</t>
  </si>
  <si>
    <t>FLOW SWITCH (DIFF. PRESSURE SWITCH TYPE) WITH 5-VALVE MANIFOLD</t>
  </si>
  <si>
    <t>FLOW GAGE (ROTAMETER)</t>
  </si>
  <si>
    <t>ORIFICE PLATE WITH FLANGES</t>
  </si>
  <si>
    <t>RESTRICTION ORIFICE (WITHOUT FLANGES)</t>
  </si>
  <si>
    <t>LEVEL GAUGE (MAGNETIC)</t>
  </si>
  <si>
    <t>LEVEL GAGE (FLOAT-CABLE)</t>
  </si>
  <si>
    <t>LEVEL SWITCH (FLOAT; EXTERNAL WITH CHAMBER, SIDE/SIDE)</t>
  </si>
  <si>
    <t>LEVEL SWITCH (DISPLACER; INTERNAL, TOP MOUNTED)</t>
  </si>
  <si>
    <t>LEVEL TRANSMITTER (DISPLACER; EXTERNAL WITH CHAMBER, SIDE/SIDE)</t>
  </si>
  <si>
    <t>LEVEL TRANSMITTER (DIFF. PRESSURE TYPE) WITH 5-VALVE MANIFOLD</t>
  </si>
  <si>
    <t>PRESSURE GAUGE WITH 2-VALVE MANIFOLD</t>
  </si>
  <si>
    <t>15</t>
  </si>
  <si>
    <t>DIFF. PRESSURE GAUGE WITH 5-VALVE MANIFOLD</t>
  </si>
  <si>
    <t>16</t>
  </si>
  <si>
    <t>PRESSURE SWITCH WITH 2-VALVE MANIFOLD</t>
  </si>
  <si>
    <t>17</t>
  </si>
  <si>
    <t>PRESSURE TRANSMITTER WITH 2-VALVE MANIFOLD</t>
  </si>
  <si>
    <t>18</t>
  </si>
  <si>
    <t>DIFF. PRESSURE TRANSMITTER WITH 5-VALVE MANIFOLD</t>
  </si>
  <si>
    <t>TEMPERATURE TRANSMITTER WITH THERMOWELL</t>
  </si>
  <si>
    <t>20</t>
  </si>
  <si>
    <t>TEMPERATURE SWITCH WITH THERMOWELL</t>
  </si>
  <si>
    <t>BIMETAL THERMOMETER WITH THERMOWELL</t>
  </si>
  <si>
    <t>DENSITY TRANSMITTER</t>
  </si>
  <si>
    <t>FLOW COMPUTER</t>
  </si>
  <si>
    <t>CONTROL VALVES</t>
  </si>
  <si>
    <t>24.1</t>
  </si>
  <si>
    <t>1" (300#)</t>
  </si>
  <si>
    <t>24.2</t>
  </si>
  <si>
    <t>1 1/2" (300#)</t>
  </si>
  <si>
    <t>24.3</t>
  </si>
  <si>
    <t>2" (300#)</t>
  </si>
  <si>
    <t>24.4</t>
  </si>
  <si>
    <t>3" (300#)</t>
  </si>
  <si>
    <t>24.5</t>
  </si>
  <si>
    <t>3" (600#)</t>
  </si>
  <si>
    <t>24.6</t>
  </si>
  <si>
    <t>4" (300#)</t>
  </si>
  <si>
    <t>24.7</t>
  </si>
  <si>
    <t>4" (600#)</t>
  </si>
  <si>
    <t>24.8</t>
  </si>
  <si>
    <t>6" (300#)</t>
  </si>
  <si>
    <t>24.9</t>
  </si>
  <si>
    <t>8" (300#)</t>
  </si>
  <si>
    <t>24.10</t>
  </si>
  <si>
    <t>10" (300#)</t>
  </si>
  <si>
    <t>24.11</t>
  </si>
  <si>
    <t>12" (300#)</t>
  </si>
  <si>
    <t>24.12</t>
  </si>
  <si>
    <t>16" (300#)</t>
  </si>
  <si>
    <t>SELF ACTUATED PRESSURE REGULATOR VALVE (1 1/2", 300#)</t>
  </si>
  <si>
    <t>ON/OFF VALVE</t>
  </si>
  <si>
    <t>26.1</t>
  </si>
  <si>
    <t>25.2</t>
  </si>
  <si>
    <t>25.3</t>
  </si>
  <si>
    <t>25.4</t>
  </si>
  <si>
    <t>25.5</t>
  </si>
  <si>
    <t>6" (600#)</t>
  </si>
  <si>
    <t>25.6</t>
  </si>
  <si>
    <t>25.7</t>
  </si>
  <si>
    <t>25.8</t>
  </si>
  <si>
    <t>20" (300#)</t>
  </si>
  <si>
    <t>SAFETY / RELIEF VALVES</t>
  </si>
  <si>
    <t>27.1</t>
  </si>
  <si>
    <t>3/4" / 1" (300#)</t>
  </si>
  <si>
    <t>27.2</t>
  </si>
  <si>
    <t>3/4" / 1" (600#)</t>
  </si>
  <si>
    <t>27.3</t>
  </si>
  <si>
    <t>1" / 2" (300#)</t>
  </si>
  <si>
    <t>27.4</t>
  </si>
  <si>
    <t>1 1/2" / 2" (300#)</t>
  </si>
  <si>
    <t>27.5</t>
  </si>
  <si>
    <t>2" / 3" (300#)</t>
  </si>
  <si>
    <t>27.6</t>
  </si>
  <si>
    <t>3" / 4" (300#)</t>
  </si>
  <si>
    <t>27.7</t>
  </si>
  <si>
    <t>4" / 6" (300#)</t>
  </si>
  <si>
    <t>27.8</t>
  </si>
  <si>
    <t>6" / 8" (300#)</t>
  </si>
  <si>
    <t>27.9</t>
  </si>
  <si>
    <t>8" (300#; emergency relief)</t>
  </si>
  <si>
    <t>PRESSURE &amp; VACUUM RELIEF VALVE</t>
  </si>
  <si>
    <t>28.1</t>
  </si>
  <si>
    <t>28.2</t>
  </si>
  <si>
    <t>LINE BREAK VALVE (12", 300#)</t>
  </si>
  <si>
    <t>●</t>
  </si>
  <si>
    <t>1×2×2.5 mm2, PVC/OSCR/SWA/PVC (FLAME RETARDANT)</t>
  </si>
  <si>
    <t>1×2×AWG18 (FF CABLE), PVC/OSCR/SWA/PVC (FLAME RETARDANT)</t>
  </si>
  <si>
    <t>10×2×AWG18 (FF CABLE), PVC/OSCR/LC/SWA/PVC (FLAME RETARDANT)</t>
  </si>
  <si>
    <t>1×2×1.5 mm2, PVC/OSCR/LC/SWA/PVC (FLAME RETARDANT)</t>
  </si>
  <si>
    <t>1×2×1.5 mm2, PVC/OSCR/SWA/PVC (FLAME RETARDANT)</t>
  </si>
  <si>
    <t>20×1.5 mm2, PVC/OSCR/LC/SWA/PVC (FLAME RETARDANT)</t>
  </si>
  <si>
    <t>20×2.5 mm2, PVC/OSCR/LC/SWA/PVC (FLAME RETARDANT)</t>
  </si>
  <si>
    <t>1×3×1.5 mm2, MT-XLPE/OSCR/LC/SWA/LSFH (FIRE RESISTANT)</t>
  </si>
  <si>
    <t>1×3×1.5 mm2, MT-XLPE/OSCR/SWA/LSFH (FIRE RESISTANT)</t>
  </si>
  <si>
    <t>10×3×1.5 mm2, MT-XLPE/OSCR/ISCR/LC/SWA/LSFH (FIRE RESISTANT)</t>
  </si>
  <si>
    <t>1×2×1.5 mm2, MT-XLPE/OSCR/LC/SWA/LSFH (FIRE RESISTANT)</t>
  </si>
  <si>
    <t>1×2×1.5 mm2, MT-XLPE/OSCR/SWA/LSFH (FIRE RESISTANT)</t>
  </si>
  <si>
    <t>1×2×1.5 mm2, MT-XLPE/OSCR/LSFH (FIRE RESISTANT)</t>
  </si>
  <si>
    <t>20×1.5 mm2, MT-XLPE/OSCR/LC/SWA/LSFH (FIRE RESISTANT)</t>
  </si>
  <si>
    <t>40×1.5 mm2, PVC/OSCR/LC/SWA/PVC (FLAME RETARDANT)</t>
  </si>
  <si>
    <t>7×2×1.5 mm2, PVC/ISCR/OSCR/LC/SWA/PVC (FLAME RETARDANT)</t>
  </si>
  <si>
    <t>28×2.5 mm2, PVC/OSCR/LC/SWA/PVC (FLAME RETARDANT)</t>
  </si>
  <si>
    <t>6×1.5 mm2, PVC/OSCR/LC/SWA/PVC (FLAME RETARDANT)</t>
  </si>
  <si>
    <t>34×1.5 mm2, PVC/OSCR/LC/SWA/PVC (FLAME RETARDANT)</t>
  </si>
  <si>
    <t>Bulk (Gland, Junction Box, hook-up,…)</t>
  </si>
  <si>
    <t>Lot</t>
  </si>
  <si>
    <t>CONTROL SYSTEMS</t>
  </si>
  <si>
    <t>32.1</t>
  </si>
  <si>
    <t>32.2</t>
  </si>
  <si>
    <t>PLC BASED ESD SYSTEM (FOR DESALTING UNIT)</t>
  </si>
  <si>
    <t>32.3</t>
  </si>
  <si>
    <t>PLC (CONTROL SYSTEM OF PRODUCTION UNIT)</t>
  </si>
  <si>
    <t>32.4</t>
  </si>
  <si>
    <t>RELAY BASED ESD SYSTEM (FOR PRODUCTION UNIT)</t>
  </si>
  <si>
    <t>32.5</t>
  </si>
  <si>
    <t>PLC BASED F&amp;G SYSTEM (OF DESALTING UNIT)</t>
  </si>
  <si>
    <t>32.6</t>
  </si>
  <si>
    <t>SIL3 ADDRESSABLE FIRE ALARM PANEL (OF DESALTING UNIT &amp; 33KV STATION)</t>
  </si>
  <si>
    <t>F&amp;G EQUIPMENT (OF DESALTING UNIT &amp; 33 KV STATION)</t>
  </si>
  <si>
    <t>33.1</t>
  </si>
  <si>
    <t xml:space="preserve">HEAT DETECTORS                </t>
  </si>
  <si>
    <t>EX, ADDRESSABLE</t>
  </si>
  <si>
    <t>NON EX, ADDRESSABLE</t>
  </si>
  <si>
    <t>33.2</t>
  </si>
  <si>
    <t xml:space="preserve">COMBUSTIBLE GAS DETECTORS               </t>
  </si>
  <si>
    <t>EX</t>
  </si>
  <si>
    <t>NON EX</t>
  </si>
  <si>
    <t>33.3</t>
  </si>
  <si>
    <t xml:space="preserve">TOXIC GAS DETECTORS               </t>
  </si>
  <si>
    <t>33.4</t>
  </si>
  <si>
    <t>SIREN</t>
  </si>
  <si>
    <t>33.5</t>
  </si>
  <si>
    <t>BEACON</t>
  </si>
  <si>
    <t xml:space="preserve">NON EX, ADDRESSABLE </t>
  </si>
  <si>
    <t>33.6</t>
  </si>
  <si>
    <t>UV/IR FLAME DETECTOR (EX)</t>
  </si>
  <si>
    <t>33.7</t>
  </si>
  <si>
    <t>COMBINED HEAT &amp; SMOKE DETECTOR (NON EX, ADDRESSABLE)</t>
  </si>
  <si>
    <t>33.8</t>
  </si>
  <si>
    <t>LINEAR HEAT DETECTOR (WITH BOX &amp; CABLE)</t>
  </si>
  <si>
    <t>33.9</t>
  </si>
  <si>
    <t>MANUAL CALL POINT</t>
  </si>
  <si>
    <t>33.10</t>
  </si>
  <si>
    <t>34</t>
  </si>
  <si>
    <t>35</t>
  </si>
  <si>
    <t>36</t>
  </si>
  <si>
    <t>CO2 TOOTAL FLOODING SYSTEM</t>
  </si>
  <si>
    <t>37</t>
  </si>
  <si>
    <t>SPARE PARTS</t>
  </si>
  <si>
    <t>حمل</t>
  </si>
  <si>
    <t>دلار</t>
  </si>
  <si>
    <t>Dollar</t>
  </si>
  <si>
    <t>سال مبنا</t>
  </si>
  <si>
    <t>مجموع قیمت خرید تجهیزات مطابق جداول 2.1،  2.4 و 2.5  و اعمال فاكتور تورم ريال و دلار از سال 1395 تا 1402</t>
  </si>
  <si>
    <t xml:space="preserve">لوازم يدكي (شامل لوازم يدكي براي راه اندازي و لوازم يدكي موردنياز براي كاركرد دو ساله) </t>
  </si>
  <si>
    <t>IRR</t>
  </si>
  <si>
    <t>جمع كل  بدون حمل و يدكي</t>
  </si>
  <si>
    <t>يورو</t>
  </si>
  <si>
    <t>فهرست</t>
  </si>
  <si>
    <t>ب) خلاصه برآورد مالی بخش اجرا</t>
  </si>
  <si>
    <t>پیوست یک - برآورد هزینه اجرای پروژه بر اساس فهارس بها</t>
  </si>
  <si>
    <t>جدول 6 - برآورد اجرا فضای سبز - خارج از فهرست بها</t>
  </si>
  <si>
    <t>جدول 17-1: هزینه تسهیلات کارفرما جهت ماموریت داخل کشور</t>
  </si>
  <si>
    <t>جدول 17 -2: هزینه تسهیلات کارفرما جهت ماموریت خارج کشور</t>
  </si>
  <si>
    <t>جدول 17-3: - هزینه آموزشی عملیاتی (اپراتوری) به میزان 192 نفر-روز</t>
  </si>
  <si>
    <t>جدول 17-4:  هزینه تسهیلات کارفرما مربوط به احداث کمپهای دستگاه نظارت
کلیه بندهای اشاره شده در ذیل مربوط به مدرک "مشخصات فنی کمپهای دستگاه نظارت به شماره  M9003-BD-GN-OTH-26011میباشد</t>
  </si>
  <si>
    <t>جدول 18-1:  براورد هزینه ایمنی کارگاه  :  لوازم حفاظت فردی و تجهیزات</t>
  </si>
  <si>
    <t>جدول 18 -2: براورد هزینه ایمنی کارگاه  :  نیروی انسانی</t>
  </si>
  <si>
    <t xml:space="preserve">جدول 18-3 - براورد هزینه ایمنی کارگاه  :  سنجش و اندازه گیری (1) - اندازه گیری آلاینده های فیزیکی،شیمیایی و ارگونومی در محیط کار </t>
  </si>
  <si>
    <t xml:space="preserve">جدول 18-4:  براورد هزینه ایمنی کارگاه  :  سنجش و اندازه گیری (2) </t>
  </si>
  <si>
    <t>جدول 18-5:  براورد هزینه ایمنی کارگاه  :  آموزش</t>
  </si>
  <si>
    <t>پیوست دو - ریز متره و برآورد احجام بخش سیویل وسازه</t>
  </si>
  <si>
    <t>جدول الف : ریز برآورد متره فونداسیون تجهیزات</t>
  </si>
  <si>
    <t>جدول ب-1 : ریز برآورد متره سایبانها - فونداسیون و کف سازی</t>
  </si>
  <si>
    <t>جدول ب-2 : ریز برآورد متره سایبانها - لسکلت فلزی</t>
  </si>
  <si>
    <t>جدول ج : ریز برآورد متره جاده ها</t>
  </si>
  <si>
    <t>جدول د : ریز برآورد متره ابنیه متفرقه</t>
  </si>
  <si>
    <t>جدول ه : ریز برآورد متره محوطه سازی</t>
  </si>
  <si>
    <t>جدول و : ریز برآورد کانال های لوله ها و کابل های دفنی</t>
  </si>
  <si>
    <t>جدول ط : ریز برآورد متره سازه های فلزی متفرقه</t>
  </si>
  <si>
    <t>مبانی محاسبات براورد :</t>
  </si>
  <si>
    <t>الف)</t>
  </si>
  <si>
    <t xml:space="preserve"> ضریب بالاسری بخش اجرا بر اساس فهرست بهای اختصاصی نصب واحدهای بهره برداری که در محاسبه هزینه پروژه منظور شده است معادل است با :</t>
  </si>
  <si>
    <t>ضریب هزینه تجهیز و برچیدن کارگاه که مبلغ آن با مبلغ اجرا جمع میگردد =</t>
  </si>
  <si>
    <t xml:space="preserve"> ضریب بالاسری بخش اجرا بر اساس فهرست رشته ابنیه که در محاسبه هزینه پروژه منظور شده است معادل است با</t>
  </si>
  <si>
    <t>ضریب بالاسری برای کارهایی که از طریق مناقصات انجام میشود :</t>
  </si>
  <si>
    <t>:خلاصه براورد ساخت و اجرا مطابق تفکیک نرخ پیمان- پیوست یک قرارداد</t>
  </si>
  <si>
    <t>الف:تجهیز و برچیدن مطابق جدول ب-1</t>
  </si>
  <si>
    <t xml:space="preserve">الف </t>
  </si>
  <si>
    <t>ب:ساخت و نصب و راه اندازی مطابق جدول ب-1</t>
  </si>
  <si>
    <t>ج:تسهیلات مورد نیاز کارفرما مطابق جدول ب-2</t>
  </si>
  <si>
    <t>د: الزامات HSEمطابق جدول ب-3</t>
  </si>
  <si>
    <t>مجموع</t>
  </si>
  <si>
    <t xml:space="preserve">شرح ردیف های  الف و ب - برآورد هزینه ساخت و نصب و راه اندازی و تجهیز کارگاه - مطابق جداول </t>
  </si>
  <si>
    <t>جمع کل</t>
  </si>
  <si>
    <t>هزینه تجهیز کارگاه</t>
  </si>
  <si>
    <t>هزینه اجرا پس از اعمال ضرایب فهرست بهای مربوطه</t>
  </si>
  <si>
    <t>هزینه اجرامطابق فهرست بهای مربوطه</t>
  </si>
  <si>
    <t>عنوان</t>
  </si>
  <si>
    <t>اجرای فونداسیون تجهیزات</t>
  </si>
  <si>
    <t>یک قلم در ردیف اول محاسبه گردید</t>
  </si>
  <si>
    <t>اجرای جاده های داخلی و خارجی</t>
  </si>
  <si>
    <t>اجرای سایبانها</t>
  </si>
  <si>
    <t>اجرای ساختمانها</t>
  </si>
  <si>
    <t>اجرای ابنیه و اقلام متفرقه</t>
  </si>
  <si>
    <t>محوطه سازی واحدها</t>
  </si>
  <si>
    <t>اجرای دیوار حایل و شیروانی دورواحد</t>
  </si>
  <si>
    <t>دفن کابل و لوله های دفنی</t>
  </si>
  <si>
    <t>نصب و اجرای سازه های فلزی متفرقه</t>
  </si>
  <si>
    <t>احداث فضای سبز</t>
  </si>
  <si>
    <t>اجرا و نصب تجهیزات مکانیک</t>
  </si>
  <si>
    <t xml:space="preserve">اجرای خطوط لوله </t>
  </si>
  <si>
    <t>اجرای پایپینگ درون واحدها</t>
  </si>
  <si>
    <t>اجرای برق</t>
  </si>
  <si>
    <t>اجرای ابزاردقیق</t>
  </si>
  <si>
    <t xml:space="preserve">مجموع </t>
  </si>
  <si>
    <t>شرح ردیف د - برآورد هزینه ایمنی کارگاه (HSE)</t>
  </si>
  <si>
    <t>شرح ردیف ج - برآورد تسهیلات کارفرما</t>
  </si>
  <si>
    <t>لوازم حفاظت فردی و تجهیزات</t>
  </si>
  <si>
    <t>تسهيلات رفاهي گروه نظارت</t>
  </si>
  <si>
    <t>سدجش و اندازه گیری 1</t>
  </si>
  <si>
    <t>تسهیلات ماموریت داخل و خارج و آموزش</t>
  </si>
  <si>
    <t>سدجش و اندازه گیری 2</t>
  </si>
  <si>
    <t>آموزش</t>
  </si>
  <si>
    <t>نیروی انسانی</t>
  </si>
  <si>
    <t>ارزش کار</t>
  </si>
  <si>
    <t>مقـدار</t>
  </si>
  <si>
    <t>واحد بــها با اعمال ضریب</t>
  </si>
  <si>
    <t>واحـد</t>
  </si>
  <si>
    <t>شــــــــرح</t>
  </si>
  <si>
    <t>*</t>
  </si>
  <si>
    <t>خاکبرداری و پی کنی با ماشین</t>
  </si>
  <si>
    <t>ضریب =</t>
  </si>
  <si>
    <r>
      <t>m</t>
    </r>
    <r>
      <rPr>
        <vertAlign val="superscript"/>
        <sz val="11"/>
        <color indexed="8"/>
        <rFont val="Calibri"/>
        <family val="2"/>
      </rPr>
      <t>3</t>
    </r>
  </si>
  <si>
    <t>قالب بندی فلزی</t>
  </si>
  <si>
    <r>
      <t>m</t>
    </r>
    <r>
      <rPr>
        <vertAlign val="superscript"/>
        <sz val="11"/>
        <color indexed="8"/>
        <rFont val="Calibri"/>
        <family val="2"/>
      </rPr>
      <t>2</t>
    </r>
  </si>
  <si>
    <t>تهیه مصالح و قالب بندی فلزی در پی ها</t>
  </si>
  <si>
    <t>تهیه مصالح و اجرای پی</t>
  </si>
  <si>
    <r>
      <t>K</t>
    </r>
    <r>
      <rPr>
        <sz val="11"/>
        <color indexed="8"/>
        <rFont val="Calibri"/>
        <family val="2"/>
      </rPr>
      <t>g</t>
    </r>
  </si>
  <si>
    <t>تهیه و اجرای بتن با شن و ماسه طبیعی با عیار 350 کیلو سیمان</t>
  </si>
  <si>
    <t>اضافه بهایه ردیفهای بتنه ریزی در بتن مسلح</t>
  </si>
  <si>
    <t>نهیه و نصب انکربولت، میل مهار با مهره مربوطه</t>
  </si>
  <si>
    <t>تهیه خاک مناسب از فاصله 15 کیلومتری</t>
  </si>
  <si>
    <t>تهیه خاک مناسب از داخل یا خارج از کارگاه شامل کندن و حمل تا  500 متری</t>
  </si>
  <si>
    <r>
      <t>m</t>
    </r>
    <r>
      <rPr>
        <vertAlign val="superscript"/>
        <sz val="11"/>
        <color indexed="8"/>
        <rFont val="Calibri"/>
        <family val="2"/>
      </rPr>
      <t>3</t>
    </r>
    <r>
      <rPr>
        <sz val="11"/>
        <color indexed="8"/>
        <rFont val="Calibri"/>
        <family val="2"/>
      </rPr>
      <t>-Km</t>
    </r>
  </si>
  <si>
    <t>حمل مواد حاصل از عمليات خاكي، فاصله حمل بيش از500 متر تا10 كيلومتر ، براي هر كيلومتر مازاد بر500 متر اول</t>
  </si>
  <si>
    <t>حمل مواد حاصل از عمليات خاكي،فاصله حمل بيش از10 كيلومتر تا30 كيلومتر باشد، براي هر كيلومتر مازاد بر10 كيلومتر</t>
  </si>
  <si>
    <t>خاکریزی و آبپاشی و کوبیدن با ماشین</t>
  </si>
  <si>
    <t>پخش و کوبیدن خاکریزیها با 100% تراکم</t>
  </si>
  <si>
    <t>آبپاشی و کوبیدن سطوح با دست</t>
  </si>
  <si>
    <t>آبپاشی و کوبیدن سطوح با تراکم 95 درصد</t>
  </si>
  <si>
    <t>تهیه مصالح و اجرای بتن با عیار 150 کیلو سیمان</t>
  </si>
  <si>
    <t>تهیه و اجرای بتن با شن و ماسه طبیعی با 150 کیلو سیمان</t>
  </si>
  <si>
    <t>اضافه بها برای بتن به ضخامت 15 سانتیمتر و کمتر</t>
  </si>
  <si>
    <r>
      <t xml:space="preserve">حمل خاک تا </t>
    </r>
    <r>
      <rPr>
        <sz val="11"/>
        <color indexed="8"/>
        <rFont val="Calibri"/>
        <family val="2"/>
      </rPr>
      <t>km</t>
    </r>
    <r>
      <rPr>
        <sz val="11"/>
        <color indexed="8"/>
        <rFont val="B Nazanin"/>
        <charset val="178"/>
      </rPr>
      <t>10 با ماشین</t>
    </r>
  </si>
  <si>
    <t>بارگیری موادحاصل عملیات خاکی و حمل تا فاصله 100 متری</t>
  </si>
  <si>
    <t>حمل مواد حاصل از عمليات خاكي برای فاصله حمل بیش از 100متر تا 500متر، به ازایه ر 100 متر مازاد</t>
  </si>
  <si>
    <t>مترمربع</t>
  </si>
  <si>
    <t>تهیه و اجرای بتن آسفالتی با سنگ شکسته از مصالح رودخانه ای برای قشر رویه ( توپکا ) ، هر گاه دانه بندی مصالح صفر تا 12/5 میلی متر باشد ، به ازای هر سانتی متر ضخامت آسفالت</t>
  </si>
  <si>
    <t>اجرای لایه نفوذ ناپذیر زیر فونداسیون مخازن</t>
  </si>
  <si>
    <t>تهیه مصالح و اجرای ژئو تکستایل بافته</t>
  </si>
  <si>
    <t>231207*</t>
  </si>
  <si>
    <t>حمل مواد حاصل از عمليات خاكي برای فاصله حمل بیش از 100متر تا 500متر، به ازایهر 100 متر مازاد</t>
  </si>
  <si>
    <r>
      <t>dm</t>
    </r>
    <r>
      <rPr>
        <vertAlign val="superscript"/>
        <sz val="11"/>
        <color indexed="8"/>
        <rFont val="Calibri"/>
        <family val="2"/>
      </rPr>
      <t>3</t>
    </r>
  </si>
  <si>
    <t>تهيه، بريدن، خم كردن و كار گذاشتن ميل گرد ساده به قطر تا 10 ميلي‌متر، براي بتن مسلح</t>
  </si>
  <si>
    <r>
      <t>m</t>
    </r>
    <r>
      <rPr>
        <vertAlign val="superscript"/>
        <sz val="11"/>
        <color indexed="8"/>
        <rFont val="Calibri"/>
        <family val="2"/>
      </rPr>
      <t>4</t>
    </r>
    <r>
      <rPr>
        <sz val="11"/>
        <color theme="1"/>
        <rFont val="Calibri"/>
        <family val="2"/>
        <charset val="178"/>
        <scheme val="minor"/>
      </rPr>
      <t/>
    </r>
  </si>
  <si>
    <t>اضافه بها براي بتن كف‌سازي‌ها با هر وسيله و به هر ضخامت</t>
  </si>
  <si>
    <t>حمل از 500 متر تا 10 کیلومتر</t>
  </si>
  <si>
    <t>عملیات بنایی</t>
  </si>
  <si>
    <t>سنگ چيني دركف ساختمان (بلوكاژ) با سنگ لاشه.</t>
  </si>
  <si>
    <t>ساخت سازه فلزی</t>
  </si>
  <si>
    <t>تهیه ، ساخت و نصب ستون از یک تیرآهن</t>
  </si>
  <si>
    <t>تهیه و نصب تیرحمال با جوشکاریهای لازم در محل اتصال</t>
  </si>
  <si>
    <t>اضافه بها در صورت مصرف تیراهن پهن</t>
  </si>
  <si>
    <t>تهیه و نصب پرلین روی سطح شیبدار اسکلت فلزی از پروفیلZ</t>
  </si>
  <si>
    <t>تهیه ونصب بادبندبا تمام قطعات اتصال</t>
  </si>
  <si>
    <t>تهیه و نصب پرلین روی سطح شیبدار اسکلت فلزی با قطعات اتصال</t>
  </si>
  <si>
    <t>اضافه بها به ردیف 90204 برای پرلین افقی</t>
  </si>
  <si>
    <t>تهیه مصالح و پوشش سقف با ورق گالوانیزه با وسایل و لوازم نصب</t>
  </si>
  <si>
    <t>زنگ زدایی و رنگ آمیزی اسکلت فلزی</t>
  </si>
  <si>
    <t>زنگ زدايي اسكلت‌هاي فلزي، به روش ساچمه پاشي (شات بلاست).</t>
  </si>
  <si>
    <t>تهيه مصالح و اجراي رنگ اپوكسي برايساير كارهاي فلزي، شامل دوقشر ضد زنگ براي اپوكسي، يك قشرآستر و يك قشر رويه.</t>
  </si>
  <si>
    <t>جمع :</t>
  </si>
  <si>
    <r>
      <t>m</t>
    </r>
    <r>
      <rPr>
        <vertAlign val="superscript"/>
        <sz val="11"/>
        <rFont val="Calibri"/>
        <family val="2"/>
      </rPr>
      <t>3</t>
    </r>
  </si>
  <si>
    <t>تهیه مصالح زیر اساس از مصالح رودخانه ای با دانه بندی صفر تا 50 میلی متر</t>
  </si>
  <si>
    <t>تهیه مصالح اساس از مصالح رودخانه ای با دانه بندی صفر تا 38 میلی متر ، وقتی که حداقل 50 درصد مصالح مانده روی الک نمره 4 در یک وجه شکسته باشد</t>
  </si>
  <si>
    <t>پخش ، آب پاشی ، تسطیح و کوبیدن قشرهای زیر اساس به ضخامت تا 15 سانتی متر ، با حداقل 95 درصد تراکم به روش آشو اصلاحی</t>
  </si>
  <si>
    <t>پخش ، آب پاشی ، تسطیح و کوبیدن قشرهای  اساس به ضخامت بیش از 10 سانتی متر تا 15، با حداقل 100 درصد تراکم به روش آشو اصلاحی</t>
  </si>
  <si>
    <t xml:space="preserve">تهیه مصالح و اجرای اندود نفوذی ( پریمکت ) با قیر محلول </t>
  </si>
  <si>
    <t>تهیه مصالح و اجرای اندود سطحی ( تک کت ) با قیر محلول</t>
  </si>
  <si>
    <t>تهیه و اجرای بتن آسفالتی با سنگ شکسته از مصالح  رودخانه ای برای قشر آستر ( بیندر ) ، هرگاه دانه بندی مصالح صفر تا 19 میلی متر باشد ، به ازای هر سانتی متر ضخامت آسفالت</t>
  </si>
  <si>
    <r>
      <t>m</t>
    </r>
    <r>
      <rPr>
        <vertAlign val="superscript"/>
        <sz val="11"/>
        <color indexed="8"/>
        <rFont val="Calibri"/>
        <family val="2"/>
      </rPr>
      <t>2</t>
    </r>
    <r>
      <rPr>
        <sz val="11"/>
        <color indexed="8"/>
        <rFont val="Calibri"/>
        <family val="2"/>
      </rPr>
      <t/>
    </r>
  </si>
  <si>
    <t>هيه مصالح رودخانه‌اي (تونان) براي تحكيم بستر راه و محوطه، يا اجراي قشر تقويتي در زير سازي راه و محوطه</t>
  </si>
  <si>
    <t>پخش و کوبیدن خاکریزیها و تونان با 100% تراکم</t>
  </si>
  <si>
    <t>پخش و کوبیدن خاکریزیها و تونان با 90% تراکم</t>
  </si>
  <si>
    <t xml:space="preserve"> کانال کنی در زمینهای نرم  تا عمق 2 متر</t>
  </si>
  <si>
    <t xml:space="preserve"> کانال کنی در زمینهای سخت با وسیله مکانیکی تا عمق 2 متر</t>
  </si>
  <si>
    <t xml:space="preserve"> کانال کنی در زمینهایسنگی با چکش هیدرولیکی تا عمق 2 متر</t>
  </si>
  <si>
    <t>اضافه بها برای فاصله حمل بیش از 20 متر و حداکثر 50متر</t>
  </si>
  <si>
    <t xml:space="preserve">                                                                                         </t>
  </si>
  <si>
    <t>فنس</t>
  </si>
  <si>
    <t>تهیه و ساخت و کارگذاری پایه با دستک فلزی از لوله گالوانیزه برای نصب تور یا مشابه</t>
  </si>
  <si>
    <t>تهیه و نصب تور سیمی گالوانیزه حصاری با لوازم اتصال</t>
  </si>
  <si>
    <t>اجرای لایه نفوذ ناپذیر</t>
  </si>
  <si>
    <t>خارج فهرست بها</t>
  </si>
  <si>
    <t>تهیه و اجرای آجر نسوز برای گودال های سوزا</t>
  </si>
  <si>
    <t>خاکبرداری و پی کنی با ماشین و حمل تا فاصله 10 کیلومتری</t>
  </si>
  <si>
    <t>خاکبرداری در زمین های سخت با هر وسیله مکانیکی و حمل تا فاصله 20 متری</t>
  </si>
  <si>
    <t>خاکبرداری در زمین های سنگی با هر وسیله مکانیکی و حمل تا فاصله 20 متری</t>
  </si>
  <si>
    <t>خاکبرداری در زمین های سنگی با استفاده از چکش هیدرولیکی و حمل تا فاصله 20 متری</t>
  </si>
  <si>
    <t>پخش و کوبیدن خاکریزیها با 90% تراکم</t>
  </si>
  <si>
    <t>محوطه سازی</t>
  </si>
  <si>
    <t xml:space="preserve">تهيه و نصب جدول هاي بتني پيش ساخته با سطح  مقطع بيش از 0/05 تا 0/1 مترمربع با بتن به  عيار250 كيلو گرم سيمان در مترمكعب </t>
  </si>
  <si>
    <t>تهيه، حمل و ريختن شن طبيعي در داخل كانال‌ها، اطراف پي‌ها و لوله‌ها، كف ساختمان‌ها، معابر محوطه‌ها يا هر محل ديگري كه لازم باشد، به‌انضمام پخش و تسطيح آن‌ها در ضخامت‌هاي لازم.</t>
  </si>
  <si>
    <t>تهيه و نصب جدول هاي بتني پيش ساخته با سطح  مقطع بيش از 0/05 تا 0/1 مترمربع با بتن به  عيار250 كيلو گرم سيمان در مترمكعب و ملات  ماسه سيمان 1:5.</t>
  </si>
  <si>
    <t>مترمكعب</t>
  </si>
  <si>
    <t>هزینه نهایی</t>
  </si>
  <si>
    <t>مقدار</t>
  </si>
  <si>
    <t>هزینه واحد</t>
  </si>
  <si>
    <t xml:space="preserve">واحد </t>
  </si>
  <si>
    <t xml:space="preserve"> -</t>
  </si>
  <si>
    <t xml:space="preserve">متر مربع </t>
  </si>
  <si>
    <t xml:space="preserve">اختصاص حداقل 10 درصد از محدوده تعیین شده کارخانه و تاسیسات به فضای سبز </t>
  </si>
  <si>
    <t>%60 سطح فضای سبز برای کاشت چمن و مابقی برای کاشت گیاهان در نظر گرفته شده است.</t>
  </si>
  <si>
    <t>متر مکعب</t>
  </si>
  <si>
    <t>تهیه خاک مناسب مخلوط رسی-شنی با PH مناسب</t>
  </si>
  <si>
    <t>خاکریزی به میزان تقریبی 40سانتی متر</t>
  </si>
  <si>
    <t xml:space="preserve">خاک رس سرندی به میزان 10 سانتی متری </t>
  </si>
  <si>
    <t>تسطیح و رگلاژ</t>
  </si>
  <si>
    <t>کودپاشی</t>
  </si>
  <si>
    <t>بذر پاشی چمن</t>
  </si>
  <si>
    <t>اجرت کاشت چمن</t>
  </si>
  <si>
    <t>نگهداری چمن به مدت یک ماه</t>
  </si>
  <si>
    <t>در هر متربع دو عدد</t>
  </si>
  <si>
    <t>عدد</t>
  </si>
  <si>
    <t>تهیه گیاهان پوششی</t>
  </si>
  <si>
    <t>متر مربع</t>
  </si>
  <si>
    <t>کندوکوهی و کود دهی گیاهان پوششی</t>
  </si>
  <si>
    <t>نگهداری گیاهان پوششی به مدت یک ماه</t>
  </si>
  <si>
    <t>مطابق مشخصات فنی فضای سبز پروژه</t>
  </si>
  <si>
    <t>یک قلم</t>
  </si>
  <si>
    <t xml:space="preserve">احداث سیستم آبیاری پروژه به صورت مکانیزه و تحت فشار ( بارانی- قطره ای ) </t>
  </si>
  <si>
    <t>تهیه لوازم کشاورزی</t>
  </si>
  <si>
    <t>ماسه/خاک نرم ریزی در کانال</t>
  </si>
  <si>
    <t>تهیه، حمل و ریختن ماسه کفی خاکدار در داخل کانال</t>
  </si>
  <si>
    <t>کانال کنی با ماشین</t>
  </si>
  <si>
    <t>بنايي با سنـگ لاشه و ملات ماسه سيمان 1:3 در پي.</t>
  </si>
  <si>
    <t>اضافه بها به رديف‌هاي بنايي با سنـگ لاشه در پي، براي بنايي در ديوار.</t>
  </si>
  <si>
    <t>اضافه بها به رديف‌هاي خشکه‌چيني و بنايي با سنـگ لاشه، براي سطوح شيب‌دار.</t>
  </si>
  <si>
    <t>نصب برجها و پایه های روشنایی</t>
  </si>
  <si>
    <t>(تهیه ، ساخت و) نصب ستون از یک قوطی و یا لوله(توضیح : با توجه به انکه پایه ها و برجها جداگانه خرید میگردندو در براورد اجرا فقط نصب آن منظور میگردد، از هزینه فهرست بها10،000 ریال /کیلوگرم  بابت تامین مواد پایه ها کم شده است)</t>
  </si>
  <si>
    <t>*90102</t>
  </si>
  <si>
    <t>تهیه ونصب استند پایپ مخازن</t>
  </si>
  <si>
    <t>تهیه و ساخت . نصب برجهای فلزی مرتفع (آب) (توضیح : با توجه به مشخصات مشابه استند پایپها با سازه فلزی مخازن مرتفع آب ، از این بند استفاده گردید)</t>
  </si>
  <si>
    <t>نصب دکلهای انتقال برق 66 کیلوولت</t>
  </si>
  <si>
    <t>ساخت و نصب پلترمها و سایر سازه های فلزی</t>
  </si>
  <si>
    <t>تهیه ، ساخت و نصب قاب ها (تا دهانه 30 متر)</t>
  </si>
  <si>
    <t>هزینه اجرا</t>
  </si>
  <si>
    <t>متراژ بر حسب متر</t>
  </si>
  <si>
    <t xml:space="preserve">احداث اتاق کنترل و مخابرات </t>
  </si>
  <si>
    <t>790+</t>
  </si>
  <si>
    <t>احداث پست برق</t>
  </si>
  <si>
    <t>احداث نگهبانی</t>
  </si>
  <si>
    <t>احداث کارگاه مهندسی</t>
  </si>
  <si>
    <t>احداث ساختمان کمپرسور و دیزل ژنراتور</t>
  </si>
  <si>
    <t>توسعه پست برق بهره برداری</t>
  </si>
  <si>
    <t>ساختمان رفاهی بهره برداری</t>
  </si>
  <si>
    <t>توسعه اتاق کنترل بهره برداری</t>
  </si>
  <si>
    <t>احداث ساختمان کمپرسور واحد بهره برداری</t>
  </si>
  <si>
    <t>ایستگاه برق 33 کیلو ولت</t>
  </si>
  <si>
    <t>پست برق 3.45/33 کیلوولت</t>
  </si>
  <si>
    <t>احداث  دیزل ژنراتور پست برق</t>
  </si>
  <si>
    <t>احداث نگهبانی پست برق</t>
  </si>
  <si>
    <t>احداث آزمایشگاه مرکزی</t>
  </si>
  <si>
    <t>احداث انبار فوم</t>
  </si>
  <si>
    <t>ساختمان انبار مصرفی</t>
  </si>
  <si>
    <t>توضیحات
 (ارقام بر اساس اطلاعات برداشت شده از پروژه مشابه درج شده است)</t>
  </si>
  <si>
    <t>مبلغ</t>
  </si>
  <si>
    <t>اجاره 400مترمربع مسکونی</t>
  </si>
  <si>
    <t>مقطوع</t>
  </si>
  <si>
    <t>تامين و تجهيز محل سكونت كارمندان و افراد متخصص پيمانكار.</t>
  </si>
  <si>
    <t xml:space="preserve">احداث 200 متر مربع و تجهیز </t>
  </si>
  <si>
    <t>تامين و تجهيز ساختمان‌هاي اداري و دفاتر كار پيمانكار.</t>
  </si>
  <si>
    <t>طبخ روزانه 100 وعده غذا</t>
  </si>
  <si>
    <t>تامين كمك هزينه يا تسهيلات لازم براي تهيه غذاي كارگران.</t>
  </si>
  <si>
    <t>تامين وتجهيزساختمانهاي اداري و دفاتركاركارفرما،مهندس  مشاورو .آزمايشگاه</t>
  </si>
  <si>
    <t>احداث 500 متر انبار سرپوشیده</t>
  </si>
  <si>
    <t>تامين ساختمان‌هاي پشتيباني و هزينه تجهيز انبارهاي سرپوشيده، آزمايشگاه پيمانكار و موارد مشابه.</t>
  </si>
  <si>
    <t>تامين و تجهيز ساختمان‌هاي عمومي، بجز ساختمان‌هاي مسکوني و اداري و دفاتر کار.</t>
  </si>
  <si>
    <t>2000 متر مربع</t>
  </si>
  <si>
    <t>محوطه سازي.</t>
  </si>
  <si>
    <t>ماهیانه 2،000،000 ریال</t>
  </si>
  <si>
    <t>تامين آب كارگاه و شبكه آب رساني داخل كارگاه.</t>
  </si>
  <si>
    <t>تامين برق كارگاه و شبكه برق رساني داخل كارگاه.</t>
  </si>
  <si>
    <t>تامين سيستم‌هاي مخابراتي داخل كارگاه.</t>
  </si>
  <si>
    <t>ماهیانه 30،000،000 ریال</t>
  </si>
  <si>
    <t>تامين سيستم سوخت رساني كارگاه.</t>
  </si>
  <si>
    <t>تامين راه دسترسي.</t>
  </si>
  <si>
    <t>بيمه تجهيز كارگاه.</t>
  </si>
  <si>
    <t>برچيدن کارگاه.</t>
  </si>
  <si>
    <t>هزینه تمام شده مطابق فهرست بها</t>
  </si>
  <si>
    <t>بهای واحد بــها با اعمال ضریب</t>
  </si>
  <si>
    <t>بهای واحد بــها بدون اعمال ضریب</t>
  </si>
  <si>
    <t>واحد</t>
  </si>
  <si>
    <t>فصل</t>
  </si>
  <si>
    <t>شرح عمليات</t>
  </si>
  <si>
    <t>تن</t>
  </si>
  <si>
    <t>فصل اول-لوله کشی-حمل و جابجایی مصالح</t>
  </si>
  <si>
    <t>حمل و جابجايي مصالح در محدوده سايت</t>
  </si>
  <si>
    <t>بخشی که در محل ساخته و نصب می شود</t>
  </si>
  <si>
    <t>تن/کیلومتر</t>
  </si>
  <si>
    <t>اضافه بهای حمل بیش از 5 کیلومتر</t>
  </si>
  <si>
    <t>سرجوش</t>
  </si>
  <si>
    <t>فصل سوم-گروه لوله كشي-لوله كشي روزميني ( ادامه..)</t>
  </si>
  <si>
    <t>لوله كشي روزميني، نصب و جوشكاري، كربن استيل با قطر 2 اينچ با ضخامت كوچكتر يا مساوي 375/0 اينچ</t>
  </si>
  <si>
    <t>لوله كشي روزميني، نصب و جوشكاري، كربن استيل با قطر 3 اينچ با ضخامت كوچكتر يامساوي 375/. اينچ</t>
  </si>
  <si>
    <t>لوله كشي روزميني، نصب و جوشكاري، كربن استيل با قطر 4 اينچ با ضخامت كوچكتر يا مساوي 375/0 اينچ</t>
  </si>
  <si>
    <t>لوله كشي روزميني، نصب و جوشكاري، كربن استيل با قطر 6 اينچ با ضخامت كوچكتر يا مساوي 375/0 اينچ</t>
  </si>
  <si>
    <t>لوله كشي روزميني، نصب و جوشكاري، كربن استيل با قطر 8 اينچ با ضخامت كوچكتر يا مساوي 375/0 اينچ</t>
  </si>
  <si>
    <t>لوله كشي روزميني، نصب و جوشكاري، كربن استيل با قطر 10 اينچ با ضخامت كوچكتر يا مساوي 375/0 اينچ</t>
  </si>
  <si>
    <t>لوله كشي روزميني، نصب و جوشكاري، كربن استيل با قطر 12 اينچ باضخامت كوچكتر يا مساوي 375/0 اينچ</t>
  </si>
  <si>
    <t>لوله كشي روزميني، نصب و جوشكاري، كربن استيل با قطر 14 اينچ باضخامت كوچكتر يا مساوي 375/0 اينچ</t>
  </si>
  <si>
    <t>لوله كشي روزميني، نصب و جوشكاري، كربن استيل با قطر 16 اينچ باضخامت كوچكتر يا مساوي 375/0 اينچ</t>
  </si>
  <si>
    <t>لوله كشي روزميني، نصب و جوشكاري، كربن استيل با قطر 18 اينچ باضخامت كوچكتر يا مساوي 375/0 اينچ</t>
  </si>
  <si>
    <t>لوله كشي روزميني، نصب و جوشكاري، كربن استيل با قطر 20 اينچ باضخامت كوچكتر يا مساوي 375/0 اينچ</t>
  </si>
  <si>
    <t>لوله كشي روزميني، نصب و جوشكاري، كربن استيل با قطر 26 اينچ باضخامت كوچكتر يا مساوي 375/0 اينچ</t>
  </si>
  <si>
    <t xml:space="preserve"> لوله كشي روزميني، ساختو نصب در محل، فایبر گلاس ،رزینی قطر 1 اینچ</t>
  </si>
  <si>
    <t xml:space="preserve"> لوله كشي روزميني، ساختو نصب در محل، فایبر گلاس ،رزینی قطر 2 اینچ</t>
  </si>
  <si>
    <t xml:space="preserve"> لوله كشي روزميني، ساختو نصب در محل، فایبر گلاس ،رزینی قطر 3 اینچ</t>
  </si>
  <si>
    <t xml:space="preserve"> لوله كشي روزميني، ساختو نصب در محل، فایبر گلاس ،رزینی قطر 4 اینچ</t>
  </si>
  <si>
    <t xml:space="preserve"> لوله كشي روزميني، ساختو نصب در محل، فایبر گلاس ،رزینی قطر 5 اینچ</t>
  </si>
  <si>
    <t xml:space="preserve"> لوله كشي روزميني، ساختو نصب در محل، فایبر گلاس ،رزینی قطر 6 اینچ</t>
  </si>
  <si>
    <t xml:space="preserve"> لوله كشي روزميني، ساختو نصب در محل، فایبر گلاس ،رزینی قطر 8 اینچ</t>
  </si>
  <si>
    <t xml:space="preserve"> لوله كشي روزميني، ساختو نصب در محل، فایبر گلاس ،رزینی قطر 10 اینچ</t>
  </si>
  <si>
    <t xml:space="preserve"> لوله كشي روزميني، ساختو نصب در محل، فایبر گلاس ،رزینی قطر 12 اینچ</t>
  </si>
  <si>
    <t>لوله كشي روزميني، نصب و جوشكاري، بستن فلنجها با قطر 2 اينچ با كلاس كوچكتر يا مساوي 600</t>
  </si>
  <si>
    <t>لوله كشي روزميني، نصب و جوشكاري، بستن فلنجها با قطر 3 اينچ با كلاس كوچكتر يا مساوي 600</t>
  </si>
  <si>
    <t>لوله كشي روزميني، نصب و جوشكاري، بستن فلنجها با قطر 4 اينچ با كلاس كوچكتر يا مساوي 600</t>
  </si>
  <si>
    <t>لوله كشي روزميني، نصب و جوشكاري، بستن فلنجها با قطر 5 اينچ با كلاس كوچكتر يا مساوي 600</t>
  </si>
  <si>
    <t>لوله كشي روزميني، نصب و جوشكاري، بستن فلنجها با قطر 6 اينچ با كلاس كوچكتر يا مساوي 600</t>
  </si>
  <si>
    <t>لوله كشي روزميني، نصب و جوشكاري، بستن فلنجها با قطر 8 اينچ با كلاس كوچكتر يا مساوي 600</t>
  </si>
  <si>
    <t>لوله كشي روزميني، نصب و جوشكاري، بستن فلنجها با قطر 10 اينچ با كلاس كوچكتر يا مساوي 600</t>
  </si>
  <si>
    <t>لوله كشي روزميني، نصب و جوشكاري، بستن فلنجها با قطر 12 اينچ با كلاس كوچكتر يا مساوي 600</t>
  </si>
  <si>
    <t>لوله كشي روزميني، نصب و جوشكاري، بستن فلنجها با قطر 14 اينچ با كلاس كوچكتر يا مساوي 600</t>
  </si>
  <si>
    <t>لوله كشي روزميني، نصب و جوشكاري، بستن فلنجها با قطر 16 اينچ با كلاس كوچكتر يا مساوي600</t>
  </si>
  <si>
    <t>لوله كشي روزميني، نصب و جوشكاري، بستن فلنجها با قطر 18 اينچ با كلاس كوچكتر يا مساوي600</t>
  </si>
  <si>
    <t>لوله كشي روزميني، نصب و جوشكاري، بستن فلنجها با قطر 20 اينچ با كلاس كوچكتر يا مساوي600</t>
  </si>
  <si>
    <t>لوله كشي روزميني، نصب و جوشكاري، بستن فلنجها با قطر 26 اينچ با كلاس كوچكتر يا مساوي600</t>
  </si>
  <si>
    <t>لوله كشي روزميني، نصب شيرآلات و سايرملحقات، شير/صافي/مفصل انبساط وقطر 2 اينچ و كلاس مساوي يا كوچكتر از 600</t>
  </si>
  <si>
    <t>لوله كشي روزميني، نصب شيرآلات و سايرملحقات، شير/صافي/مفصل انبساط وقطر 3 اينچ و كلاس مساوي يا كوچكتر از 600</t>
  </si>
  <si>
    <t>لوله كشي روزميني، نصب شيرآلات و سايرملحقات، شير/صافي/مفصل انبساط وقطر 4 اينچ و كلاس مساوي يا كوچكتر از 600</t>
  </si>
  <si>
    <t>لوله كشي روزميني، نصب شيرآلات و سايرملحقات، شير/صافي/مفصل انبساط وقطر 5 اينچ و كلاس مساوي يا كوچكتر از 600</t>
  </si>
  <si>
    <t xml:space="preserve">عدد </t>
  </si>
  <si>
    <t>لوله كشي روزميني، نصب شيرآلات و سايرملحقات، شير/صافي/مفصل انبساط وقطر 6 اينچ و كلاس مساوي يا كوچكتر از 600</t>
  </si>
  <si>
    <t>لوله كشي روزميني، نصب شيرآلات و سايرملحقات، شير/صافي/مفصل انبساط وقطر 8 اينچ و كلاس مساوي يا كوچكتر از 600</t>
  </si>
  <si>
    <t>لوله كشي روزميني، نصب شيرآلات و سايرملحقات، شير/صافي/مفصل انبساط وقطر 10 اينچ و كلاس مساوي يا كوچكتر از 600</t>
  </si>
  <si>
    <t>لوله كشي روزميني، نصب شيرآلات و سايرملحقات، شير/صافي/مفصل انبساط وقطر 12 اينچ و كلاس مساوي يا كوچكتر از 600</t>
  </si>
  <si>
    <t>لوله كشي روزميني، نصب شيرآلات و سايرملحقات، شير/صافي/مفصل انبساط وقطر 14 اينچ و كلاس مساوي يا كوچكتر از 600</t>
  </si>
  <si>
    <t>لوله كشي روزميني، نصب شيرآلات و سايرملحقات، شير/صافي/مفصل انبساط وقطر 16 اينچ و كلاس مساوي يا كوچكتر از 600</t>
  </si>
  <si>
    <t>لوله كشي روزميني، نصب شيرآلات و سايرملحقات، شير/صافي/مفصل انبساط وقطر 18 اينچ و كلاس مساوي يا كوچكتر از 600</t>
  </si>
  <si>
    <t>لوله كشي روزميني، نصب شيرآلات و سايرملحقات، شير/صافي/مفصل انبساط وقطر 20 اينچ و كلاس مساوي يا كوچكتر از 600</t>
  </si>
  <si>
    <t>متر</t>
  </si>
  <si>
    <t>فصل چهارم-گروه لوله كشي- لوله كشي  زیر زمینی</t>
  </si>
  <si>
    <t xml:space="preserve"> لوله كشي  زیر زمینی-در محدوده واحد -پلی اتیلن-قطر 40 میلیمتر</t>
  </si>
  <si>
    <t xml:space="preserve"> لوله كشي  زیر زمینی-در محدوده واحد -پلی اتیلن-قطر 63 میلیمتر</t>
  </si>
  <si>
    <t xml:space="preserve"> لوله كشي  زیر زمینی-در محدوده واحد -پلی اتیلن-قطر 90 میلیمتر</t>
  </si>
  <si>
    <t xml:space="preserve"> لوله كشي  زیر زمینی-در محدوده واحد -پلی اتیلن-قطر 110 میلیمتر</t>
  </si>
  <si>
    <t xml:space="preserve"> لوله كشي  زیر زمینی-در محدوده واحد -پلی اتیلن-قطر 125 میلیمتر</t>
  </si>
  <si>
    <t xml:space="preserve"> لوله كشي  زیر زمینی-در محدوده واحد -پلی اتیلن-قطر 160 میلیمتر</t>
  </si>
  <si>
    <t xml:space="preserve"> لوله كشي  زیر زمینی-در محدوده واحد -پلی اتیلن-قطر 200 میلیمتر</t>
  </si>
  <si>
    <t xml:space="preserve"> لوله كشي  زیر زمینی-در محدوده واحد -پلی اتیلن-قطر 250 میلیمتر</t>
  </si>
  <si>
    <t xml:space="preserve"> لوله كشي  زیر زمینی-در محدوده واحد -پلی اتیلن-قطر 315 میلیمتر</t>
  </si>
  <si>
    <t>اينچ-قطر</t>
  </si>
  <si>
    <t xml:space="preserve">فصل پنجم-گروه لوله كشي- عمليات تكميلي لوله كشي </t>
  </si>
  <si>
    <t xml:space="preserve"> عمليات تكميلي لوله كشي ، آزمايشات پرتو نگاری</t>
  </si>
  <si>
    <t>اينچ-متر</t>
  </si>
  <si>
    <t xml:space="preserve"> عمليات تكميلي لوله كشي ، آزمايشات هیدرو استاتیک</t>
  </si>
  <si>
    <t>اینچ-متر</t>
  </si>
  <si>
    <t xml:space="preserve">فصل ششم– گروه لوله کشی- عملیات پیش ساخت راه اندازی لوله کشی </t>
  </si>
  <si>
    <t>پیش راه اندازی خطوط لوله کشی در همه سایزها</t>
  </si>
  <si>
    <t>کیلوگرم</t>
  </si>
  <si>
    <t>فصل پانزدهم-ساخت و نصب سازه های فلزی و تکیه گاه ها</t>
  </si>
  <si>
    <t>ساخت و نصب سازه های فلزی و تکیه گاه ها-ساخت قطعات-10 تا 50 کیلوگرم</t>
  </si>
  <si>
    <t>ساخت و نصب سازه های فلزی و تکیه گاه ها-ساخت قطعات-سنگینتر از 50 کیلوگرم</t>
  </si>
  <si>
    <t>ساخت و نصب سازه های فلزی و تکیه گاه ها-نصب قطعات-10 تا 50 کیلوگرم</t>
  </si>
  <si>
    <t>ساخت و نصب سازه های فلزی و تکیه گاه ها-نصب قطعات-سنگینتر از 50 کیلوگرم</t>
  </si>
  <si>
    <t>ساخت و نصب سازه های فلزی و تکیه گاه ها-ساخت و نصب تکیه گاه های سبکتر از 5 کیلوگرم</t>
  </si>
  <si>
    <t>ساخت و نصب سازه های فلزی و تکیه گاه ها-ساخت و نصب تکیه گاه های  5 تا 10 کیلوگرم</t>
  </si>
  <si>
    <t xml:space="preserve">فصل هفدهم- گروه نصب تجهيزات، رنگ وعايق-عمليات زنگ زدايي و رنگ آميزي </t>
  </si>
  <si>
    <t>رنگ آميزي، كارهاي لوله كشي، سند بلاست</t>
  </si>
  <si>
    <t>رنگ آميزي، كارهاي لوله كشي، رنگ در کارگاه</t>
  </si>
  <si>
    <t>رنگ آميزي، كارهاي لوله كشي، رنگ در محل نصب- قطر زیر 2اينچ</t>
  </si>
  <si>
    <t>رنگ آميزي، كارهاي لوله كشي، رنگ در محل نصب قطر  بزرگتر يا مساوي 2 اينچ</t>
  </si>
  <si>
    <t>مصالح رنگ آمیزی</t>
  </si>
  <si>
    <t>فصل هجدهم - نصب تجهيزات، رنگ و عایق - عمليات
عایقکاری حرارتی، رطوبتی، ضدحریق و خوردگی</t>
  </si>
  <si>
    <t>عایقکاری گرم لوله های راسته-2 تا 6 اینچ</t>
  </si>
  <si>
    <t>عایقکاری گرم لوله های راسته-8 تا 12 اینچ</t>
  </si>
  <si>
    <t>عایقکاری گرم شیرآلات و فیتینگ ها-زیر 2 اینچ</t>
  </si>
  <si>
    <t>عایقکاری گرم شیرآلات و فیتینگ ها- 2 تا 6 اینچ</t>
  </si>
  <si>
    <t>عایقکاری گرم شیرآلات و فیتینگ ها-8 تا 12 اینچ</t>
  </si>
  <si>
    <t>عایقکاری گرم فلنجها-زیر 2 اینچ</t>
  </si>
  <si>
    <t>عایقکاری گرم فلنجها-2 تا 6 اینچ</t>
  </si>
  <si>
    <t>عایقکاری گرم فلنجها-8 تا 12 اینچ</t>
  </si>
  <si>
    <t>اینچ/متر</t>
  </si>
  <si>
    <t>مصالح عایقکاری گرم لوله های راسته</t>
  </si>
  <si>
    <t>اینچ/قطر</t>
  </si>
  <si>
    <t>مصالح عایقکاری گرم شیرآلات و فیتینگ ها</t>
  </si>
  <si>
    <t>مصالح عایقکاری گرم فلنجها</t>
  </si>
  <si>
    <t>شماره تجهیز</t>
  </si>
  <si>
    <t>وزن واحد</t>
  </si>
  <si>
    <t>نصب دیسالترها و هیترها</t>
  </si>
  <si>
    <r>
      <t>1</t>
    </r>
    <r>
      <rPr>
        <b/>
        <vertAlign val="superscript"/>
        <sz val="10"/>
        <rFont val="Arial"/>
        <family val="2"/>
      </rPr>
      <t xml:space="preserve">at </t>
    </r>
    <r>
      <rPr>
        <b/>
        <sz val="10"/>
        <rFont val="Arial"/>
        <family val="2"/>
      </rPr>
      <t xml:space="preserve"> TRAIN DESALTER</t>
    </r>
  </si>
  <si>
    <r>
      <t>2</t>
    </r>
    <r>
      <rPr>
        <b/>
        <vertAlign val="superscript"/>
        <sz val="10"/>
        <rFont val="Arial"/>
        <family val="2"/>
      </rPr>
      <t>nd</t>
    </r>
    <r>
      <rPr>
        <b/>
        <sz val="10"/>
        <rFont val="Arial"/>
        <family val="2"/>
      </rPr>
      <t xml:space="preserve"> TRAIN DESALTER</t>
    </r>
  </si>
  <si>
    <t>TON</t>
  </si>
  <si>
    <t>نصب مبدلهای حرارتی</t>
  </si>
  <si>
    <t>کد 591111 ردیف 1</t>
  </si>
  <si>
    <t>نصب پمپ ها</t>
  </si>
  <si>
    <t>کد 591001 ردیف 04</t>
  </si>
  <si>
    <t xml:space="preserve">کد 591001 ردیف 03 </t>
  </si>
  <si>
    <t>کد 591001 ردیف 01</t>
  </si>
  <si>
    <t>کد 591001 ردیف 02</t>
  </si>
  <si>
    <t>ضریب</t>
  </si>
  <si>
    <t>3.10</t>
  </si>
  <si>
    <t>کد 591001 ردیف 05</t>
  </si>
  <si>
    <t>نصب بسته های فرایندی</t>
  </si>
  <si>
    <t>کد 591101 -ردیف 3</t>
  </si>
  <si>
    <t xml:space="preserve">کد 591101 ردیف 01 </t>
  </si>
  <si>
    <t>کد 591101 -ردیف 2</t>
  </si>
  <si>
    <t>4.10</t>
  </si>
  <si>
    <t>نصب مخازن تحت فشار</t>
  </si>
  <si>
    <t>کد 591112 ردیف 1</t>
  </si>
  <si>
    <t>کد 591112 ردیف 2</t>
  </si>
  <si>
    <t>کد 591111 ردیف 4</t>
  </si>
  <si>
    <t>کد 591111 ردیف 2</t>
  </si>
  <si>
    <t>LUNCHER AND RECEIVER</t>
  </si>
  <si>
    <t>نصب فلرها</t>
  </si>
  <si>
    <t xml:space="preserve">کد 591241 ردیف 01 </t>
  </si>
  <si>
    <t>نصب جرثقیلهای سقفی</t>
  </si>
  <si>
    <t>کد 591401 - ردیف 1</t>
  </si>
  <si>
    <t>12x5 تن</t>
  </si>
  <si>
    <t>001~0012</t>
  </si>
  <si>
    <t xml:space="preserve">نصب مخازن اتمسفریک </t>
  </si>
  <si>
    <t xml:space="preserve">OFF-SPEC TANK  :   نصب و اجرای مخزن  </t>
  </si>
  <si>
    <t>ID=</t>
  </si>
  <si>
    <t>کد 591301 - ردیف 2</t>
  </si>
  <si>
    <t>Ton</t>
  </si>
  <si>
    <t>تخلیه ، بار اندازی و صفافی مصالح</t>
  </si>
  <si>
    <t>8.1.1</t>
  </si>
  <si>
    <t>HEIGHT=</t>
  </si>
  <si>
    <t>کد 591302 - ردیف 2</t>
  </si>
  <si>
    <t>نصب و جوشکاری کف مخزن</t>
  </si>
  <si>
    <t>8.1.2</t>
  </si>
  <si>
    <t>کد 591303 - ردیف 2</t>
  </si>
  <si>
    <t>نصب و جوشکاری بدنه مخزن</t>
  </si>
  <si>
    <t>8.1.3</t>
  </si>
  <si>
    <t>کد 591304 - ردیف 2</t>
  </si>
  <si>
    <t>نصب و جوشکاری سقف ثابت مخزن</t>
  </si>
  <si>
    <t>8.1.4</t>
  </si>
  <si>
    <t xml:space="preserve">کد 591308 </t>
  </si>
  <si>
    <t>نصب و جوشکاری سازه سقف ثابت مخزن</t>
  </si>
  <si>
    <t>8.1.5</t>
  </si>
  <si>
    <t>کد 591307</t>
  </si>
  <si>
    <t>نصب و جوشکاری پله بدنه</t>
  </si>
  <si>
    <t>8.1.6</t>
  </si>
  <si>
    <t>کد 591741 - ردیف 1</t>
  </si>
  <si>
    <t>M2</t>
  </si>
  <si>
    <t>سند بلاست کف مخازن سقف ثابت</t>
  </si>
  <si>
    <t>8.1.7</t>
  </si>
  <si>
    <t>کد 591741 - ردیف 3</t>
  </si>
  <si>
    <t>سند بلاست بدنه خارجی مخازن و سقف ثابت</t>
  </si>
  <si>
    <t>8.1.8</t>
  </si>
  <si>
    <t>کد 591741 - ردیف 4</t>
  </si>
  <si>
    <t>اضافه بهای سند بلاست بابت ارتفاع بیش از 5 متر</t>
  </si>
  <si>
    <t>8.1.9</t>
  </si>
  <si>
    <t>سند بلاست بدنه داخلی مخازن و کف</t>
  </si>
  <si>
    <t>8.1.10</t>
  </si>
  <si>
    <t>اضافه بهای سند بلاست داخلی بابت ارتفاع بیش از 5 متر</t>
  </si>
  <si>
    <t>8.1.11</t>
  </si>
  <si>
    <t>کد 591742 - ردیف 2</t>
  </si>
  <si>
    <t>رنگ امیزی سطوح داخل و خارج مخزنها</t>
  </si>
  <si>
    <t>8.1.12</t>
  </si>
  <si>
    <t>کد 591742 - ردیف 3</t>
  </si>
  <si>
    <t>اضافه بهای رنگ امیزی بابت ارتفاع بیش از 5 متر</t>
  </si>
  <si>
    <t>8.1.13</t>
  </si>
  <si>
    <t>کد 591731- ردیف 3</t>
  </si>
  <si>
    <t xml:space="preserve">مصالح رنگ خارجی پرایمر  </t>
  </si>
  <si>
    <t>8.1.14</t>
  </si>
  <si>
    <t>کد 591731- ردیف 12</t>
  </si>
  <si>
    <t xml:space="preserve">مصالح رنگ خارجی بدنه نهایی و میانی </t>
  </si>
  <si>
    <t>8.1.15</t>
  </si>
  <si>
    <t>مصالح رنگ داخلی بدنه و کف (سه لایه پرایمر،میانی و نهایی)</t>
  </si>
  <si>
    <t>8.1.16</t>
  </si>
  <si>
    <t>کد591901ردیف 2</t>
  </si>
  <si>
    <t>M3</t>
  </si>
  <si>
    <t xml:space="preserve">تست هیدرواستاتیک </t>
  </si>
  <si>
    <t>8.1.17</t>
  </si>
  <si>
    <t xml:space="preserve">کد591921 </t>
  </si>
  <si>
    <t>CM</t>
  </si>
  <si>
    <t>آزمایش پرتو نگاری</t>
  </si>
  <si>
    <t>8.1.18</t>
  </si>
  <si>
    <t>DILUTION  WATER TANK  :   نصب و اجرای مخزن</t>
  </si>
  <si>
    <t>کد 591301 - ردیف 1</t>
  </si>
  <si>
    <t>8.2.1</t>
  </si>
  <si>
    <t>کد 591302 - ردیف 1</t>
  </si>
  <si>
    <t>8.2.2</t>
  </si>
  <si>
    <t>کد 591303 - ردیف 1</t>
  </si>
  <si>
    <t>8.2.3</t>
  </si>
  <si>
    <t>کد 591304 - ردیف 1</t>
  </si>
  <si>
    <t>8.2.4</t>
  </si>
  <si>
    <t>8.2.5</t>
  </si>
  <si>
    <t>8.2.6</t>
  </si>
  <si>
    <t>8.2.7</t>
  </si>
  <si>
    <t>8.2.8</t>
  </si>
  <si>
    <t>8.2.9</t>
  </si>
  <si>
    <t>8.2.10</t>
  </si>
  <si>
    <t>8.2.11</t>
  </si>
  <si>
    <t>8.2.12</t>
  </si>
  <si>
    <t>8.2.13</t>
  </si>
  <si>
    <t>8.2.14</t>
  </si>
  <si>
    <t>8.2.15</t>
  </si>
  <si>
    <t>8.2.16</t>
  </si>
  <si>
    <t>کد591901ردیف 1</t>
  </si>
  <si>
    <t>8.2.17</t>
  </si>
  <si>
    <t>8.2.18</t>
  </si>
  <si>
    <t>POTABLE WATER TANK  :   نصب و اجرای مخزن</t>
  </si>
  <si>
    <t>8.3.1</t>
  </si>
  <si>
    <t>8.3.2</t>
  </si>
  <si>
    <t>8.3.3</t>
  </si>
  <si>
    <t>8.3.4</t>
  </si>
  <si>
    <t>کد 90501 فهرست ابنیه</t>
  </si>
  <si>
    <t>نصب و جوشکاری سازه نگهدارنده مخزن مخزن</t>
  </si>
  <si>
    <t>8.3.5</t>
  </si>
  <si>
    <t>نصب و جوشکاری پله بدنه و سایر متعلقات</t>
  </si>
  <si>
    <t>8.3.6</t>
  </si>
  <si>
    <t>8.3.7</t>
  </si>
  <si>
    <t>8.3.8</t>
  </si>
  <si>
    <t>8.3.9</t>
  </si>
  <si>
    <t>8.3.10</t>
  </si>
  <si>
    <t>8.3.11</t>
  </si>
  <si>
    <t>8.3.12</t>
  </si>
  <si>
    <t>8.3.13</t>
  </si>
  <si>
    <t>8.3.14</t>
  </si>
  <si>
    <t>8.3.15</t>
  </si>
  <si>
    <t>8.3.16</t>
  </si>
  <si>
    <t>8.3.17</t>
  </si>
  <si>
    <t>8.3.18</t>
  </si>
  <si>
    <t>DISPOSAL TANK  :   نصب و اجرای مخزن</t>
  </si>
  <si>
    <t>8.4.1</t>
  </si>
  <si>
    <t>8.4.2</t>
  </si>
  <si>
    <t>8.4.3</t>
  </si>
  <si>
    <t>8.4.4</t>
  </si>
  <si>
    <t>8.4.5</t>
  </si>
  <si>
    <t>8.4.6</t>
  </si>
  <si>
    <t>8.4.7</t>
  </si>
  <si>
    <t>8.4.8</t>
  </si>
  <si>
    <t>8.4.9</t>
  </si>
  <si>
    <t>8.4.10</t>
  </si>
  <si>
    <t>8.4.11</t>
  </si>
  <si>
    <t>8.4.12</t>
  </si>
  <si>
    <t>8.4.13</t>
  </si>
  <si>
    <t>8.4.14</t>
  </si>
  <si>
    <t>8.4.15</t>
  </si>
  <si>
    <t>خارج از فهرست بها</t>
  </si>
  <si>
    <t>مصالح رنگ داخلی بدنه و کف (EPOXY GLASS FLAKE)</t>
  </si>
  <si>
    <t>8.4.16</t>
  </si>
  <si>
    <t>8.4.17</t>
  </si>
  <si>
    <t>8.4.18</t>
  </si>
  <si>
    <t>OIL SKIMMER TANK  :   نصب و اجرای مخزن</t>
  </si>
  <si>
    <t>8.5.1</t>
  </si>
  <si>
    <t>8.5.2</t>
  </si>
  <si>
    <t>8.5.3</t>
  </si>
  <si>
    <t>8.5.4</t>
  </si>
  <si>
    <t>8.5.5</t>
  </si>
  <si>
    <t>8.5.6</t>
  </si>
  <si>
    <t>8.5.7</t>
  </si>
  <si>
    <t>8.5.8</t>
  </si>
  <si>
    <t>8.5.9</t>
  </si>
  <si>
    <t>8.5.10</t>
  </si>
  <si>
    <t>8.5.11</t>
  </si>
  <si>
    <t>8.5.12</t>
  </si>
  <si>
    <t>8.5.13</t>
  </si>
  <si>
    <t>8.5.14</t>
  </si>
  <si>
    <t>8.5.15</t>
  </si>
  <si>
    <t>8.5.16</t>
  </si>
  <si>
    <t>8.5.17</t>
  </si>
  <si>
    <t>8.5.18</t>
  </si>
  <si>
    <t>نصب اجزا داخلی اسکیمر</t>
  </si>
  <si>
    <t>8.5.19</t>
  </si>
  <si>
    <t>DIRTY OILTANK  :   نصب و اجرای مخزن</t>
  </si>
  <si>
    <t>8.6.1</t>
  </si>
  <si>
    <t>8.6.2</t>
  </si>
  <si>
    <t>8.6.3</t>
  </si>
  <si>
    <t>8.6.4</t>
  </si>
  <si>
    <t>8.6.5</t>
  </si>
  <si>
    <t>8.6.6</t>
  </si>
  <si>
    <t>8.6.7</t>
  </si>
  <si>
    <t>8.6.8</t>
  </si>
  <si>
    <t>8.6.9</t>
  </si>
  <si>
    <t>8.6.10</t>
  </si>
  <si>
    <t>8.6.11</t>
  </si>
  <si>
    <t>8.6.12</t>
  </si>
  <si>
    <t>8.6.13</t>
  </si>
  <si>
    <t>8.6.14</t>
  </si>
  <si>
    <t>8.6.15</t>
  </si>
  <si>
    <t>8.6.16</t>
  </si>
  <si>
    <t>8.6.17</t>
  </si>
  <si>
    <t>8.6.18</t>
  </si>
  <si>
    <t>FIRE WATER STORAGE:   نصب و اجرای مخزن</t>
  </si>
  <si>
    <t>8.7.1</t>
  </si>
  <si>
    <t>8.7.2</t>
  </si>
  <si>
    <t>8.7.3</t>
  </si>
  <si>
    <t>8.7.4</t>
  </si>
  <si>
    <t>8.7.5</t>
  </si>
  <si>
    <t>8.7.6</t>
  </si>
  <si>
    <t>8.7.7</t>
  </si>
  <si>
    <t>8.7.8</t>
  </si>
  <si>
    <t>8.7.9</t>
  </si>
  <si>
    <t>8.7.10</t>
  </si>
  <si>
    <t>8.7.11</t>
  </si>
  <si>
    <t>8.7.12</t>
  </si>
  <si>
    <t>8.7.13</t>
  </si>
  <si>
    <t>8.7.14</t>
  </si>
  <si>
    <t>8.7.15</t>
  </si>
  <si>
    <t>8.7.16</t>
  </si>
  <si>
    <t>8.7.17</t>
  </si>
  <si>
    <t>8.7.18</t>
  </si>
  <si>
    <t>104</t>
  </si>
  <si>
    <t>SUPPLY WATER TANK  :   نصب و اجرای مخزن</t>
  </si>
  <si>
    <t>8.8.1</t>
  </si>
  <si>
    <t>8.8.2</t>
  </si>
  <si>
    <t>8.8.3</t>
  </si>
  <si>
    <t>8.8.4</t>
  </si>
  <si>
    <t>8.8.5</t>
  </si>
  <si>
    <t>8.8.6</t>
  </si>
  <si>
    <t>8.8.7</t>
  </si>
  <si>
    <t>8.8.8</t>
  </si>
  <si>
    <t>8.8.9</t>
  </si>
  <si>
    <t>8.8.10</t>
  </si>
  <si>
    <t>8.8.11</t>
  </si>
  <si>
    <t>8.8.12</t>
  </si>
  <si>
    <t>8.8.13</t>
  </si>
  <si>
    <t>8.8.14</t>
  </si>
  <si>
    <t>8.8.15</t>
  </si>
  <si>
    <t>8.8.16</t>
  </si>
  <si>
    <t>8.8.17</t>
  </si>
  <si>
    <t>8.8.18</t>
  </si>
  <si>
    <t>نصب سیستم HVAC ساختمانها</t>
  </si>
  <si>
    <t>نصب تجهیزات اطفا حریق</t>
  </si>
  <si>
    <t>CO2 TOTAL FLOODING SYSTEM</t>
  </si>
  <si>
    <t>FIRE DOSE SYSTEM</t>
  </si>
  <si>
    <t>نصب تجهیزات مکانیک (غیر از مخازن ذخیره)</t>
  </si>
  <si>
    <t>عملیات ریسه کردن</t>
  </si>
  <si>
    <t>عملیات خم زدن و جوشکاری لوله 20" با ضخامت 0.5"</t>
  </si>
  <si>
    <t>پرتو نگاری از جوش لوله، شیر واتصالات فولادی 20"</t>
  </si>
  <si>
    <t>زنگ زدایی و پرایمر زنی لوله 20" با ماسه پاشی در کارگاه پابت</t>
  </si>
  <si>
    <t>اجرای یک لایه ضد زنگ و دولایه رنگ روی قطر 20"</t>
  </si>
  <si>
    <t>نصب شیر 20" تا کلاس 600در هر نقطه از طول خط لوله</t>
  </si>
  <si>
    <t>جفت</t>
  </si>
  <si>
    <t>اتصال یک جفت فلنج 20" تا کلاس 600 در هر نقطه از خط</t>
  </si>
  <si>
    <t>اتصال گرم خط لوله به قطر 20" به لوله اصلی</t>
  </si>
  <si>
    <t>عملیات خم زدن و جوشکاری لوله 12" تا ضخامت 0.5"</t>
  </si>
  <si>
    <t>پرتو نگاری از جوش لوله، شیر واتصالات فولادی 12"</t>
  </si>
  <si>
    <t>نصب شیر 12" تا کلاس 600در هر نقطه از طول خط لوله</t>
  </si>
  <si>
    <t>اتصال یک جفت فلنج 12" تا کلاس 600 در هر نقطه از خط</t>
  </si>
  <si>
    <t>جابجایی حدود 1900 متر از خط لوله 4 اینچ  فشار بالای گاز موجود در سمت شرق سایت و احداث مجدد آن در فاصله  حداقل 200 متر از حصار تسهیلات بیرون واحد. لازم به ذکر است در این زمینه حریمهای  مجاز فاصله از خطوط لوله و تاسیسات مطابق با ضوابط اغلام شده در آیین نامه مناطق نفتخیز جنوب باید مد نظر قرار گیرد.</t>
  </si>
  <si>
    <t>عملیات خم زدن و جوشکاری لوله 4" تا ضخامت0.674"</t>
  </si>
  <si>
    <t>پرتو نگاری از جوش لوله، شیر واتصالات فولادی 4"</t>
  </si>
  <si>
    <t>نصب شیر 4" تا کلاس 600در هر نقطه از طول خط لوله</t>
  </si>
  <si>
    <t>اتصال یک جفت فلنج 4" تا کلاس 600 در هر نقطه از خط</t>
  </si>
  <si>
    <t>اتصال گرم خط لوله به قطر 4" به لوله اصلی</t>
  </si>
  <si>
    <t>آزمایش هیدرواستیتک خط لوله به قطر 4"</t>
  </si>
  <si>
    <t>پرتو نگاری از جوش لوله، شیر واتصالات فولادی 6"</t>
  </si>
  <si>
    <t>زنگ زدایی و پرایمر زنی لوله 6" با ماسه پاشی در کارگاه پابت</t>
  </si>
  <si>
    <t>اجرای یک لایه ضد زنگ و دولایه رنگ روی قطر 6"</t>
  </si>
  <si>
    <t>نصب شیر 6" تا کلاس 600در هر نقطه از طول خط لوله</t>
  </si>
  <si>
    <t>اتصال یک جفت فلنج 6" تا کلاس 600 در هر نقطه از خط</t>
  </si>
  <si>
    <t>عملیات خم زدن و جوشکاری لوله 6"تاا ضخامت 0.5"</t>
  </si>
  <si>
    <t>اتصال گرم خط لوله به قطر 6" به لوله اصلی</t>
  </si>
  <si>
    <t xml:space="preserve">خط لوله آب "6 از چاههای لیشتر با جنس PE-100 به طول تقریبی </t>
  </si>
  <si>
    <t>کد 592401 - ردیف 04</t>
  </si>
  <si>
    <t>نصب پنل برق
MV Switchgear, 33KV, 630A, 3 (with approximately 15 cell)/Location:33KV station</t>
  </si>
  <si>
    <t>کد 592401 - ردیف 06</t>
  </si>
  <si>
    <t>نصب پنل برق
MV Switchgear, 3.3KV, 1250A,(with approximately 9 cell) /Location: DE4 Outdoor station</t>
  </si>
  <si>
    <t xml:space="preserve">ضریب = </t>
  </si>
  <si>
    <t>نصب پنل برق
MV Switchgear, 3.3KV, 630A, 3 phase +E,  (with approximately 12 cell)/Location:DE4</t>
  </si>
  <si>
    <t xml:space="preserve">
LV Switchgear, 400V, 4000A/Location: DE4</t>
  </si>
  <si>
    <t>نصب پنل برق
33 KV transformer bay,(2 SET)</t>
  </si>
  <si>
    <t>نصب پنل برق
MV Switchgear, 3.3KV, 630A, (with approximately 9 cell). /Location:Production un</t>
  </si>
  <si>
    <t xml:space="preserve">نصب پنل برق
GACHSARAN 4-DESALTING UNIT EDP,400V SWITCHGEAR (EDP) </t>
  </si>
  <si>
    <t>MV Switchgear, 3.3KV, 1000A, نصب تابلو</t>
  </si>
  <si>
    <t xml:space="preserve"> نصب تابلو روشنایی 37 عدد</t>
  </si>
  <si>
    <t xml:space="preserve"> NGRنصب </t>
  </si>
  <si>
    <t>کد 592451 ستون 1</t>
  </si>
  <si>
    <t xml:space="preserve">نصب 62 عدد تابلوی محلی  </t>
  </si>
  <si>
    <t>کد 592451 ستون 2</t>
  </si>
  <si>
    <t>نصب 62 عدد تابلوی محلی  ضد انفجار</t>
  </si>
  <si>
    <t>کد 592801 - ردیف 01 - ستون 2</t>
  </si>
  <si>
    <t>پیش راه اندازی و راه اندازی پنل برق
MV Switchgear, 33KV, 630A, 3 (with approximately 15 cell)/Location:33KV station</t>
  </si>
  <si>
    <t>کد 592801 - ردیف 01 - ستون 1</t>
  </si>
  <si>
    <t>پیش راه اندازی و راه اندازی پنل برق
MV Switchgear, 3.3KV, 1250A,(with approximately 9 cell) /Location: DE4 Outdoor station</t>
  </si>
  <si>
    <t>پیش راه اندازی و راه اندازی پنل برق
MV Switchgear, 3.3KV, 630A, 3 phase +E,  (with approximately 12 cell)/Location:DE4</t>
  </si>
  <si>
    <t xml:space="preserve">کد 592812 </t>
  </si>
  <si>
    <t>OUTGOING</t>
  </si>
  <si>
    <t>پیش راه اندازی و راه اندازی پنل برق
33 KV transformer bay,(2 SET)</t>
  </si>
  <si>
    <t>پیش راه اندازی و راه اندازی پنل برق
MV Switchgear, 3.3KV, 630A, (with approximately 9 cell). /Location:Production un</t>
  </si>
  <si>
    <t xml:space="preserve">پیش راه اندازی و راه اندازی پنل برق
GACHSARAN 4-DESALTING UNIT EDP,400V SWITCHGEAR (EDP) </t>
  </si>
  <si>
    <t xml:space="preserve">کد 592813 </t>
  </si>
  <si>
    <t xml:space="preserve"> پیش راه اندازی و راه اندازی تابلو روشنایی 37 عدد</t>
  </si>
  <si>
    <t>کد 592801 - ردیف 03 - ستون 1</t>
  </si>
  <si>
    <t xml:space="preserve">پیش راه اندازی و راه اندازی 62 عدد تابلوی محلی  </t>
  </si>
  <si>
    <t>کد 592411 - ردیف 04</t>
  </si>
  <si>
    <t>TR1 : Power Transformer 2500 KVA, 3.3 / 0.42 Kv - TR1 نصب تارنسفورماتور</t>
  </si>
  <si>
    <t xml:space="preserve">  2500 KVA, 3.3 / 0.42 kV - TR2 نصب ترانسفورماتور</t>
  </si>
  <si>
    <t>6000 KVA, 33 / 3.45kV- PTR1 نصب ترانسفورماتور</t>
  </si>
  <si>
    <t>6000 KVA, 33 / 3.45kV  - PRT2 نصب ترانسفورماتور</t>
  </si>
  <si>
    <t>کد 592821 - ردیف 02- ستون 1</t>
  </si>
  <si>
    <t>TR1 : Power Transformer 2500 KVA, 3.3 / 0.42 Kv - TR1 پیش راه اندازی و راه اندازی تارنسفورماتور</t>
  </si>
  <si>
    <t xml:space="preserve">  2500 KVA, 3.3 / 0.42 kV - TR2 پیش راه اندازی و راه اندازی ترانسفورماتور</t>
  </si>
  <si>
    <t>کد 592821 - ردیف 03- ستون 03</t>
  </si>
  <si>
    <t>6000 KVA, 33 / 3.45kV- PTR1 پیش راه اندازی و راه اندازی ترانسفورماتور</t>
  </si>
  <si>
    <t>6000 KVA, 33 / 3.45kV  - PRT2 پیش راه اندازی و راه اندازی ترانسفورماتور</t>
  </si>
  <si>
    <t>کد 591034 - ردیف 01</t>
  </si>
  <si>
    <t xml:space="preserve">
0.4 kv, 550 KVA- نصب ژنراتور دیزل</t>
  </si>
  <si>
    <t xml:space="preserve"> 0.4 kv, 180 KVA- نصب ژنراتور دیزل</t>
  </si>
  <si>
    <t>UNINTERRUPTIBLE
 POWER SUPPLY (UPS)</t>
  </si>
  <si>
    <t>UPS-1, 110V AC UPS, 80KW - نصب پکیج برق</t>
  </si>
  <si>
    <t>DC-01, 110V DC UPS,13 KW  - نصب پکیج برق</t>
  </si>
  <si>
    <t>DC-02, 24V DC UPS, 18KW  - نصب پکیج برق</t>
  </si>
  <si>
    <t>DC-03, 110V DC UPS, 9 KW  - نصب پکیج برق</t>
  </si>
  <si>
    <t>DC-04, 110V DC UPS, 7.5 KW  - نصب پکیج برق</t>
  </si>
  <si>
    <t>DC-05, 110V DC UPS, 13 KW  - نصب پکیج برق</t>
  </si>
  <si>
    <t>نصب باتری</t>
  </si>
  <si>
    <t>UPS-1, 110V AC UPS, 80KW - پیش راه اندازی و راه اندازی پکیج برق</t>
  </si>
  <si>
    <t>DC-01, 110V DC UPS,13 KW  - پیش راه اندازی و راه اندازی پکیج برق</t>
  </si>
  <si>
    <t>DC-02, 24V DC UPS, 18KW  - پیش راه اندازی و راه اندازی پکیج برق</t>
  </si>
  <si>
    <t>DC-03, 110V DC UPS, 9 KW  - پیش راه اندازی و راه اندازی پکیج برق</t>
  </si>
  <si>
    <t>DC-04, 110V DC UPS, 7.5 KW  - پیش راه اندازی و راه اندازی پکیج برق</t>
  </si>
  <si>
    <t>DC-05, 110V DC UPS, 13 KW  - پیش راه اندازی و راه اندازی پکیج برق</t>
  </si>
  <si>
    <t>کد 592421 - ردیف 03- ستون 1</t>
  </si>
  <si>
    <t>نصب باسداکت</t>
  </si>
  <si>
    <t>Earting</t>
  </si>
  <si>
    <t>نصب اتصال زمین -سیم کشی</t>
  </si>
  <si>
    <t>کد 592615 ردیف 1</t>
  </si>
  <si>
    <t>نصب اتصال زمین تسمه مسی</t>
  </si>
  <si>
    <t>کد 592612 ردیف 3</t>
  </si>
  <si>
    <t>نصب اتصال زمین کدولد مسی</t>
  </si>
  <si>
    <t>کد 592612 ردیف 2</t>
  </si>
  <si>
    <t>کد 592613</t>
  </si>
  <si>
    <t>نصب اتصال زمین- الکنرود (میله) زمین</t>
  </si>
  <si>
    <t>کد 592614 ردیف 1</t>
  </si>
  <si>
    <t>نصب اتصال زمین- اتصال به تجهیزات</t>
  </si>
  <si>
    <t>کد 592614 ردیف 2</t>
  </si>
  <si>
    <t>کد 592616</t>
  </si>
  <si>
    <t>نصب اتصال زمین- مخلوط ذغال</t>
  </si>
  <si>
    <t>کد 592621 ردیف 1</t>
  </si>
  <si>
    <t>نصب صاعقه گیر</t>
  </si>
  <si>
    <t>cable</t>
  </si>
  <si>
    <t>کد 592103 - ستون 1- ردیف 1</t>
  </si>
  <si>
    <t>M</t>
  </si>
  <si>
    <r>
      <rPr>
        <b/>
        <sz val="12"/>
        <color indexed="8"/>
        <rFont val="Calibri"/>
        <family val="2"/>
      </rPr>
      <t>کابل کشی کابل قدرت و کنترل - زیرزمینی -زره دار باغلاف سربی-0.6/1 KV</t>
    </r>
  </si>
  <si>
    <t>کد 592103 - ستون 1- ردیف 2</t>
  </si>
  <si>
    <t>کد 592103 - ستون 1- ردیف 3</t>
  </si>
  <si>
    <t>3C150</t>
  </si>
  <si>
    <t>کد 592102 - ستون 1- ردیف 1</t>
  </si>
  <si>
    <r>
      <rPr>
        <b/>
        <sz val="12"/>
        <color indexed="8"/>
        <rFont val="Calibri"/>
        <family val="2"/>
      </rPr>
      <t>کابل کشی کابل قدرت و کنترل - زیرزمینی - زره دار-0.6/1 KV</t>
    </r>
  </si>
  <si>
    <t>کد 592102 - ستون 1- ردیف 2</t>
  </si>
  <si>
    <t>کد 592102 - ستون2 - ردیف 2</t>
  </si>
  <si>
    <r>
      <rPr>
        <b/>
        <sz val="12"/>
        <color indexed="8"/>
        <rFont val="Calibri"/>
        <family val="2"/>
      </rPr>
      <t>کابل کشی کابل قدرت و کنترل - زیرزمینی - زره دار-3/6 KV</t>
    </r>
  </si>
  <si>
    <t>کد 592102 - ستون2 - ردیف 3</t>
  </si>
  <si>
    <t>3/6 KV,  Stranded Annealed Copper Conductor, XLPE Insulated, Galvanized Steel Wire Armored, PVC Sheathed, Cu-XLPE-SWA-PVC Power Cable</t>
  </si>
  <si>
    <t>3C300</t>
  </si>
  <si>
    <t>کد 592141 ردیف 1</t>
  </si>
  <si>
    <t>ماسه ریزی  داخل ترانشه</t>
  </si>
  <si>
    <t>کد 592141 ردیف 2</t>
  </si>
  <si>
    <t xml:space="preserve"> آجر چینی داخل ترانشه</t>
  </si>
  <si>
    <t>کد 592201 ردیف 2 - ستون 2</t>
  </si>
  <si>
    <t>سر</t>
  </si>
  <si>
    <t xml:space="preserve">سر سیم بندی کابل های کنترل- 5 تا 12 CORE </t>
  </si>
  <si>
    <t>کد 592213 ردیف 2 - ستون 3</t>
  </si>
  <si>
    <t xml:space="preserve">سر سیم بندی کابل فشار ضعیف - زره داربا غلاف سربی-3 CORE </t>
  </si>
  <si>
    <t>کد 592213 ردیف 3 - ستون 3</t>
  </si>
  <si>
    <t>کد 592213 ردیف 4 - ستون 4</t>
  </si>
  <si>
    <t>کد 592212 ردیف 2 - ستون 3</t>
  </si>
  <si>
    <t xml:space="preserve">سر سیم بندی کابل فشار ضعیف - زره دار-3 CORE </t>
  </si>
  <si>
    <t>کد 592212 ردیف 3 - ستون 3</t>
  </si>
  <si>
    <t>کد 592212 ردیف 4 - ستون 4</t>
  </si>
  <si>
    <t xml:space="preserve">سر سیم بندی کابل فشار ضعیف - زره دار-4.5 CORE </t>
  </si>
  <si>
    <t>کد 592222 ردیف 1 - ستون 3</t>
  </si>
  <si>
    <t xml:space="preserve">سر سیم بندی کابل فشارمتوسط - 3 CORE - تا 6KV   </t>
  </si>
  <si>
    <t>کد 592222 ردیف 2 - ستون 3</t>
  </si>
  <si>
    <t xml:space="preserve">سر سیم بندی کابل فشار متوسط - 3 CORE - تا 6KV   </t>
  </si>
  <si>
    <t>کد 592224 ردیف 3 - ستون 3</t>
  </si>
  <si>
    <t xml:space="preserve">سر سیم بندی کابل فشار متوسط  - تا 33KV   </t>
  </si>
  <si>
    <t>کد 592231 ردیف 6</t>
  </si>
  <si>
    <t>نصب گلند ضد گردوغبارM20</t>
  </si>
  <si>
    <t>کد 592231 ردیف 7</t>
  </si>
  <si>
    <t>نصب گلند ضد گردوغبارM25</t>
  </si>
  <si>
    <t>کد 592231 ردیف 8</t>
  </si>
  <si>
    <t>نصب گلند ضد گردوغبارM33</t>
  </si>
  <si>
    <t>کد 592231 ردیف 9</t>
  </si>
  <si>
    <t>نصب گلند ضد گردوغبارM40</t>
  </si>
  <si>
    <t>کد 592231 ردیف 10</t>
  </si>
  <si>
    <t>نصب گلند ضد گردوغبارM50</t>
  </si>
  <si>
    <t>کد 592231 ردیف 11</t>
  </si>
  <si>
    <t>نصب گلند ضد گردوغبارM63</t>
  </si>
  <si>
    <t>کد 592232 ردیف 12</t>
  </si>
  <si>
    <t>نصب گلند ضد گردوغبارM75</t>
  </si>
  <si>
    <t>نصب گلند ضدانفجارM20</t>
  </si>
  <si>
    <t>نصب گلند ضدانفجارM25</t>
  </si>
  <si>
    <t>نصب گلند ضدانفجارM33</t>
  </si>
  <si>
    <t>نصب گلند ضدانفجارM40</t>
  </si>
  <si>
    <t>نصب گلند ضدانفجارM50</t>
  </si>
  <si>
    <t>نصب گلند ضدانفجارM63</t>
  </si>
  <si>
    <t>Local Control Stations for remote operation of the Motor through Starter.Local Control Stations shall be explosion proof type, IP55, EExd, IIB, T3 and supplied with stop push Button, start push button, Local / Remote Selector Switch, ammeter and remote position indicator.(L4-T12,L2-T12 Schematic code).</t>
  </si>
  <si>
    <t>Local Control Stations for remote operation of the Motor through Starter.Local Control Stations shall be explosion proof type, IP55, EExd, IIB,T3 and supplied with stop push Button, start push button, Local / Remote Selector Switch and remote position indicator.(L1-T12 Schematic code).</t>
  </si>
  <si>
    <t>کد 592501 ردیف 1 ستون 2</t>
  </si>
  <si>
    <t xml:space="preserve">1x250W HIGH PRESSURE MERCURY نصب نورافکن و چراغ های صنعتی محوطه  </t>
  </si>
  <si>
    <r>
      <t xml:space="preserve">نصب نورافکن و چراغ های صنعتی محوطه  
CORROSION RESISTANT OUTDOOR AREA </t>
    </r>
    <r>
      <rPr>
        <b/>
        <sz val="12"/>
        <rFont val="Calibri"/>
        <family val="2"/>
      </rPr>
      <t>FLOOD LIGHT,1x400W METAL HALIDE LAMP</t>
    </r>
  </si>
  <si>
    <t>کد 592831 ردیف 1</t>
  </si>
  <si>
    <t>دستگاه</t>
  </si>
  <si>
    <t>پیش راه اندازی و راه اندازی موتورها تا یک KV - زیر 50 KW</t>
  </si>
  <si>
    <t>کد 592831 ردیف 2</t>
  </si>
  <si>
    <t>پیش راه اندازی و راه اندازی موتورها تا یک KV -بالای 50 KW</t>
  </si>
  <si>
    <t>کد 5ردیف82832 ردیف 1</t>
  </si>
  <si>
    <t>پیش راه اندازی و راه اندازی موتورها بیش از یک KV -زیر 500 KW</t>
  </si>
  <si>
    <t>km</t>
  </si>
  <si>
    <t>کد 592721 ردیف 1</t>
  </si>
  <si>
    <t>نصب دوربین مدار بسته</t>
  </si>
  <si>
    <t>کد 592721 ردیف 2</t>
  </si>
  <si>
    <t>نصب مونیتور های سیتم تلویزیون مدار بسته</t>
  </si>
  <si>
    <t>کد 592721 ردیف 3</t>
  </si>
  <si>
    <t>نصب سیستم کنترل تلویزیون مدار بسته</t>
  </si>
  <si>
    <t>نصب سیستم محافظت پیرامونی ، مخابرات  و فراخوان (غیر از داخل ساختمانها و کابل)</t>
  </si>
  <si>
    <t>نصب کلیه سوکتهای صنعتی محوطه</t>
  </si>
  <si>
    <t>نصب کلیه  سوییچهای روشنایی</t>
  </si>
  <si>
    <t>کد 593133 ردیف 02</t>
  </si>
  <si>
    <t>نصب سیستم های آنالایزر- بیشتر از 10 کیلوگرم</t>
  </si>
  <si>
    <t>کد 593133 ردیف 01</t>
  </si>
  <si>
    <t>نصب سیستم های آنالایزر-تا 10 کیلوگرم</t>
  </si>
  <si>
    <t>کد 593101 ردیف 02</t>
  </si>
  <si>
    <t>نصب انتقال دهنده جریان</t>
  </si>
  <si>
    <t>کد 593102 ردیف 04</t>
  </si>
  <si>
    <t>نصب سوییچ جریان</t>
  </si>
  <si>
    <t>کد 593111 ردیف 09</t>
  </si>
  <si>
    <t>نصب نمایشگر جریان</t>
  </si>
  <si>
    <t>کد 593119 ردیف 01</t>
  </si>
  <si>
    <t>نصب/ کالیبراسیون/ کنترل مشخصات جریان سنجهای در طول خط سایز تا 4"</t>
  </si>
  <si>
    <t>کد 593118 ردیف 01</t>
  </si>
  <si>
    <t>نصب/ کنترل مشخصات صفحه اوریفیس سایز تا 4"</t>
  </si>
  <si>
    <t>کد 593118 ردیف 02</t>
  </si>
  <si>
    <t>نصب/ کنترل مشخصات صفحه اوریفیس سایز از 4" تا 8"</t>
  </si>
  <si>
    <t>کد 593118 ردیف 03</t>
  </si>
  <si>
    <t>نصب/ کنترل مشخصات صفحه اوریفیس سایز از 8" تا 12"</t>
  </si>
  <si>
    <t>کد 593118 ردیف 04</t>
  </si>
  <si>
    <t>نصب/ کنترل مشخصات صفحه اوریفیس سایز از 12" تا 20"</t>
  </si>
  <si>
    <t>کد 593111 ردیف01</t>
  </si>
  <si>
    <t>نصب نمایشگر سطح مغناطیسی</t>
  </si>
  <si>
    <t>کد 593111 ردیف02</t>
  </si>
  <si>
    <t xml:space="preserve">(FLOAT-CABLE) نصب نمایشگر سطح  </t>
  </si>
  <si>
    <t>کد 593102 ردیف 01</t>
  </si>
  <si>
    <t>نصب سوییچ سطح EXTERNAL</t>
  </si>
  <si>
    <t>کد 593102 ردیف 02</t>
  </si>
  <si>
    <t>نصب سوییچ سطح INTERNAL</t>
  </si>
  <si>
    <t>کد 593101 ردیف 06</t>
  </si>
  <si>
    <t>نصب انتقال دهنده سطح EXT. DIS. TYPE تا 32 اینچ</t>
  </si>
  <si>
    <t>کد 593101 ردیف 07</t>
  </si>
  <si>
    <t>نصب انتقال دهنده سطح EXT. DIS. TYPE از 32 تا 72 اینچ</t>
  </si>
  <si>
    <t>کد 593101 ردیف 08</t>
  </si>
  <si>
    <t>نصب انتقال دهنده سطح EXT. DIS. TYPE بزرگتر از 72 اینچ</t>
  </si>
  <si>
    <t xml:space="preserve"> DIFF. PRESSURE TYPE نصب انتقال دهنده سطح</t>
  </si>
  <si>
    <t>کد 593111 ردیف 03</t>
  </si>
  <si>
    <t>نصب نمایشگر فشار</t>
  </si>
  <si>
    <t>نصب نمایشگر اختلاف فشار</t>
  </si>
  <si>
    <t>نصب سوییچ فشار</t>
  </si>
  <si>
    <t>نصب انتقال دهنده فشار</t>
  </si>
  <si>
    <t>نصب انتقال دهنده اختلاف فشار</t>
  </si>
  <si>
    <t>نصب انتقال دهنده دما</t>
  </si>
  <si>
    <t>نصب سوییچ دما</t>
  </si>
  <si>
    <t>کد 593111 ردیف 07</t>
  </si>
  <si>
    <t>نصب نمایشگر دما  (BIMETAL)</t>
  </si>
  <si>
    <t>کد 593104 ردیف 06</t>
  </si>
  <si>
    <t>نصب THERMOWELL - طول بیشتر از 60 سانتی متر</t>
  </si>
  <si>
    <t>کد 593114 ردیف 1</t>
  </si>
  <si>
    <t>نصب/ کالیبراسیون/ کنترل مشخصات شیر کنترل سایز تا 4"</t>
  </si>
  <si>
    <t>کد 593114 ردیف 2</t>
  </si>
  <si>
    <t>نصب/ کالیبراسیون/ کنترل مشخصات شیر کنترل سایز از 4" تا 8"</t>
  </si>
  <si>
    <t>کد 593114 ردیف 3</t>
  </si>
  <si>
    <t>کد 593114 ردیف 4</t>
  </si>
  <si>
    <t>نصب/ کالیبراسیون/ کنترل مشخصات شیر کنترل سایز از 12" تا 20"</t>
  </si>
  <si>
    <t>کد 593116 ردیف 1</t>
  </si>
  <si>
    <t>نصب/ کالیبراسیون/ کنترل مشخصات شیر قطع و وصل سایز تا 4"</t>
  </si>
  <si>
    <t>کد 593116 ردیف 2</t>
  </si>
  <si>
    <t>نصب/ کالیبراسیون/ کنترل مشخصات شیر قطع و وصل سایز از 4" تا 8"</t>
  </si>
  <si>
    <t>کد 593116 ردیف 3</t>
  </si>
  <si>
    <t>نصب/ کالیبراسیون/ کنترل مشخصات شیر قطع و وصل سایز از 8" تا 12"</t>
  </si>
  <si>
    <t>کد 593116 ردیف 4</t>
  </si>
  <si>
    <t>نصب/ کالیبراسیون/ کنترل مشخصات شیر قطع و وصل سایز از 12" تا 20"</t>
  </si>
  <si>
    <t>کد 593117 ردیف 1</t>
  </si>
  <si>
    <t>نصب/ کالیبراسیون/ کنترل مشخصات شیراطمینان سایز تا 4"</t>
  </si>
  <si>
    <t>کد 593117 ردیف 2</t>
  </si>
  <si>
    <t>نصب/ کالیبراسیون/ کنترل مشخصات شیراطمینان سایز از 4" تا 8"</t>
  </si>
  <si>
    <t>کد 593171- ردیف 1-ستون 1</t>
  </si>
  <si>
    <t>کابل کشی و اتصالات- خواباندن کابلها-زیر زمینی و ...-کابل سیگنال-2~10 core</t>
  </si>
  <si>
    <t>کد 593171- ردیف 2-ستون 1</t>
  </si>
  <si>
    <t>کابل کشی و اتصالات- خواباندن کابلها-زیر زمینی و ...-کابل سیگنال-12~20 core</t>
  </si>
  <si>
    <t>کد 593171- ردیف 3-ستون 1</t>
  </si>
  <si>
    <t>کابل کشی و اتصالات- خواباندن کابلها-زیر زمینی و ...-کابل سیگنال-22~30 core</t>
  </si>
  <si>
    <t>کد 593171- ردیف 4-ستون 1</t>
  </si>
  <si>
    <t>کابل کشی و اتصالات- خواباندن کابلها-زیر زمینی و ...-کابل سیگنال-32~40 core</t>
  </si>
  <si>
    <t>کد 593173- ردیف 1-ستون 1</t>
  </si>
  <si>
    <t>کابل کشی و اتصالات- خواباندن کابلها-زیر زمینی و ...-کابل سیستم اعلان خطر-S&lt;16 mm2</t>
  </si>
  <si>
    <t>کد 593174- ردیف 1-ستون 1</t>
  </si>
  <si>
    <t>کابل کشی و اتصالات- خواباندن کابلها-سینی و ...-کابل سیگنال-2~10 core</t>
  </si>
  <si>
    <t>کد 593176- ردیف 1-ستون 1</t>
  </si>
  <si>
    <t>کابل کشی و اتصالات- خواباندن کابلها-سینی و ...-کابل سیستم اعلان خطر-S&lt;16 mm2</t>
  </si>
  <si>
    <t>کد 593176- ردیف 1-ستون 2</t>
  </si>
  <si>
    <t>کد 593183- ردیف 1-ستون 1</t>
  </si>
  <si>
    <t>کابل کشی و اتصالات-سر سیم بندی اتصالات-زره دار با غلاف سربی-سیگنال-2~4 core</t>
  </si>
  <si>
    <t>کد 593183- ردیف 2-ستون 1</t>
  </si>
  <si>
    <t>کابل کشی و اتصالات-سر سیم بندی اتصالات-زره دار با غلاف سربی-سیگنال-5~10 core</t>
  </si>
  <si>
    <t>کد 593183- ردیف 3-ستون 1</t>
  </si>
  <si>
    <t>کابل کشی و اتصالات-سر سیم بندی اتصالات-زره دار با غلاف سربی-سیگنال-12~20 core</t>
  </si>
  <si>
    <t>کد 593183- ردیف 4-ستون 1</t>
  </si>
  <si>
    <t>کابل کشی و اتصالات-سر سیم بندی اتصالات-زره دار با غلاف سربی-سیگنال-22~30 core</t>
  </si>
  <si>
    <t>کد 593183- ردیف 5-ستون 1</t>
  </si>
  <si>
    <t>کابل کشی و اتصالات-سر سیم بندی اتصالات-زره دار با غلاف سربی-سیگنال-32~40 core</t>
  </si>
  <si>
    <t>کد 593183- ردیف 1-ستون 3</t>
  </si>
  <si>
    <t>کابل کشی و اتصالات-سر سیم بندی اتصالات-زره دار با غلاف سربی-سیستم اعلان خطر-2~4 core</t>
  </si>
  <si>
    <t>کد 593183- ردیف 3-ستون 3</t>
  </si>
  <si>
    <t>کابل کشی و اتصالات-سر سیم بندی اتصالات-زره دار با غلاف سربی-سیستم اعلان خطر-12~20 core</t>
  </si>
  <si>
    <t>کد 593183- ردیف 4-ستون 3</t>
  </si>
  <si>
    <t>کابل کشی و اتصالات-سر سیم بندی اتصالات-زره دار با غلاف سربی-سیستم اعلان خطر-22~30 core</t>
  </si>
  <si>
    <t>کد 593184- ردیف 1-ستون 1</t>
  </si>
  <si>
    <t>کابل کشی و اتصالات-سر سیم بندی اتصالات-زره دار-سیگنال-2~4 core</t>
  </si>
  <si>
    <t>کد 593184- ردیف 1-ستون 3</t>
  </si>
  <si>
    <t>کابل کشی و اتصالات-سر سیم بندی اتصالات-زره دار-سیستم اعلان خطر-2~4 core</t>
  </si>
  <si>
    <t>کد 593185- ردیف 1-ستون 3</t>
  </si>
  <si>
    <t>کابل کشی و اتصالات-سر سیم بندی اتصالات-بدون زره-سیستم اعلان خطر-2~4 core</t>
  </si>
  <si>
    <t>کد 593191- ردیف 1-ستون 1</t>
  </si>
  <si>
    <t>مسیرهای عبور کابل-سینی ها-W&lt;=10cm-STRAIGHT</t>
  </si>
  <si>
    <t>کد 593191- ردیف 1-ستون 2</t>
  </si>
  <si>
    <t>مسیرهای عبور کابل-سینی ها-W&lt;=10cm-TEE</t>
  </si>
  <si>
    <t>کد 593191- ردیف 1-ستون 3</t>
  </si>
  <si>
    <t>مسیرهای عبور کابل-سینی ها-W&lt;=10cm-COVER</t>
  </si>
  <si>
    <t>کد 593191- ردیف 2-ستون 1</t>
  </si>
  <si>
    <t>مسیرهای عبور کابل-سینی ها-W&lt;=30cm , W&gt;10-STRAIGHT</t>
  </si>
  <si>
    <t>کد 593191- ردیف 2-ستون 2</t>
  </si>
  <si>
    <t>مسیرهای عبور کابل-سینی ها-W&lt;=30cm , W&gt;10-TEE</t>
  </si>
  <si>
    <t>کد 593191- ردیف 2-ستون 3</t>
  </si>
  <si>
    <t>مسیرهای عبور کابل-سینی ها-W&lt;=30cm , W&gt;10-COVER</t>
  </si>
  <si>
    <t>کد 593191- ردیف 3-ستون 1</t>
  </si>
  <si>
    <t>مسیرهای عبور کابل-سینی ها-W&lt;=60cm , W&gt;30-STRAIGHT</t>
  </si>
  <si>
    <t>کد 593191- ردیف 3-ستون 2</t>
  </si>
  <si>
    <t>مسیرهای عبور کابل-سینی ها-W&lt;=60cm , W&gt;30-TEE</t>
  </si>
  <si>
    <t>کد 593191- ردیف 3-ستون 3</t>
  </si>
  <si>
    <t>مسیرهای عبور کابل-سینی ها-W&lt;=60cm , W&gt;30-COVER</t>
  </si>
  <si>
    <t xml:space="preserve">کد 593194- ردیف 12 </t>
  </si>
  <si>
    <t>مسیرهای عبور کابل-کاندویت ها-پی وی سی</t>
  </si>
  <si>
    <t xml:space="preserve">کد 593182- ردیف 6 </t>
  </si>
  <si>
    <t>کابل کشی و اتصالات-نصب گلندها-ضد انفجار-فلزی-M20</t>
  </si>
  <si>
    <t>کد 593182- ردیف 8</t>
  </si>
  <si>
    <t>کابل کشی و اتصالات-نصب گلندها-ضد انفجار-فلزی-M32</t>
  </si>
  <si>
    <t>کد 593182- ردیف 9</t>
  </si>
  <si>
    <t>کابل کشی و اتصالات-نصب گلندها-ضد انفجار-فلزی-M40</t>
  </si>
  <si>
    <t>کد 593182- ردیف 10</t>
  </si>
  <si>
    <t>کابل کشی و اتصالات-نصب گلندها-ضد انفجار-فلزی-M50</t>
  </si>
  <si>
    <t>کد 593125- ردیف 1</t>
  </si>
  <si>
    <t>جعبه تقسیم - وزن تا 25 کیلوگرم</t>
  </si>
  <si>
    <t>کد 593141- ردیف 2</t>
  </si>
  <si>
    <t>مجموعه</t>
  </si>
  <si>
    <t>لوله کشی های فرآیندی ابزاردقیق-لوله کشی (هوک آپ) ادوات PD - جنس SS</t>
  </si>
  <si>
    <t>کد 593142- ردیف 2</t>
  </si>
  <si>
    <t>لوله کشی های فرآیندی ابزاردقیق-لوله کشی (هوک آپ) ادوات P - جنس SS</t>
  </si>
  <si>
    <t>کد 593143- ردیف 2</t>
  </si>
  <si>
    <t>لوله کشی های فرآیندی ابزاردقیق-لوله کشی (هوک آپ) فشار سنج ها - جنس SS</t>
  </si>
  <si>
    <t>کد 593144- ردیف 1</t>
  </si>
  <si>
    <t>لوله کشی های فرآیندی ابزاردقیق-تیوبینگ ها  (هوک آپ) ادوات PD - جنس SS</t>
  </si>
  <si>
    <t>کد 593145- ردیف 1</t>
  </si>
  <si>
    <t>لوله کشی های فرآیندی ابزاردقیق-تیوبینگ ها (هوک آپ) ادوات P - جنس SS</t>
  </si>
  <si>
    <t>کد 593146- ردیف 1</t>
  </si>
  <si>
    <t>لوله کشی های فرآیندی ابزاردقیق-تیوبینگ ها (هوک آپ) فشار سنج ها - جنس SS</t>
  </si>
  <si>
    <t>کد 593147- ردیف 2</t>
  </si>
  <si>
    <t>لوله کشی های فرآیندی ابزاردقیق-دو راهه-جنس SS</t>
  </si>
  <si>
    <t>کد 593148- ردیف 2</t>
  </si>
  <si>
    <t>لوله کشی های فرآیندی ابزاردقیق-پنج راهه-جنس SS</t>
  </si>
  <si>
    <t>کد 593153- ردیف 1</t>
  </si>
  <si>
    <t>شبکه هوای ابزار دقیق-نصب تیوبهای فولاد زنگ نزن</t>
  </si>
  <si>
    <t>کد 593201- ردیف 2</t>
  </si>
  <si>
    <t>تجهیزات اتاق کنترل- پنلها - وزن 101 تا 250 کیلو گرم</t>
  </si>
  <si>
    <t>کد 593211- ردیف 1</t>
  </si>
  <si>
    <t xml:space="preserve">تجهیزات اتاق کنترل- سایر ادوات نصب شده </t>
  </si>
  <si>
    <t>کد 593221- ردیف 1</t>
  </si>
  <si>
    <t>تجهیزات جانبی سیستم کنترل</t>
  </si>
  <si>
    <t xml:space="preserve">کد 593103- ردیف 2 </t>
  </si>
  <si>
    <t>ادوات F&amp;G واقع در محوطه - GAS DETECTOR</t>
  </si>
  <si>
    <t>کد 593103- ردیف 3</t>
  </si>
  <si>
    <t>ادوات F&amp;G واقع در محوطه - HEAT DETECTOR</t>
  </si>
  <si>
    <t>کد 593103- ردیف 5</t>
  </si>
  <si>
    <t>ادوات F&amp;G واقع در محوطه - FLAME DETECTOR (UV/IR)</t>
  </si>
  <si>
    <t>کد 593103- ردیف 7</t>
  </si>
  <si>
    <t>ادوات F&amp;G واقع در محوطه - LINEAR HEAT DETECTOR</t>
  </si>
  <si>
    <t>کد 593103- ردیف 8</t>
  </si>
  <si>
    <t>ادوات F&amp;G واقع در محوطه - MANUAL CALL POINT</t>
  </si>
  <si>
    <t>کد 593103- ردیف 9</t>
  </si>
  <si>
    <t>ادوات F&amp;G واقع در محوطه - BEACON</t>
  </si>
  <si>
    <t>کد 593103- ردیف 10</t>
  </si>
  <si>
    <t>ادوات F&amp;G واقع در محوطه - SIREN</t>
  </si>
  <si>
    <t>کد 593301- ردیف 1</t>
  </si>
  <si>
    <t>لوپ</t>
  </si>
  <si>
    <t>عملیات لوپ چک-لوپ حلقه بسته</t>
  </si>
  <si>
    <t>کد 593301- ردیف 2</t>
  </si>
  <si>
    <t>عملیات لوپ چک-لوپ حلقه باز</t>
  </si>
  <si>
    <t>هزینه</t>
  </si>
  <si>
    <t>تعداد</t>
  </si>
  <si>
    <t xml:space="preserve">بلیط رفت و برگشت داخلی (با محوریت اهواز)  </t>
  </si>
  <si>
    <t>ترانسفر فرودگاهی</t>
  </si>
  <si>
    <t>ایاب و ذهاب در سطح شهر واسطه و مقصد</t>
  </si>
  <si>
    <t>اقامت در هتل پنج ستاره در اتاق تک تخته به ازای هر نفر- شب</t>
  </si>
  <si>
    <t>خورد و خوراک 3 وعده در روز</t>
  </si>
  <si>
    <t>توضیح جدول 1-17 : تعداد تقریبی ماموریتهای داخل کشورپرسنل کارفرما معادل 865 نفر-روز مطابق مدرک شرح خدمات و تسهیلات کارفرما به شرح ذیل:
 250 نفر -روز جهت شرکت در جلسات و 255 نفر-روز جهت دوره اموزشی و360 نفر روز برای بازدید از مراحل ساخت کالا در تهران یا سایر نقاط کشور (مبدا : اهواز).    هر ماموریت بطور متوسط 3 روز منظور شده است. لذا جمعا 300 سفر و به مدت 865 شب اقامت منظور شده است.</t>
  </si>
  <si>
    <t>بلیط رفت و برگشت خارجی و بیمه (متوسط قیمت)</t>
  </si>
  <si>
    <t>هزینه امور کنسولی و ویزا</t>
  </si>
  <si>
    <t>معادل ریالی</t>
  </si>
  <si>
    <t>خورد و خوراک 3 وعده در روز در سایت</t>
  </si>
  <si>
    <t>امکانات سخت افزاری و نرم افزاری</t>
  </si>
  <si>
    <t>تدارک مواد آموزشی شامل تکثیر جزوه و کتاب</t>
  </si>
  <si>
    <t>برگزاری دوره نقشه برداری</t>
  </si>
  <si>
    <r>
      <t xml:space="preserve"> مرجع </t>
    </r>
    <r>
      <rPr>
        <sz val="12"/>
        <rFont val="Arial"/>
        <family val="2"/>
      </rPr>
      <t xml:space="preserve"> : مدرک شرح خدمات و  تسهیلات مورد نیاز  کارفرما به شماره M9003-BD-GN-OTH-26010</t>
    </r>
  </si>
  <si>
    <r>
      <t xml:space="preserve"> </t>
    </r>
    <r>
      <rPr>
        <sz val="7"/>
        <color theme="1"/>
        <rFont val="Times New Roman"/>
        <family val="1"/>
      </rPr>
      <t xml:space="preserve">  </t>
    </r>
    <r>
      <rPr>
        <sz val="12"/>
        <color theme="1"/>
        <rFont val="B Nazanin"/>
        <charset val="178"/>
      </rPr>
      <t>سيستم اعلان حريق خودكار</t>
    </r>
  </si>
  <si>
    <r>
      <t xml:space="preserve"> </t>
    </r>
    <r>
      <rPr>
        <sz val="7"/>
        <color theme="1"/>
        <rFont val="Times New Roman"/>
        <family val="1"/>
      </rPr>
      <t xml:space="preserve">  </t>
    </r>
    <r>
      <rPr>
        <sz val="11"/>
        <color theme="1"/>
        <rFont val="B Nazanin"/>
        <charset val="178"/>
      </rPr>
      <t xml:space="preserve">جعبه كمكهاي اوليه . </t>
    </r>
  </si>
  <si>
    <t>7.10. لوازم و تجهيزات ورزشي متناسب با فضاهاي پيش‌بيني‌شده</t>
  </si>
  <si>
    <r>
      <t xml:space="preserve">جدول 17-4:  هزینه تسهیلات کارفرما مربوط به احداث کمپهای دستگاه نظارت
</t>
    </r>
    <r>
      <rPr>
        <sz val="12"/>
        <rFont val="Arial"/>
        <family val="2"/>
      </rPr>
      <t>کلیه بندهای اشاره شده در ذیل مربوط به مدرک "مشخصات فنی کمپهای دستگاه نظارت به شماره  M9003-BD-GN-OTH-26011میباشد</t>
    </r>
  </si>
  <si>
    <t>هزینه
(ریال)</t>
  </si>
  <si>
    <t>به مساحت 900 متر با هزینه محاسبه شده برای احداث ساختمان</t>
  </si>
  <si>
    <t>کمپ اصلی استقرار کارفرما  مطابق مشخصات منرج در بند 4</t>
  </si>
  <si>
    <t>کمپ فرعی استقرار کارفرمامندرج در بند 5.1</t>
  </si>
  <si>
    <t>محوطه سازی کمپ اصلی و فرعی مطابق مشخصات منرج در بند 4.2و5.2</t>
  </si>
  <si>
    <t>یک نفر آبدارچی به صورت شبانه‌روزی. یک نفر آشپز بصورت روزانه. یک نفر نظافتچی به صورت روزانه. یک نفر نگهبان به صورت شبانه  روزی</t>
  </si>
  <si>
    <r>
      <t>تامین نیروی خدماتی برای طول مدت پروژه مطابق بند 6.1</t>
    </r>
    <r>
      <rPr>
        <sz val="7"/>
        <color theme="1"/>
        <rFont val="Times New Roman"/>
        <family val="1"/>
      </rPr>
      <t xml:space="preserve">
</t>
    </r>
  </si>
  <si>
    <t xml:space="preserve">سه وعده غذاي گرم، میوه فصل، دسر ، آب معدنی ، نوشیدنی و غیره در روز به طور ميانگين براي 20 نفر نمایندگان کارفرما در طي زمان قرارداد در تمام روزها </t>
  </si>
  <si>
    <r>
      <t xml:space="preserve"> </t>
    </r>
    <r>
      <rPr>
        <sz val="12"/>
        <color theme="1"/>
        <rFont val="B Nazanin"/>
        <charset val="178"/>
      </rPr>
      <t>تهيه و تأمين و سرو خورد و خوراک کادر نظارت کارفرما مطابق بند6.3</t>
    </r>
  </si>
  <si>
    <t>پذیرایی سرد/گرم</t>
  </si>
  <si>
    <t>پذیرایی از شرکت کنندگان جلسات کارفرما</t>
  </si>
  <si>
    <t xml:space="preserve"> تجهيزات لازم و متعارف براي پرسنل کادر نظارت</t>
  </si>
  <si>
    <r>
      <t xml:space="preserve"> </t>
    </r>
    <r>
      <rPr>
        <sz val="7"/>
        <color theme="1"/>
        <rFont val="Times New Roman"/>
        <family val="1"/>
      </rPr>
      <t xml:space="preserve">      </t>
    </r>
    <r>
      <rPr>
        <sz val="12"/>
        <color theme="1"/>
        <rFont val="B Nazanin"/>
        <charset val="178"/>
      </rPr>
      <t>تجهیز دفاتر کار، سالنها و اتاقهاي خواب مطابق بند 6.5</t>
    </r>
  </si>
  <si>
    <t>شامل كپسول آبي و پودري و گازي و غيره</t>
  </si>
  <si>
    <r>
      <t xml:space="preserve"> </t>
    </r>
    <r>
      <rPr>
        <sz val="12"/>
        <color theme="1"/>
        <rFont val="B Nazanin"/>
        <charset val="178"/>
      </rPr>
      <t xml:space="preserve">تجهیزات ایمنی و آتش‌نشانی به تعداد كافي </t>
    </r>
  </si>
  <si>
    <t>(کولرهاي گازي نو تركيبي از پنجره اي و دو تكه، بخاري از نوع رادياتور روغني برقي. سه دستگاه آبگرمكن برقي با مخزن 200 ليتري )  </t>
  </si>
  <si>
    <t xml:space="preserve"> تجهيزات سرمايشي و گرمايشي در كليه فضاها مطابق بند 7.4
</t>
  </si>
  <si>
    <t>( مبلمان دفتری و مبلمان پذيرايي، کابینت نگهداری نقشه ها و مدارک پروژه، کابینت پرونده و كابينت بايگاني به تعداد كافي، نوشت‌افزار و غيره.)</t>
  </si>
  <si>
    <t>لوازم و تجهيزات اداري مطابق بند5، 6 و 7.6</t>
  </si>
  <si>
    <t>(تلويزيون رنگي 48 اينچ از نوع  LEDبه تعداد 2 دستگاه، تلويزيون رنگي 32 اينچ از نوع  LED به تعداد 8 دستگاه، يخچال كوچك در هر اتاق خواب، مبلمان نشيمن، خواب و راحتي و مطالعه.)</t>
  </si>
  <si>
    <t xml:space="preserve"> لوازم و تجهيزات رفاهي: مطابق بند 7.7
</t>
  </si>
  <si>
    <t>يخچال، اجاق و فر گاز، مايكروفر، ماشين لباسشويي، میز و لوازم غذاخوري،تجهيزات آبدارخانه، كابينت‌بندي و تجهيزات و ظروف آشپزخانه، فريزر، كباب‌پز، هود، اگزوزفن، دستگاه تصفيه آب جهت آشپزخانه و غيره</t>
  </si>
  <si>
    <t xml:space="preserve"> . لوازم و تجهيزات آشپزخانه مطابق بند 7.8:
</t>
  </si>
  <si>
    <t>هفت دستگاه كامپيوتر روميزي كامل با لوازم جانبي؛ چهار دستگاه چاپگر ليزري، سه دستگاه چاپگر ليزري رنگي؛ چهار دستگاه نمابر؛ چهار دستگاه كپي؛ چهار دستگاه اسكنر؛ پنج دستگاه كامپيوتر لپ‌تاپ؛ سه خط تلفن ثابت؛ گوشي تلفن سيار</t>
  </si>
  <si>
    <t xml:space="preserve">. لوازم و تجهيزات كامپيوتري  مطابق بند 7.9 
</t>
  </si>
  <si>
    <t xml:space="preserve">آب و برق و گاز و خطوط تلفن و اشتراك اينترنت در كمپهاي كارفرما </t>
  </si>
  <si>
    <t xml:space="preserve"> تأمين و پرداخت كليه هزينه‌هاي انشعاب و هزينه جاري </t>
  </si>
  <si>
    <t>به تعداد مورد نیاز کارفرما</t>
  </si>
  <si>
    <t>تکثیر نسخ نرم و سخت و اسکن اسناد قرارداد</t>
  </si>
  <si>
    <t xml:space="preserve"> به ظرفيت 5 متر مكعب در روز</t>
  </si>
  <si>
    <r>
      <t xml:space="preserve"> </t>
    </r>
    <r>
      <rPr>
        <sz val="7"/>
        <color theme="1"/>
        <rFont val="Times New Roman"/>
        <family val="1"/>
      </rPr>
      <t xml:space="preserve">    </t>
    </r>
    <r>
      <rPr>
        <sz val="12"/>
        <color theme="1"/>
        <rFont val="B Nazanin"/>
        <charset val="178"/>
      </rPr>
      <t>بسته تصفيه فاضلاب بهداشتي</t>
    </r>
  </si>
  <si>
    <t xml:space="preserve">بهای کل (ریال) </t>
  </si>
  <si>
    <t>تعداد کل</t>
  </si>
  <si>
    <t>بهای واحد (ریال)</t>
  </si>
  <si>
    <t>زمان کل پروژه(ماه)</t>
  </si>
  <si>
    <t>زمان استفاده در هر دوره (ماه)</t>
  </si>
  <si>
    <t>بهای واحد (ریال)Min</t>
  </si>
  <si>
    <t>بهای واحد (ریال)Max</t>
  </si>
  <si>
    <t>لباس کار</t>
  </si>
  <si>
    <t>لباس جوشکار و تجهیزات مربوطه</t>
  </si>
  <si>
    <t>لباس سند بلاست کار و تجهیزات مربوطه</t>
  </si>
  <si>
    <t>کفش ایمنی</t>
  </si>
  <si>
    <t>کمربند ایمنی</t>
  </si>
  <si>
    <t>کلاه ایمنی</t>
  </si>
  <si>
    <t>دستکش کارگر ساده</t>
  </si>
  <si>
    <t>دستکش ورق کار</t>
  </si>
  <si>
    <t>دستکش مواد شیمیایی</t>
  </si>
  <si>
    <t>دستکش برق کار</t>
  </si>
  <si>
    <t>ماسک گرد و غبار استاندارد فیلتر دار</t>
  </si>
  <si>
    <t>ماسک فیلتردار جهت رنگ آمیزی مخازن</t>
  </si>
  <si>
    <t>زنگ اعلام شرایط اضطراری</t>
  </si>
  <si>
    <t>علائم و تابلوهای هشدار دهنده ایمنی و آموزشی</t>
  </si>
  <si>
    <t>لباس کار،کلاه و چکمه برای کارکنان آشپزخانه و آبدارخانه ها</t>
  </si>
  <si>
    <t>جعبه کمکهای اولیه با تجهیزات کامل</t>
  </si>
  <si>
    <t>نوار محدوده خطر</t>
  </si>
  <si>
    <t>کپسول اطفاء حریق 12Kg (نوعC) (مربوط به دوران شروع تا پایان پروژه)</t>
  </si>
  <si>
    <t>کپسول اطفاء حریق 12Kg (نوعB) (مربوط به دوران شروع تا پایان پروژه)</t>
  </si>
  <si>
    <t>برای کلیه ی اتاقها و اماکن سرپوشیده</t>
  </si>
  <si>
    <t>سیستم دودیاب و حسگرهای آن (مربوط به دوران شروع تا پایان پروژه)</t>
  </si>
  <si>
    <t>برای تمام ساختمانها و کانکس ها</t>
  </si>
  <si>
    <t>سیتم ارتینگ (مربوط به دوران شروع تا پایان پروژه) زمین شن زار</t>
  </si>
  <si>
    <t>برای 6 ساختمان</t>
  </si>
  <si>
    <t>صاعقه گیر (مربوط به دوران شروع تا پایان پروژه)</t>
  </si>
  <si>
    <t>جمع (ریال)</t>
  </si>
  <si>
    <t>مقدار حقوق ماهیانه(ریال)</t>
  </si>
  <si>
    <t>واحد / نفر</t>
  </si>
  <si>
    <t>کارشناس HSE جهت سایت ویزیتو نظارت برانجام ایمن کارها</t>
  </si>
  <si>
    <t>کارشناس IMS جهت مستندسازی فرآیندهای مربوطه و کارهای داکیومنتی</t>
  </si>
  <si>
    <t>بهای کل ریال</t>
  </si>
  <si>
    <t>تعداد دفعات اندازه گیری در هر سال</t>
  </si>
  <si>
    <t>کل زمان پروژه</t>
  </si>
  <si>
    <t>بهای اندازه گیری در هر دوره</t>
  </si>
  <si>
    <t xml:space="preserve">ردیف </t>
  </si>
  <si>
    <t>36ماه</t>
  </si>
  <si>
    <t>نور</t>
  </si>
  <si>
    <t>صدا(اکتاو،دزیمتری،محیط کار)</t>
  </si>
  <si>
    <t>هوا</t>
  </si>
  <si>
    <t>سنجش غبار زیست محیطی</t>
  </si>
  <si>
    <t>سنجش گازهای محیط کار</t>
  </si>
  <si>
    <t xml:space="preserve">ارتعاش </t>
  </si>
  <si>
    <t>استرس گرمایی</t>
  </si>
  <si>
    <t>اشعهX,UV,IR</t>
  </si>
  <si>
    <t>گرد و غبار</t>
  </si>
  <si>
    <t>فیوم جوشکاری</t>
  </si>
  <si>
    <t>گازهای خروجی ماشین آلات</t>
  </si>
  <si>
    <t>آب آشامیدنی</t>
  </si>
  <si>
    <t>کارشناسی</t>
  </si>
  <si>
    <t>بهای کل(ریال)</t>
  </si>
  <si>
    <t>دفعات انجام آزمایش در کل پروژه</t>
  </si>
  <si>
    <t>بهای انجام آزمایشات برای هر نفر(ریال)</t>
  </si>
  <si>
    <t>تعداد نفرات</t>
  </si>
  <si>
    <t>انجام آزمایشات دوره ای طب صنعتی برای پرسنل آبدارخانه و آشپزخانه</t>
  </si>
  <si>
    <t>بهای کل (ریال)</t>
  </si>
  <si>
    <t>بهای دوره (ریال)</t>
  </si>
  <si>
    <t>زمان دوره(روز)</t>
  </si>
  <si>
    <t>تعداد دوره در کل زمان پروژه</t>
  </si>
  <si>
    <t>زمان کل پروژه (سال)</t>
  </si>
  <si>
    <t>تعداد دوره در سال</t>
  </si>
  <si>
    <t>سرفصل دوره ها</t>
  </si>
  <si>
    <t xml:space="preserve"> MSDS   کار با مواد شیمیایی و</t>
  </si>
  <si>
    <t>ایمنی داربستها،کار در ارتفاع،بالابرها،جرثقیل و لیفتراکها</t>
  </si>
  <si>
    <t>ایمنی برق و برق صنعتی،صاعقه و رعد و برق و سیستمهای ارتینگ</t>
  </si>
  <si>
    <t>آتش نشانی و اطفاء حریق</t>
  </si>
  <si>
    <t>آشنایی با استانداردهای Iso9001و TS29001</t>
  </si>
  <si>
    <t>آشنایی با استانداردهای Iso 14001</t>
  </si>
  <si>
    <t>آشنایی باOHSAS18001</t>
  </si>
  <si>
    <t>کنترل عملیاتHSE،IMS و پرمیتها</t>
  </si>
  <si>
    <t>ایمنی کار با پرتوها و اشعه ها</t>
  </si>
  <si>
    <t>اورژانس ،کمکهای اولیه و ارگونومی و مدیریت بحران</t>
  </si>
  <si>
    <t>ایمنی جوشکاری، برشکاری و عملیات سند بلاست</t>
  </si>
  <si>
    <t>انبارداری و رعایت اصول مربوطه</t>
  </si>
  <si>
    <t>حجم خاکبرداري</t>
  </si>
  <si>
    <t>حجم خاکریزی</t>
  </si>
  <si>
    <t>قالب بندي</t>
  </si>
  <si>
    <t>بتن با عيار150</t>
  </si>
  <si>
    <t>بتن با عيار300</t>
  </si>
  <si>
    <t xml:space="preserve">ميلگرد </t>
  </si>
  <si>
    <t>کوبیدن خاک</t>
  </si>
  <si>
    <t>ASPHALT</t>
  </si>
  <si>
    <t>Geotextile</t>
  </si>
  <si>
    <t>Geomembrane</t>
  </si>
  <si>
    <t>فونداسیون های تجهیزات</t>
  </si>
  <si>
    <t>متر 
مکعب</t>
  </si>
  <si>
    <t>کيلو گرم</t>
  </si>
  <si>
    <t>متر
مربع</t>
  </si>
  <si>
    <t>FOUNDATION OF OFF-SPEC TANK</t>
  </si>
  <si>
    <t>FOUNDATION OF DILUTION  WATER TANK</t>
  </si>
  <si>
    <t>FOUNDATION OF POTABLE WATER TANK</t>
  </si>
  <si>
    <t>FOUNDATION OF DISPOSAL TANK</t>
  </si>
  <si>
    <t>FOUNDATION OF DIRTY OILTANK</t>
  </si>
  <si>
    <t>FOUNDATION OF FIRE WATER STORAGE TANK</t>
  </si>
  <si>
    <t>FOUNDATION OF SKIMMER TANK</t>
  </si>
  <si>
    <t>FOUNDATION OF FREE WATER K.O DRUM</t>
  </si>
  <si>
    <t>FOUNDATION OF FUEL GAS K.O. DRUM</t>
  </si>
  <si>
    <t>FOUNDATION OF AIR RECIEVER</t>
  </si>
  <si>
    <t>FOUNDATION OF FLARE K.O. DRUM</t>
  </si>
  <si>
    <t>FOUNDATION OF HC CLOSED DRAIN DRUM</t>
  </si>
  <si>
    <t>FOUNDATION OF DIESEL oil STORAGE TANK</t>
  </si>
  <si>
    <t>FOUNDATION OF DESALTER FOUNDATION</t>
  </si>
  <si>
    <t>FOUNDATION OF HEATERS FOUNDATION</t>
  </si>
  <si>
    <t xml:space="preserve">FOUNDATION OF EXCHANGER FOUNDATION </t>
  </si>
  <si>
    <t>FOUNDATION OF DEARATOR FOUNDATION</t>
  </si>
  <si>
    <t>FOUNDATION OF IGF FOUNDATION</t>
  </si>
  <si>
    <t xml:space="preserve">FOUNDATION OF NUTSHELL FILTER  </t>
  </si>
  <si>
    <t>FOUNDATION OF COLD FLARE</t>
  </si>
  <si>
    <t>FOUNDATION OF HOT FLARE</t>
  </si>
  <si>
    <t>FOUNDATION OF  COMPRESSOR (4no.)</t>
  </si>
  <si>
    <t>FOUNDATION OF PROCESS PUMPS  (~ 40NO.)</t>
  </si>
  <si>
    <t>FOUNDATION OF FIREWATER PUMP(5 no.)</t>
  </si>
  <si>
    <t>FOUNDATION OF AIR DRYER</t>
  </si>
  <si>
    <t>FOUNDATION OF DIESEL GENERATOR</t>
  </si>
  <si>
    <t>FOUNDATION OF INJECTION PACKAGE (9 NO.)</t>
  </si>
  <si>
    <t>TOTAL :</t>
  </si>
  <si>
    <t>مشخصات سایبان</t>
  </si>
  <si>
    <t xml:space="preserve">فونداسیون </t>
  </si>
  <si>
    <t>کف سازی</t>
  </si>
  <si>
    <t>شرح سایبان</t>
  </si>
  <si>
    <t>متراژ</t>
  </si>
  <si>
    <t>انکربولت</t>
  </si>
  <si>
    <t>بلوکاژ 
(30سانتیمتر)</t>
  </si>
  <si>
    <t>درزبندی کف</t>
  </si>
  <si>
    <t>کیلو
گرم</t>
  </si>
  <si>
    <t xml:space="preserve"> دسی متر مکعب</t>
  </si>
  <si>
    <t>احداث سایبان پمپ 1 نمکزدایی (ناحیه 8)</t>
  </si>
  <si>
    <t>احداث سایبان پمپ 2 نمکزدایی (ناحیه 9)</t>
  </si>
  <si>
    <t>احداث سایبان پمپ 3 نمکزدایی (ناحیه 5)</t>
  </si>
  <si>
    <t>احداث سایبان پمپ 4 نمکزدایی (ناحیه 4)</t>
  </si>
  <si>
    <t>احداث سایبان پمپ 5 نمکزدایی (ناحیه 1)</t>
  </si>
  <si>
    <t>احداث سایبان پمپ آب آتش نشانی</t>
  </si>
  <si>
    <t>احداث سایبان پمپ بهره برداری</t>
  </si>
  <si>
    <t>احداث سایبان پکیج  تزریق 1 نمکزدایی</t>
  </si>
  <si>
    <t>احداث سایبان پکیج  تزریق 2 نمکزدایی</t>
  </si>
  <si>
    <t>احداث انبار مواد1 شیمیایی</t>
  </si>
  <si>
    <t>احداث انبار مواد2 شیمیایی</t>
  </si>
  <si>
    <t>توسعه سایبان پکیج  تزریق  بهره داری</t>
  </si>
  <si>
    <t>احداث انبار مواد شیمیایی بهره برداری گچساران-4</t>
  </si>
  <si>
    <t>احداث پارکینگ</t>
  </si>
  <si>
    <t>احداث پارکینگ پست برق 33 کیلولت</t>
  </si>
  <si>
    <t>احداث سایبان آتش نشانی (13 عدد)</t>
  </si>
  <si>
    <t>میزان واحد</t>
  </si>
  <si>
    <t>سازه فلزی</t>
  </si>
  <si>
    <t>ستون</t>
  </si>
  <si>
    <t>سازه سقف</t>
  </si>
  <si>
    <t>Girt</t>
  </si>
  <si>
    <t>Strut</t>
  </si>
  <si>
    <t>Purlin</t>
  </si>
  <si>
    <t>پوشش سقف</t>
  </si>
  <si>
    <t>سطح رنگ خور</t>
  </si>
  <si>
    <t>مساحت</t>
  </si>
  <si>
    <t>خاکبرداری</t>
  </si>
  <si>
    <t>زیر اساس</t>
  </si>
  <si>
    <t>اساس</t>
  </si>
  <si>
    <t>پریمکت</t>
  </si>
  <si>
    <t>تک کت</t>
  </si>
  <si>
    <t>بیندر با لایه 4 cm</t>
  </si>
  <si>
    <t>توپکا با لایه 4 cm</t>
  </si>
  <si>
    <t>خاکریزی با تراکم 100%</t>
  </si>
  <si>
    <t>خاکریزی با تراکم 95%</t>
  </si>
  <si>
    <t>تونان</t>
  </si>
  <si>
    <t>کیلو گرم</t>
  </si>
  <si>
    <t>جاده های داخل واحد نمکزدایی</t>
  </si>
  <si>
    <t>1900 x 7.5</t>
  </si>
  <si>
    <t>جاده های  داخل واحد بهره برداری</t>
  </si>
  <si>
    <t>210x6</t>
  </si>
  <si>
    <t>حاده و محوطه اسفالته پست برق گچساران-3</t>
  </si>
  <si>
    <t>حاده و محوطه اسفالته پست برق گچساران-4</t>
  </si>
  <si>
    <t>جاده های دسترسی بین واحدهای جانبی</t>
  </si>
  <si>
    <t>400x6</t>
  </si>
  <si>
    <t>جاده های دسترسی اصلی به واحد نمکزدایی</t>
  </si>
  <si>
    <t>500x6</t>
  </si>
  <si>
    <t>جاده های پاترول</t>
  </si>
  <si>
    <t>1500x6</t>
  </si>
  <si>
    <t>جاده های داخلی حوضچه تبخیر</t>
  </si>
  <si>
    <t>جاده های داخلی فلرها</t>
  </si>
  <si>
    <t>جاده های داخلی گودال های سوزا</t>
  </si>
  <si>
    <t>احداث جاده  خطوط لوله نفت 12"</t>
  </si>
  <si>
    <t>12000x6</t>
  </si>
  <si>
    <t>احداث جاده  خطوط لوله پساب</t>
  </si>
  <si>
    <t>3200x6</t>
  </si>
  <si>
    <t>پارکینگ واحد نمکزدایی</t>
  </si>
  <si>
    <t>پارکینگ پست برق گچساران-3</t>
  </si>
  <si>
    <r>
      <rPr>
        <b/>
        <sz val="10"/>
        <rFont val="Arial"/>
        <family val="2"/>
      </rPr>
      <t>توضیح :</t>
    </r>
    <r>
      <rPr>
        <sz val="10"/>
        <rFont val="Arial"/>
        <family val="2"/>
      </rPr>
      <t xml:space="preserve"> برای میزان خاکبرداریجاده های خطوط لوله با نظر مشاور ژئوتکنیک، 70% زمین از نوع سخت، 20% از نوع نرم و 10% سنگی در نظر گرفته شده است.</t>
    </r>
  </si>
  <si>
    <t>فنس ها</t>
  </si>
  <si>
    <t>فنس واحد نمکزدایی</t>
  </si>
  <si>
    <t>فنس واحد بهره برداری</t>
  </si>
  <si>
    <t>فنس پست برق گچساران-3</t>
  </si>
  <si>
    <t>فنس پست برق گچساران-4</t>
  </si>
  <si>
    <t>فنس واحدهای جانبی</t>
  </si>
  <si>
    <t>فنس حوضچه تبخیر</t>
  </si>
  <si>
    <t>پایه گالوانیزه برای نصب فنس</t>
  </si>
  <si>
    <t>فنس گالوانیزه برای نصب فنس</t>
  </si>
  <si>
    <t xml:space="preserve">Geomembrane
(1.5mm)
</t>
  </si>
  <si>
    <t>آجر نسوز</t>
  </si>
  <si>
    <t>فونداسیون ها</t>
  </si>
  <si>
    <t>Cable Trench</t>
  </si>
  <si>
    <t>Culvert</t>
  </si>
  <si>
    <t>Sump Pit (H/C Drain &amp; KNOCK Out Drain)</t>
  </si>
  <si>
    <t>Sump Pit (IGF)</t>
  </si>
  <si>
    <t>Bound Wall</t>
  </si>
  <si>
    <t>PIPEWAY</t>
  </si>
  <si>
    <t>هزینه ساخت پل دسترسی داخل واحد (6 عدد در نمکزدایی و 1 عدد درحوضچه تبخیر)</t>
  </si>
  <si>
    <t>هزینه ساخت پل دسترسی خارج واحد (4 عدد)</t>
  </si>
  <si>
    <t>هزینه ساخت پل ورودی واحد با دهانه حداقل 40 متر</t>
  </si>
  <si>
    <t>API SEPARATOR</t>
  </si>
  <si>
    <t>احداث حوضچه تبخیربا در نظر گرفتن خاکریزهای میانی وپیرامونی وحوضچه آرامش</t>
  </si>
  <si>
    <t>BURN PIT</t>
  </si>
  <si>
    <t>احداث سه گودال سوزا چاههای 58 و 58 الف</t>
  </si>
  <si>
    <t>برچیدن سه گودال سوزا چاههای 58 و 58 الف</t>
  </si>
  <si>
    <t>فنس واحد نمکزدایی (طول تقریبی 1150متر)</t>
  </si>
  <si>
    <t>فنس محوطه فلرها، گودالهای سوز(4 منطقه با طول تقریبی 800 متر)</t>
  </si>
  <si>
    <t>فنس محوطه حوضچه تبخیر(طول تقریبی 700متر)</t>
  </si>
  <si>
    <t>فنس پیرامونی منطقه نمکزدایی (طول تقریب 960 متر)</t>
  </si>
  <si>
    <t>فنس محوطه پست های برق 33 کیلو ولت گچساران-3 و 3.45  گچساران-4(جمعاطول تقریبی220 2x متر)</t>
  </si>
  <si>
    <t>کارهای متفرقه : کالورتها ، منهولها، چاله شیرها، و غیره</t>
  </si>
  <si>
    <t>حجم خاکبرداری</t>
  </si>
  <si>
    <t>زمین سخت</t>
  </si>
  <si>
    <t>زمین سنگی</t>
  </si>
  <si>
    <t>زمین سنگی 
(با پیکور)</t>
  </si>
  <si>
    <t>جدول بندی</t>
  </si>
  <si>
    <t>شن ریزی</t>
  </si>
  <si>
    <t>محوطه سازی واحد نمکزدایی</t>
  </si>
  <si>
    <t>محوطه سازی واحد بهره برداری</t>
  </si>
  <si>
    <t>محوطه سازی پست برق گچساران-3</t>
  </si>
  <si>
    <t>محوطه سازی پست برق گچساران-4</t>
  </si>
  <si>
    <t>محوطه سازی حوضچه تبخیر</t>
  </si>
  <si>
    <t>Cut (m3)</t>
  </si>
  <si>
    <t>Fill (m3)</t>
  </si>
  <si>
    <t>محوطه سازی محدوده فلرها</t>
  </si>
  <si>
    <t>Flare-1</t>
  </si>
  <si>
    <t xml:space="preserve">محوطه سازی محدوده گودالهای سوزا </t>
  </si>
  <si>
    <t>Flare-2</t>
  </si>
  <si>
    <t>ترانشه تپه مجاور</t>
  </si>
  <si>
    <t>Burn pit</t>
  </si>
  <si>
    <t>کارهای متفرقه : منهولها، چاله شیرها، و غیره</t>
  </si>
  <si>
    <t>Evaporation pond</t>
  </si>
  <si>
    <t xml:space="preserve">توضیح : با توجه به مشخصات مندرج در مدرک مکانیک خاک و استعلام از مشاور ژئو تکنینک، 30% زمین ، از نوع سنگی و 70% آن از نوع سخت </t>
  </si>
  <si>
    <t>در نظر گرفته شده است.</t>
  </si>
  <si>
    <t>ماسه ریزی</t>
  </si>
  <si>
    <t>سنگچین کانال</t>
  </si>
  <si>
    <t>کانال کابلهای برق و ابزاردقیق</t>
  </si>
  <si>
    <t>کانال کابلهای برق ارتباط واحدها دفنی</t>
  </si>
  <si>
    <t>کانال لوله های زیر زمینی آتش نشانی</t>
  </si>
  <si>
    <t>کانال خط لوله زیرزمینی پساب</t>
  </si>
  <si>
    <t>کانال کنی خط لوله پساب</t>
  </si>
  <si>
    <t>روسازی پیاده روهای بتونی</t>
  </si>
  <si>
    <t>کانال جمع آوری سیلاب بیرون محوطه (طول تقریبی 1000متر و عرض متوسط و عمق یک متر)</t>
  </si>
  <si>
    <t>نصب سازه فلزی</t>
  </si>
  <si>
    <t>STANDPIPES (7 NO.)</t>
  </si>
  <si>
    <r>
      <t xml:space="preserve">ACCESS </t>
    </r>
    <r>
      <rPr>
        <sz val="9"/>
        <rFont val="Arial"/>
        <family val="2"/>
      </rPr>
      <t>PLATFORMS(ABOUT 30 NO.)</t>
    </r>
  </si>
  <si>
    <t xml:space="preserve"> ساخت سازه گنتری درایستگاه های برق</t>
  </si>
  <si>
    <t>اجرای فونداسیون و نصب پایه های انتقال برق 66 کیلوولت(80 عدد)</t>
  </si>
  <si>
    <t>هزینه ساخت در خرید دیده شده است</t>
  </si>
  <si>
    <t>اجرای فونداسیون و نصب برجهای روشنایی</t>
  </si>
  <si>
    <t>اجرای فونداسیون و نصب پایه های روشنایی</t>
  </si>
  <si>
    <t xml:space="preserve">نصب واجرای پلکان دسترسی چاله  </t>
  </si>
  <si>
    <t xml:space="preserve"> ساپورت خطوط لوله و لوله کشی</t>
  </si>
  <si>
    <t xml:space="preserve"> لیست مدارک مهندسی تفصیلی
پروژه احداث واحد نمکردایی گچساران-4 
به روش EPC</t>
  </si>
  <si>
    <t>بهاي كل
(ریال)</t>
  </si>
  <si>
    <t>حق الزحمه (ریال به ازای یک نفرساعت)</t>
  </si>
  <si>
    <t xml:space="preserve"> نفرساعت نيروي انساني</t>
  </si>
  <si>
    <t>مهندس ارشد</t>
  </si>
  <si>
    <t>مهندس طراح</t>
  </si>
  <si>
    <t>نقشه کش</t>
  </si>
  <si>
    <t>بازنگری و صحه گذاری اسناد پایه</t>
  </si>
  <si>
    <t>جدول نفر ساعت مهندسی مورد نیاز انجام مهندسی تفصیلی</t>
  </si>
  <si>
    <t>PR</t>
  </si>
  <si>
    <t>ME</t>
  </si>
  <si>
    <t>HV</t>
  </si>
  <si>
    <t>SF</t>
  </si>
  <si>
    <t>PI</t>
  </si>
  <si>
    <t>IN</t>
  </si>
  <si>
    <t>EL</t>
  </si>
  <si>
    <t>CV</t>
  </si>
  <si>
    <t>AR</t>
  </si>
  <si>
    <t>ST</t>
  </si>
  <si>
    <t>TC</t>
  </si>
  <si>
    <t>PC</t>
  </si>
  <si>
    <t>DRAFT MAN</t>
  </si>
  <si>
    <t xml:space="preserve">بخش فرآيند  </t>
  </si>
  <si>
    <t>Jr</t>
  </si>
  <si>
    <t>Sr</t>
  </si>
  <si>
    <t xml:space="preserve">بخش كارهاي مكانيكال  </t>
  </si>
  <si>
    <t>Endorsement</t>
  </si>
  <si>
    <r>
      <t xml:space="preserve">بخش كارهاي  </t>
    </r>
    <r>
      <rPr>
        <b/>
        <sz val="11"/>
        <color indexed="8"/>
        <rFont val="Times New Roman"/>
        <family val="1"/>
      </rPr>
      <t>HVAC</t>
    </r>
  </si>
  <si>
    <t>Process</t>
  </si>
  <si>
    <r>
      <t xml:space="preserve">بخش </t>
    </r>
    <r>
      <rPr>
        <b/>
        <sz val="11"/>
        <color indexed="8"/>
        <rFont val="B Nazanin"/>
        <charset val="178"/>
      </rPr>
      <t>ایمنی</t>
    </r>
  </si>
  <si>
    <t>Mechanic</t>
  </si>
  <si>
    <t>بخش كارهاي لوله كشي و خطوط لوله</t>
  </si>
  <si>
    <t>بخش كارهاي ابزار دقيق</t>
  </si>
  <si>
    <t>HSE</t>
  </si>
  <si>
    <t>بخش كارهاي برقي</t>
  </si>
  <si>
    <t>Piping&amp;Pipeline</t>
  </si>
  <si>
    <t>بخش كارهاي مخابرات</t>
  </si>
  <si>
    <t>Instrument</t>
  </si>
  <si>
    <t xml:space="preserve">بخش كارهاي سيويل </t>
  </si>
  <si>
    <t>Electrical</t>
  </si>
  <si>
    <t>بخش كارهاي معماری</t>
  </si>
  <si>
    <t>Telecom</t>
  </si>
  <si>
    <t xml:space="preserve">بخش كارهاي  سازه  </t>
  </si>
  <si>
    <t>Civil</t>
  </si>
  <si>
    <t>کنترل پروژه</t>
  </si>
  <si>
    <t>Architectural</t>
  </si>
  <si>
    <t>Structural</t>
  </si>
  <si>
    <t xml:space="preserve"> مطالعات زیست محیطی و غیره</t>
  </si>
  <si>
    <t>Project Control</t>
  </si>
  <si>
    <t>حق الزحمه</t>
  </si>
  <si>
    <t>Total</t>
  </si>
  <si>
    <r>
      <rPr>
        <sz val="7"/>
        <rFont val="Times New Roman"/>
        <family val="1"/>
      </rPr>
      <t xml:space="preserve"> </t>
    </r>
    <r>
      <rPr>
        <sz val="12"/>
        <rFont val="B Nazanin"/>
        <charset val="178"/>
      </rPr>
      <t xml:space="preserve">مطالعات </t>
    </r>
    <r>
      <rPr>
        <b/>
        <sz val="12"/>
        <rFont val="Times New Roman"/>
        <family val="1"/>
      </rPr>
      <t>FMEA, HAZID, HAZOP</t>
    </r>
    <r>
      <rPr>
        <sz val="12"/>
        <rFont val="B Nazanin"/>
        <charset val="178"/>
      </rPr>
      <t xml:space="preserve"> (فاز طرح و ساخت)</t>
    </r>
  </si>
  <si>
    <t>مطالعات پیوست سلامت</t>
  </si>
  <si>
    <r>
      <rPr>
        <sz val="7"/>
        <rFont val="Times New Roman"/>
        <family val="1"/>
      </rPr>
      <t xml:space="preserve"> </t>
    </r>
    <r>
      <rPr>
        <sz val="12"/>
        <rFont val="B Nazanin"/>
        <charset val="178"/>
      </rPr>
      <t>مطالعات ارزیابی اثرات زیست محیطی (فاز طرح و ساخت)</t>
    </r>
  </si>
  <si>
    <t>مطالعات ژئوتکنیک تکمیلی مورد نیاز برای تهیه مدارک مهندسی</t>
  </si>
  <si>
    <r>
      <rPr>
        <sz val="7"/>
        <rFont val="Times New Roman"/>
        <family val="1"/>
      </rPr>
      <t xml:space="preserve"> </t>
    </r>
    <r>
      <rPr>
        <sz val="12"/>
        <rFont val="B Nazanin"/>
        <charset val="178"/>
      </rPr>
      <t>مطالعات پدافند غیر عامل</t>
    </r>
  </si>
  <si>
    <t>عملیات نقشه برداری مورد نیاز برای تهیه مدارک مهندسی</t>
  </si>
  <si>
    <t>عملیات مستند سازی و استقرار سیستم ارسال مدارک</t>
  </si>
  <si>
    <t>مهندسی ارزش</t>
  </si>
  <si>
    <t>مهندسی تفصیلی</t>
  </si>
  <si>
    <t>Item</t>
  </si>
  <si>
    <t>Title</t>
  </si>
  <si>
    <t>نفر ساعت 
نقشه کش</t>
  </si>
  <si>
    <t>نفر ساعت
 کارشناس</t>
  </si>
  <si>
    <t>نفر ساعت 
کارشناس ارشد</t>
  </si>
  <si>
    <t>Basic Document Endorcement Report</t>
  </si>
  <si>
    <t>Process Document</t>
  </si>
  <si>
    <t>Safety  Document</t>
  </si>
  <si>
    <t>Civil Document</t>
  </si>
  <si>
    <t>Structural Document</t>
  </si>
  <si>
    <t>Architectural Document</t>
  </si>
  <si>
    <t>Mechanical Document</t>
  </si>
  <si>
    <t>HVAC Document</t>
  </si>
  <si>
    <t>Piping &amp; Pipeline Document</t>
  </si>
  <si>
    <t>Electrical Document</t>
  </si>
  <si>
    <t>1.10</t>
  </si>
  <si>
    <t>Telecommunication Document</t>
  </si>
  <si>
    <t>1,11</t>
  </si>
  <si>
    <t>Instrumentation Document</t>
  </si>
  <si>
    <t>Total :</t>
  </si>
  <si>
    <t>Specification and Criteria</t>
  </si>
  <si>
    <t>Environmental Data (Site Condition)</t>
  </si>
  <si>
    <t>Process Design Basis</t>
  </si>
  <si>
    <t>Process Design Criteria</t>
  </si>
  <si>
    <t>Process Description</t>
  </si>
  <si>
    <t>Technical Specification For Desalter Package</t>
  </si>
  <si>
    <t>Technical specification for waste water treatment package</t>
  </si>
  <si>
    <t>Lists</t>
  </si>
  <si>
    <t>Equipment List</t>
  </si>
  <si>
    <t>Utility Consumption List</t>
  </si>
  <si>
    <t>Chemical List</t>
  </si>
  <si>
    <t>Laboratory Equipment List</t>
  </si>
  <si>
    <t>Flare Load Summary</t>
  </si>
  <si>
    <t>Set point &amp; Alarm list</t>
  </si>
  <si>
    <t>Calculation</t>
  </si>
  <si>
    <t>Process Simulation Report</t>
  </si>
  <si>
    <t>Pump Hydrolic Calculation</t>
  </si>
  <si>
    <t>Line Sizing And Hydraulic Calculation</t>
  </si>
  <si>
    <t>Vessel Sizing Report</t>
  </si>
  <si>
    <t>Flare Sizing Calculation</t>
  </si>
  <si>
    <t xml:space="preserve">Burn Pit Calculation </t>
  </si>
  <si>
    <t>Pipeline Hydranlic Simulation Report</t>
  </si>
  <si>
    <t>Nace Calculation Report</t>
  </si>
  <si>
    <t>PFD(s)</t>
  </si>
  <si>
    <t>Overall Block Flow Diagram</t>
  </si>
  <si>
    <t>PFD - Desalting unit</t>
  </si>
  <si>
    <t>UFD</t>
  </si>
  <si>
    <t>UFD - Dilution Water</t>
  </si>
  <si>
    <t>UFD - Waste Water Treatment</t>
  </si>
  <si>
    <t>UFD - Instrument &amp; Plant Air</t>
  </si>
  <si>
    <t>UFD - Fuel Gas</t>
  </si>
  <si>
    <t>UFD-Hydrocarbon Drain System</t>
  </si>
  <si>
    <t>UFD-Flare System</t>
  </si>
  <si>
    <t>P&amp;ID(s)</t>
  </si>
  <si>
    <t>P&amp;ID Legend &amp; Symbols</t>
  </si>
  <si>
    <t>P&amp;ID- List Of drawings</t>
  </si>
  <si>
    <t>P&amp;ID-Transfer Pumps</t>
  </si>
  <si>
    <t>P&amp;ID-Salty Crude/Desalted Crude heat Exchanger</t>
  </si>
  <si>
    <t>P&amp;ID-Crude Oil Indirect Fired Heater</t>
  </si>
  <si>
    <t>P&amp;ID-Electrostatic Desalters</t>
  </si>
  <si>
    <t>P&amp;ID-Water/Water Heat Exchanger</t>
  </si>
  <si>
    <t>P&amp;ID-Chemical Injection Packages</t>
  </si>
  <si>
    <t>P&amp;ID-Instrument &amp; Plant Air</t>
  </si>
  <si>
    <t>P&amp;ID-Deaeration Package</t>
  </si>
  <si>
    <t>P&amp;ID-Dilution Water</t>
  </si>
  <si>
    <t>P&amp;ID-Potable Water</t>
  </si>
  <si>
    <t>P&amp;ID-Skimmer Tank</t>
  </si>
  <si>
    <t>P&amp;ID-Waste Water Treatment</t>
  </si>
  <si>
    <t>P&amp;ID-Disposal Storage tank</t>
  </si>
  <si>
    <t>P&amp;ID-Water  Water Injection Pumps</t>
  </si>
  <si>
    <t>P&amp;ID-Oily Water Separator</t>
  </si>
  <si>
    <t>P&amp;ID-Fuel Oil System</t>
  </si>
  <si>
    <t>P&amp;ID-Hydrocarbon Drain Header &amp; System</t>
  </si>
  <si>
    <t>P&amp;ID-Flare Header &amp; System</t>
  </si>
  <si>
    <t>P&amp;ID-Fuel Gas K.O.Drum</t>
  </si>
  <si>
    <t>P&amp;ID-Fuel Gas Header</t>
  </si>
  <si>
    <t>P&amp;ID-Burn Pit</t>
  </si>
  <si>
    <t>P&amp;ID-Oily Water Network</t>
  </si>
  <si>
    <t>P&amp;ID-Evaporation Pond</t>
  </si>
  <si>
    <t>P&amp;ID-Off-Spec Tank</t>
  </si>
  <si>
    <t>P&amp;ID-Dirty Oil Tank</t>
  </si>
  <si>
    <t>P&amp;ID-Free Water K.O. Drum</t>
  </si>
  <si>
    <t>P&amp;ID-P.U.4 Instrument Air System</t>
  </si>
  <si>
    <t>P&amp;ID-PU4 Salty/Desalted Crude oil Separation</t>
  </si>
  <si>
    <t>P&amp;ID-Supply Water</t>
  </si>
  <si>
    <t>Process Datasheets</t>
  </si>
  <si>
    <t>Process Data Sheet For Dilution Water Pump (P-103)</t>
  </si>
  <si>
    <t>Process Data Sheet For Potable Water Pump (P-104)</t>
  </si>
  <si>
    <t>Process Data Sheet For Injection Water Pump (P-201-A/B)</t>
  </si>
  <si>
    <t>Process Data Sheet For Clean Water Pump (P-703-A/B)</t>
  </si>
  <si>
    <t>Process Data Sheet For Diesel Oil Pump (P-801)</t>
  </si>
  <si>
    <t>Process Data Sheet For HC Closed Drain Sump Pump (P-702)</t>
  </si>
  <si>
    <t>Process Data Sheet For HC Closed Drain Transfer Pump (P-701-A/B)</t>
  </si>
  <si>
    <t>Process Data Sheet For Flare K.O. Drum Liquid Pump (P-601-A/B)</t>
  </si>
  <si>
    <t>Process Data Sheet For Dirty Oil Pumps(P-705-A/B)</t>
  </si>
  <si>
    <t>7.10</t>
  </si>
  <si>
    <t>Process Data Sheet For Degassing Water Pumps(P-005-A/B)</t>
  </si>
  <si>
    <t>Process Data Sheet For Waste Water Injection Pumps (P-206-A/B/C)</t>
  </si>
  <si>
    <t>Process Data Sheet For Oily Water Separator Pump(P-750)</t>
  </si>
  <si>
    <t>Process Data Sheet For Deaerated Water Pump(P-105)</t>
  </si>
  <si>
    <t>Process Data Sheet For Dilution Water Pumps(P-106-A1/A2)</t>
  </si>
  <si>
    <t>Process Data Sheet For Recovered Waste Water Pumps(P-706-A/B)</t>
  </si>
  <si>
    <t>Process Data Sheet For Salty Crude Transfer Pumps (P-002-A/B)</t>
  </si>
  <si>
    <t>Process Data Sheet For Dearated Water Pumps (P-102-A/B)</t>
  </si>
  <si>
    <t>Process Data Sheet For Salty Crude Transfer Pump (P-001-A/B)</t>
  </si>
  <si>
    <t>Process Data Sheet For Off-Spec Pump (P-003-A/B)</t>
  </si>
  <si>
    <t>7.20</t>
  </si>
  <si>
    <t>Process Data Sheet for OWS Water Oil Pump (P-704)</t>
  </si>
  <si>
    <t>Process Data Sheet For Firewater Loading Pump P-904</t>
  </si>
  <si>
    <t>Process Data Sheet For Chemical Injection Portable Pump (P-508 A/B/C)</t>
  </si>
  <si>
    <t>Process Data Sheet For Salty Crude/Desalted Crude Heat Exchanger (E-001-A/B)</t>
  </si>
  <si>
    <t>Process Data Sheet For Crude Oil Indirect Fired Heater (H-001-A1/A2/B1/B2)</t>
  </si>
  <si>
    <t>Process Data Sheet For Water/Water Heat Exchanger (E-002-A/B)</t>
  </si>
  <si>
    <t>Process Data Sheet For Demulsifier Injection Package (PK-501)</t>
  </si>
  <si>
    <t>Process Data Sheet For Oxygen Scavenger Injection Package (PK-503)</t>
  </si>
  <si>
    <t>Process Data Sheet For Corrosion Inhibitor injection Package (PK-504)</t>
  </si>
  <si>
    <t>Process Data Sheet For Reverse Demulsifier Injection Package (PK-505)</t>
  </si>
  <si>
    <t>7.30</t>
  </si>
  <si>
    <t>Process Data Sheet For Biocide Injection Package (Type  A) (PK-506-A)</t>
  </si>
  <si>
    <t>Process Data Sheet For Anti Scalant Injection Package (PK-507)</t>
  </si>
  <si>
    <t>Process Data Sheet For Air Receiver (V-401)</t>
  </si>
  <si>
    <t>Process Data Sheet For Air Compressor Package &amp; Air Dryer package (PK-401-A/B) &amp; (PK-402)</t>
  </si>
  <si>
    <t>Process Data Sheet For Air Compressor Package &amp; Air Dryer package (PK-002-A/B) &amp; (PK-003)</t>
  </si>
  <si>
    <t>Process Data Sheet For Vacuum Deaerator Package (PK-101)</t>
  </si>
  <si>
    <t>Process Data Sheet For Dilution Water Storage Tank (TK-101)</t>
  </si>
  <si>
    <t>Process Data Sheet For Potable Water Tank (TK-102)</t>
  </si>
  <si>
    <t>Process Data Sheet For Skimmer Tank (OS-201)</t>
  </si>
  <si>
    <t>Process Data Sheet For Disposal Storage Tank (TK-201)</t>
  </si>
  <si>
    <t>7.40</t>
  </si>
  <si>
    <t>Process Data Sheet For Oily Water Separator (SU-701)</t>
  </si>
  <si>
    <t>Process Data Sheet For Diesel Oil Storage Tank (V-801)</t>
  </si>
  <si>
    <t>Process Data Sheet For HC Closed Drain Drum (V-701)</t>
  </si>
  <si>
    <t>Process Data Sheet For Flare K.O.Drum (V-601)</t>
  </si>
  <si>
    <t>Process Data Sheet For Flare Package (PK-602)</t>
  </si>
  <si>
    <t>Process Data Sheet For Cold Flare Package (PK-603)</t>
  </si>
  <si>
    <t>Process Data Sheet For Fuel Gas K.O.Drum (V-301)</t>
  </si>
  <si>
    <t>Process Data Sheet For Burn Pit Ignition Package (PK-701)</t>
  </si>
  <si>
    <t>Process Data Sheet For Dual Polarity Electrostatic Desalter (PK-001-A/B)</t>
  </si>
  <si>
    <t>Process Data Sheet For Off-Spec Tank (TK-003)</t>
  </si>
  <si>
    <t>7.50</t>
  </si>
  <si>
    <t>Process Data Sheet For Free Water K.O. Drum (V-001-A/B)</t>
  </si>
  <si>
    <t>Process Data Sheet For Biocide Injection Package (Type B) (PK-506-B)</t>
  </si>
  <si>
    <t>Process Data Sheet For Demulsifier Injection Package (PK-502-A/B)</t>
  </si>
  <si>
    <t>Process Data Sheet for Dirty Oil Tank (TK-701)</t>
  </si>
  <si>
    <t>Process Data Sheet for IGF Package (PK-201-A/B)</t>
  </si>
  <si>
    <t>Process Data Sheet for Nutshell Filter Package (PK-202)</t>
  </si>
  <si>
    <t>Process Data Sheet For Water Treatment Package</t>
  </si>
  <si>
    <t>Process Data Sheet For Portable Skimmer(X-704)</t>
  </si>
  <si>
    <t>Process Data Sheet For Air Receiver ( V-002)</t>
  </si>
  <si>
    <t>Process Data Sheet For Supply water pump(P-108A/B)</t>
  </si>
  <si>
    <t>7.60</t>
  </si>
  <si>
    <t>Process Data Sheet For Supply water Tank(TK-104)</t>
  </si>
  <si>
    <t>Cause &amp; Effect</t>
  </si>
  <si>
    <t>Cause &amp; Effect Chart</t>
  </si>
  <si>
    <t>ESD Cause &amp; Effect Block Diagram</t>
  </si>
  <si>
    <t>Control Philosophy</t>
  </si>
  <si>
    <t>FCS Control Philosophy</t>
  </si>
  <si>
    <t>DCS Control Philosophy (for PU4)</t>
  </si>
  <si>
    <t>Relief Philosophy</t>
  </si>
  <si>
    <t>ESD Control Philosophy</t>
  </si>
  <si>
    <t>Isolation Philosophy</t>
  </si>
  <si>
    <t>Sparing Philosophy</t>
  </si>
  <si>
    <t>Manual</t>
  </si>
  <si>
    <t>Commissioning and start-up Manual</t>
  </si>
  <si>
    <t>Operating Manual</t>
  </si>
  <si>
    <t>خدمات پس از اجرا</t>
  </si>
  <si>
    <t>تهیه نقشه های عین ساخت (As Built) معادل 5% نفر ساعت مهندسی</t>
  </si>
  <si>
    <t>Specification, Criteria, Standard Drawing</t>
  </si>
  <si>
    <t>Mechanical Design Criteria</t>
  </si>
  <si>
    <t>General Requirements for Welded Fabrication</t>
  </si>
  <si>
    <t>Specification for Centrifugal Pumps for General Duty Services</t>
  </si>
  <si>
    <t>Specification for Centrifugal Pumps for Process Services</t>
  </si>
  <si>
    <t>Specification for Fire Water Pumps</t>
  </si>
  <si>
    <t>Specification for Indirect Fired Heaters</t>
  </si>
  <si>
    <t>Specification for Instrument Air Compressor Package</t>
  </si>
  <si>
    <t>Specification for Minimum Requirements for Packaged Equipment</t>
  </si>
  <si>
    <t>Specification for Plate &amp; Frame Heat Exchangers</t>
  </si>
  <si>
    <t>Specification for Pressure Vessels</t>
  </si>
  <si>
    <t>Specification for Safeguarding of Machinery</t>
  </si>
  <si>
    <t>Specification for Vertical Cylindrical Storage Tanks</t>
  </si>
  <si>
    <t>Specificaion for Flare</t>
  </si>
  <si>
    <t>Specificaion for Cranes</t>
  </si>
  <si>
    <t>Specification for Chemical Injection Package</t>
  </si>
  <si>
    <t>Specification for Electrostatic Crude Oil Desalting Package</t>
  </si>
  <si>
    <t>specification for metering pumps API 675</t>
  </si>
  <si>
    <t>Specification for Waste Water Treatment Unit</t>
  </si>
  <si>
    <t>Specifcation for Rotary Pump</t>
  </si>
  <si>
    <t>1.20</t>
  </si>
  <si>
    <t>specification for Lubrication System</t>
  </si>
  <si>
    <t>Standard Drawing for Storage Tanks</t>
  </si>
  <si>
    <t>Standard Drawing for Pressure Vessel</t>
  </si>
  <si>
    <t>Process Packkages and Equipment Datasheet</t>
  </si>
  <si>
    <t>Heat Exchanger Datasheet</t>
  </si>
  <si>
    <t>2.1.1</t>
  </si>
  <si>
    <t>Data Sheet For Salty Crude/Desalted Crude Heat Exchanger(E-001-A/B)</t>
  </si>
  <si>
    <t>2.1.2</t>
  </si>
  <si>
    <t>Data Sheet For Water/Water Heat Exchanger(E-002-A/B)</t>
  </si>
  <si>
    <t>Data Sheet For Crude Oil Indirect Fired Heater(H-001-A1/A2/B1/B2)</t>
  </si>
  <si>
    <t>Air Compressors and Dryer Datasheet</t>
  </si>
  <si>
    <t>2.3.1</t>
  </si>
  <si>
    <t>DATA SHEET FOR AIR COMPRESSOR PKG. (PK-401-A/B) &amp; AIR DRYER PKG. (PK-402)</t>
  </si>
  <si>
    <t>2.3.2</t>
  </si>
  <si>
    <t xml:space="preserve">Data Sheet For Air COMPRESSOR PKG. (PK-002-A/B) &amp; AIR DRYER PKG. (PK-003)
</t>
  </si>
  <si>
    <t>Data Sheet For Vacuum Deaerator Package</t>
  </si>
  <si>
    <t>Flares Datasheet</t>
  </si>
  <si>
    <t>2.5.1</t>
  </si>
  <si>
    <t>Data Sheet For  HOT FLARE PACKAGE  AND IGNITION PACKAGE</t>
  </si>
  <si>
    <t>2.5.2</t>
  </si>
  <si>
    <t>Data Sheet For Cold Flare Package(PK-603)</t>
  </si>
  <si>
    <t xml:space="preserve">DATA Sheet For Desalter Package (PK-001A/B)
</t>
  </si>
  <si>
    <t>Waste Water Treatment Packages Datasheet</t>
  </si>
  <si>
    <t>2.7.1</t>
  </si>
  <si>
    <t xml:space="preserve"> Data Sheet For Nutshell Filter Package(PK-202)
</t>
  </si>
  <si>
    <t>2.7.2</t>
  </si>
  <si>
    <t xml:space="preserve">Data Sheet For IGF Package (PK-201A/B)
</t>
  </si>
  <si>
    <t>Data Sheet For Cranes</t>
  </si>
  <si>
    <t>Injection Packages Datasheet</t>
  </si>
  <si>
    <t>2.9.1</t>
  </si>
  <si>
    <t>Data Sheet For Demulsifier Injection Package (PK-501)</t>
  </si>
  <si>
    <t>2.9.2</t>
  </si>
  <si>
    <t>Data Sheet For Oxygen Scavenger Injection Package(PK-503)</t>
  </si>
  <si>
    <t>2.9.3</t>
  </si>
  <si>
    <t>Data Sheet For Corrosion Inhibitor injection Package(PK-504)</t>
  </si>
  <si>
    <t>2.9.4</t>
  </si>
  <si>
    <t>Data Sheet For Reverse Demulsifier Injection Package(PK-505)</t>
  </si>
  <si>
    <t>2.9.5</t>
  </si>
  <si>
    <t>Data Sheet For Biocide Injection Package (Type  A)(PK-506-A)</t>
  </si>
  <si>
    <t>2.9.6</t>
  </si>
  <si>
    <t>Data Sheet For Anti Scalant Injection Package(PK-507)</t>
  </si>
  <si>
    <t>2.9.7</t>
  </si>
  <si>
    <t>Data Sheet For Biocide Injection Package (Type B)(PK-506-B)</t>
  </si>
  <si>
    <t>2.9.8</t>
  </si>
  <si>
    <t>Data Sheet For Demulsifier Injection Package (PK-502-A/B)</t>
  </si>
  <si>
    <t>Pumps Datasheet</t>
  </si>
  <si>
    <t xml:space="preserve"> Data Sheet For Dilution Water Pump(P-103)</t>
  </si>
  <si>
    <t>Data Sheet For Potable Water Pump(P-104)</t>
  </si>
  <si>
    <t>Data Sheet For Waste Water Injection  Pump(P-201-A/B)</t>
  </si>
  <si>
    <t>Data Sheet For OWS Clean Water Pump(p-703-A/B)</t>
  </si>
  <si>
    <t>Data Sheet For Diesel Oil Pump(P-801)</t>
  </si>
  <si>
    <t>Data Sheet For HC Closed Drain Sump Pump(P-702)</t>
  </si>
  <si>
    <t>Data Sheet For HC Closed Drain Transfer Pump(P-701-A/B)</t>
  </si>
  <si>
    <t>Data Sheet For Flare K.O. Drum Liquid Pump(P-601-A/B)</t>
  </si>
  <si>
    <t>Data Sheet for Dilution Water Pumps(P-106-A1/A2)</t>
  </si>
  <si>
    <t>Data Sheet For Dearated Water Pump(p-102-A/B)</t>
  </si>
  <si>
    <t>Data Sheet for Dirty Oil Pumps(P-705-A/B)</t>
  </si>
  <si>
    <t>Data Sheet for Booster Pumps (P-002-A/B)</t>
  </si>
  <si>
    <t>Data Sheet for Booster Pumps (P-001-A/B)</t>
  </si>
  <si>
    <t xml:space="preserve">Data Sheet for Evaporation Pond Pumps(P-706-A/B)
</t>
  </si>
  <si>
    <r>
      <t xml:space="preserve">Data Sheet for </t>
    </r>
    <r>
      <rPr>
        <sz val="10"/>
        <rFont val="Arial"/>
        <family val="2"/>
      </rPr>
      <t>Free Water Transfer PUMPS</t>
    </r>
    <r>
      <rPr>
        <sz val="11"/>
        <rFont val="Arial"/>
        <family val="2"/>
      </rPr>
      <t xml:space="preserve"> (P-005-A/B)</t>
    </r>
  </si>
  <si>
    <t>Data Sheet for Dearated Water Pump(p-105)</t>
  </si>
  <si>
    <t>Data Sheet for Ows Oil Pump(P-704-A/B)</t>
  </si>
  <si>
    <t>Data Sheet for Oily Water Separator Pump(P-750)</t>
  </si>
  <si>
    <t>Data Sheet for Waste Water Injection Pump(p-206-A/B/C)</t>
  </si>
  <si>
    <t>3.20</t>
  </si>
  <si>
    <t>Data Sheet For Chemical Injection Portable Pump(P508 A/B/C)</t>
  </si>
  <si>
    <t>Data Sheet For Off-Spec Pump</t>
  </si>
  <si>
    <t>Data Sheet For Firewater Loading Pump P-904</t>
  </si>
  <si>
    <t>Data Sheet For Supply water Pump P-108A/B</t>
  </si>
  <si>
    <t>Pressure Vessels Datasheet</t>
  </si>
  <si>
    <t>Data Sheet For Air Receiver(v-401)</t>
  </si>
  <si>
    <t>Data Sheet For Diesel Oil Storage Tank(v-801)</t>
  </si>
  <si>
    <t>Data Sheet For HC Closed Drain Drum(V-701)</t>
  </si>
  <si>
    <t>Data Sheet For Flare K.O.Drum(V-601)</t>
  </si>
  <si>
    <t>Data Sheet For Fuel Gas K.O.Drum(V-301)</t>
  </si>
  <si>
    <t>Data Sheet For Free Water K.O. Drum(v-001-A/B)</t>
  </si>
  <si>
    <t xml:space="preserve">Data Sheet For Air Receiver ( V-002)
</t>
  </si>
  <si>
    <t>Storage Tanks Datasheet</t>
  </si>
  <si>
    <t>Data Sheet For Dilution Water Storage Tank(TK-101)</t>
  </si>
  <si>
    <t>Data Sheet For Potable Water Tank(TK-102)</t>
  </si>
  <si>
    <t>Data Sheet For Skimmer Tank(OS-201)</t>
  </si>
  <si>
    <t>Data Sheet For Disposal Storage Tank(TK-201)</t>
  </si>
  <si>
    <t>Data Sheet For Off-Spec Tank</t>
  </si>
  <si>
    <t>Data Sheet for Dirty Oil Tank(TK-701)</t>
  </si>
  <si>
    <t>Data Sheet for Fire Water Tank(TK-902-A/B)</t>
  </si>
  <si>
    <t>Data Sheet For Supply Water Storage Tank(TK-104)</t>
  </si>
  <si>
    <t>M.R., M.T.O. and T.B.E.</t>
  </si>
  <si>
    <t>MR for Process Centrifugal Pumps</t>
  </si>
  <si>
    <t>MR for General Services Centrifugal Pumps</t>
  </si>
  <si>
    <t>MR for Rotary Pumps</t>
  </si>
  <si>
    <t>MR for Desalters</t>
  </si>
  <si>
    <t>MR for indirect Heaters</t>
  </si>
  <si>
    <t>MR for Air Compressors and Dryers</t>
  </si>
  <si>
    <t>MR for Pressure Vessels</t>
  </si>
  <si>
    <t>MR for Storage Tanks</t>
  </si>
  <si>
    <t>MR for Heat Exchanger</t>
  </si>
  <si>
    <t>"6.10</t>
  </si>
  <si>
    <t>MR for Vacuum Deaerator Package</t>
  </si>
  <si>
    <t>MR for Injection Packages</t>
  </si>
  <si>
    <t>MR for Flares and Ignition Packages</t>
  </si>
  <si>
    <t>MR for Waste Water Treatment Packages</t>
  </si>
  <si>
    <t>MR for Cranes</t>
  </si>
  <si>
    <t>TBE for Process Centrifugal Pumps</t>
  </si>
  <si>
    <t>TBE for General Services Centrifugal Pumps</t>
  </si>
  <si>
    <t>TBE for Rotary Pumps</t>
  </si>
  <si>
    <t>TBE for Desalters</t>
  </si>
  <si>
    <t>TBE for indirect Heaters</t>
  </si>
  <si>
    <t>TBE for Air Compressors and Dryers</t>
  </si>
  <si>
    <t>TBE for Pressure Vessels</t>
  </si>
  <si>
    <t>TBE for Storage Tanks</t>
  </si>
  <si>
    <t>TBE for Heat Exchanger</t>
  </si>
  <si>
    <t>TBE for Vacuum Deaerator Package</t>
  </si>
  <si>
    <t>TBE for Injection Packages</t>
  </si>
  <si>
    <t>TBE for Flares and Ignition Packages</t>
  </si>
  <si>
    <t>TBE for Waste Water Treatment Packages</t>
  </si>
  <si>
    <t>TBE for Cranes</t>
  </si>
  <si>
    <t>Review of Suppliers Technical Document</t>
  </si>
  <si>
    <t>Review of technical document of Process Centrifugal Pumps</t>
  </si>
  <si>
    <t>Review of technical document of General Services Centrifugal Pumps</t>
  </si>
  <si>
    <t>Review of technical document of Rotary Pumps</t>
  </si>
  <si>
    <t>Review of technical document of Desalters</t>
  </si>
  <si>
    <t>Review of technical document of indirect Heaters</t>
  </si>
  <si>
    <t>Review of technical document of Air Compressors and Dryers</t>
  </si>
  <si>
    <t>Review of technical document of Pressure Vessels</t>
  </si>
  <si>
    <t>Review of technical document of Storage Tanks</t>
  </si>
  <si>
    <t>Review of technical document of Heat Exchanger</t>
  </si>
  <si>
    <t>Review of technical document of Vacuum Deaerator Package</t>
  </si>
  <si>
    <t>Review of technical document of Injection Packages</t>
  </si>
  <si>
    <t>Review of technical document of Flares and Ignition Packages</t>
  </si>
  <si>
    <t>Review of technical document of Waste Water Treatment Packages</t>
  </si>
  <si>
    <t>Review of technical document of Cranes</t>
  </si>
  <si>
    <t>خدمات مرتبط با اجرا و پس از اجرا</t>
  </si>
  <si>
    <t>انجام مهندسی کارگاهی (معادل 10% نفر ساعت مهندسی تفصیلی)</t>
  </si>
  <si>
    <t>سیاهه کالا (Material Take-off)  پس از اجرا</t>
  </si>
  <si>
    <t>صورت مصالح مصرفی (Bill of Material) پس از اجرا</t>
  </si>
  <si>
    <t>جدول تفکیک نرخ کارهای انجام شده به تفکیک ردیفهای فهرست بها</t>
  </si>
  <si>
    <t>Specification</t>
  </si>
  <si>
    <t>Specification for HVAC &amp; Plumbing</t>
  </si>
  <si>
    <t>Typical Detail For Plumbing &amp; HVAC</t>
  </si>
  <si>
    <t xml:space="preserve">Specification for HVAC Equipment </t>
  </si>
  <si>
    <t>HVAC &amp; Plumbing Abbriviation &amp; Symbol</t>
  </si>
  <si>
    <t>HVAC &amp; Plumbing Design Criteria</t>
  </si>
  <si>
    <t>HVAC &amp; Plumbing Installation Detail</t>
  </si>
  <si>
    <t>HVAC Calculation</t>
  </si>
  <si>
    <t>HVAC Calculation for Control &amp;Telecommunication Building</t>
  </si>
  <si>
    <t>HVAC Calculation for Guard House</t>
  </si>
  <si>
    <t xml:space="preserve">HVAC Calculation for DE4 Substation Building </t>
  </si>
  <si>
    <t xml:space="preserve">HVAC Calculation Extension For PU4 Switchgear Room </t>
  </si>
  <si>
    <t>HVAC Calculation For PU4 Accommodation Building</t>
  </si>
  <si>
    <t xml:space="preserve">HVAC Calculation for Laboratory </t>
  </si>
  <si>
    <t>HVAC Calculation for Work Shop</t>
  </si>
  <si>
    <t>HVAC Calculation for 3.3 Switch Gear Building Of PU4 Outdoor Substaion</t>
  </si>
  <si>
    <t xml:space="preserve">HVAC Calculation for 33 KV Switch Gear Building Of 33 KV Station </t>
  </si>
  <si>
    <t>2.10</t>
  </si>
  <si>
    <t>HVAC Calculation for 33 KV Station Guard House</t>
  </si>
  <si>
    <t xml:space="preserve">Buildings HVAC Drawings </t>
  </si>
  <si>
    <t>HVAC Drawings for Control &amp;Telecommunication Building</t>
  </si>
  <si>
    <t>HVAC Drawings for Guard House</t>
  </si>
  <si>
    <t xml:space="preserve">HVAC Drawings for DE4 Substation Building </t>
  </si>
  <si>
    <t xml:space="preserve">HVAC Drawings Extension For PU4 Switchgear Room </t>
  </si>
  <si>
    <t>HVAC Drawings For PU4 Accommodation Building</t>
  </si>
  <si>
    <t xml:space="preserve">HVAC Drawings for Laboratory </t>
  </si>
  <si>
    <t>HVAC Drawings for Work Shop</t>
  </si>
  <si>
    <t>HVAC Drawings for 3.3 Switch Gear Building Of PU4 Outdoor Substaion</t>
  </si>
  <si>
    <t xml:space="preserve">HVAC Drawings for 33 KV Switch Gear Building Of 33 KV Station </t>
  </si>
  <si>
    <t>HVAC Drawings for 33 KV Station Guard House</t>
  </si>
  <si>
    <t>Site Drawings</t>
  </si>
  <si>
    <t>Site Plumbing Network Layout</t>
  </si>
  <si>
    <t>Site Sewage Network Layout</t>
  </si>
  <si>
    <t>Equipment Specification</t>
  </si>
  <si>
    <t>HVAC Main Equipment Data Sheet</t>
  </si>
  <si>
    <t>HVAC Equipment List</t>
  </si>
  <si>
    <t>MTO. MR &amp; TBE</t>
  </si>
  <si>
    <t>HVAC &amp; Plumbing Material Take Off</t>
  </si>
  <si>
    <t xml:space="preserve">MR For Hvac Equipment </t>
  </si>
  <si>
    <t>TBE For Hvac Equipment Suppliers</t>
  </si>
  <si>
    <t>Safety Document</t>
  </si>
  <si>
    <t>HSE Design Criteria</t>
  </si>
  <si>
    <t>Safety Design Criteria</t>
  </si>
  <si>
    <t>Safety Philosophy</t>
  </si>
  <si>
    <t>Safety Equipment Specification</t>
  </si>
  <si>
    <t>Specification for CO2 Total Flooding</t>
  </si>
  <si>
    <t>specification for hazardous area classification</t>
  </si>
  <si>
    <r>
      <t>specification for fire water system</t>
    </r>
    <r>
      <rPr>
        <sz val="12"/>
        <rFont val="B Nazanin"/>
        <charset val="178"/>
      </rPr>
      <t xml:space="preserve"> </t>
    </r>
  </si>
  <si>
    <r>
      <t>specification for safety signs</t>
    </r>
    <r>
      <rPr>
        <sz val="12"/>
        <rFont val="B Nazanin"/>
        <charset val="178"/>
      </rPr>
      <t xml:space="preserve"> </t>
    </r>
  </si>
  <si>
    <t>Specification for Water Spray System</t>
  </si>
  <si>
    <t>Specification for Fire Alarm System</t>
  </si>
  <si>
    <t>Hazard Source List</t>
  </si>
  <si>
    <t>Specification for Foam System</t>
  </si>
  <si>
    <t>Specification for Foam Chamber</t>
  </si>
  <si>
    <t>Waste mangaement Plan</t>
  </si>
  <si>
    <t>safety boundary limit</t>
  </si>
  <si>
    <t>CO2 Demand Calculation for DE4 Substation</t>
  </si>
  <si>
    <t>CO2 Demand Calculation for 33/3.45 Gachsaran-4 Station</t>
  </si>
  <si>
    <t>Fire Water Demand Calculation</t>
  </si>
  <si>
    <t>Fire Water Hydrolic Calculations</t>
  </si>
  <si>
    <t>Flare Radiation and Disperasion Report</t>
  </si>
  <si>
    <t>P&amp;ID</t>
  </si>
  <si>
    <t>Legend and Abbreviation For Safety &amp; Fire Fighting P&amp;ID</t>
  </si>
  <si>
    <t>P&amp;ID for CO2 total Flooding System</t>
  </si>
  <si>
    <t>P&amp;ID For Fire Water</t>
  </si>
  <si>
    <t>Datasheet</t>
  </si>
  <si>
    <t>Fire Water Tank data Sheet</t>
  </si>
  <si>
    <t>Data Sheet For Fire Water Diesel Pump</t>
  </si>
  <si>
    <t>Data Sheet For Fire Water Electrical Pump</t>
  </si>
  <si>
    <t>Fire Water Jocy Pump Data Sheet</t>
  </si>
  <si>
    <t>Deludge Valve Datasheets</t>
  </si>
  <si>
    <t>Water Spray Nozzle Datasheets</t>
  </si>
  <si>
    <t>Hydrant  data sheet</t>
  </si>
  <si>
    <t>Monitor data sheet</t>
  </si>
  <si>
    <t>Portable extinguishers data sheet</t>
  </si>
  <si>
    <t>Wheeled extinguishers data sheet</t>
  </si>
  <si>
    <t>Safety shower data sheet</t>
  </si>
  <si>
    <t>Data sheet for Co2 Automatic extinguishing system</t>
  </si>
  <si>
    <t>Data sheet  for hose box</t>
  </si>
  <si>
    <t>Data sheet  for Foam Skid</t>
  </si>
  <si>
    <t>Drawings</t>
  </si>
  <si>
    <t>Fire Water Network Piping Plan for Gachsaran-4 Desalting Unit</t>
  </si>
  <si>
    <t>Fire Water Network Piping Plan for Gachsaran-4 Production Unit</t>
  </si>
  <si>
    <t>Safety and Fire Fighting Equipment Layout for Gachsaran-4 Desalting Unit Buildings</t>
  </si>
  <si>
    <t xml:space="preserve">Safety and Fire Fighting Equipment Layout  for Gachsaran-4 Production Unit Buildings </t>
  </si>
  <si>
    <t>Safety and Fire Fighting Equipment Layout For 33KV Outdoor Station Gachsaran 3</t>
  </si>
  <si>
    <t>Safety and Fire Fighting Equipment Layout For 33/3.45KV Outdoor Station Gachsaran 4</t>
  </si>
  <si>
    <r>
      <t>escape routes and safety sign layout</t>
    </r>
    <r>
      <rPr>
        <sz val="12"/>
        <rFont val="B Nazanin"/>
        <charset val="178"/>
      </rPr>
      <t xml:space="preserve">  for Gachsaran-4 Desalting Unit Buildings</t>
    </r>
  </si>
  <si>
    <r>
      <t>escape routes and safety sign layout</t>
    </r>
    <r>
      <rPr>
        <sz val="12"/>
        <rFont val="B Nazanin"/>
        <charset val="178"/>
      </rPr>
      <t xml:space="preserve"> For 33KV Outdoor Station Gachsaran 3</t>
    </r>
  </si>
  <si>
    <t>Fire Alarm Layout</t>
  </si>
  <si>
    <t>Emergency Response Plane for Gachsaran-4 Desalting Unit</t>
  </si>
  <si>
    <t>Emergency Response Plane for Gachsaran-4 Production Unit</t>
  </si>
  <si>
    <t>M.R. and T.B.E.</t>
  </si>
  <si>
    <t>Safety/fire fighting system equipment list</t>
  </si>
  <si>
    <t>MR for CO2 automatic extinguishing system</t>
  </si>
  <si>
    <t>MR for fire fighting/safety system Equipment</t>
  </si>
  <si>
    <t>MR for Fire Water Pumps</t>
  </si>
  <si>
    <t>TBE for CO2 automatic extinguishing system</t>
  </si>
  <si>
    <t>TBE for fire fighting/safety system Equipment</t>
  </si>
  <si>
    <t>TBE for Fire Water Pumps</t>
  </si>
  <si>
    <t>Review of Suppliers Technical Document of for CO2 automatic extinguishing system</t>
  </si>
  <si>
    <t>Review of Suppliers Technical Document of for fire fighting/safety system Equipment</t>
  </si>
  <si>
    <t>Review of Suppliers Technical Document of for Fire Water Pumps</t>
  </si>
  <si>
    <t>Specification &amp; Criteria</t>
  </si>
  <si>
    <t>Piping Specification &amp; Criteria</t>
  </si>
  <si>
    <t>1.1.1</t>
  </si>
  <si>
    <t>Piping Desing Criteria</t>
  </si>
  <si>
    <t>1.1.2</t>
  </si>
  <si>
    <t>Piping Standard Drawings</t>
  </si>
  <si>
    <t>1.1.3</t>
  </si>
  <si>
    <t xml:space="preserve"> Piping Standard Assembly Drawings</t>
  </si>
  <si>
    <t>1.1.4</t>
  </si>
  <si>
    <t>Piping Material Specification</t>
  </si>
  <si>
    <t>1.1.5</t>
  </si>
  <si>
    <t>Specification For Thermal Insulation (Hot Services)</t>
  </si>
  <si>
    <t>1.1.6</t>
  </si>
  <si>
    <t>Specification For Painting, Color Coding &amp; Marking</t>
  </si>
  <si>
    <t>1.1.7</t>
  </si>
  <si>
    <t>Specification For Coating Of Under Ground Piping</t>
  </si>
  <si>
    <t>1.1.8</t>
  </si>
  <si>
    <t>Specification For Stress Analysis</t>
  </si>
  <si>
    <t>1.1.9</t>
  </si>
  <si>
    <t>Specification For Pipe Support</t>
  </si>
  <si>
    <t>1.1.10</t>
  </si>
  <si>
    <t xml:space="preserve">Specification For  Valves </t>
  </si>
  <si>
    <t>1.1.11</t>
  </si>
  <si>
    <t>Specification For Supply Pipe &amp; Piping Component</t>
  </si>
  <si>
    <t>1.1.12</t>
  </si>
  <si>
    <t>Specification For Construction piping Fabrication and Erection</t>
  </si>
  <si>
    <t>1.1.13</t>
  </si>
  <si>
    <t>Specification For Welding , heat Treatment and inspection of Piping</t>
  </si>
  <si>
    <t>1.1.14</t>
  </si>
  <si>
    <t>Specification For Hydrostatic Pressure Testing Of Piping System</t>
  </si>
  <si>
    <t>1.1.15</t>
  </si>
  <si>
    <t>Specification For Cleaning &amp; Flushing Of Piping System</t>
  </si>
  <si>
    <t>1.1.16</t>
  </si>
  <si>
    <t>Specification For Non-Metal Pipes and Fittings</t>
  </si>
  <si>
    <t>Pipeline Specification &amp; Criteria</t>
  </si>
  <si>
    <t>1.2.1</t>
  </si>
  <si>
    <t>PipeLine Design Criteria</t>
  </si>
  <si>
    <t>1.2.2</t>
  </si>
  <si>
    <t>PipeLine Material Specification</t>
  </si>
  <si>
    <t>1.2.3</t>
  </si>
  <si>
    <t>Specification of Hydrostatic Testing</t>
  </si>
  <si>
    <t>1.2.4</t>
  </si>
  <si>
    <t>Welding Specification For Pipeline</t>
  </si>
  <si>
    <t>1.2.5</t>
  </si>
  <si>
    <t>Specification for Construction of Pipeline</t>
  </si>
  <si>
    <t xml:space="preserve"> 3D Modeling by PDMS Software</t>
  </si>
  <si>
    <t>3D Modeling for Gachsaran-4 Desalting Unit</t>
  </si>
  <si>
    <t>3D Modeling for Gachsaran-4 Production Unit Extension</t>
  </si>
  <si>
    <t xml:space="preserve">3D Modeling for Existing Gachsaran-4 Production Unit </t>
  </si>
  <si>
    <t>PIPING ISOMETRICS</t>
  </si>
  <si>
    <t>Plot Plan</t>
  </si>
  <si>
    <t>Overal Plot Plan For Desalting Unit</t>
  </si>
  <si>
    <t>Overal Plot Plan For gachsaran-4 Production Unit Extension Area</t>
  </si>
  <si>
    <t>Overal Plot Plan For Existing area od Gachsaran-4 Production Unit</t>
  </si>
  <si>
    <t>Off Site Overal Plot Plan</t>
  </si>
  <si>
    <t>Plan For Flare Area</t>
  </si>
  <si>
    <t>Piping Plan For Cold Flare Area</t>
  </si>
  <si>
    <t>Plot Plan For Burn pit Area</t>
  </si>
  <si>
    <t>Plot Plan For Evaporation Pound Area</t>
  </si>
  <si>
    <t>Plot Plan For 33KV Outdoor Substation In gachsaran NO.4 Area</t>
  </si>
  <si>
    <t>Plot Plan For 33KV Outdoor Substation In gachsaran NO.3 Area</t>
  </si>
  <si>
    <t>Piping Plan</t>
  </si>
  <si>
    <t>overal Piping Plan For Desalting Unit</t>
  </si>
  <si>
    <t>4.1.1</t>
  </si>
  <si>
    <t>Key Plan For Desalting Unit</t>
  </si>
  <si>
    <t>Piping Plan for Area 1</t>
  </si>
  <si>
    <t>4.1.3</t>
  </si>
  <si>
    <t>Piping Plan for Area 2</t>
  </si>
  <si>
    <t>4.1.4</t>
  </si>
  <si>
    <t>Piping Plan for Area 3</t>
  </si>
  <si>
    <t>4.1.5</t>
  </si>
  <si>
    <t>Piping Plan for Area 4</t>
  </si>
  <si>
    <t>4.1.6</t>
  </si>
  <si>
    <t>Piping Plan for Area 5</t>
  </si>
  <si>
    <t>4.1.7</t>
  </si>
  <si>
    <t>Piping Plan for Area 6</t>
  </si>
  <si>
    <t>4.1.8</t>
  </si>
  <si>
    <t>Piping Plan for Area 7</t>
  </si>
  <si>
    <t>4.1.9</t>
  </si>
  <si>
    <t>Piping Plan for Area 8</t>
  </si>
  <si>
    <t>4.1.10</t>
  </si>
  <si>
    <t>Piping Plan for Area 9</t>
  </si>
  <si>
    <t>Overal Piping Plan For Production Unit</t>
  </si>
  <si>
    <t>Key Plan For Production Unit</t>
  </si>
  <si>
    <t>overal Piping Plan For Gachsaran-4 Production Unit Extension Area</t>
  </si>
  <si>
    <t>4.2.3</t>
  </si>
  <si>
    <t>overal Piping Plan For Existing Gachsaran-4 Production Unit</t>
  </si>
  <si>
    <t>4.2.4</t>
  </si>
  <si>
    <t>Piping Plan for Salty/Desalted Crude oil Separation</t>
  </si>
  <si>
    <t>4.2.5</t>
  </si>
  <si>
    <t>Key Plan For Offsite</t>
  </si>
  <si>
    <t>4.2.6</t>
  </si>
  <si>
    <t>4.2.7</t>
  </si>
  <si>
    <t>4.2.8</t>
  </si>
  <si>
    <t>Piping Plan For Burn pit Area</t>
  </si>
  <si>
    <t>4.2.9</t>
  </si>
  <si>
    <t>Piping Plan For Evaporation Pound Area</t>
  </si>
  <si>
    <t>Support Layout and List</t>
  </si>
  <si>
    <t>Support Layout For Desalting Unit</t>
  </si>
  <si>
    <t>Support Layout  For gachsaran-4 Production Unit Extension Area</t>
  </si>
  <si>
    <t>Support Layout  For Existing area od Gachsaran-4 Production Unit</t>
  </si>
  <si>
    <t>Support Layout For Flare Area</t>
  </si>
  <si>
    <t>Support Layout  For Cold Flare Area</t>
  </si>
  <si>
    <t>Support Layout  For Burn pit Area</t>
  </si>
  <si>
    <t>Support Layout  For Evaporation Pound Area</t>
  </si>
  <si>
    <t>Support List For Desalting Unit</t>
  </si>
  <si>
    <t>Support List  For gachsaran-4 Production Unit Extension Area</t>
  </si>
  <si>
    <t>Support List  For Existing area od Gachsaran-4 Production Unit</t>
  </si>
  <si>
    <t>Support List For Flare Area</t>
  </si>
  <si>
    <t>Support List  For Cold Flare Area</t>
  </si>
  <si>
    <t>Support List  For Burn pit Area</t>
  </si>
  <si>
    <t>Support List  For Evaporation Pound Area</t>
  </si>
  <si>
    <t>Stress Analysis Report for Desalting Unit</t>
  </si>
  <si>
    <t>Stress Analysis Report for Production Unit</t>
  </si>
  <si>
    <t>Piping Thickness Calculation</t>
  </si>
  <si>
    <t>Pipelines Wall thickness calculation</t>
  </si>
  <si>
    <t>LIST</t>
  </si>
  <si>
    <t>TIE IN POINT LIST</t>
  </si>
  <si>
    <t>LINE LIST</t>
  </si>
  <si>
    <t>MTO. , M.R. and T.B.E.</t>
  </si>
  <si>
    <t>Piping MTO</t>
  </si>
  <si>
    <t>MTO.  for Pipes</t>
  </si>
  <si>
    <t>MTO.  for Manual Valve</t>
  </si>
  <si>
    <t>MTO.  for Flange</t>
  </si>
  <si>
    <t>MTO.  for Gasket</t>
  </si>
  <si>
    <t>MTO.  for Fitting</t>
  </si>
  <si>
    <t>MTO. for Bults &amp; Nuts</t>
  </si>
  <si>
    <t>MTO. for Supports</t>
  </si>
  <si>
    <t>MTO. for Non-Metallic piping component</t>
  </si>
  <si>
    <t>MTO.FOR SPECIAL ITEMS</t>
  </si>
  <si>
    <t xml:space="preserve">MTO.FOR ORIFICE FLANGES </t>
  </si>
  <si>
    <t>MTO.FOR PAINT</t>
  </si>
  <si>
    <t>MTO.FOR COATING &amp;WRAPPING</t>
  </si>
  <si>
    <t>MTO.FOR INSULATION</t>
  </si>
  <si>
    <t>MTO.FOR ELECTRODE</t>
  </si>
  <si>
    <t xml:space="preserve">MTO.FOR STRAINER </t>
  </si>
  <si>
    <t xml:space="preserve">Piping M.R. </t>
  </si>
  <si>
    <t>M.R.  for Pipes</t>
  </si>
  <si>
    <t>M.R.  for Manual Valve</t>
  </si>
  <si>
    <t>M.R.  for Flange</t>
  </si>
  <si>
    <t>M.R.  for Gasket</t>
  </si>
  <si>
    <t>M.R.  for Fitting</t>
  </si>
  <si>
    <t>M.R. for Bults &amp; Nuts</t>
  </si>
  <si>
    <t>M.R. for Supports</t>
  </si>
  <si>
    <t>M.R. for Non-Metallic piping component</t>
  </si>
  <si>
    <t>M.R.FOR SPECIAL ITEMS</t>
  </si>
  <si>
    <t xml:space="preserve">M.R.FOR ORIFICE FLANGES </t>
  </si>
  <si>
    <t>M.R.FOR PAINT</t>
  </si>
  <si>
    <t>M.R.FOR COATING &amp;WRAPPING</t>
  </si>
  <si>
    <t>M.R.FOR INSULATION</t>
  </si>
  <si>
    <t>M.R.FOR ELECTRODE</t>
  </si>
  <si>
    <t xml:space="preserve">M.R.FOR STRAINER </t>
  </si>
  <si>
    <t xml:space="preserve">Piping  T.B.E. </t>
  </si>
  <si>
    <t>T.B.E.  for Pipes</t>
  </si>
  <si>
    <t>T.B.E.  for Manual Valve</t>
  </si>
  <si>
    <t>T.B.E.  for Flange</t>
  </si>
  <si>
    <t>T.B.E.  for Gasket</t>
  </si>
  <si>
    <t>T.B.E.  for Fitting</t>
  </si>
  <si>
    <t>T.B.E. for Bults &amp; Nuts</t>
  </si>
  <si>
    <t>T.B.E. for Non-Metallic piping component</t>
  </si>
  <si>
    <t>T.B.E.FOR SPECIAL ITEMS</t>
  </si>
  <si>
    <t xml:space="preserve">T.B.E.FOR ORIFICE FLANGES </t>
  </si>
  <si>
    <t>T.B.E.FOR INSULATION</t>
  </si>
  <si>
    <t xml:space="preserve">T.B.E.FOR STRAINER </t>
  </si>
  <si>
    <t xml:space="preserve">Pipe Line MTO. , M.R. and T.B.E. </t>
  </si>
  <si>
    <t>Pipe Line MTO</t>
  </si>
  <si>
    <t>M.T.O.  for Metallic Pipeline and component</t>
  </si>
  <si>
    <t>M.T.O.  for Non-Metallic Pipeline and component</t>
  </si>
  <si>
    <t>Pipe Line MR</t>
  </si>
  <si>
    <t>M.R. for Metallic Pipeline and component</t>
  </si>
  <si>
    <t>M.R. for Non-Metallic Pipeline and component</t>
  </si>
  <si>
    <t>Pipe Line TBE</t>
  </si>
  <si>
    <t>T.B.E.. for Metallic Pipeline and component</t>
  </si>
  <si>
    <t>T.B.E.. for Non-Metallic Pipeline and component</t>
  </si>
  <si>
    <t>Instrumentaion and Control Design Criteria</t>
  </si>
  <si>
    <t xml:space="preserve">Specification for  Instrumentation </t>
  </si>
  <si>
    <t>1.3</t>
  </si>
  <si>
    <t>Specification for FCS Control System</t>
  </si>
  <si>
    <t>1.4</t>
  </si>
  <si>
    <t>Specification for Emergency Shutdown System</t>
  </si>
  <si>
    <t>1.5</t>
  </si>
  <si>
    <t>Specification for Fire &amp; Gas Detection and Alarm Systems</t>
  </si>
  <si>
    <t>1.6</t>
  </si>
  <si>
    <t>Specification for Instrument Cables</t>
  </si>
  <si>
    <t>1.8</t>
  </si>
  <si>
    <t>Specification for Instrumentation of Packaged Units</t>
  </si>
  <si>
    <t>1.7</t>
  </si>
  <si>
    <t>specification for CCTV And Intruder detection System</t>
  </si>
  <si>
    <t>Specification forJB &amp; Bulk Material</t>
  </si>
  <si>
    <t>Data Sheet for Orifice Plates</t>
  </si>
  <si>
    <t>Data Sheet for Local Flow Indicators</t>
  </si>
  <si>
    <t>Data Sheet for Flow Switches</t>
  </si>
  <si>
    <t>Data Sheet for Flow Transmitters</t>
  </si>
  <si>
    <t xml:space="preserve">Data sheet for level Gage </t>
  </si>
  <si>
    <t>Data Sheet for Level Switches</t>
  </si>
  <si>
    <t>Data Sheet for Level Transmitters</t>
  </si>
  <si>
    <t>Data Sheet for Pressure Indicators (Gages)</t>
  </si>
  <si>
    <t>Data Sheet for Pressure Switches</t>
  </si>
  <si>
    <t>Data Sheet for Pressure &amp; Diff. Pressure Transmitters</t>
  </si>
  <si>
    <t>Data Sheet for Temperature Indicators (Gages)</t>
  </si>
  <si>
    <t>Data Sheet for Temperature Switches</t>
  </si>
  <si>
    <t>Data Sheet for Temperature Transmitters</t>
  </si>
  <si>
    <t>Data Sheet for Control Valves</t>
  </si>
  <si>
    <t>Data Sheet for Safety &amp; Relief Valve</t>
  </si>
  <si>
    <t>Datasheet for ESD &amp; On/Off Valves</t>
  </si>
  <si>
    <t>Data Sheet for Corrosion Coupon &amp; Corrosion Transmitters</t>
  </si>
  <si>
    <t>Datasheet for Analyzers</t>
  </si>
  <si>
    <t>Data sheet for regulator valve</t>
  </si>
  <si>
    <t>2.20</t>
  </si>
  <si>
    <t>Data Sheet for Laboratory Test Equipments</t>
  </si>
  <si>
    <t>Data sheet for CCTV Equipment</t>
  </si>
  <si>
    <t>Datasheet for F&amp;G Instrument</t>
  </si>
  <si>
    <t>List</t>
  </si>
  <si>
    <t>3.1</t>
  </si>
  <si>
    <t>Instrument Index</t>
  </si>
  <si>
    <t>3.2</t>
  </si>
  <si>
    <t>FCS I/O List</t>
  </si>
  <si>
    <t>3.3</t>
  </si>
  <si>
    <t>ESD I/O List</t>
  </si>
  <si>
    <t>3.4</t>
  </si>
  <si>
    <t>F&amp;G I/O List</t>
  </si>
  <si>
    <t>3.5</t>
  </si>
  <si>
    <t>Alarm &amp; Trip Setpoint List</t>
  </si>
  <si>
    <t>3.6</t>
  </si>
  <si>
    <t>Power Consumption List</t>
  </si>
  <si>
    <t>3.7</t>
  </si>
  <si>
    <t>Instrument Air Consumption List</t>
  </si>
  <si>
    <t>3.8</t>
  </si>
  <si>
    <t>Instrument Cable List</t>
  </si>
  <si>
    <t>3.9</t>
  </si>
  <si>
    <t>CCTV Cable list</t>
  </si>
  <si>
    <t>Calculation for Control Valve</t>
  </si>
  <si>
    <t>Calculation for Safety &amp; Relief Valve</t>
  </si>
  <si>
    <t>Calculation for Orifice Plates</t>
  </si>
  <si>
    <t>Calculation for Comp. Air Sup.</t>
  </si>
  <si>
    <t>FCS Risk Management Report</t>
  </si>
  <si>
    <t>Philosophy</t>
  </si>
  <si>
    <t>F&amp;G Philosophy</t>
  </si>
  <si>
    <t>Layout</t>
  </si>
  <si>
    <t>Gachsaran-4 Desalting Unit Layouts</t>
  </si>
  <si>
    <t>6.1.1</t>
  </si>
  <si>
    <t>Desalting Unit Control Building arrangement Layout</t>
  </si>
  <si>
    <t>6.1.2</t>
  </si>
  <si>
    <t>Instrument Cable Routing for Desalting Unit Control Building</t>
  </si>
  <si>
    <t>6.1.3</t>
  </si>
  <si>
    <t>Instrument Location Layout of Desalting Unit</t>
  </si>
  <si>
    <t>6.1.4</t>
  </si>
  <si>
    <t>Instrument Main Cable Routing Layout for Desalting Unit</t>
  </si>
  <si>
    <t>6.1.5</t>
  </si>
  <si>
    <t>Instrument Air Layout for Desalting Unit</t>
  </si>
  <si>
    <t>6.1.6</t>
  </si>
  <si>
    <t>F&amp;G Detection Layouts for Gachsaran-4 Desalting Unit</t>
  </si>
  <si>
    <t>6.1.8</t>
  </si>
  <si>
    <t>CCTV Cable Rout and Equipment layout Drawing for Desalting Unit</t>
  </si>
  <si>
    <t>Gachsaran-4 Production Unit Layouts</t>
  </si>
  <si>
    <t>6.2.1</t>
  </si>
  <si>
    <t>Production Unit Control Building arrangement Layout</t>
  </si>
  <si>
    <t>6.2.2</t>
  </si>
  <si>
    <t>Instrument Cable Routing for Production Unit Control Building</t>
  </si>
  <si>
    <t>6.2.3</t>
  </si>
  <si>
    <t>Instrument Location Layout of Production Unit</t>
  </si>
  <si>
    <t>6.2.4</t>
  </si>
  <si>
    <t>Instrument Main Cable Routing Layout for Production Unit</t>
  </si>
  <si>
    <t>6.2.5</t>
  </si>
  <si>
    <t>Instrument Air Layout for Production Unit</t>
  </si>
  <si>
    <t>PU3 33KV Station Layouts</t>
  </si>
  <si>
    <t>6.3.1</t>
  </si>
  <si>
    <t>F&amp;G Detection Layouts for Gachsaran-3 33KV Station</t>
  </si>
  <si>
    <t>F&amp;G cable Route  for Gachsaran-3 33KV Station</t>
  </si>
  <si>
    <t>Instrument Diagrams</t>
  </si>
  <si>
    <t>7.1</t>
  </si>
  <si>
    <t>Control System Architcture Diagram</t>
  </si>
  <si>
    <t>7.2</t>
  </si>
  <si>
    <t>F&amp;G Cause &amp; Effect Chart</t>
  </si>
  <si>
    <t>7.4</t>
  </si>
  <si>
    <t>Loop Diagram For FCS System</t>
  </si>
  <si>
    <t>7.5</t>
  </si>
  <si>
    <t>Loop Diagram For ESD System</t>
  </si>
  <si>
    <t>7.6</t>
  </si>
  <si>
    <t>Loop Diagram For F&amp;G System</t>
  </si>
  <si>
    <t>7.7</t>
  </si>
  <si>
    <t>Logic Diagram for Instrument</t>
  </si>
  <si>
    <t>7.8</t>
  </si>
  <si>
    <t>ESD Logic Block Diagram</t>
  </si>
  <si>
    <t>7.9</t>
  </si>
  <si>
    <t>Junction Box Wiring Diagram For FCS</t>
  </si>
  <si>
    <t>Junction Box Wiring Diagram For ESD</t>
  </si>
  <si>
    <t>Junction Box Wiring Diagram For F&amp;G</t>
  </si>
  <si>
    <t>Instrument Earthing Diagram</t>
  </si>
  <si>
    <t>CCTV system block diagram</t>
  </si>
  <si>
    <t>Hook-Up &amp; Mounting Diagrams</t>
  </si>
  <si>
    <t>Hook-Up for Instrument</t>
  </si>
  <si>
    <t>Instrument Mounting Detail</t>
  </si>
  <si>
    <t>Hook-Up for Instrument Air System</t>
  </si>
  <si>
    <t>M.T.O.</t>
  </si>
  <si>
    <t>MTO for Instrument Cables</t>
  </si>
  <si>
    <t xml:space="preserve">MTO for Instrument Bulk Material </t>
  </si>
  <si>
    <t>MTO for Junction Box &amp; Glands</t>
  </si>
  <si>
    <t>MTO for Field Indtrumentation</t>
  </si>
  <si>
    <t>MTO for FCS System</t>
  </si>
  <si>
    <t>MTO for ESD System</t>
  </si>
  <si>
    <t>MTO for F&amp;G System</t>
  </si>
  <si>
    <t>MTO for CCTV</t>
  </si>
  <si>
    <t>MTO for Laboratory Testing Equipment</t>
  </si>
  <si>
    <t>MTO for Packages Instrument</t>
  </si>
  <si>
    <t xml:space="preserve">M.R. </t>
  </si>
  <si>
    <t>MR for Orifice Plates</t>
  </si>
  <si>
    <t>MR for Local Flow Indicators</t>
  </si>
  <si>
    <t>MR for Flow Switches</t>
  </si>
  <si>
    <t>MR for Flow Transmitters</t>
  </si>
  <si>
    <t>MR for Level gauge</t>
  </si>
  <si>
    <t>MR for Level Switches</t>
  </si>
  <si>
    <t>9.2.7</t>
  </si>
  <si>
    <t>MR for Level Transmitters</t>
  </si>
  <si>
    <t>9.2.8</t>
  </si>
  <si>
    <t>MR for Pressure Indicators (Gages)</t>
  </si>
  <si>
    <t>9.2.9</t>
  </si>
  <si>
    <t>MR for Pressure Switches</t>
  </si>
  <si>
    <t>9.2.10</t>
  </si>
  <si>
    <t>MR for Pressure &amp; Diff Pressure Transmitters</t>
  </si>
  <si>
    <t>9.2.11</t>
  </si>
  <si>
    <t>MR for Temperature Indicators (Gages)</t>
  </si>
  <si>
    <t>9.2.12</t>
  </si>
  <si>
    <t>MR for Temperature Switches</t>
  </si>
  <si>
    <t>9.2.13</t>
  </si>
  <si>
    <t>MR for Temperature Transmitters</t>
  </si>
  <si>
    <t>9.2.14</t>
  </si>
  <si>
    <t>MR for Control Valves</t>
  </si>
  <si>
    <t>9.2.15</t>
  </si>
  <si>
    <t>MR for Safety &amp; Relief Valves</t>
  </si>
  <si>
    <t>9.2.16</t>
  </si>
  <si>
    <t>MR for ESD &amp; On/Off Valves</t>
  </si>
  <si>
    <t>9.2.17</t>
  </si>
  <si>
    <t>MR for Corrosion Coupon &amp; Corrosion Transmitters</t>
  </si>
  <si>
    <t>9.2.18</t>
  </si>
  <si>
    <t>MR for Analyzers</t>
  </si>
  <si>
    <t>9.2.19</t>
  </si>
  <si>
    <t>MR for Regulators</t>
  </si>
  <si>
    <t>9.2.20</t>
  </si>
  <si>
    <t>MR for FCS System</t>
  </si>
  <si>
    <t>MR for ESD System</t>
  </si>
  <si>
    <t>9.2.21</t>
  </si>
  <si>
    <t>MR for F &amp; G System &amp; Equipment</t>
  </si>
  <si>
    <t>9.2.22</t>
  </si>
  <si>
    <t>MR for Instrument Cables</t>
  </si>
  <si>
    <t>9.2.23</t>
  </si>
  <si>
    <t xml:space="preserve">MR for Instrument Bulk Material </t>
  </si>
  <si>
    <t>9.2.24</t>
  </si>
  <si>
    <t>MR for Junction Box &amp; Glands</t>
  </si>
  <si>
    <t>9.2.25</t>
  </si>
  <si>
    <t>M.R. for CCTV system</t>
  </si>
  <si>
    <t>9.2.26</t>
  </si>
  <si>
    <t>MR For Laboratory Test Equipment</t>
  </si>
  <si>
    <t>T.B.E.</t>
  </si>
  <si>
    <t>TBE for Orifice Plates</t>
  </si>
  <si>
    <t>TBE for Local Flow Indicators</t>
  </si>
  <si>
    <t>TBE for Flow Switches</t>
  </si>
  <si>
    <t>TBE for Flow Transmitters</t>
  </si>
  <si>
    <t>TBE for Level gauge</t>
  </si>
  <si>
    <t>9.3.6</t>
  </si>
  <si>
    <t>TBE for Level Switches</t>
  </si>
  <si>
    <t>9.3.7</t>
  </si>
  <si>
    <t>TBE for Level Transmitters</t>
  </si>
  <si>
    <t>9.3.8</t>
  </si>
  <si>
    <t>TBE for Pressure Indicators (Gages)</t>
  </si>
  <si>
    <t>9.3.9</t>
  </si>
  <si>
    <t>TBE for Pressure Switches</t>
  </si>
  <si>
    <t>9.3.10</t>
  </si>
  <si>
    <t>TBE for Pressure &amp; Diff Pressure Transmitters</t>
  </si>
  <si>
    <t>9.3.11</t>
  </si>
  <si>
    <t>TBE for Temperature Indicators (Gages)</t>
  </si>
  <si>
    <t>9.3.12</t>
  </si>
  <si>
    <t>TBE for Temperature Switches</t>
  </si>
  <si>
    <t>9.3.13</t>
  </si>
  <si>
    <t>TBE for Temperature Transmitters</t>
  </si>
  <si>
    <t>9.3.14</t>
  </si>
  <si>
    <t>TBE for Control Valves</t>
  </si>
  <si>
    <t>9.3.15</t>
  </si>
  <si>
    <t>TBE for Safety &amp; Relief Valves</t>
  </si>
  <si>
    <t>9.3.16</t>
  </si>
  <si>
    <t>TBE for ESD &amp; On/Off Valves</t>
  </si>
  <si>
    <t>9.3.17</t>
  </si>
  <si>
    <t>TBE for Corrosion Coupon &amp; Corrosion Transmitters</t>
  </si>
  <si>
    <t>9.3.18</t>
  </si>
  <si>
    <t>TBE for Analyzers</t>
  </si>
  <si>
    <t>9.3.19</t>
  </si>
  <si>
    <t>TBE for Regulators</t>
  </si>
  <si>
    <t>9.3.20</t>
  </si>
  <si>
    <t>TBE for FCS System</t>
  </si>
  <si>
    <t>TBE for ESD System</t>
  </si>
  <si>
    <t>9.3.21</t>
  </si>
  <si>
    <t>TBE for F&amp;G Equipment</t>
  </si>
  <si>
    <t>9.3.22</t>
  </si>
  <si>
    <t>TBE for Instrument Cables</t>
  </si>
  <si>
    <t>9.3.23</t>
  </si>
  <si>
    <t xml:space="preserve">TBE for Instrument Bulk Material </t>
  </si>
  <si>
    <t>9.3.24</t>
  </si>
  <si>
    <t>TBE for Junction Box &amp; Glands</t>
  </si>
  <si>
    <t>9.3.25</t>
  </si>
  <si>
    <t>T.B.E. for CCTV system</t>
  </si>
  <si>
    <t>9.3.26</t>
  </si>
  <si>
    <t>TBE For Laboratory Test Equipment</t>
  </si>
  <si>
    <t>10.1</t>
  </si>
  <si>
    <t>Review of technical document for Orifice Plates</t>
  </si>
  <si>
    <t>10.2</t>
  </si>
  <si>
    <t>Review of technical document for  Local Flow Indicators</t>
  </si>
  <si>
    <t>10.3</t>
  </si>
  <si>
    <t>Review of technical document for  Flow Switches</t>
  </si>
  <si>
    <t>10.4</t>
  </si>
  <si>
    <t>Review of technical document for  Flow Transmitters</t>
  </si>
  <si>
    <t>10.5</t>
  </si>
  <si>
    <t>Review of technical document for  Level gauge</t>
  </si>
  <si>
    <t>10.6</t>
  </si>
  <si>
    <t>Review of technical document for  Level Switches</t>
  </si>
  <si>
    <t>10.7</t>
  </si>
  <si>
    <t>Review of technical document for  Level Transmitters</t>
  </si>
  <si>
    <t>10.8</t>
  </si>
  <si>
    <t>Review of technical document for  Pressure Indicators (Gages)</t>
  </si>
  <si>
    <t>10.9</t>
  </si>
  <si>
    <t>Review of technical document for  Pressure Switches</t>
  </si>
  <si>
    <t>10.10</t>
  </si>
  <si>
    <t>Review of technical document for  Pressure &amp; Diff Pressure Transmitters</t>
  </si>
  <si>
    <t>10.11</t>
  </si>
  <si>
    <t>Review of technical document for  Temperature Indicators (Gages)</t>
  </si>
  <si>
    <t>10.12</t>
  </si>
  <si>
    <t>Review of technical document for  Temperature Switches</t>
  </si>
  <si>
    <t>10.13</t>
  </si>
  <si>
    <t>Review of technical document for  Temperature Transmitters</t>
  </si>
  <si>
    <t>10.14</t>
  </si>
  <si>
    <t>Review of technical document for  Control Valves</t>
  </si>
  <si>
    <t>10.15</t>
  </si>
  <si>
    <t>Review of technical document for  Safety &amp; Relief Valves</t>
  </si>
  <si>
    <t>10.16</t>
  </si>
  <si>
    <t>Review of technical document for  ESD &amp; On/Off Valves</t>
  </si>
  <si>
    <t>10.17</t>
  </si>
  <si>
    <t>Review of technical document for  Corrosion Coupon &amp; Corrosion Transmitters</t>
  </si>
  <si>
    <t>10.18</t>
  </si>
  <si>
    <t>Review of technical document for  Analyzers</t>
  </si>
  <si>
    <t>10.19</t>
  </si>
  <si>
    <t>Review of technical document for  Regulators</t>
  </si>
  <si>
    <t>10.20</t>
  </si>
  <si>
    <t>Review of technical document for  FCS &amp; ESD System</t>
  </si>
  <si>
    <t>10.21</t>
  </si>
  <si>
    <t>Review of technical document for F &amp; G System &amp; Equipment</t>
  </si>
  <si>
    <t>10.22</t>
  </si>
  <si>
    <t>Review of technical document for  Instrument Cables</t>
  </si>
  <si>
    <t>10.23</t>
  </si>
  <si>
    <t xml:space="preserve">Review of technical document for  Instrument Bulk Material </t>
  </si>
  <si>
    <t>10.24</t>
  </si>
  <si>
    <t>Review of technical document for  Junction Box &amp; Glands</t>
  </si>
  <si>
    <t>10.25</t>
  </si>
  <si>
    <t>Review of technical document of CCTV</t>
  </si>
  <si>
    <t>Review of technical document for  Laboratory Test Equipment</t>
  </si>
  <si>
    <t>Electrical Design Criteria &amp; Philosophy</t>
  </si>
  <si>
    <t>Specification for neutral grounding resistor</t>
  </si>
  <si>
    <t>Specification for DC System</t>
  </si>
  <si>
    <t>Specification for Diesel Generator</t>
  </si>
  <si>
    <t>Specification for Electrical Bulk Material</t>
  </si>
  <si>
    <t>Specification for Grounding &amp; lightning system</t>
  </si>
  <si>
    <t>Specification for LV Induction Motors</t>
  </si>
  <si>
    <t>Specification for LV Switchgears</t>
  </si>
  <si>
    <t>Specification for MV Induction Motors</t>
  </si>
  <si>
    <t>Specification for MV Switchgears</t>
  </si>
  <si>
    <t>Specification for Package Units</t>
  </si>
  <si>
    <t>Specification for Transformers</t>
  </si>
  <si>
    <t>Specification for UPS System</t>
  </si>
  <si>
    <t>Specification for Capacitor Banks</t>
  </si>
  <si>
    <t>Specification for Transmission Lines</t>
  </si>
  <si>
    <t>Specification for LV Cables and Wires</t>
  </si>
  <si>
    <t>Specification for MV Power Cables</t>
  </si>
  <si>
    <t>Typical Lighting Details Drawing</t>
  </si>
  <si>
    <t>Typical Earthing Details drawing</t>
  </si>
  <si>
    <t>Electrical Equipment Datasheet</t>
  </si>
  <si>
    <t>Data Sheet for Battery &amp; Battery Charger</t>
  </si>
  <si>
    <t xml:space="preserve">Data Sheet for UPS </t>
  </si>
  <si>
    <t>Data Sheet for Transformers</t>
  </si>
  <si>
    <t>Data Sheet for Diesel Generator</t>
  </si>
  <si>
    <t>Data Sheet for Transmission Lines</t>
  </si>
  <si>
    <t>Data Sheet for Induction Motors (LV )</t>
  </si>
  <si>
    <t>Data Sheet for Induction Motors (MV )</t>
  </si>
  <si>
    <t>Data Sheet For LV Capacitor Bank</t>
  </si>
  <si>
    <t xml:space="preserve">Data Sheet For LV &amp; MV Switchgears </t>
  </si>
  <si>
    <t xml:space="preserve">Data Sheet for Neutral Earthing Resistors </t>
  </si>
  <si>
    <t xml:space="preserve">Datasheet for 33KV for Outdoor Disconnector Switch </t>
  </si>
  <si>
    <t>Datasheet for 33KV for Outdoor  Line Equipment</t>
  </si>
  <si>
    <t>Datasheet for 33KV for Outdoor  Circuit Breaker</t>
  </si>
  <si>
    <t>Datasheet for 33KV for   Earthing Switch</t>
  </si>
  <si>
    <t>Datasheet for 33KV for  Current Transformer</t>
  </si>
  <si>
    <t>Datasheet for 33KV for  Capacitor Transformer</t>
  </si>
  <si>
    <t>Electrical List</t>
  </si>
  <si>
    <t>Electrical Load List</t>
  </si>
  <si>
    <t>Power &amp; Control cable List  for Gachsaran-4 Desalting Plant</t>
  </si>
  <si>
    <t>Power &amp; Control cable List  for Gachsaran-3  33kv outdoor Station</t>
  </si>
  <si>
    <t>Power &amp; Control cable List  for Gachsaran-4 Production Unit</t>
  </si>
  <si>
    <t>Power &amp; Control cable List  for Gachsaran-4  33kv outdoor Station</t>
  </si>
  <si>
    <t>Power cable list for 33 kv station</t>
  </si>
  <si>
    <t xml:space="preserve">Lighting Cable List </t>
  </si>
  <si>
    <t>Single Line Diagram</t>
  </si>
  <si>
    <t>General Single Line Diagram</t>
  </si>
  <si>
    <t>Electrical &amp; Telecom. Symbol List &amp; Legend</t>
  </si>
  <si>
    <t>Overal  Single Line Diagram for Gachsaran D.E.4</t>
  </si>
  <si>
    <t xml:space="preserve"> L.V. Single Line Diagram for Gachsaran D.E.4</t>
  </si>
  <si>
    <t xml:space="preserve"> M.V. Single Line Diagram for Gachsaran D.E.4</t>
  </si>
  <si>
    <t>Overal Single Line Diagram for Gachsaran-3  33KV outdoor substation</t>
  </si>
  <si>
    <t>Overal Single Line Diagram for Gachsaran-4  33KV outdoor substation</t>
  </si>
  <si>
    <t>SLD for Main MV Switchgear (33 KV) in Gachsaran-3 outdoor substation</t>
  </si>
  <si>
    <t>SLD for Main MV Switchgear (3.3 KV) in Gachsaran-4 outdoor substation</t>
  </si>
  <si>
    <t>Overal Single Line Diagram for Gachsaran P.U.4</t>
  </si>
  <si>
    <t xml:space="preserve"> L.V. Single Line Diagram for Gachsaran P.U.4</t>
  </si>
  <si>
    <t>4.1.11</t>
  </si>
  <si>
    <t xml:space="preserve"> M.V. Single Line Diagram for Gachsaran P.U.4</t>
  </si>
  <si>
    <t>4.1.12</t>
  </si>
  <si>
    <t>UPS System Single Line Diagram</t>
  </si>
  <si>
    <t>4.1.13</t>
  </si>
  <si>
    <t>110VDC Power Supply Single Line Diagram</t>
  </si>
  <si>
    <t>4.1.14</t>
  </si>
  <si>
    <t>24VDC Power Supply Single Line Diagram</t>
  </si>
  <si>
    <t>4.1.15</t>
  </si>
  <si>
    <t>Area Lighting Panel Single Line Diagram Gachsaran D.E</t>
  </si>
  <si>
    <t>4.1.16</t>
  </si>
  <si>
    <t>Single line Diagram Main Normal/emergency Lighting Distribution Panel D.E</t>
  </si>
  <si>
    <t>4.1.17</t>
  </si>
  <si>
    <t>Single line Diagram Main  Distribution Panel out door substation</t>
  </si>
  <si>
    <t>4.1.18</t>
  </si>
  <si>
    <t>Single line Diagram Main Normal/emergency  Distribution Panel 33kv station</t>
  </si>
  <si>
    <t>4.1.19</t>
  </si>
  <si>
    <t>Area Lighting Panel Single Line Diagram for PU3 33kv station</t>
  </si>
  <si>
    <t>4.1.20</t>
  </si>
  <si>
    <t>Area Lighting Panel Single Line Diagram for PU4 33kv station</t>
  </si>
  <si>
    <t>4.1.21</t>
  </si>
  <si>
    <t>Control, Protection &amp; Metering Schematic Diagrams for 3.3 &amp; 33 KV Switchgear</t>
  </si>
  <si>
    <t>4.1.22</t>
  </si>
  <si>
    <t>Control, Protection &amp; Metering Schematic Diagrams for 3.3 MV MCC of DP4</t>
  </si>
  <si>
    <t>4.1.23</t>
  </si>
  <si>
    <t>Control, Protection &amp; Metering Schematic Diagrams for 3.3 MV MCC of PU4</t>
  </si>
  <si>
    <t>4.1.24</t>
  </si>
  <si>
    <t>Control, Protection &amp; Metering Schematic Diagrams for LV MCC of DP4</t>
  </si>
  <si>
    <t>4.1.25</t>
  </si>
  <si>
    <t>Control, Protection &amp; Metering Schematic Diagrams for LV MCC of PU4</t>
  </si>
  <si>
    <t>4.1.26</t>
  </si>
  <si>
    <t>Control, Protection &amp; Metering Schematic Diagrams for 33KV Gachsaran-4 33KV Station</t>
  </si>
  <si>
    <t>4.1.27</t>
  </si>
  <si>
    <t>Logic Diagram For MV Switchgears</t>
  </si>
  <si>
    <t>4.1.28</t>
  </si>
  <si>
    <t>Logic Diagram For LV Switchgears</t>
  </si>
  <si>
    <t>Single Line Diagram for Buildings</t>
  </si>
  <si>
    <t>SLD for lighting Distribution for Air Compressor Room &amp; Emergency Diesel Generator Building</t>
  </si>
  <si>
    <t>SLD for lighting Distribution for Control &amp;Telecommunication Building</t>
  </si>
  <si>
    <t>SLD for lighting Distribution for Guard House</t>
  </si>
  <si>
    <t xml:space="preserve">SLD for lighting Distribution for DE4 Substation Building </t>
  </si>
  <si>
    <t>SLD for lighting Distribution for DE4 Chemical storage shelter no.1</t>
  </si>
  <si>
    <t>SLD for lighting Distribution for DE4 Chemical storage shelter no.2</t>
  </si>
  <si>
    <t>SLD for lighting Distribution for DE4 Chemical injection package shelter no.1</t>
  </si>
  <si>
    <t>SLD for lighting Distribution for DE4 Chemical injection package shelter no.2</t>
  </si>
  <si>
    <t>SLD for lighting Distribution for DE4 Process Pumps shelter</t>
  </si>
  <si>
    <t>4.2.10</t>
  </si>
  <si>
    <t>SLD for lighting Distribution for DE4  Dilution Water Pumps shelter</t>
  </si>
  <si>
    <t>4.2.11</t>
  </si>
  <si>
    <t>SLD for lighting Distribution for DE4 Waste Water Pumps shelter</t>
  </si>
  <si>
    <t>4.2.12</t>
  </si>
  <si>
    <t>SLD for lighting Distribution for DE4 Dearated Water Pumps shelter</t>
  </si>
  <si>
    <t>4.2.13</t>
  </si>
  <si>
    <t>SLD for lighting Distribution for DE4  Fire Water Pumps shelter</t>
  </si>
  <si>
    <t>4.2.14</t>
  </si>
  <si>
    <t xml:space="preserve">SLD for lighting Distribution Extension For PU4 Switchgear Room </t>
  </si>
  <si>
    <t>4.2.15</t>
  </si>
  <si>
    <t>SLD for lighting Distribution Extension Of Control Building For PU4</t>
  </si>
  <si>
    <t>4.2.16</t>
  </si>
  <si>
    <t>SLD for lighting Distribution for PU4 pump shelter</t>
  </si>
  <si>
    <t>4.2.17</t>
  </si>
  <si>
    <t xml:space="preserve">SLD for lighting Distribution for PU4 Chemical storage shelter </t>
  </si>
  <si>
    <t>4.2.18</t>
  </si>
  <si>
    <t xml:space="preserve">SLD for lighting Distribution for PU4 Chemical injection package shelter </t>
  </si>
  <si>
    <t>4.2.19</t>
  </si>
  <si>
    <t>SLD for lighting Distribution For PU4 Accommodation Building</t>
  </si>
  <si>
    <t>4.2.20</t>
  </si>
  <si>
    <t xml:space="preserve">SLD for lighting Distribution for PU4 Air Compressor Room </t>
  </si>
  <si>
    <t>4.2.21</t>
  </si>
  <si>
    <t xml:space="preserve">SLD for lighting Distribution for Laboratory </t>
  </si>
  <si>
    <t>4.2.22</t>
  </si>
  <si>
    <t>SLD for lighting Distribution for Work Shop</t>
  </si>
  <si>
    <t>4.2.23</t>
  </si>
  <si>
    <t>SLD for lighting Distribution for 3.3 Switch Gear Building Of PU4 Outdoor Substaion</t>
  </si>
  <si>
    <t>4.2.24</t>
  </si>
  <si>
    <t xml:space="preserve">SLD for lighting Distribution for 33 KV Switch Gear Building Of 33 KV Station </t>
  </si>
  <si>
    <t>4.2.25</t>
  </si>
  <si>
    <t>SLD for lighting Distribution for 33 KV Station Guard House</t>
  </si>
  <si>
    <t>4.2.26</t>
  </si>
  <si>
    <t>SLD for lighting Distribution for 33 KV Station Diesel Generator Building</t>
  </si>
  <si>
    <t>Calculations</t>
  </si>
  <si>
    <t>Lighting Calculation</t>
  </si>
  <si>
    <t>Grounding Calculation</t>
  </si>
  <si>
    <t>Cable Sizing Calculation</t>
  </si>
  <si>
    <t>Relay Setting</t>
  </si>
  <si>
    <t xml:space="preserve">Capacitor Bank Capacity Calculation </t>
  </si>
  <si>
    <t xml:space="preserve">110 V AC UPS Calculation </t>
  </si>
  <si>
    <t>DC UPS Calculation</t>
  </si>
  <si>
    <t>Power System Study (Short Circuit, load flow, motor starting)</t>
  </si>
  <si>
    <t>Diesel Generator Calculation</t>
  </si>
  <si>
    <t>Transmission Line Calculation</t>
  </si>
  <si>
    <t>Calculation for 33 &amp; 66 KV String Insulator</t>
  </si>
  <si>
    <t>NGR Calculation</t>
  </si>
  <si>
    <t>Lightning Calculation in Gachsaran-4 Desalting Unit</t>
  </si>
  <si>
    <t>Lightning Arrester Calculation for 33KV Outdorr Switchgear in Gachsaran-4 Station</t>
  </si>
  <si>
    <t>Lightning Protection Calculation for 33KV Outdorr Switchgear in Gachsaran-4 Station</t>
  </si>
  <si>
    <t>Drawings &amp; Layouts</t>
  </si>
  <si>
    <t>Cable Routs</t>
  </si>
  <si>
    <t>Overal main Cable Route for Gachsaran P.U 4</t>
  </si>
  <si>
    <t>Overal main Cable Route for Gachsaran D.E.4</t>
  </si>
  <si>
    <t>Overal main Cable Route for PU3 Gachsaran 33kv station</t>
  </si>
  <si>
    <t>Overal main Cable Route for PU4 outdoor substation</t>
  </si>
  <si>
    <t>Cable Route Between Desalting Unit and PU4  33/3.45KV Station</t>
  </si>
  <si>
    <t>Cable Route Between NGL-1200 station and PU3  33KV Station</t>
  </si>
  <si>
    <t>6.1.7</t>
  </si>
  <si>
    <t>Overal main Cable Route for Offsite Areas</t>
  </si>
  <si>
    <t>Overal main Cable Route for Diesel Generator Room</t>
  </si>
  <si>
    <t>6.1.9</t>
  </si>
  <si>
    <t>Overal main Cable Route for  Switchgear Building Gachsaran D.E.4</t>
  </si>
  <si>
    <t>6.1.10</t>
  </si>
  <si>
    <t>Overal main Cable Route for Workshop</t>
  </si>
  <si>
    <t>6.1.11</t>
  </si>
  <si>
    <t>Overal main Cable Route for DE4 Telecom Room</t>
  </si>
  <si>
    <t>Switchgears Equipment Arrangemenst</t>
  </si>
  <si>
    <t>Equipment Equipment Layout for Switchgear Building Gachsaran D.E.4</t>
  </si>
  <si>
    <t>Equipment Equipment Layout for Switchgear Building Gachsaran P.U.4</t>
  </si>
  <si>
    <t>Equipment Equipment Layout for Switchgear Building of Gachsaran-4 outdoor Station</t>
  </si>
  <si>
    <t>Equipment Equipment Layout for Switchgear Building of Gachsaran-3 outdoor Station</t>
  </si>
  <si>
    <t>Area Lighting</t>
  </si>
  <si>
    <t>Area Lighting layout for Gachsaran D.E.4</t>
  </si>
  <si>
    <t>6.3.2</t>
  </si>
  <si>
    <t>Area Lighting layout for Gachsaran PU4 outdoor substation</t>
  </si>
  <si>
    <t>6.3.3</t>
  </si>
  <si>
    <t>Area Lighting layout  forGachsaran PU3 33kv station</t>
  </si>
  <si>
    <t>Buildings Lighting Layout</t>
  </si>
  <si>
    <t>6.4.1</t>
  </si>
  <si>
    <t>Lighting layout for Air Compressor Room &amp; Emergency Diesel Generator Building</t>
  </si>
  <si>
    <t>6.4.2</t>
  </si>
  <si>
    <t>Lighting layout for Control &amp;Telecommunication Building</t>
  </si>
  <si>
    <t>6.4.3</t>
  </si>
  <si>
    <t>Lighting layout for Guard House</t>
  </si>
  <si>
    <t>6.4.4</t>
  </si>
  <si>
    <t xml:space="preserve">Lighting layout for DE4 Substation Building </t>
  </si>
  <si>
    <t>6.4.5</t>
  </si>
  <si>
    <t>Lighting layout for DE4 Chemical storage shelter no.1</t>
  </si>
  <si>
    <t>6.4.6</t>
  </si>
  <si>
    <t>Lighting layout for DE4 Chemical storage shelter no.2</t>
  </si>
  <si>
    <t>6.4.7</t>
  </si>
  <si>
    <t>Lighting layout for DE4 Chemical injection package shelter no.1</t>
  </si>
  <si>
    <t>6.4.8</t>
  </si>
  <si>
    <t>Lighting layout for DE4 Chemical injection package shelter no.2</t>
  </si>
  <si>
    <t>6.4.9</t>
  </si>
  <si>
    <t>Lighting layout for DE4 Process Pumps shelter</t>
  </si>
  <si>
    <t>6.4.10</t>
  </si>
  <si>
    <t>Lighting layout for DE4  Dilution Water Pumps shelter</t>
  </si>
  <si>
    <t>6.4.11</t>
  </si>
  <si>
    <t>Lighting layout for DE4 Waste Water Pumps shelter</t>
  </si>
  <si>
    <t>6.4.12</t>
  </si>
  <si>
    <t>Lighting layout for DE4 Dearated Water Pumps shelter</t>
  </si>
  <si>
    <t>6.4.13</t>
  </si>
  <si>
    <t>Lighting layout for DE4  Fire Water Pumps shelter</t>
  </si>
  <si>
    <t>6.4.14</t>
  </si>
  <si>
    <t xml:space="preserve">Lighting layout Extension For PU4 Switchgear Room </t>
  </si>
  <si>
    <t>6.4.15</t>
  </si>
  <si>
    <t>Lighting layout Extension Of Control Building For PU4</t>
  </si>
  <si>
    <t>6.4.16</t>
  </si>
  <si>
    <t>Lighting layout for PU4 pump shelter</t>
  </si>
  <si>
    <t>6.4.17</t>
  </si>
  <si>
    <t xml:space="preserve">Lighting layout for PU4 Chemical storage shelter </t>
  </si>
  <si>
    <t>6.4.18</t>
  </si>
  <si>
    <t xml:space="preserve">Lighting layout for PU4 Chemical injection package shelter </t>
  </si>
  <si>
    <t>6.4.19</t>
  </si>
  <si>
    <t>Lighting layout For PU4 Accommodation Building</t>
  </si>
  <si>
    <t>6.4.20</t>
  </si>
  <si>
    <t xml:space="preserve">Lighting layout for PU4 Air Compressor Room </t>
  </si>
  <si>
    <t>6.4.21</t>
  </si>
  <si>
    <t xml:space="preserve">Lighting layout for Laboratory </t>
  </si>
  <si>
    <t>6.4.22</t>
  </si>
  <si>
    <t>Lighting layout for Work Shop</t>
  </si>
  <si>
    <t>6.4.23</t>
  </si>
  <si>
    <t>Lighting layout for 3.3 Switch Gear Building Of PU4 Outdoor Substaion</t>
  </si>
  <si>
    <t>6.4.24</t>
  </si>
  <si>
    <t xml:space="preserve">Lighting layout for 33 KV Switch Gear Building Of 33 KV Station </t>
  </si>
  <si>
    <t>6.4.25</t>
  </si>
  <si>
    <t>Lighting layout for 33 KV Station Guard House</t>
  </si>
  <si>
    <t>6.4.26</t>
  </si>
  <si>
    <t>Lighting layout for 33 KV Station Diesel Generator Building</t>
  </si>
  <si>
    <t>Area Earthing Layout</t>
  </si>
  <si>
    <t>6.5.1</t>
  </si>
  <si>
    <t>Overal Earthing Layout for Gachsaran D.E.</t>
  </si>
  <si>
    <t>6.5.2</t>
  </si>
  <si>
    <t>Overal Earthing Layout for Gachsaran PU4 Extension Area</t>
  </si>
  <si>
    <t>6.5.3</t>
  </si>
  <si>
    <t>Overal Earthing Layout for Gachsaran outdoor substation</t>
  </si>
  <si>
    <t>6.5.4</t>
  </si>
  <si>
    <t>Overal Earthing Layout for 33kv station</t>
  </si>
  <si>
    <t>Buildings Earthing Layout</t>
  </si>
  <si>
    <t>6.6.1</t>
  </si>
  <si>
    <t>Earthing Layout for Substations Gachsaran D.E.</t>
  </si>
  <si>
    <t>6.6.2</t>
  </si>
  <si>
    <t>Earthing Layout for Substations 33kv station</t>
  </si>
  <si>
    <t>6.6.3</t>
  </si>
  <si>
    <t>Earthing Layout for Substations Gachsaran out door substation</t>
  </si>
  <si>
    <t>6.6.4</t>
  </si>
  <si>
    <t>Earthing Layout for Control Room</t>
  </si>
  <si>
    <t>6.6.5</t>
  </si>
  <si>
    <t>Earthing Layout for Chemical Shelter</t>
  </si>
  <si>
    <t>6.6.6</t>
  </si>
  <si>
    <t>Earthing Layout for Pump Shelter</t>
  </si>
  <si>
    <t>Hazardous Area Classification</t>
  </si>
  <si>
    <t>6.7.1</t>
  </si>
  <si>
    <t>Hazardous Area Classification for Gachsaran D.E.4</t>
  </si>
  <si>
    <t>6.7.2</t>
  </si>
  <si>
    <t>Hazardous Area Classification for Gachsaran P.U.4</t>
  </si>
  <si>
    <t>M.R , M.T.O, and T.B.E.</t>
  </si>
  <si>
    <t>M.T.O.(s)</t>
  </si>
  <si>
    <t>7.1.1</t>
  </si>
  <si>
    <t>M.T.O. for Cables and Bulk</t>
  </si>
  <si>
    <t>7.1.2</t>
  </si>
  <si>
    <t>M.T.O for cables</t>
  </si>
  <si>
    <t>7.1.3</t>
  </si>
  <si>
    <t>M.T.O for cables of out door substation</t>
  </si>
  <si>
    <t>7.1.4</t>
  </si>
  <si>
    <t>M.T.O for cables of 33kv station</t>
  </si>
  <si>
    <t>7.1.5</t>
  </si>
  <si>
    <t>M.T.O for Earthing &amp; lightning equipment</t>
  </si>
  <si>
    <t>7.1.6</t>
  </si>
  <si>
    <t>MTO for tower &amp;gantry for 33kv transmission line</t>
  </si>
  <si>
    <t>7.1.7</t>
  </si>
  <si>
    <t>MTO for Transmission Lines</t>
  </si>
  <si>
    <t>7.1.8</t>
  </si>
  <si>
    <t>MTO for NGR</t>
  </si>
  <si>
    <t>7.1.9</t>
  </si>
  <si>
    <t>MTO for Capacitor Banks</t>
  </si>
  <si>
    <t>M.R.(s)</t>
  </si>
  <si>
    <t>7.2.1</t>
  </si>
  <si>
    <t>M.R. for UPS &amp; DC System</t>
  </si>
  <si>
    <t>7.2.2</t>
  </si>
  <si>
    <t>M.R. for  Transformer</t>
  </si>
  <si>
    <t>7.2.3</t>
  </si>
  <si>
    <t>M.R. for Diesel Generator</t>
  </si>
  <si>
    <t>7.2.4</t>
  </si>
  <si>
    <t xml:space="preserve">M.R. for control &amp; protection panels </t>
  </si>
  <si>
    <t>7.2.5</t>
  </si>
  <si>
    <t>M.R. for LV/MV Switchgears</t>
  </si>
  <si>
    <t>7.2.6</t>
  </si>
  <si>
    <t>M.R. for Capacitor Bank</t>
  </si>
  <si>
    <t>7.2.7</t>
  </si>
  <si>
    <t>M.R. for  Cables</t>
  </si>
  <si>
    <t>7.2.8</t>
  </si>
  <si>
    <t>M.R. for  Lighting Panel</t>
  </si>
  <si>
    <t>7.2.9</t>
  </si>
  <si>
    <t>M.R. for Cable Gland &amp; LCS</t>
  </si>
  <si>
    <t>7.2.10</t>
  </si>
  <si>
    <t>M.R. for cable tray &amp; ladder</t>
  </si>
  <si>
    <t>7.2.11</t>
  </si>
  <si>
    <t>M.R. for Electrical Bulk Material</t>
  </si>
  <si>
    <t>7.2.12</t>
  </si>
  <si>
    <t>M.R. for  Lighting Material</t>
  </si>
  <si>
    <t>7.2.13</t>
  </si>
  <si>
    <t xml:space="preserve">M.R for Neutral Earthing Resistor </t>
  </si>
  <si>
    <t>7.2.14</t>
  </si>
  <si>
    <t xml:space="preserve">M.R for bus duct </t>
  </si>
  <si>
    <t>T.B.E.(s)</t>
  </si>
  <si>
    <t>7.3.1</t>
  </si>
  <si>
    <t>T.B.E. for UPS &amp; battery charger</t>
  </si>
  <si>
    <t>7.3.2</t>
  </si>
  <si>
    <t>T.B.E. for  Transformer</t>
  </si>
  <si>
    <t>7.3.3</t>
  </si>
  <si>
    <t>T.B.E. for Diesel Generator</t>
  </si>
  <si>
    <t>7.3.4</t>
  </si>
  <si>
    <t>T.B.E. for Main LV/MV Switchgears</t>
  </si>
  <si>
    <t>7.3.5</t>
  </si>
  <si>
    <t>T.B.E. for bus duct</t>
  </si>
  <si>
    <t>7.3.6</t>
  </si>
  <si>
    <t>T.B.E. for  Cable</t>
  </si>
  <si>
    <t>7.3.7</t>
  </si>
  <si>
    <t>T.B.E for Cable Gland &amp; LCS</t>
  </si>
  <si>
    <t>Review of technical document ups &amp; battery charger</t>
  </si>
  <si>
    <t>Review of technical document for transformers</t>
  </si>
  <si>
    <t>Review of technical document for diesel generator</t>
  </si>
  <si>
    <t>Review of technical document for LV/MV switchgear</t>
  </si>
  <si>
    <t>Review of technical document for bus duct</t>
  </si>
  <si>
    <t>Review of technical document for cable</t>
  </si>
  <si>
    <t>Review of technical document for gland &amp; LCS</t>
  </si>
  <si>
    <t>Specification for  Radio System</t>
  </si>
  <si>
    <t>specification for telephony and paging system</t>
  </si>
  <si>
    <t>Telecom typical installation Detail</t>
  </si>
  <si>
    <t>Data sheet for Telecom Equipment</t>
  </si>
  <si>
    <t>Paging Calculation</t>
  </si>
  <si>
    <t>Buildings Telecom Block Diagram</t>
  </si>
  <si>
    <t>telephone system block diagram</t>
  </si>
  <si>
    <t>paging system block diagram</t>
  </si>
  <si>
    <t>Buildings Telecom. system Layout</t>
  </si>
  <si>
    <t>Telephone andpaging Layout for Control &amp;Telecommunication Building</t>
  </si>
  <si>
    <t>Telephone andpaging Layout for DE4 Guard House</t>
  </si>
  <si>
    <t xml:space="preserve">Telephone andpaging Layout for DE4 Substation Building </t>
  </si>
  <si>
    <t xml:space="preserve">Telephone andpaging Layout Extension For PU4 Switchgear Room </t>
  </si>
  <si>
    <t>Telephone andpaging Layout For Accommodation Building in PU4</t>
  </si>
  <si>
    <t xml:space="preserve">Telephone andpaging Layout for Laboratory </t>
  </si>
  <si>
    <t>Telephone andpaging Layout for Work Shop</t>
  </si>
  <si>
    <t xml:space="preserve">Telephone andpaging Layout fo33 KV Switch Gear Building Of 33 KV Station </t>
  </si>
  <si>
    <t>Telephone andpaging Layout fo33 KV Station Guard House</t>
  </si>
  <si>
    <t>Site Telecom. system Layout &amp; List</t>
  </si>
  <si>
    <t>Telecom equipment layout drawing for Desalting Unit</t>
  </si>
  <si>
    <t>Telecom equipment layout drawing for Production Unit Extension</t>
  </si>
  <si>
    <t>Telecom system cable routing drawing for Desalting Unit</t>
  </si>
  <si>
    <t>Telecom system cable routing drawing for Production Unit Extension</t>
  </si>
  <si>
    <t>Telecom system Cable list for Desalting Unit</t>
  </si>
  <si>
    <t>Telecom system Cable list for Production Unit Extension</t>
  </si>
  <si>
    <t>MTO</t>
  </si>
  <si>
    <t>M.T.O. for Telephone system</t>
  </si>
  <si>
    <t>M.T.O.  for Paging System</t>
  </si>
  <si>
    <t>M.T.O. for Radio system</t>
  </si>
  <si>
    <t>M.T.O. for Telephone Cable</t>
  </si>
  <si>
    <t>M.R. for Telephone system</t>
  </si>
  <si>
    <t>M.R. for Paging/Intercom</t>
  </si>
  <si>
    <t>M.R. for Radio system</t>
  </si>
  <si>
    <t>T.B.E. for Telephone system</t>
  </si>
  <si>
    <t>T.B.E. for Paging/Intercom</t>
  </si>
  <si>
    <t>T.B.E. for Radio system</t>
  </si>
  <si>
    <t>Review of technical document of Telephone System</t>
  </si>
  <si>
    <t>Review of technical document of Paging/Intercom System</t>
  </si>
  <si>
    <t>Review of technical document of Radio System</t>
  </si>
  <si>
    <t>1-.3</t>
  </si>
  <si>
    <t>Specifications and Design Criteria</t>
  </si>
  <si>
    <t>Design Criteria for Civil Works</t>
  </si>
  <si>
    <t>Specification for Earth Works</t>
  </si>
  <si>
    <t>Specification for Grading and slope protection</t>
  </si>
  <si>
    <t>Specification for fence and gate</t>
  </si>
  <si>
    <t>Specification for Sanitary sewer</t>
  </si>
  <si>
    <t>Specification for Sewers, Drainage and Underground Systems</t>
  </si>
  <si>
    <t xml:space="preserve">Specification for paving </t>
  </si>
  <si>
    <t xml:space="preserve">Scope of work for Geotechnic </t>
  </si>
  <si>
    <t>Scope Of Surveying Work For EPC Contractor</t>
  </si>
  <si>
    <t>مشخصات فني فضاي سبز پروژه</t>
  </si>
  <si>
    <t>شرح خدمات فضاي سبز پروژه</t>
  </si>
  <si>
    <t>Specification for potable water treatment package</t>
  </si>
  <si>
    <t>Specification for sanitary wastewater treatment package</t>
  </si>
  <si>
    <t>Specification for Fireproofing</t>
  </si>
  <si>
    <t>Roeport on civil material selection</t>
  </si>
  <si>
    <t>Typical and standard Drawings</t>
  </si>
  <si>
    <t>Typical Civil Detail Drawing</t>
  </si>
  <si>
    <t>Typical Evaporation Pond Drawing</t>
  </si>
  <si>
    <t>Typical Fencing Detail Drawing</t>
  </si>
  <si>
    <t>Typical Irrigation Ditch Crossing For Pipelines</t>
  </si>
  <si>
    <t>Typical Detail For  Crossing Of Existing Facilities</t>
  </si>
  <si>
    <t>Typical  Details For Watercourse And Minor Stream Crossing</t>
  </si>
  <si>
    <t>Typical  Details For Warning Slab &amp; Bearing Slab</t>
  </si>
  <si>
    <t>Typical  Details For R.O.W. Sections - Single Pipeline</t>
  </si>
  <si>
    <t>Typical  Details For Major And Minor Road Crossing</t>
  </si>
  <si>
    <t>Typical  Pipeline Details For Continuous Concrete Coating</t>
  </si>
  <si>
    <t>Typical  Pipeline Details For Irish Crossing</t>
  </si>
  <si>
    <t>Typical  Pipeline Details For Pipeline Marker</t>
  </si>
  <si>
    <t>Typical  Details For  Existing Above Ground Pipelines Crossing</t>
  </si>
  <si>
    <t>Typical  Details For Anchor Block</t>
  </si>
  <si>
    <t>Typical Pipeline detail for Set on weight</t>
  </si>
  <si>
    <t>Typical Culvert Details For Pipelines</t>
  </si>
  <si>
    <t>Typical Detail for Stoppage - Backfill on Slope(Pipeline Hillside Anchor)</t>
  </si>
  <si>
    <t>Typical Detail for Gabion</t>
  </si>
  <si>
    <t>Typical Road Cross Section for Access Earth Road</t>
  </si>
  <si>
    <t>Standard Civil Drawing for U.G.</t>
  </si>
  <si>
    <t>Plan and Profile for Pipeline and Transition line</t>
  </si>
  <si>
    <t>Plan and profile  for Production Unit-4 to Desalting Unit-4 Salty/Desalted crude oil</t>
  </si>
  <si>
    <t>Plan and profile  for Kheirabad Raw water</t>
  </si>
  <si>
    <t>Plan and profile  for Lishter Raw water</t>
  </si>
  <si>
    <t>Plan and profile  for Waste Water Lines from DE-4 to inhjection wells</t>
  </si>
  <si>
    <t>Plan and profile  for Waste Water Lines from PU4 to DE4</t>
  </si>
  <si>
    <t>Plan and profile  for Gachsaran-2 to Gachsaran-3 Crade Oil Line</t>
  </si>
  <si>
    <t>Plan and profile for power tranmission line</t>
  </si>
  <si>
    <t>Civil Document for Gachsaran-4 Desalting Unit</t>
  </si>
  <si>
    <t>Topogeraphical drawing for Desalting unit-4 Area</t>
  </si>
  <si>
    <t>Topographical drawing for Offsite</t>
  </si>
  <si>
    <t>Rough Grading Plan for Gachsarn-4 Desalting unit</t>
  </si>
  <si>
    <t>Rough Grading Plan for cold flare</t>
  </si>
  <si>
    <t>Rough Grading Plan for flare</t>
  </si>
  <si>
    <t>Rough Grading Plan for burn pit</t>
  </si>
  <si>
    <t>Rough Grading Plan for Evaporation pond</t>
  </si>
  <si>
    <t>Finished Grading Plan for Gachsarn-4 Desalting unit</t>
  </si>
  <si>
    <t>Finished Grading Plan for cold flare</t>
  </si>
  <si>
    <t>Finished Grading Plan for flare</t>
  </si>
  <si>
    <t>Finished Grading Plan for burn pit</t>
  </si>
  <si>
    <t>Finished Grading Plan for Evaporation pond</t>
  </si>
  <si>
    <t>Horizontal And Vertical Alignment Plan for Gachsarn-4 Desalting unit</t>
  </si>
  <si>
    <t>Civil details for Gachsarn-4 Desalting unit</t>
  </si>
  <si>
    <t>Civil details for burn pit</t>
  </si>
  <si>
    <t>Civil details for Evaporation pond</t>
  </si>
  <si>
    <t>Civil details for overal area of Gachsarn-4 Deslating unit complex</t>
  </si>
  <si>
    <t>Typical Drawing for Fence and Gate details</t>
  </si>
  <si>
    <t>Fence and Gate plan for Gachsarn-4 Desalting unit</t>
  </si>
  <si>
    <t>4.20</t>
  </si>
  <si>
    <t>Fence and Gate plan for cold flare</t>
  </si>
  <si>
    <t>Fence and Gate plan for flare</t>
  </si>
  <si>
    <t>Fence and Gate plan for burn pit</t>
  </si>
  <si>
    <t>Fence and Gate plan for Evaporation pond</t>
  </si>
  <si>
    <t>Fence and Gate plan for overal area of Gachsarn-4 Deslating unit complex</t>
  </si>
  <si>
    <t>Road Section and detail for Gachsarn-4 Desalting unit Roads</t>
  </si>
  <si>
    <t>Road Section and detail for Gachsarn-4 Desalting unit Access Road</t>
  </si>
  <si>
    <t>Road Section and detail for Gachsarn-4 Desalting unit Patrol Road</t>
  </si>
  <si>
    <t>Road Section and detail for cold flare Roads</t>
  </si>
  <si>
    <t>Road Section and detail for flare Roads</t>
  </si>
  <si>
    <t>4.30</t>
  </si>
  <si>
    <t>Road Section and detail for Evaporation pond</t>
  </si>
  <si>
    <t>Road Section and detail for overal area of Gachsarn-4 Deslating unit complex</t>
  </si>
  <si>
    <t>Roads Longitudinal Profiles for Gachsarn-4 Desalting unit Roads</t>
  </si>
  <si>
    <t>Roads Longitudinal Profiles for Gachsarn-4 Desalting unit Access Road</t>
  </si>
  <si>
    <t>Roads Longitudinal Profiles for Gachsarn-4 Desalting unit Patrol Road</t>
  </si>
  <si>
    <t>Roads Longitudinal Profiles for cold flare Roads</t>
  </si>
  <si>
    <t>Roads Longitudinal Profiles for flare Roads</t>
  </si>
  <si>
    <t>Roads Longitudinal Profiles for Evaporation pond</t>
  </si>
  <si>
    <t>Roads Longitudinal Profiles for overal area of Gachsarn-4 Deslating unit complex</t>
  </si>
  <si>
    <t>Pipe Sleeper Sections And Details</t>
  </si>
  <si>
    <t>4.40</t>
  </si>
  <si>
    <t>U.G. Composite and Civil Detail Layout for DE-4</t>
  </si>
  <si>
    <t>Sanitary Manhole Section And Details</t>
  </si>
  <si>
    <t>Stormwater Drainage System Layout  for DE-4</t>
  </si>
  <si>
    <t>Channel Section and Details</t>
  </si>
  <si>
    <t>Septic Tank Section And Details</t>
  </si>
  <si>
    <t>Oily Water Separator Section And Details</t>
  </si>
  <si>
    <t>Burn pit Section And Details</t>
  </si>
  <si>
    <t>IGF Pit Section And Details</t>
  </si>
  <si>
    <t>Evaporation Pond Rough Grading Plan</t>
  </si>
  <si>
    <t>Pipe Way Section And Details</t>
  </si>
  <si>
    <t>4.50</t>
  </si>
  <si>
    <t>Duct Bank Section And Details</t>
  </si>
  <si>
    <t xml:space="preserve">Valve Pit Section And Details </t>
  </si>
  <si>
    <t>Off-site Storm watewr drainage plan</t>
  </si>
  <si>
    <t>Paving plan for Desalting Unit</t>
  </si>
  <si>
    <t>Foundation Location Plan for Desalting Unit</t>
  </si>
  <si>
    <t>Road crossing detail, plan and section</t>
  </si>
  <si>
    <t>Drawing for Retainig Structure</t>
  </si>
  <si>
    <t>Civil Document for Gachsaran-4 Production Unit Unit</t>
  </si>
  <si>
    <t>Topogeraphical drawing for Production unit-4 (Existing Unit)</t>
  </si>
  <si>
    <t>Topogeraphical drawing for Production unit-4 (extension Area)</t>
  </si>
  <si>
    <t>Rough Grading Plan for Gachsaran-4 Production Unit Extension</t>
  </si>
  <si>
    <t>Finished Grading Plan for Gachsaran-4 Production Unit Extension</t>
  </si>
  <si>
    <t>Horizontal And Vertical Alignment Plan for Gachsaran-4 Production Unit Extension</t>
  </si>
  <si>
    <t>Civil details for Gachsaran-4 Production Unit Extension</t>
  </si>
  <si>
    <t>Fence and Gate details for Gachsaran-4 Production Unit Extension</t>
  </si>
  <si>
    <t>Road Section and detail for Gachsaran-4 Production Unit Extension</t>
  </si>
  <si>
    <t>Roads Longitudinal Profiles for Gachsaran-4 Production Unit Extension</t>
  </si>
  <si>
    <t>U.G. Composite and Civil Detail Layout for Gachsaran-4 Production Unit Extension</t>
  </si>
  <si>
    <t>Stormwater Drainage System Layout  for Gachsaran-4 Production Unit Extension</t>
  </si>
  <si>
    <t>Paving plan for Gachsaran-4 Production Unit Extension</t>
  </si>
  <si>
    <t>Foundation Location Plan for Gachsaran-4 Production Unit Extension</t>
  </si>
  <si>
    <t>Calculation for Storm Water Network</t>
  </si>
  <si>
    <t>Calculation for oily water</t>
  </si>
  <si>
    <t>Calculation for Earthwork volumes</t>
  </si>
  <si>
    <t>Calculation for Paving Design</t>
  </si>
  <si>
    <t>Calculation for Retainig Structure</t>
  </si>
  <si>
    <t>Civil Document for Gachsaran-3  33 Kv Station</t>
  </si>
  <si>
    <t>Rough Grading Plan for Gachsaran-3  33KV Station</t>
  </si>
  <si>
    <t>Finished Grading Plan for Gachsaran-3  33KV Station</t>
  </si>
  <si>
    <t>Horizontal And Vertical Alignment Plan for Gachsaran-3  33KV Station</t>
  </si>
  <si>
    <t>Civil details for Gachsaran-3  33KV Station</t>
  </si>
  <si>
    <t>Fence and Gate details for Gachsaran-3  33KV Station</t>
  </si>
  <si>
    <t>Road Section and detail for Gachsaran-3  33KV Station</t>
  </si>
  <si>
    <t>Roads Longitudinal Profiles for Gachsaran-3  33KV Station</t>
  </si>
  <si>
    <t>Paving plan for Gachsaran-3  33KV Station</t>
  </si>
  <si>
    <t>Civil Document for Gachsaran-4  33/3.45 Kv Station</t>
  </si>
  <si>
    <t>Topogeraphical drawing for Gachsaran-4 33KV Outdoor Station</t>
  </si>
  <si>
    <t>Rough Grading Plan for Gachsaran-4 33KV Outdoor Station</t>
  </si>
  <si>
    <t>Finished Grading Plan for Gachsaran-4 33KV Outdoor Station</t>
  </si>
  <si>
    <t>Horizontal And Vertical Alignment Plan for Gachsaran-4 33KV Outdoor Station</t>
  </si>
  <si>
    <t>Civil details for Gachsaran-4 33KV Outdoor Station</t>
  </si>
  <si>
    <t>Fence and Gate details for Gachsaran-4 33KV Outdoor Station</t>
  </si>
  <si>
    <t>Road Section and detail for Gachsaran-4 33KV Outdoor Station</t>
  </si>
  <si>
    <t>Roads Longitudinal Profiles for Gachsaran-4 33KV Outdoor Station</t>
  </si>
  <si>
    <t>Paving Plan for Gachsaran-4 33KV Outdoor Station</t>
  </si>
  <si>
    <t>Building Specification</t>
  </si>
  <si>
    <t>General Drawings</t>
  </si>
  <si>
    <t>Gachsaran-4 Deadsalting Unit Buildings</t>
  </si>
  <si>
    <t xml:space="preserve">Architectural drawing-Phase 1 </t>
  </si>
  <si>
    <t>3.1.1</t>
  </si>
  <si>
    <t>Architectural drawing-Phase 1 for Air Compressor Room &amp; Emergency Diesel Generator Building</t>
  </si>
  <si>
    <t>3.1.2</t>
  </si>
  <si>
    <t>Architectural drawing-Phase 1 for Control &amp;Telecommunication Building</t>
  </si>
  <si>
    <t>3.1.3</t>
  </si>
  <si>
    <t>Architectural drawing-Phase 1 for Guard House</t>
  </si>
  <si>
    <t>3.1.4</t>
  </si>
  <si>
    <t xml:space="preserve">Architectural drawing-Phase 1 for DE4 Substation Building </t>
  </si>
  <si>
    <t>3.1.5</t>
  </si>
  <si>
    <t>Architectural drawing-Phase 1 for DE4 Parking Shelter</t>
  </si>
  <si>
    <t>3.1.6</t>
  </si>
  <si>
    <t>Architectural drawing-Phase 1 for DE4 Chemical storage shelter no.1</t>
  </si>
  <si>
    <t>3.1.7</t>
  </si>
  <si>
    <t>Architectural drawing-Phase 1 for DE4 Chemical storage shelter no.2</t>
  </si>
  <si>
    <t>3.1.8</t>
  </si>
  <si>
    <t>Architectural drawing-Phase 1 for Chemical injection package shelter no.1</t>
  </si>
  <si>
    <t>3.1.9</t>
  </si>
  <si>
    <t>Architectural drawing-Phase 1 for Chemical injection package shelter no.2</t>
  </si>
  <si>
    <t>3.1.10</t>
  </si>
  <si>
    <t>Architectural drawing-Phase 1 for Process Pumps shelter</t>
  </si>
  <si>
    <t>3.1.11</t>
  </si>
  <si>
    <t>Architectural drawing-Phase 1 for Dilution Water Pumps shelter</t>
  </si>
  <si>
    <t>3.1.12</t>
  </si>
  <si>
    <t>Architectural drawing-Phase 1 for Waste Water Pumps shelter</t>
  </si>
  <si>
    <t>3.1.13</t>
  </si>
  <si>
    <t>Architectural drawing-Phase 1 for Dearated Water Pumps shelter</t>
  </si>
  <si>
    <t>3.1.14</t>
  </si>
  <si>
    <t>Architectural drawing-Phase 1 for Fire Water Pumps shelter</t>
  </si>
  <si>
    <t>3.1.15</t>
  </si>
  <si>
    <t>Architectural drawing-Phase 1 for Fire extinguisher shelter</t>
  </si>
  <si>
    <t>3.1.16</t>
  </si>
  <si>
    <t>Architectural drawing-Phase 1 for Foam Storage Building</t>
  </si>
  <si>
    <t>3.1.17</t>
  </si>
  <si>
    <t>Architectural drawing-Phase 1 for Consumable Storage Building</t>
  </si>
  <si>
    <t>Architectural drawing-Phase 2</t>
  </si>
  <si>
    <t>3.2.1</t>
  </si>
  <si>
    <t>Architectural drawing-Phase 2 for Air Compressor Room &amp; Emergency Diesel Generator Building</t>
  </si>
  <si>
    <t>3.2.2</t>
  </si>
  <si>
    <t>Architectural drawing-Phase 2 for Control &amp;Telecommunication Building</t>
  </si>
  <si>
    <t>3.2.3</t>
  </si>
  <si>
    <t>Architectural drawing-Phase 2 for Guard House</t>
  </si>
  <si>
    <t>3.2.4</t>
  </si>
  <si>
    <t xml:space="preserve">Architectural drawing-Phase 2 for DE4 Substation Building </t>
  </si>
  <si>
    <t>3.2.5</t>
  </si>
  <si>
    <t>Architectural drawing-Phase 2 for DE4 Parking Shelter</t>
  </si>
  <si>
    <t>3.2.6</t>
  </si>
  <si>
    <t>Architectural drawing-Phase 2 for DE4 Chemical storage shelter no.1</t>
  </si>
  <si>
    <t>3.2.7</t>
  </si>
  <si>
    <t>Architectural drawing-Phase 2 for DE4 Chemical storage shelter no.2</t>
  </si>
  <si>
    <t>3.2.8</t>
  </si>
  <si>
    <t>Architectural drawing-Phase 2 for Chemical injection package shelter no.1</t>
  </si>
  <si>
    <t>3.2.9</t>
  </si>
  <si>
    <t>Architectural drawing-Phase 2 for Chemical injection package shelter no.2</t>
  </si>
  <si>
    <t>3.2.10</t>
  </si>
  <si>
    <t>Architectural drawing-Phase 2 for Process Pumps shelter</t>
  </si>
  <si>
    <t>3.2.11</t>
  </si>
  <si>
    <t>Architectural drawing-Phase 2 for Dilution Water Pumps shelter</t>
  </si>
  <si>
    <t>3.2.12</t>
  </si>
  <si>
    <t>Architectural drawing-Phase 2 for Waste Water Pumps shelter</t>
  </si>
  <si>
    <t>3.2.13</t>
  </si>
  <si>
    <t>Architectural drawing-Phase 2 for Dearated Water Pumps shelter</t>
  </si>
  <si>
    <t>3.2.14</t>
  </si>
  <si>
    <t>Architectural drawing-Phase 2 for Fire Water Pumps shelter</t>
  </si>
  <si>
    <t>3.2.15</t>
  </si>
  <si>
    <t>Architectural drawing-Phase 2 for Fire extinguisher shelter</t>
  </si>
  <si>
    <t>Architectural drawing-Phase 2 for Foam Storage Building</t>
  </si>
  <si>
    <t>Architectural drawing-Phase 2 for Consumable Storage Building</t>
  </si>
  <si>
    <t>Gachsaran-4Production Unit Buildings</t>
  </si>
  <si>
    <t xml:space="preserve">Architectural drawing-Phase 1 Extension For PU4 Switchgear Room </t>
  </si>
  <si>
    <t>Architectural drawing-Phase 1 Extension Of Control Building For PU4</t>
  </si>
  <si>
    <t>Architectural drawing-Phase 1 for pump shelter in production units</t>
  </si>
  <si>
    <t>Architectural drawing-Phase 1 for Chemical storage shelter in production units</t>
  </si>
  <si>
    <t>Architectural drawing-Phase 1 for Chemical injection package shelter in production units</t>
  </si>
  <si>
    <t>Architectural drawing-Phase 1 For Accommodation Building</t>
  </si>
  <si>
    <t xml:space="preserve">Architectural drawing-Phase 1 for Air Compressor Room </t>
  </si>
  <si>
    <t xml:space="preserve">Architectural drawing-Phase 2 </t>
  </si>
  <si>
    <t xml:space="preserve">Architectural drawing-Phase 2 Extension of PU4 Switchgear Room </t>
  </si>
  <si>
    <t>Architectural drawing-Phase 2 Extension Of Control Building For PU4</t>
  </si>
  <si>
    <t>Architectural drawing-Phase 2 for pump shelter in production units</t>
  </si>
  <si>
    <t>Architectural drawing-Phase 2 for Chemical storage shelter in production units</t>
  </si>
  <si>
    <t>Architectural drawing-Phase 2 for Chemical injection package shelter in production units</t>
  </si>
  <si>
    <t>Architectural drawing-Phase 2 For Accommodation Building</t>
  </si>
  <si>
    <t xml:space="preserve">Architectural drawing-Phase 2 for Air Compressor Room </t>
  </si>
  <si>
    <t>Off-Site Buildings</t>
  </si>
  <si>
    <t>5.1.1</t>
  </si>
  <si>
    <t xml:space="preserve">Architectural drawing-Phase 1 for Laboratory </t>
  </si>
  <si>
    <t>5.1.2</t>
  </si>
  <si>
    <t>Architectural drawing-Phase 1 for Work Shop</t>
  </si>
  <si>
    <t>5.1.3</t>
  </si>
  <si>
    <t>Architectural drawing-Phase 1 for 3.3 Switch Gear Building Of PU4 Outdoor Substaion</t>
  </si>
  <si>
    <t>5.1.4</t>
  </si>
  <si>
    <t xml:space="preserve">Architectural drawing-Phase 1 for 33 KV Switch Gear Building Of 33 KV Station </t>
  </si>
  <si>
    <t>5.1.5</t>
  </si>
  <si>
    <t>Architectural drawing-Phase 1 for 33 KV Station Guard House</t>
  </si>
  <si>
    <t>5.1.6</t>
  </si>
  <si>
    <t>Architectural drawing-Phase 1 for 33 KV Station Diesel Generator Building</t>
  </si>
  <si>
    <t>5.2.1</t>
  </si>
  <si>
    <t xml:space="preserve">Architectural drawing-Phase 2 for Laboratory </t>
  </si>
  <si>
    <t>5.2.2</t>
  </si>
  <si>
    <t>Architectural drawing-Phase 2 for Work Shop</t>
  </si>
  <si>
    <t>5.2.3</t>
  </si>
  <si>
    <t>Architectural drawing-Phase 2 fo3.3 Switch Gear Building Of PU4 Outdoor Substaion</t>
  </si>
  <si>
    <t>5.2.4</t>
  </si>
  <si>
    <t xml:space="preserve">Architectural drawing-Phase 2 fo33 KV Switch Gear Building Of PU3  33 KV Station </t>
  </si>
  <si>
    <t>5.2.5</t>
  </si>
  <si>
    <t>Architectural drawing-Phase 2 for 33 KV Station Guard House</t>
  </si>
  <si>
    <t>5.2.6</t>
  </si>
  <si>
    <t>Architectural drawing-Phase 2 for 33 KV Station Diesel Generator Building</t>
  </si>
  <si>
    <t>Report onarchitectural material selection</t>
  </si>
  <si>
    <t>Structural &amp; Buildings Document</t>
  </si>
  <si>
    <t>Design Criteria for Steel Structure</t>
  </si>
  <si>
    <t>Design Criteria for Concrete Structure</t>
  </si>
  <si>
    <t>Design Criteria for Loads &amp; Forces</t>
  </si>
  <si>
    <t>Specification for Powerline transition structure</t>
  </si>
  <si>
    <t>Specification for Grouting</t>
  </si>
  <si>
    <t>Specification for Structural Concrete Works</t>
  </si>
  <si>
    <t>Specification for Structural Steel Fabrication</t>
  </si>
  <si>
    <t>Specification for Structural Steel Erection</t>
  </si>
  <si>
    <t>Specification for Anchor bolts</t>
  </si>
  <si>
    <t>Testing &amp; Inspection Procedure for Concrete Works</t>
  </si>
  <si>
    <t>Testing &amp; Inspection Procedure for Steel Works</t>
  </si>
  <si>
    <t>Typical Structural Detail Drawing</t>
  </si>
  <si>
    <t>1.11</t>
  </si>
  <si>
    <t>Report on overhead crane bridge design</t>
  </si>
  <si>
    <t>Report on structural material selection</t>
  </si>
  <si>
    <t>Foundations Calculation</t>
  </si>
  <si>
    <t>Buildings foundations Calculation</t>
  </si>
  <si>
    <t>Foundation Calculation for DE4 Air Compressor Room &amp; Emergency Diesel Generator Building</t>
  </si>
  <si>
    <t>Foundation Calculation for Control &amp;Telecommunication Building</t>
  </si>
  <si>
    <t>2.1.3</t>
  </si>
  <si>
    <t>Foundation Calculation for DE4 Guard House</t>
  </si>
  <si>
    <t>2.1.4</t>
  </si>
  <si>
    <t xml:space="preserve">Foundation Calculation for DE4 Substation Building </t>
  </si>
  <si>
    <t>2.1.5</t>
  </si>
  <si>
    <t>Foundation Calculation for DE4 for Foam Storage Building</t>
  </si>
  <si>
    <t>2.1.6</t>
  </si>
  <si>
    <t>Foundation Calculation for DE4 for Consumable Storage Building</t>
  </si>
  <si>
    <t>2.1.7</t>
  </si>
  <si>
    <t xml:space="preserve">Foundation Calculation Extension For PU4 Switchgear Room </t>
  </si>
  <si>
    <t>2.1.8</t>
  </si>
  <si>
    <t>Foundation Calculation For Accommodation Building in PU4</t>
  </si>
  <si>
    <t>2.1.9</t>
  </si>
  <si>
    <t>Foundation Calculation for Air Compressor Room in PU4</t>
  </si>
  <si>
    <t>2.1.10</t>
  </si>
  <si>
    <t xml:space="preserve">Foundation Calculation for Laboratory </t>
  </si>
  <si>
    <t>2.1.11</t>
  </si>
  <si>
    <t>Foundation Calculation for Work Shop</t>
  </si>
  <si>
    <t>2.1.12</t>
  </si>
  <si>
    <t>Foundation Calculation fo3.3 Switch Gear Building Of PU4 Outdoor Substaion</t>
  </si>
  <si>
    <t>2.1.13</t>
  </si>
  <si>
    <t xml:space="preserve">Foundation Calculation fo33 KV Switch Gear Building Of 33 KV Station </t>
  </si>
  <si>
    <t>2.1.14</t>
  </si>
  <si>
    <t>Foundation Calculation fo33 KV Station Guard House</t>
  </si>
  <si>
    <t>2.1.15</t>
  </si>
  <si>
    <t>Foundation Calculation fo33 KV Station Diesel Generator Building</t>
  </si>
  <si>
    <t>Shelters foundations Calculation</t>
  </si>
  <si>
    <t>2.2.1</t>
  </si>
  <si>
    <t>Foundation Calculation for DE4 Parking Shelter</t>
  </si>
  <si>
    <t>2.2.2</t>
  </si>
  <si>
    <t>Foundation Calculation for DE4 Chemical storage shelter no.1</t>
  </si>
  <si>
    <t>2.2.3</t>
  </si>
  <si>
    <t>Foundation Calculation for DE4 Chemical storage shelter no.2</t>
  </si>
  <si>
    <t>2.2.4</t>
  </si>
  <si>
    <t>Foundation Calculation for DE4 Chemical injection package shelter no.1</t>
  </si>
  <si>
    <t>2.2.5</t>
  </si>
  <si>
    <t>Foundation Calculation for DE4 Chemical injection package shelter no.2</t>
  </si>
  <si>
    <t>2.2.6</t>
  </si>
  <si>
    <t>Foundation Calculation for DE4 Process Pumps shelter</t>
  </si>
  <si>
    <t>2.2.7</t>
  </si>
  <si>
    <t>Foundation Calculation for DE4 Dilution Water Pumps shelter</t>
  </si>
  <si>
    <t>2.2.8</t>
  </si>
  <si>
    <t>Foundation Calculation for DE4 Waste Water Pumps shelter</t>
  </si>
  <si>
    <t>2.2.9</t>
  </si>
  <si>
    <t>Foundation Calculation for DE4 Dearated Water Pumps shelter</t>
  </si>
  <si>
    <t>2.2.10</t>
  </si>
  <si>
    <t>Foundation Calculation for DE4 Fire Water Pumps shelter</t>
  </si>
  <si>
    <t>2.2.11</t>
  </si>
  <si>
    <t>Foundation Calculation for Fire extinguisher shelter</t>
  </si>
  <si>
    <t>2.2.12</t>
  </si>
  <si>
    <t>Foundation Calculation for pump shelter in PU4</t>
  </si>
  <si>
    <t>2.2.13</t>
  </si>
  <si>
    <t>Foundation Calculation for Chemical storage shelter in PU4</t>
  </si>
  <si>
    <t>2.2.14</t>
  </si>
  <si>
    <t>Foundation Calculation for Chemical injection package shelter in PU4</t>
  </si>
  <si>
    <t>Process Packages and Equipment Foundation Calculation</t>
  </si>
  <si>
    <t>Heat Exchanger Foundation Calculation</t>
  </si>
  <si>
    <t>2.3.1.1</t>
  </si>
  <si>
    <t>Foundation Calculation For Salty Crude/Desalted Crude Heat Exchanger(E-001-A/B)</t>
  </si>
  <si>
    <t>2.3.1.2</t>
  </si>
  <si>
    <t>Foundation Calculation For Water/Water Heat Exchanger(E-002-A/B)</t>
  </si>
  <si>
    <t>Foundation Calculation For Crude Oil Indirect Fired Heater(H-001-A1/A2/B1/B2)</t>
  </si>
  <si>
    <t>2.3.3</t>
  </si>
  <si>
    <t>Air Compressors and Dryer Foundation Calculation</t>
  </si>
  <si>
    <t>2.3.3.1</t>
  </si>
  <si>
    <t>Foundation Calculation FOR AIR COMPRESSOR PKG. (PK-401-A/B) &amp; AIR DRYER PKG. (PK-402)</t>
  </si>
  <si>
    <t>2.3.3.2</t>
  </si>
  <si>
    <t>Foundation Calculation For Air COMPRESSOR PKG. (PK-002-A/B) &amp; AIR DRYER PKG. (PK-003)</t>
  </si>
  <si>
    <t>2.3.4</t>
  </si>
  <si>
    <t>Foundation Calculation For Vacuum Deaerator Package</t>
  </si>
  <si>
    <t>2.3.5</t>
  </si>
  <si>
    <t>Flares Foundation Calculation</t>
  </si>
  <si>
    <t>2.3.5.1</t>
  </si>
  <si>
    <t xml:space="preserve">Foundation Calculation For  HOT FLARE </t>
  </si>
  <si>
    <t>2.3.5.2</t>
  </si>
  <si>
    <t>Foundation Calculation For  IGNITION PACKAGE</t>
  </si>
  <si>
    <t>2.3.5.3</t>
  </si>
  <si>
    <t xml:space="preserve">Foundation Calculation For Cold Flare </t>
  </si>
  <si>
    <t>2.3.6</t>
  </si>
  <si>
    <t xml:space="preserve">Foundation Calculation For Desalter Package (PK-001A/B)
</t>
  </si>
  <si>
    <t>2.3.7</t>
  </si>
  <si>
    <t>Waste Water Treatment Packages Foundation Calculation</t>
  </si>
  <si>
    <t>2.3.7.1</t>
  </si>
  <si>
    <t xml:space="preserve"> Foundation Calculation For Nutshell Filter Package(PK-202)</t>
  </si>
  <si>
    <t>2.3.7.2</t>
  </si>
  <si>
    <t>Foundation Calculation For IGF Package (PK-201A/B)</t>
  </si>
  <si>
    <t>2.3.8</t>
  </si>
  <si>
    <t>Injection Packages Foundation Calculation</t>
  </si>
  <si>
    <t>2.3.8.1</t>
  </si>
  <si>
    <t>Foundation Calculation For Demulsifier Injection Package (PK-501)</t>
  </si>
  <si>
    <t>2.3.8.2</t>
  </si>
  <si>
    <t>Foundation Calculation For Oxygen Scavenger Injection Package(PK-503)</t>
  </si>
  <si>
    <t>2.3.8.3</t>
  </si>
  <si>
    <t>Foundation Calculation For Corrosion Inhibitor injection Package(PK-504)</t>
  </si>
  <si>
    <t>2.3.8.4</t>
  </si>
  <si>
    <t>Foundation Calculation For Reverse Demulsifier Injection Package(PK-505)</t>
  </si>
  <si>
    <t>2.3.8.5</t>
  </si>
  <si>
    <t>Foundation Calculation For Biocide Injection Package (Type  A)(PK-506-A)</t>
  </si>
  <si>
    <t>2.3.8.6</t>
  </si>
  <si>
    <t>Foundation Calculation For Anti Scalant Injection Package(PK-507)</t>
  </si>
  <si>
    <t>2.3.8.7</t>
  </si>
  <si>
    <t>Foundation Calculation For Biocide Injection Package (Type B)(PK-506-B)</t>
  </si>
  <si>
    <t>2.3.8.8</t>
  </si>
  <si>
    <t>Foundation Calculation For Demulsifier Injection Package (PK-502-A/B)</t>
  </si>
  <si>
    <t>Pumps Foundation Calculation</t>
  </si>
  <si>
    <t>2.4.1</t>
  </si>
  <si>
    <t>Foundation Calculation For Dilution Water Pump(P-103)</t>
  </si>
  <si>
    <t>2.4.2</t>
  </si>
  <si>
    <t>Foundation Calculation For Potable Water Pump(P-104)</t>
  </si>
  <si>
    <t>2.4.3</t>
  </si>
  <si>
    <t>Foundation Calculation For Waste Water Injection  Pump(P-201-A/B)</t>
  </si>
  <si>
    <t>2.4.4</t>
  </si>
  <si>
    <t>Foundation Calculation For OWS Clean Water Pump(p-703-A/B)</t>
  </si>
  <si>
    <t>2.4.5</t>
  </si>
  <si>
    <t>Foundation Calculation For Diesel Oil Pump(P-801)</t>
  </si>
  <si>
    <t>2.4.6</t>
  </si>
  <si>
    <t>Foundation Calculation For HC Closed Drain Sump Pump(P-702)</t>
  </si>
  <si>
    <t>2.4.7</t>
  </si>
  <si>
    <t>Foundation Calculation For HC Closed Drain Transfer Pump(P-701-A/B)</t>
  </si>
  <si>
    <t>2.4.8</t>
  </si>
  <si>
    <t>Foundation Calculation For Flare K.O. Drum Liquid Pump(P-601-A/B)</t>
  </si>
  <si>
    <t>2.4.9</t>
  </si>
  <si>
    <t>Foundation Calculation for Dilution Water Pumps(P-106-A1/A2)</t>
  </si>
  <si>
    <t>2.4.10</t>
  </si>
  <si>
    <t>Foundation Calculation For Dearated Water Pump(p-102-A/B)</t>
  </si>
  <si>
    <t>2.4.11</t>
  </si>
  <si>
    <t>Foundation Calculation for Dirty Oil Pumps(P-705-A/B)</t>
  </si>
  <si>
    <t>2.4.12</t>
  </si>
  <si>
    <t>Foundation Calculation for Booster Pumps (P-002-A/B)</t>
  </si>
  <si>
    <t>2.4.13</t>
  </si>
  <si>
    <t>Foundation Calculation for Booster Pumps (P-001-A/B)</t>
  </si>
  <si>
    <t>2.4.14</t>
  </si>
  <si>
    <t>Foundation Calculation for Evaporation Pond Pumps(P-706-A/B)</t>
  </si>
  <si>
    <t>2.4.15</t>
  </si>
  <si>
    <t>Foundation Calculation for Free Water Transfer PUMPS (P-005-A/B)</t>
  </si>
  <si>
    <t>2.4.16</t>
  </si>
  <si>
    <t>Foundation Calculation for Dearated Water Pump(p-105)</t>
  </si>
  <si>
    <t>2.4.17</t>
  </si>
  <si>
    <t>Foundation Calculation for Ows Oil Pump(P-704-A/B)</t>
  </si>
  <si>
    <t>2.4.18</t>
  </si>
  <si>
    <t>Foundation Calculation for Oily Water Separator Pump(P-750)</t>
  </si>
  <si>
    <t>2.4.19</t>
  </si>
  <si>
    <t>Foundation Calculation for Waste Water Injection Pump(p-206-A/B/C)</t>
  </si>
  <si>
    <t>2.4.20</t>
  </si>
  <si>
    <t>Foundation Calculation For Off-Spec Pump</t>
  </si>
  <si>
    <t>2.4.21</t>
  </si>
  <si>
    <t>Foundation Calculation For Firewater Loading Pump P-904</t>
  </si>
  <si>
    <t>2.4.22</t>
  </si>
  <si>
    <t>Foundation Calculation For Supply Water Pump P-108A/B</t>
  </si>
  <si>
    <t>Pressure Vessels Foundation Calculation</t>
  </si>
  <si>
    <t>Foundation Calculation For Air Receiver(v-401)</t>
  </si>
  <si>
    <t>Foundation Calculation For Diesel Oil Storage Tank(v-801)</t>
  </si>
  <si>
    <t>2.5.3</t>
  </si>
  <si>
    <t>Foundation Calculation For HC Closed Drain Drum(V-701)</t>
  </si>
  <si>
    <t>2.5.4</t>
  </si>
  <si>
    <t>Foundation Calculation For Flare K.O.Drum(V-601)</t>
  </si>
  <si>
    <t>2.5.5</t>
  </si>
  <si>
    <t>Foundation Calculation For Fuel Gas K.O.Drum(V-301)</t>
  </si>
  <si>
    <t>2.5.6</t>
  </si>
  <si>
    <t>Foundation Calculation For Free Water K.O. Drum(v-001-A/B)</t>
  </si>
  <si>
    <t>2.5.7</t>
  </si>
  <si>
    <t>Foundation Calculation For Air Receiver ( V-002)</t>
  </si>
  <si>
    <t>Storage Tanks Foundation Calculation</t>
  </si>
  <si>
    <t>2.6.1</t>
  </si>
  <si>
    <t>Foundation Calculation For Dilution Water Storage Tank(TK-101)</t>
  </si>
  <si>
    <t>2.6.2</t>
  </si>
  <si>
    <t>Foundation Calculation For Potable Water Tank(TK-102)</t>
  </si>
  <si>
    <t>2.6.3</t>
  </si>
  <si>
    <t>Foundation Calculation For Skimmer Tank(OS-201)</t>
  </si>
  <si>
    <t>2.6.4</t>
  </si>
  <si>
    <t>Foundation Calculation For Disposal Storage Tank(TK-201)</t>
  </si>
  <si>
    <t>2.6.5</t>
  </si>
  <si>
    <t>Foundation Calculation For Off-Spec Tank</t>
  </si>
  <si>
    <t>2.6.6</t>
  </si>
  <si>
    <t>Foundation Calculation for Dirty Oil Tank(TK-701)</t>
  </si>
  <si>
    <t>2.6.7</t>
  </si>
  <si>
    <t>Foundation Calculation For Supply Water Tank (TK-104)</t>
  </si>
  <si>
    <t>2.6.8</t>
  </si>
  <si>
    <t>Foundation Calculation for Fire Water Tank(TK-902-A/B)</t>
  </si>
  <si>
    <t>Electrical Foundation Calculation</t>
  </si>
  <si>
    <t>Foundation Calculation ForTransformers</t>
  </si>
  <si>
    <t>Foundation Calculation ForDeisel Generator</t>
  </si>
  <si>
    <t>2.7.3</t>
  </si>
  <si>
    <t>Foundation Calculation For Lighting towers</t>
  </si>
  <si>
    <t>2.7.4</t>
  </si>
  <si>
    <t>Foundation Calculation For  Lighting Poles</t>
  </si>
  <si>
    <t>Foundations Drawing</t>
  </si>
  <si>
    <t>Buildings foundations Drawing</t>
  </si>
  <si>
    <t>Foundation Drawing for DE4 Air Compressor Room &amp; Emergency Diesel Generator Building</t>
  </si>
  <si>
    <t>Foundation Drawing for Control &amp;Telecommunication Building</t>
  </si>
  <si>
    <t>Foundation Drawing for DE4 Guard House</t>
  </si>
  <si>
    <t xml:space="preserve">Foundation Drawing for DE4 Substation Building </t>
  </si>
  <si>
    <t>Foundation Drawing for DE4 Foam Storage Building</t>
  </si>
  <si>
    <t>Foundation Drawing for DE4 Consumable Storage Building</t>
  </si>
  <si>
    <t xml:space="preserve">Foundation Drawing Extension For PU4 Switchgear Room </t>
  </si>
  <si>
    <t>Foundation Drawing For Accommodation Building in PU4</t>
  </si>
  <si>
    <t>Foundation Drawing for Air Compressor Room in PU4</t>
  </si>
  <si>
    <t xml:space="preserve">Foundation Drawing for Laboratory </t>
  </si>
  <si>
    <t>Foundation Drawing for Work Shop</t>
  </si>
  <si>
    <t>Foundation Drawing fo3.3 Switch Gear Building Of PU4 Outdoor Substaion</t>
  </si>
  <si>
    <t xml:space="preserve">Foundation Drawing fo33 KV Switch Gear Building Of 33 KV Station </t>
  </si>
  <si>
    <t>Foundation Drawing fo33 KV Station Guard House</t>
  </si>
  <si>
    <t>Foundation Drawing fo33 KV Station Diesel Generator Building</t>
  </si>
  <si>
    <t>Floor Slab &amp; Detail for DE4 Air Compressor Room &amp; Emergency Diesel Generator Building</t>
  </si>
  <si>
    <t>Floor Slab &amp; Detail for Control &amp;Telecommunication Building</t>
  </si>
  <si>
    <t>3.1.18</t>
  </si>
  <si>
    <t>Floor Slab &amp; Detail for Air Compressor Room in PU4</t>
  </si>
  <si>
    <t>3.1.19</t>
  </si>
  <si>
    <t>Floor Slab &amp; Detail fo33 KV Station Diesel Generator Building</t>
  </si>
  <si>
    <t>Shelters foundations Drawing</t>
  </si>
  <si>
    <t>Foundation Drawing for DE4 Parking Shelter</t>
  </si>
  <si>
    <t>Foundation Drawing for DE4 Chemical storage shelter no.1</t>
  </si>
  <si>
    <t>Foundation Drawing for DE4 Chemical storage shelter no.2</t>
  </si>
  <si>
    <t>Foundation Drawing for DE4 Chemical injection package shelter no.1</t>
  </si>
  <si>
    <t>Foundation Drawing for DE4 Chemical injection package shelter no.2</t>
  </si>
  <si>
    <t>Foundation Drawing for DE4 Process Pumps shelter</t>
  </si>
  <si>
    <t>Foundation Drawing for DE4 Dilution Water Pumps shelter</t>
  </si>
  <si>
    <t>Foundation Drawing for DE4 Waste Water Pumps shelter</t>
  </si>
  <si>
    <t>Foundation Drawing for DE4 Dearated Water Pumps shelter</t>
  </si>
  <si>
    <t>Foundation Drawing for DE4 Fire Water Pumps shelter</t>
  </si>
  <si>
    <t>Foundation Drawing for Fire extinguisher shelter</t>
  </si>
  <si>
    <t>Foundation Drawing for pump shelter in PU4</t>
  </si>
  <si>
    <t>Foundation Drawing for Chemical storage shelter in PU4</t>
  </si>
  <si>
    <t>Foundation Drawing for Chemical injection package shelter in PU4</t>
  </si>
  <si>
    <t>Floor Slab &amp; Detail for DE4 Chemical injection package shelter no.1</t>
  </si>
  <si>
    <t>3.2.16</t>
  </si>
  <si>
    <t>Floor Slab &amp; Detail for DE4 Chemical injection package shelter no.2</t>
  </si>
  <si>
    <t>3.2.17</t>
  </si>
  <si>
    <t>Floor Slab &amp; Detail for DE4 Process Pumps shelter</t>
  </si>
  <si>
    <t>3.2.18</t>
  </si>
  <si>
    <t>Floor Slab &amp; Detail for DE4 Dilution Water Pumps shelter</t>
  </si>
  <si>
    <t>3.2.19</t>
  </si>
  <si>
    <t>Floor Slab &amp; Detail for DE4 Waste Water Pumps shelter</t>
  </si>
  <si>
    <t>3.2.20</t>
  </si>
  <si>
    <t>Floor Slab &amp; Detail for DE4 Dearated Water Pumps shelter</t>
  </si>
  <si>
    <t>3.2.21</t>
  </si>
  <si>
    <t>Floor Slab &amp; Detail for DE4 Fire Water Pumps shelter</t>
  </si>
  <si>
    <t>3.2.22</t>
  </si>
  <si>
    <t>Floor Slab &amp; Detail for pump shelter in PU4</t>
  </si>
  <si>
    <t>3.2.23</t>
  </si>
  <si>
    <t>Floor Slab &amp; Detail for Chemical injection package shelter in PU4</t>
  </si>
  <si>
    <t>Process Packkages and Equipment Foundation Drawing</t>
  </si>
  <si>
    <t>3.3.1</t>
  </si>
  <si>
    <t>Heat Exchanger Foundation Drawing</t>
  </si>
  <si>
    <t>3.3.1.1</t>
  </si>
  <si>
    <t>Foundation Drawing For Salty Crude/Desalted Crude Heat Exchanger(E-001-A/B)</t>
  </si>
  <si>
    <t>3.3.1.2</t>
  </si>
  <si>
    <t>Foundation Drawing For Water/Water Heat Exchanger(E-002-A/B)</t>
  </si>
  <si>
    <t>3.3.2</t>
  </si>
  <si>
    <t>Foundation Drawing For Crude Oil Indirect Fired Heater(H-001-A1/A2/B1/B2)</t>
  </si>
  <si>
    <t>3.3.3</t>
  </si>
  <si>
    <t>Air Compressors and Dryer Foundation Drawing</t>
  </si>
  <si>
    <t>3.3.3.1</t>
  </si>
  <si>
    <t>Foundation Drawing FOR AIR COMPRESSOR PKG. (PK-401-A/B) &amp; AIR DRYER PKG. (PK-402)</t>
  </si>
  <si>
    <t>3.3.3.2</t>
  </si>
  <si>
    <t>Foundation Drawing For Air COMPRESSOR PKG. (PK-002-A/B) &amp; AIR DRYER PKG. (PK-003)</t>
  </si>
  <si>
    <t>3.3.4</t>
  </si>
  <si>
    <t>Foundation Drawing For Vacuum Deaerator Package</t>
  </si>
  <si>
    <t>3.3.5</t>
  </si>
  <si>
    <t>Flares Foundation Drawing</t>
  </si>
  <si>
    <t>3.3.5.1</t>
  </si>
  <si>
    <t xml:space="preserve">Foundation Drawing For  HOT FLARE </t>
  </si>
  <si>
    <t>3.3.5.2</t>
  </si>
  <si>
    <t>Foundation Drawing For  IGNITION PACKAGE</t>
  </si>
  <si>
    <t>3.3.5.3</t>
  </si>
  <si>
    <t xml:space="preserve">Foundation Drawing For Cold Flare </t>
  </si>
  <si>
    <t>3.3.6</t>
  </si>
  <si>
    <t xml:space="preserve">Foundation Drawing For Desalter Package (PK-001A/B)
</t>
  </si>
  <si>
    <t>3.3.7</t>
  </si>
  <si>
    <t>Waste Water Treatment Packages Foundation Drawing</t>
  </si>
  <si>
    <t>3.3.7.1</t>
  </si>
  <si>
    <t>Foundation Drawing For Nutshell Filter Package(PK-202)</t>
  </si>
  <si>
    <t>3.3.7.2</t>
  </si>
  <si>
    <t>Foundation Drawing For IGF Package (PK-201A/B)</t>
  </si>
  <si>
    <t>3.3.8</t>
  </si>
  <si>
    <t>Injection Packages Foundation Drawing</t>
  </si>
  <si>
    <t>3.3.8.1</t>
  </si>
  <si>
    <t>Foundation Drawing For Demulsifier Injection Package (PK-501)</t>
  </si>
  <si>
    <t>3.3.8.2</t>
  </si>
  <si>
    <t>Foundation Drawing For Oxygen Scavenger Injection Package(PK-503)</t>
  </si>
  <si>
    <t>3.3.8.3</t>
  </si>
  <si>
    <t>Foundation Drawing For Corrosion Inhibitor injection Package(PK-504)</t>
  </si>
  <si>
    <t>3.3.8.4</t>
  </si>
  <si>
    <t>Foundation Drawing For Reverse Demulsifier Injection Package(PK-505)</t>
  </si>
  <si>
    <t>3.3.8.5</t>
  </si>
  <si>
    <t>Foundation Drawing For Biocide Injection Package (Type  A)(PK-506-A)</t>
  </si>
  <si>
    <t>3.3.8.6</t>
  </si>
  <si>
    <t>Foundation Drawing For Anti Scalant Injection Package(PK-507)</t>
  </si>
  <si>
    <t>3.3.8.7</t>
  </si>
  <si>
    <t>Foundation Drawing For Biocide Injection Package (Type B)(PK-506-B)</t>
  </si>
  <si>
    <t>3.3.8.8</t>
  </si>
  <si>
    <t>Foundation Drawing For Demulsifier Injection Package (PK-502-A/B)</t>
  </si>
  <si>
    <t>Pumps Foundation Drawing</t>
  </si>
  <si>
    <t>3.4.1</t>
  </si>
  <si>
    <t>Foundation Drawing For Dilution Water Pump(P-103)</t>
  </si>
  <si>
    <t>3.4.2</t>
  </si>
  <si>
    <t>Foundation Drawing For Potable Water Pump(P-104)</t>
  </si>
  <si>
    <t>3.4.3</t>
  </si>
  <si>
    <t>Foundation Drawing For Waste Water Injection  Pump(P-201-A/B)</t>
  </si>
  <si>
    <t>3.4.4</t>
  </si>
  <si>
    <t>Foundation Drawing For OWS Clean Water Pump(p-703-A/B)</t>
  </si>
  <si>
    <t>3.4.5</t>
  </si>
  <si>
    <t>Foundation Drawing For Diesel Oil Pump(P-801)</t>
  </si>
  <si>
    <t>3.4.6</t>
  </si>
  <si>
    <t>Foundation Drawing For HC Closed Drain Sump Pump(P-702)</t>
  </si>
  <si>
    <t>3.4.7</t>
  </si>
  <si>
    <t>Foundation Drawing For HC Closed Drain Transfer Pump(P-701-A/B)</t>
  </si>
  <si>
    <t>3.4.8</t>
  </si>
  <si>
    <t>Foundation Drawing For Flare K.O. Drum Liquid Pump(P-601-A/B)</t>
  </si>
  <si>
    <t>3.4.9</t>
  </si>
  <si>
    <t>Foundation Drawing for Dilution Water Pumps(P-106-A1/A2)</t>
  </si>
  <si>
    <t>3.4.10</t>
  </si>
  <si>
    <t>Foundation Drawing For Dearated Water Pump(p-102-A/B)</t>
  </si>
  <si>
    <t>3.4.11</t>
  </si>
  <si>
    <t>Foundation Drawing for Dirty Oil Pumps(P-705-A/B)</t>
  </si>
  <si>
    <t>3.4.12</t>
  </si>
  <si>
    <t>Foundation Drawing for Booster Pumps (P-002-A/B)</t>
  </si>
  <si>
    <t>3.4.13</t>
  </si>
  <si>
    <t>Foundation Drawing for Booster Pumps (P-001-A/B)</t>
  </si>
  <si>
    <t>3.4.14</t>
  </si>
  <si>
    <t>Foundation Drawing for Evaporation Pond Pumps(P-706-A/B)</t>
  </si>
  <si>
    <t>3.4.15</t>
  </si>
  <si>
    <t>Foundation Drawing for Free Water Transfer PUMPS (P-005-A/B)</t>
  </si>
  <si>
    <t>3.4.16</t>
  </si>
  <si>
    <t>Foundation Drawing for Dearated Water Pump(p-105)</t>
  </si>
  <si>
    <t>3.4.17</t>
  </si>
  <si>
    <t>Foundation Drawing for Ows Oil Pump(P-704-A/B)</t>
  </si>
  <si>
    <t>3.4.18</t>
  </si>
  <si>
    <t>Foundation Drawing for Oily Water Separator Pump(P-750)</t>
  </si>
  <si>
    <t>3.4.19</t>
  </si>
  <si>
    <t>Foundation Drawing for Waste Water Injection Pump(p-206-A/B/C)</t>
  </si>
  <si>
    <t>3.4.20</t>
  </si>
  <si>
    <t>Foundation Drawing For Off-Spec Pump</t>
  </si>
  <si>
    <t>3.4.21</t>
  </si>
  <si>
    <t>Foundation Drawing For Firewater Loading Pump P-904</t>
  </si>
  <si>
    <t>3.4.22</t>
  </si>
  <si>
    <t>Foundation Drawing For Supply Water Pump P-108A/B</t>
  </si>
  <si>
    <t>Pressure Vessels Foundation Drawing</t>
  </si>
  <si>
    <t>3.5.1</t>
  </si>
  <si>
    <t>Foundation Drawing For Air Receiver(v-401)</t>
  </si>
  <si>
    <t>3.5.2</t>
  </si>
  <si>
    <t>Foundation Drawing For Diesel Oil Storage Tank(v-801)</t>
  </si>
  <si>
    <t>3.5.3</t>
  </si>
  <si>
    <t>Foundation Drawing For HC Closed Drain Drum(V-701)</t>
  </si>
  <si>
    <t>3.5.4</t>
  </si>
  <si>
    <t>Foundation Drawing For Flare K.O.Drum(V-601)</t>
  </si>
  <si>
    <t>3.5.5</t>
  </si>
  <si>
    <t>Foundation Drawing For Fuel Gas K.O.Drum(V-301)</t>
  </si>
  <si>
    <t>3.5.6</t>
  </si>
  <si>
    <t>Foundation Drawing For Free Water K.O. Drum(v-001-A/B)</t>
  </si>
  <si>
    <t>3.5.7</t>
  </si>
  <si>
    <t>Foundation Drawing For Air Receiver ( V-002)</t>
  </si>
  <si>
    <t>Storage Tanks Foundation Drawing</t>
  </si>
  <si>
    <t>3.6.1</t>
  </si>
  <si>
    <t>Foundation Drawing For Dilution Water Storage Tank(TK-101)</t>
  </si>
  <si>
    <t>3.6.2</t>
  </si>
  <si>
    <t>Foundation Drawing For Potable Water Tank(TK-102)</t>
  </si>
  <si>
    <t>3.6.3</t>
  </si>
  <si>
    <t>Foundation Drawing For Skimmer Tank(OS-201)</t>
  </si>
  <si>
    <t>3.6.4</t>
  </si>
  <si>
    <t>Foundation Drawing For Disposal Storage Tank(TK-201)</t>
  </si>
  <si>
    <t>3.6.5</t>
  </si>
  <si>
    <t>Foundation Drawing For Off-Spec Tank</t>
  </si>
  <si>
    <t>3.6.6</t>
  </si>
  <si>
    <t>Foundation Drawing for Dirty Oil Tank(TK-701)</t>
  </si>
  <si>
    <t>3.6.7</t>
  </si>
  <si>
    <t>Foundation Drawing For Supply Water Tank TK-104</t>
  </si>
  <si>
    <t>3.6.8</t>
  </si>
  <si>
    <t>Foundation Drawing for Fire Water Tank(TK-902-A/B)</t>
  </si>
  <si>
    <t>Electrical Foundation Drawing</t>
  </si>
  <si>
    <t>3.7.1</t>
  </si>
  <si>
    <t>Foundation Drawing For Transformers</t>
  </si>
  <si>
    <t>3.7.2</t>
  </si>
  <si>
    <t>Foundation Drawing For Deisel Generator</t>
  </si>
  <si>
    <t>3.7.3</t>
  </si>
  <si>
    <t>Foundation Drawing For Lighting towers</t>
  </si>
  <si>
    <t>3.7.4</t>
  </si>
  <si>
    <t>Foundation Drawing For  Lighting Poles</t>
  </si>
  <si>
    <t>Structurs Calculation</t>
  </si>
  <si>
    <t>Buildings Structural Calculation</t>
  </si>
  <si>
    <t>Structural Calculation for DE4 Air Compressor Room &amp; Emergency Diesel Generator Building</t>
  </si>
  <si>
    <t>Structural Calculation for Control &amp;Telecommunication Building</t>
  </si>
  <si>
    <t>Structural Calculation for DE4 Guard House</t>
  </si>
  <si>
    <t xml:space="preserve">Structural Calculation for DE4 Substation Building </t>
  </si>
  <si>
    <t>Structural Calculation for DE4 for Foam Storage Building</t>
  </si>
  <si>
    <t>Structural Calculation for DE4 for Consumable Storage Building</t>
  </si>
  <si>
    <t xml:space="preserve">Structural Calculation Extension For PU4 Switchgear Room </t>
  </si>
  <si>
    <t>Structural Calculation For Accommodation Building in PU4</t>
  </si>
  <si>
    <t>Structural Calculation for Air Compressor Room in PU4</t>
  </si>
  <si>
    <t xml:space="preserve">Structural Calculation for Laboratory </t>
  </si>
  <si>
    <t>Structural Calculation for Work Shop</t>
  </si>
  <si>
    <t>Structural Calculation fo3.3 Switch Gear Building Of PU4 Outdoor Substaion</t>
  </si>
  <si>
    <t xml:space="preserve">Structural Calculation fo33 KV Switch Gear Building Of 33 KV Station </t>
  </si>
  <si>
    <t>Structural Calculation fo33 KV Station Guard House</t>
  </si>
  <si>
    <t>Structural Calculation fo33 KV Station Diesel Generator Building</t>
  </si>
  <si>
    <t>Shelters Structural Calculation</t>
  </si>
  <si>
    <t>Structural Calculation for DE4 Parking Shelter</t>
  </si>
  <si>
    <t>Structural Calculation for DE4 Chemical storage shelter no.1</t>
  </si>
  <si>
    <t>Structural Calculation for DE4 Chemical storage shelter no.2</t>
  </si>
  <si>
    <t>Structural Calculation for DE4 Chemical injection package shelter no.1</t>
  </si>
  <si>
    <t>Structural Calculation for DE4 Chemical injection package shelter no.2</t>
  </si>
  <si>
    <t>Structural Calculation for DE4 Process Pumps shelter</t>
  </si>
  <si>
    <t>Structural Calculation for DE4 Dilution Water Pumps shelter</t>
  </si>
  <si>
    <t>Structural Calculation for DE4 Waste Water Pumps shelter</t>
  </si>
  <si>
    <t>Structural Calculation for DE4 Dearated Water Pumps shelter</t>
  </si>
  <si>
    <t>Structural Calculation for DE4 Fire Water Pumps shelter</t>
  </si>
  <si>
    <t>Structural Calculation for Fire extinguisher shelter</t>
  </si>
  <si>
    <t>Structural Calculation for pump shelter in PU4</t>
  </si>
  <si>
    <t>Structural Calculation for Chemical storage shelter in PU4</t>
  </si>
  <si>
    <t>Structural Calculation for Chemical injection package shelter in PU4</t>
  </si>
  <si>
    <t>Others Structural Calculation</t>
  </si>
  <si>
    <t>Structural Calculation for Diesel Oil Support Structure</t>
  </si>
  <si>
    <t>4.3.2</t>
  </si>
  <si>
    <t>Structural Calculation for Stand Pipes</t>
  </si>
  <si>
    <t>Structural Calculation for Platforms</t>
  </si>
  <si>
    <t>Structurs Drawings</t>
  </si>
  <si>
    <t>Buildings Structural Drawings</t>
  </si>
  <si>
    <t>Structural Drawing for DE4 Air Compressor Room &amp; Emergency Diesel Generator Building</t>
  </si>
  <si>
    <t>Structural Drawing for Control &amp;Telecommunication Building</t>
  </si>
  <si>
    <t>Structural Drawing for DE4 Guard House</t>
  </si>
  <si>
    <t xml:space="preserve">Structural Drawing for DE4 Substation Building </t>
  </si>
  <si>
    <t>Structural Drawing for DE4 Foam Storage Building</t>
  </si>
  <si>
    <t>Structural Drawing for DE4 Consumable Storage Building</t>
  </si>
  <si>
    <t>5.1.7</t>
  </si>
  <si>
    <t xml:space="preserve">Structural Drawing Extension For PU4 Switchgear Room </t>
  </si>
  <si>
    <t>5.1.8</t>
  </si>
  <si>
    <t>Structural Drawing For Accommodation Building in PU4</t>
  </si>
  <si>
    <t>5.1.9</t>
  </si>
  <si>
    <t>Structural Drawing for Air Compressor Room in PU4</t>
  </si>
  <si>
    <t>5.1.10</t>
  </si>
  <si>
    <t xml:space="preserve">Structural Drawing for Laboratory </t>
  </si>
  <si>
    <t>5.1.11</t>
  </si>
  <si>
    <t>Structural Drawing for Work Shop</t>
  </si>
  <si>
    <t>5.1.12</t>
  </si>
  <si>
    <t>Structural Drawing fo3.3 Switch Gear Building Of PU4 Outdoor Substaion</t>
  </si>
  <si>
    <t>5.1.13</t>
  </si>
  <si>
    <t xml:space="preserve">Structural Drawing fo33 KV Switch Gear Building Of 33 KV Station </t>
  </si>
  <si>
    <t>5.1.14</t>
  </si>
  <si>
    <t>Structural Drawing fo33 KV Station Guard House</t>
  </si>
  <si>
    <t>5.1.15</t>
  </si>
  <si>
    <t>Structural Drawing fo33 KV Station Diesel Generator Building</t>
  </si>
  <si>
    <t>Shelters Structural Drawings</t>
  </si>
  <si>
    <t>Structural Drawing for DE4 Parking Shelter</t>
  </si>
  <si>
    <t>Structural Drawing for DE4 Chemical storage shelter no.1</t>
  </si>
  <si>
    <t>Structural Drawing for DE4 Chemical storage shelter no.2</t>
  </si>
  <si>
    <t>Structural Drawing for DE4 Chemical injection package shelter no.1</t>
  </si>
  <si>
    <t>Structural Drawing for DE4 Chemical injection package shelter no.2</t>
  </si>
  <si>
    <t>Structural Drawing for DE4 Process Pumps shelter</t>
  </si>
  <si>
    <t>5.2.7</t>
  </si>
  <si>
    <t>Structural Drawing for DE4 Dilution Water Pumps shelter</t>
  </si>
  <si>
    <t>5.2.8</t>
  </si>
  <si>
    <t>Structural Drawing for DE4 Waste Water Pumps shelter</t>
  </si>
  <si>
    <t>5.2.9</t>
  </si>
  <si>
    <t>Structural Drawing for DE4 Dearated Water Pumps shelter</t>
  </si>
  <si>
    <t>5.2.10</t>
  </si>
  <si>
    <t>Structural Drawing for DE4 Fire Water Pumps shelter</t>
  </si>
  <si>
    <t>5.2.11</t>
  </si>
  <si>
    <t>Structural Drawing for Fire extinguisher shelter</t>
  </si>
  <si>
    <t>5.2.12</t>
  </si>
  <si>
    <t>Structural Drawing for pump shelter in PU4</t>
  </si>
  <si>
    <t>5.2.13</t>
  </si>
  <si>
    <t>Structural Drawing for Chemical storage shelter in PU4</t>
  </si>
  <si>
    <t>5.2.14</t>
  </si>
  <si>
    <t>Structural Drawing for Chemical injection package shelter in PU4</t>
  </si>
  <si>
    <t>Others Structural Draiwngs</t>
  </si>
  <si>
    <t>5.3.1</t>
  </si>
  <si>
    <t>Structural Drawing for Diesel Oil Support Structure</t>
  </si>
  <si>
    <t>5.3.2</t>
  </si>
  <si>
    <t>Structural Drawing for Stand Pipes</t>
  </si>
  <si>
    <t>5.3.3</t>
  </si>
  <si>
    <t>Structural Drawing for Platforms</t>
  </si>
  <si>
    <t>Other Structures</t>
  </si>
  <si>
    <t>Structural Calculation for Bridges</t>
  </si>
  <si>
    <t>Structural Calculation for Tanks Dike wall</t>
  </si>
  <si>
    <t>Structural Calculation for Transmission Tower</t>
  </si>
  <si>
    <t>Foundation Calculation for Transmission Tower</t>
  </si>
  <si>
    <t>Structural Drawing for Bridges</t>
  </si>
  <si>
    <t>Structural Drawing for Tanks Dike wall</t>
  </si>
  <si>
    <t>Structural Drawing for Transmission Tower</t>
  </si>
  <si>
    <t>Foundation Drawing for Transmission Tower</t>
  </si>
  <si>
    <t>HC Closed Drain Pit Section And Details</t>
  </si>
  <si>
    <t>Project Control Document</t>
  </si>
  <si>
    <t>دستورالعمل هماهنگی اجرای پروژه</t>
  </si>
  <si>
    <t>دستورالعمل هماهنگی مهندسی پروژه</t>
  </si>
  <si>
    <t>دستورالعمل هماهنگی خرید پروژه</t>
  </si>
  <si>
    <t>دستورالعمل راه اندازی ،  به کار گیری و راهبریسیستم اتوماسیون گردش کار</t>
  </si>
  <si>
    <t>برنامه زمانبندی (Time Schedule)</t>
  </si>
  <si>
    <t>ساختار شکست پروژه  (W.B.S &amp; C.B.S)</t>
  </si>
  <si>
    <t>لیست مدارک مهندسی پروژه</t>
  </si>
  <si>
    <t>لیست مدارک مهندسی تامین کنندگان کالا</t>
  </si>
  <si>
    <t>ME0</t>
  </si>
  <si>
    <t>Year</t>
  </si>
  <si>
    <t>ME0: ساخت فلزات پايه</t>
  </si>
  <si>
    <t>ME: ساخت محصولات فلزي ساخته شده به جز ماشين آلات و تجهيزات</t>
  </si>
  <si>
    <t>IN: ساخت محصولات رايانه اي، الكترونيكي و نوري</t>
  </si>
  <si>
    <t>EL: ساخت تجهيزات برقي</t>
  </si>
  <si>
    <t>ضريب تغيير قيمت نسبت به سال مبنا (1395)</t>
  </si>
  <si>
    <r>
      <t xml:space="preserve">اتصال توربين شماره </t>
    </r>
    <r>
      <rPr>
        <u/>
        <sz val="14"/>
        <color theme="1"/>
        <rFont val="B Nazanin"/>
        <charset val="178"/>
      </rPr>
      <t>3</t>
    </r>
    <r>
      <rPr>
        <sz val="14"/>
        <color theme="1"/>
        <rFont val="B Nazanin"/>
        <charset val="178"/>
      </rPr>
      <t xml:space="preserve"> به خط هدر 30 اينچ نفت خروجي واحد بهره‌برداري گچساران</t>
    </r>
    <r>
      <rPr>
        <u/>
        <sz val="14"/>
        <color theme="1"/>
        <rFont val="B Nazanin"/>
        <charset val="178"/>
      </rPr>
      <t>4</t>
    </r>
  </si>
  <si>
    <t>درصد تغيير شاخص قيمت توليد كننده در بخش صنعت - طبق آمار منتشر شده در بهمن ماه 1401 در مركز آمار ايران</t>
  </si>
  <si>
    <t>Ind.
PPI</t>
  </si>
  <si>
    <t>Ind. PPI 
Variation</t>
  </si>
  <si>
    <t>1395=100</t>
  </si>
  <si>
    <t>کالا- P</t>
  </si>
  <si>
    <t>اجرا- C</t>
  </si>
  <si>
    <t>مهندسي -E</t>
  </si>
  <si>
    <t xml:space="preserve"> تورم ريالي</t>
  </si>
  <si>
    <t xml:space="preserve"> تورم ارزي</t>
  </si>
  <si>
    <t>الف) مبانی محاسبات براورد</t>
  </si>
  <si>
    <t>جدول 1 - برآورد اجرا بر اساس فهرست بهای ابنیه 1402  - احداث فونداسیون تجهیزات وادوات (بر اساس ریز متره مندرج در جدول الف پیوست 2)</t>
  </si>
  <si>
    <t>جدول 2 - برآورد اجرا بر اساس فهرست بهای ابنیه 1402  - احداث سایبان تجهیزات(بر اساس ریز متره مندرج در جدول ب پیوست 2)</t>
  </si>
  <si>
    <t>جدول 3 - برآورد اجرا بر اساس فهرست بهای ابنیه 140  - احداث جاده های دسترسی، جاده های داخل واحدها و پاترول(بر اساس ریز متره مندرج در جدول ج پیوست 2)</t>
  </si>
  <si>
    <t>جدول 4 - برآورد اجرا بر اساس فهرست بهای ابنیه 1402  - احداث ابنیه متفرقه (بر اساس ریز متره مندرج در جدول د پیوست 2)</t>
  </si>
  <si>
    <t>جدول 5 - برآورد اجرا بر اساس فهرست بهای ابنیه 1402  -محوطه سازی واحدها (بر اساس ریز متره مندرج در جدول ه پیوست 2)</t>
  </si>
  <si>
    <t>جدول7 - برآورد اجرا بر اساس فهرست بهای ابنیه 1402  - دفن لوله ها (داخل و خارج واحد) و کابل های زیر زمینی (بر اساس ریز متره مندرج در جدول و پیوست 2)</t>
  </si>
  <si>
    <t>جدول 8 - برآورد اجرا بر اساس فهرست بهای ابنیه 1402  - سازه های فلزی متفرقه (بر اساس ریز متره مندرج در جدول ط پیوست 2)</t>
  </si>
  <si>
    <t>جدول10 - برآورد اجرا بر اساس فهرست بهای باند و راه 1402  -ساخت دیوار حایل مجاور تپه و سطوح کوهبری شده و شیروانی دورتادور کارخانه</t>
  </si>
  <si>
    <t>جدول 11 - برآورد اجرا بر اساس فهرست بهای ابنیه 1402  -تجهیز و برچیدن کارگاه</t>
  </si>
  <si>
    <t>جدول 12 - برآورد اجرای لوله کشی وپایپینگ بر اساس فهرست بهای اختصاصی تاسیسات نفت و گاز،  رشته نصب واحدهای بهره برداری نفت و گاز -1401</t>
  </si>
  <si>
    <t>جدول 13 - برآورد اجراو نصب تجهیزات مکانیک بر اساس فهرست بهای اختصاصی تاسیسات نفت و گاز،  رشته نصب واحدهای بهره برداری نفت و گاز -1401</t>
  </si>
  <si>
    <t>جدول 14 - برآورد اجرا ی خطوط لوله بر اساس فهرست بهای اختصاصی تاسیسات نفت و گاز، رشته خطوط لوله روزمینی جریانی نفت و گاز1401  -</t>
  </si>
  <si>
    <t>جدول 15 - برآورد اجرای عملیات برق و مخابرات و کابل کشی بر اساس فهرست بهای اختصاصی تاسیسات نفت و گاز،  رشته نصب واحدهای بهره برداری نفت و گاز -1401</t>
  </si>
  <si>
    <t>جدول 16 - برآورد اجرا و نصب تجهیزات  ابزاردقیق  بر اساس فهرست بهای اختصاصی تاسیسات نفت و گاز،  رشته نصب واحدهای بهره برداری نفت و گاز -1401</t>
  </si>
  <si>
    <t>جهت براورد هزینه اجرای بخش سیویل و سازه از "فهرست بهای واحد پایه رشته ابنیه" سال 1402 استفاده شده است.</t>
  </si>
  <si>
    <t>با توجه به آنکه این پروژه در حد مهندسی مقدماتی و پایه بوده و نقشه معماری فاز یک آن اماده گردیده لیکن نقشه های فاز 2 معماری، نقشه های اجرایی فونداسیون، سازه بتی و فولادی و نیز نقشه های تاسیسات آن تهیه نگردیده و میبایست در مرحله مهندسی تفصیلی انجام شود، لذا امکان تهیه ریز برآورد اقلام و استفاده از فهرست احاد بهای ابنیه در این مرحله از پروژه میسر نمیباشد. لذا برای برآورد هزینه ساخت و اجرای ساختمانها از ابلاغیه شماره 47855/ش م مورخ 1401/12/16شورای مرکزی سازمان نظام مهندسی ساختمان که بر مبنای متراژ ساخت بنا میباشد، استفاده گردیده است</t>
  </si>
  <si>
    <t>جهت برآورد هزینه اجرای سایر بخشها از "فهرست بهای اختصاصی تاسیسات نفت و گاز - رشته نصب واحدهای بهره برداری نفت و گاز ایستگاه تراکم گاز" و "فهرست بهای اختصاصی تاسیسات نفت و گاز - رشته خطوط لوله روزمینی جریانی نفت و گاز" سال 1401 استفاده شده است.</t>
  </si>
  <si>
    <t>گروه لوله کشی</t>
  </si>
  <si>
    <t>1-4-</t>
  </si>
  <si>
    <t>هزینه بالاسری برای کارهایی که از طریق مناقصات انجام میشود : 48%</t>
  </si>
  <si>
    <t>ضریب هزینه تفاوت بیمه های تامین اجتماعی به میزان 1</t>
  </si>
  <si>
    <t>ضریب منطقه ای : 1.12</t>
  </si>
  <si>
    <t>ضریب  بروزرسانی به سه ماهه چهارم 1401 : 1.51</t>
  </si>
  <si>
    <t xml:space="preserve">ضریب اجرا که به صورت خطی در مبالغ محاسبه شده فهرست بها ضرب میگردد : =1.12*1.51 * 1.48 = </t>
  </si>
  <si>
    <t>گروه نصب تجهیزات</t>
  </si>
  <si>
    <t>2-4-</t>
  </si>
  <si>
    <t>ضریب  بروزرسانی به سه ماهه چهارم 1401 : 1.515</t>
  </si>
  <si>
    <t xml:space="preserve">ضریب اجرا که به صورت خطی در مبالغ محاسبه شده فهرست بها ضرب میگردد : =1.12*1.515 * 1.48 = </t>
  </si>
  <si>
    <t>گروه نصب کارهای برقی و ابزار دقیق</t>
  </si>
  <si>
    <t>3-4-</t>
  </si>
  <si>
    <t>ضریب  بروزرسانی به سه ماهه چهارم 1401 : 1.491</t>
  </si>
  <si>
    <t xml:space="preserve">ضریب اجرا که به صورت خطی در مبالغ محاسبه شده فهرست بها ضرب میگردد : =1.12*1.491 * 1.48 = </t>
  </si>
  <si>
    <t xml:space="preserve"> ضریب بالاسری بخش اجرا بر اساس فهرست بهای اختصاصی خطوط لوله روزمینی که در محاسبه هزینه پروژه منظور شده است معادل است با :</t>
  </si>
  <si>
    <t>ضریب منطقه ای : 1.11</t>
  </si>
  <si>
    <t>ضریب  بروزرسانی به سه ماهه چهارم 1401 : 1.469</t>
  </si>
  <si>
    <t xml:space="preserve">ضریب اجرا که به صورت خطی در مبالغ محاسبه شده فهرست بها ضرب میگردد : =1.11*1.469 * 1.48 = </t>
  </si>
  <si>
    <t>ضریب منطقه ای : 1.09</t>
  </si>
  <si>
    <t>ضریب هزینه تجهیز و برچیدن کارگاه که مبلغ آن با مبلغ اجرا جمع میگردد = 4%</t>
  </si>
  <si>
    <t xml:space="preserve">ضریب اجرا که به صورت خطی در مبالغ محاسبه شده فهرست بها ضرب میگردد :  1.09 * 1.41 = </t>
  </si>
  <si>
    <t>برای دفتر فنی کارگاه 4 نفر به شرح زیر برای مدت 20 ماه در نظر گرفته شده است:</t>
  </si>
  <si>
    <t xml:space="preserve">سرپرست دفتر فنی ، کنترل پروژه،  دو نفر کارشناس فنی بر حسب نیاز </t>
  </si>
  <si>
    <t>حقوق هر کارشناس سایت بر اساس تجربه این مشاور 50 ملیون تومان در نظر گرفته شده است که با احتساب مالیات و بیمه 75 ملیون تومان هزینه در نظر گرفته شده است.</t>
  </si>
  <si>
    <t xml:space="preserve"> ضریب بالاسری بخش اجرا بر اساس فهرست رشته راه و باند که در محاسبه هزینه پروژه منظور شده است معادل است با</t>
  </si>
  <si>
    <t>7-</t>
  </si>
  <si>
    <t xml:space="preserve">ضریب اجرا که به صورت خطی در مبالغ محاسبه شده فهرست بها ضرب میگردد :  1.12 * 141 = </t>
  </si>
  <si>
    <t xml:space="preserve">با توجه به اینکه نرخ فهارس بها براساس 1402 براساس نرخ سه ماهه چهارم 1401 میباشد لذا جهت بروزرسانی مبالغ به سه ماهه اول 1402 از ضرایب بروزرسانی زیر استفاده شده است : </t>
  </si>
  <si>
    <t>1- فهرست ابنیه</t>
  </si>
  <si>
    <t>2- فهرست راه و باند</t>
  </si>
  <si>
    <t>3- فهرست خطوط لوله روزمینی</t>
  </si>
  <si>
    <t>گروه نصب</t>
  </si>
  <si>
    <t>4- فهرست نصب واحدهای بهره برداری</t>
  </si>
  <si>
    <t>گروه برق</t>
  </si>
  <si>
    <t>ه: هزینه دفتر فنی کارگاه</t>
  </si>
  <si>
    <t>ه</t>
  </si>
  <si>
    <t>هزینه اجرا پس از اعمال ضریب بروزرسانی</t>
  </si>
  <si>
    <t>ضریب بروزرسانی به سه ماهه اول 1402</t>
  </si>
  <si>
    <t>شرح ردیف ه: هزینه دفتر فنی کارگاه</t>
  </si>
  <si>
    <t>4 نفر طی بیست و چهار ماه هزینه  نفر ماه : 750،000،000 ریال</t>
  </si>
  <si>
    <t>پرسنل دفتر فنی کارگاه (طبق توضیح بند 6 صفحه قبل (صفحه 4)</t>
  </si>
  <si>
    <t>مبلغ بدون اعمال ضرایب</t>
  </si>
  <si>
    <t>واحد بــهامطابق فهرست ابنیه 1402</t>
  </si>
  <si>
    <t>کندن زمین در صورت لزوم استفاده از چکش هیدرولیکی در زمین های سنگی و حمل و تخلیه مواد کنده شده تا فاصله ٢٠ متر از مرکز ثقل برداشت</t>
  </si>
  <si>
    <t>منطقه ای گچساران.</t>
  </si>
  <si>
    <t>بالاسری</t>
  </si>
  <si>
    <t>تجهیزکارگاه</t>
  </si>
  <si>
    <t>بروزرسانی</t>
  </si>
  <si>
    <t>تهیه، بریدن، خم کردن و کار گذاشتن میلگرد آج دار به قطر
١٢ تا ١٨ میلی متر، برای بتن مسلح با سیم پیچی لازم.</t>
  </si>
  <si>
    <t>تهیه و اجرای ژئوممبرین (زمین غشا) از جنس پلی اتیلن سنگین (High Density Poly Ethylene) به ضخامت یک میلی متر</t>
  </si>
  <si>
    <t>چهارم 91</t>
  </si>
  <si>
    <t>چهارم 1401</t>
  </si>
  <si>
    <t>ضریب بروزرسانی اعمال شده براساس فهرست ابنیه</t>
  </si>
  <si>
    <t>تعبیه انواع درز در مقطع عرضی قطعات بتنی بدون پر کرد آن بر حسب حجم درز.</t>
  </si>
  <si>
    <t>جدول 3 - برآورد اجرا بر اساس فهرست بهای ابنیه 1402  - احداث جاده های دسترسی، جاده های داخل واحدها و پاترول(بر اساس ریز متره مندرج در جدول ج پیوست2)</t>
  </si>
  <si>
    <t>تهیه، بریدن، خم کردن و کار گذاشتن میلگرد آج دار به قطر ١٢ تا ١٨ میلی متر، برای بتن مسلح با سیم پیچی لازم.</t>
  </si>
  <si>
    <t>جدول 5 - برآورد اجرا بر اساس فهرست بهای ابنیه 1402  -محوطه سازی واحدها (بر اساس ریز متره مندرج در جدول ه پیوست2)</t>
  </si>
  <si>
    <t>جدول7 - برآورد اجرا بر اساس فهرست بهای ابنیه 1402  - دفن لوله ها (داخل و خارج واحد) و کابل های زیر زمینی (بر اساس ریز متره مندرج در جدول و پیوست2)</t>
  </si>
  <si>
    <t>کانال کنس با ماشین</t>
  </si>
  <si>
    <t>پکندن زمین در صورت لزوم استفاده از چکش هیدرولیکی در زمین های سنگی و حمل و تخلیه مواد کنده شده تا فاصله ٢٠ متر از مرکز ثقل برداشت</t>
  </si>
  <si>
    <t>تهیه، ساخت و نصب ستون های خرپایی به اشکال مختلف
ا ز تیرآهن ، ناودانی ، نبش ی و مانن د آن، ب ا اتصا ل اعضای
خرپا بدون استفاده از ورق.</t>
  </si>
  <si>
    <t>جدول 9- برآورد اجرا بر اساس ابلاغیه شماره 47855 مورخ 1401/12/16 شورای مرکزی سازمان نظام مهندسی ساختمان -احداث ساختمانها</t>
  </si>
  <si>
    <r>
      <t xml:space="preserve">
</t>
    </r>
    <r>
      <rPr>
        <b/>
        <u/>
        <sz val="14"/>
        <rFont val="B Nazanin"/>
        <charset val="178"/>
      </rPr>
      <t>نحوه محاسبه اجرای ساختمانها</t>
    </r>
    <r>
      <rPr>
        <sz val="14"/>
        <rFont val="B Nazanin"/>
        <charset val="178"/>
      </rPr>
      <t xml:space="preserve">
با توجه به آنکه این پروژه در حد مهندسی مقدماتی و پایه بوده و نقشه معماری فاز یک آن اماده گردیده لیکن نقشه های فاز 2 معماری، نقشه های اجرایی فونداسیون، سازه بتی و فولادی و نیز نقشه های تاسیسات آن تهیه نگردیده و میبایست در مرحله مهندسی تفصیلی انجام شود، لذا امکان تهیه ریز برآورد اقلام و استفاده از فهرست احاد بهای اببنیه در این مرحله از پروژه میسر نمیباشد. لذا برای برآورد هزینه ساخت و اجرای ساختمانها از ابلاغیه شماره 47855/ش م مورخ 1401/12/16شورای مرکزی سازمان نظام مهندسی ساختمان که بر مبنای متراژ ساخت بنا میباشد، استفاده گردیده است که در ذیل ابلاغیه مذکور درج گردیده است:</t>
    </r>
  </si>
  <si>
    <t>واحد بــهامطابق فهرست راه و باند 1402</t>
  </si>
  <si>
    <t>جدول 11 - برآورد اجرا بر اساس فهرست بهای راه و باند 1402  -تجهیز و برچیدن کارگاه</t>
  </si>
  <si>
    <t>4/91</t>
  </si>
  <si>
    <t>4/1401</t>
  </si>
  <si>
    <t>ردیف فهرست بهای نفت سال 1401</t>
  </si>
  <si>
    <t>کد 591231 ردیف2</t>
  </si>
  <si>
    <t>کد 591231 ردیف 2</t>
  </si>
  <si>
    <t xml:space="preserve">کد 591011 ردیف 02 </t>
  </si>
  <si>
    <t xml:space="preserve">کد 591011 ردیف 01 </t>
  </si>
  <si>
    <t>کد 581113 ردیف 1</t>
  </si>
  <si>
    <t>4/1400</t>
  </si>
  <si>
    <t>4/1391</t>
  </si>
  <si>
    <t>نصب تجهیزات سیستم CO2</t>
  </si>
  <si>
    <t>جدول 14 - برآورد اجرا ی خطوط لوله بر اساس فهرست بهای اختصاصی تاسیسات نفت و گاز، رشته خطوط لوله روزمینی جریانی نفت و گاز 1401  -</t>
  </si>
  <si>
    <r>
      <rPr>
        <b/>
        <sz val="7"/>
        <color indexed="8"/>
        <rFont val="B Nazanin"/>
        <charset val="178"/>
      </rPr>
      <t xml:space="preserve"> </t>
    </r>
    <r>
      <rPr>
        <b/>
        <sz val="12"/>
        <color indexed="8"/>
        <rFont val="B Nazanin"/>
        <charset val="178"/>
      </rPr>
      <t>احداث خط لوله انتقال نفت نمکی 20 اینچ روزمینی  با جنسAPI 5L GR.X52/SCH.30/NACE   از واحد بهره برداری گچساران 4 به واحد نمک زدایی گچساران  4 به طول تقریبی 1500 متر و شامل الکترود و  تست هیدرواستاتیک</t>
    </r>
  </si>
  <si>
    <t>آزمایش هیدرواستیتک خط لوله به قطر 20"</t>
  </si>
  <si>
    <t xml:space="preserve">تعویض خط لوله انتقال نفت از واحد بهره برداری پازنان به واحد بهره برداری گچساران 3 با سایز 12 اینچ  </t>
  </si>
  <si>
    <t>زنگ زدایی و پرایمر زنی لوله 12" با ماسه پاشی در کارگاه پابت</t>
  </si>
  <si>
    <t>اجرای یک لایه ضد زنگ و دولایه رنگ روی قطر 12"</t>
  </si>
  <si>
    <t>اتصال گرم خط لوله به قطر 12" به لوله اصلی</t>
  </si>
  <si>
    <t>آزمایش هیدرواستیتک خط لوله به قطر 12"</t>
  </si>
  <si>
    <t>زنگ زدایی و پرایمر زنی لوله 4" با ماسه پاشی در کارگاه پابت</t>
  </si>
  <si>
    <t>اجرای یک لایه ضد زنگ و دولایه رنگ روی قطر 4"</t>
  </si>
  <si>
    <t>آزمایش هیدرواستیتک خط لوله به قطر 6"</t>
  </si>
  <si>
    <t>خط لوله "10 آب آتش نشانی اتصال بین دو واحد با جنس PE-100 به طول تقریبی 500متر</t>
  </si>
  <si>
    <t>کد 592411 - ردیف 01</t>
  </si>
  <si>
    <t>کد 592841 ردیف 1</t>
  </si>
  <si>
    <t>کد 592821 - ردیف 01- ستون 1</t>
  </si>
  <si>
    <t>کد 592101 ردیف 1</t>
  </si>
  <si>
    <t>فاکتور</t>
  </si>
  <si>
    <t>ماليات قرارداد شركتهاي ثالث بر عهده پيمانكار به ميزان 5 درصد</t>
  </si>
  <si>
    <t xml:space="preserve"> air compressor Packages</t>
  </si>
  <si>
    <t>ردیف 44</t>
  </si>
  <si>
    <t>نفر ساعت مهندسی</t>
  </si>
  <si>
    <t xml:space="preserve">بهای کل </t>
  </si>
  <si>
    <t>(ریال)</t>
  </si>
  <si>
    <t>سال</t>
  </si>
  <si>
    <r>
      <t xml:space="preserve">سال </t>
    </r>
    <r>
      <rPr>
        <b/>
        <sz val="11"/>
        <color rgb="FF000000"/>
        <rFont val="Calibri"/>
        <family val="2"/>
      </rPr>
      <t>1402</t>
    </r>
  </si>
  <si>
    <r>
      <t xml:space="preserve">سال </t>
    </r>
    <r>
      <rPr>
        <b/>
        <sz val="11"/>
        <color rgb="FF000000"/>
        <rFont val="Calibri"/>
        <family val="2"/>
      </rPr>
      <t>1403</t>
    </r>
  </si>
  <si>
    <r>
      <t xml:space="preserve">سال </t>
    </r>
    <r>
      <rPr>
        <b/>
        <sz val="11"/>
        <color rgb="FF000000"/>
        <rFont val="Calibri"/>
        <family val="2"/>
      </rPr>
      <t>1404</t>
    </r>
  </si>
  <si>
    <r>
      <t xml:space="preserve">بخش كارهاي  </t>
    </r>
    <r>
      <rPr>
        <b/>
        <sz val="11"/>
        <color rgb="FF000000"/>
        <rFont val="Times New Roman"/>
        <family val="1"/>
      </rPr>
      <t>HVAC</t>
    </r>
  </si>
  <si>
    <t>بخش ایمنی</t>
  </si>
  <si>
    <r>
      <t xml:space="preserve">حق الزحمه </t>
    </r>
    <r>
      <rPr>
        <sz val="11"/>
        <color rgb="FF000000"/>
        <rFont val="Calibri"/>
        <family val="2"/>
      </rPr>
      <t>(</t>
    </r>
    <r>
      <rPr>
        <sz val="11"/>
        <color rgb="FF000000"/>
        <rFont val="Times New Roman"/>
        <family val="1"/>
      </rPr>
      <t>ریال</t>
    </r>
    <r>
      <rPr>
        <sz val="11"/>
        <color rgb="FF000000"/>
        <rFont val="Calibri"/>
        <family val="2"/>
      </rPr>
      <t>) نفر ساعت</t>
    </r>
  </si>
  <si>
    <t>مديريت مهندسي</t>
  </si>
  <si>
    <t>مبلغ (ريال)</t>
  </si>
  <si>
    <t>كاهش قيمت ابزاردقيق به دليل تغيير از FCS به DCS</t>
  </si>
  <si>
    <t>افزايش كابلهاي ابزاردقيق به دليل تغيير FCS به DCS</t>
  </si>
  <si>
    <t>RETRIVER AND SERVICE VALVE and Handheld Data Logger + REQUIRED SOFTWARE</t>
  </si>
  <si>
    <t xml:space="preserve">Local DATA LOGGER </t>
  </si>
  <si>
    <t>SPECIAL TOOLS + HHC HART</t>
  </si>
  <si>
    <t xml:space="preserve">Security CCTV </t>
  </si>
  <si>
    <t>CCTV Accessory</t>
  </si>
  <si>
    <t>ضريب تطبيق</t>
  </si>
  <si>
    <t>ضريب</t>
  </si>
  <si>
    <t>ضريب تورم عمومي ريالي</t>
  </si>
  <si>
    <t>ضريب تورم ارزي دلار</t>
  </si>
  <si>
    <t>توسعه فناوري</t>
  </si>
  <si>
    <t>توسعه فناوريهاي سخت، توسعه قابليتهاي مديريتي و توسعه سهم داخل</t>
  </si>
  <si>
    <t>يك درصد از كل برآورد</t>
  </si>
  <si>
    <t>بخش ريالي</t>
  </si>
  <si>
    <t>بخش ارزي (دلار)</t>
  </si>
  <si>
    <t>Development</t>
  </si>
  <si>
    <t>ترخيص</t>
  </si>
  <si>
    <t>Neutral Earthing Resistor</t>
  </si>
  <si>
    <r>
      <t xml:space="preserve">سیستم </t>
    </r>
    <r>
      <rPr>
        <sz val="11"/>
        <color indexed="8"/>
        <rFont val="Times New Roman"/>
        <family val="1"/>
      </rPr>
      <t>HVAC</t>
    </r>
  </si>
  <si>
    <t>بخش ريالي 
با اعمال سربار</t>
  </si>
  <si>
    <t>توضیح : طبق استعلام مشخصات درخواستی</t>
  </si>
  <si>
    <t>وسيله اياب و ذهاب</t>
  </si>
  <si>
    <t>سه دستگاه خودرو شاسي استيشن</t>
  </si>
  <si>
    <t>كمپ اصلي و كمپ فرعي</t>
  </si>
  <si>
    <t>حراست فيزيكي و سيستم دوربين مدار بسته، روشنايي، فضاي سبز</t>
  </si>
  <si>
    <t>Draining material</t>
  </si>
  <si>
    <t>pipe, fitting</t>
  </si>
  <si>
    <t>pipe, valves,fitting</t>
  </si>
  <si>
    <t>بخش ارزي(دلار)
با اعمال سربار</t>
  </si>
  <si>
    <t>Capacitor Bank Set 400/230 V AC, 50Hz, 3Phase, 3-wires + N + PE , 425KVAR with min 5 Steps Regulator (50KVAR fixed step+375KVAR as variable steps), rapid discharge on contactor, free standing type, supplying from L V Switchgear, for indoor use, IP42.</t>
  </si>
  <si>
    <t>BATTERY BANKS AS FOLLOW:Nickel-cadmium battery bank (100%) with respective rack, Battery Back Up Duration : 2 Hours capacity, with fuse box EXD -IIC ,automatic switch 200 A</t>
  </si>
  <si>
    <t>BATTERY BANKS AS FOLLOW:Nickel-cadmium battery bank (50%) with respective rack, Battery Back Up Duration : 8Hours  capacity, with fuse box EXD -IIC ,automatic switch 160 A</t>
  </si>
  <si>
    <t>BATTERY BANKS AS FOLLOW:Nickel-cadmium battery bank (50%) with respective rack, Battery Back Up Duration :24Hours capacity, with fuse box EXD -IIC ,automatic switch400 A</t>
  </si>
  <si>
    <t>BATTERY BANKS AS FOLLOW:Nickel-cadmium battery bank (50%) with respective rack, Battery Back Up Duration : 8Hours  capacity , with fuse box EXD -IIC ,automatic switch160 A</t>
  </si>
  <si>
    <t>BATTERY BANKS AS FOLLOW:Nickel-cadmium battery bank (50%) with respective rack, Battery Back Up Duration : 8Hours  capacity ,with fuse box EXD -IIC ,automatic switch160 A</t>
  </si>
  <si>
    <t>BATTERY BANKS AS FOLLOW:Nickel-cadmium battery bank (50%) with respective rack, Battery Back Up Duration : 8Hours  capacity ,with fuse box EXD -IIC ,automatic switch 160 A</t>
  </si>
  <si>
    <t xml:space="preserve">توضیح جدول 2-17  : تعداد تقریبی ماموریتهای خارج کشورپرسنل کارفرما مطابق مدرک شرح خدمات و تسهیلات کارفرما معادل است با:
 120 نفر شرکت در مراحل ساخت و 40 نفر-روز  جهت حضور احتمالی در آزمایشات
هر ماموریت بطور متوسط 4 روز منظور شده است. لذا جمعا 40 سفر و به مدت 160 شب اقامت منظور شده است.
</t>
  </si>
  <si>
    <t>جمع کل پروژه ( ردیف های 5 ، 4 ، 3  ، 2 ، 1)</t>
  </si>
  <si>
    <t>overhead factor (E,G,D)</t>
  </si>
  <si>
    <r>
      <t xml:space="preserve">سيستم كنترل ( </t>
    </r>
    <r>
      <rPr>
        <sz val="11"/>
        <color indexed="8"/>
        <rFont val="Calibri"/>
        <family val="2"/>
      </rPr>
      <t>DCS,FGS )</t>
    </r>
    <r>
      <rPr>
        <sz val="11"/>
        <color indexed="8"/>
        <rFont val="B Nazanin"/>
        <charset val="178"/>
      </rPr>
      <t xml:space="preserve">، </t>
    </r>
    <r>
      <rPr>
        <sz val="11"/>
        <color indexed="8"/>
        <rFont val="Calibri"/>
        <family val="2"/>
      </rPr>
      <t>ESD</t>
    </r>
  </si>
  <si>
    <t>توسعه - De</t>
  </si>
  <si>
    <t>ارز - دلار</t>
  </si>
  <si>
    <t>FR(EPC Initial Capex)</t>
  </si>
  <si>
    <t xml:space="preserve">CORROSION PROBE </t>
  </si>
  <si>
    <t>برآورد هزينه هاي مستقيم</t>
  </si>
  <si>
    <t>حمل و جنبي</t>
  </si>
  <si>
    <t>جنبي</t>
  </si>
  <si>
    <r>
      <rPr>
        <sz val="11"/>
        <color indexed="8"/>
        <rFont val="Calibri"/>
        <family val="2"/>
      </rPr>
      <t>ادوات F</t>
    </r>
    <r>
      <rPr>
        <sz val="11"/>
        <color indexed="8"/>
        <rFont val="B Nazanin"/>
        <charset val="178"/>
      </rPr>
      <t>&amp;</t>
    </r>
    <r>
      <rPr>
        <sz val="11"/>
        <color indexed="8"/>
        <rFont val="Calibri"/>
        <family val="2"/>
      </rPr>
      <t>G و CO2 Total Flooding و ابزار خاص</t>
    </r>
  </si>
  <si>
    <r>
      <t xml:space="preserve">ادوات </t>
    </r>
    <r>
      <rPr>
        <sz val="11"/>
        <color indexed="8"/>
        <rFont val="Calibri"/>
        <family val="2"/>
      </rPr>
      <t>F</t>
    </r>
    <r>
      <rPr>
        <sz val="11"/>
        <color indexed="8"/>
        <rFont val="B Nazanin"/>
        <charset val="178"/>
      </rPr>
      <t>&amp;</t>
    </r>
    <r>
      <rPr>
        <sz val="11"/>
        <color indexed="8"/>
        <rFont val="Calibri"/>
        <family val="2"/>
      </rPr>
      <t>G و CO2 Total Flooding و ابزار خاص</t>
    </r>
  </si>
  <si>
    <t>Bpd_Cost_rate</t>
  </si>
  <si>
    <t>برآورد با اعمال بالاسري</t>
  </si>
  <si>
    <t>DCS (CONTROL SYSTEM OF DESALTING UNIT)</t>
  </si>
  <si>
    <t>Adjustment</t>
  </si>
  <si>
    <t>Over Work</t>
  </si>
  <si>
    <t>89205005</t>
  </si>
  <si>
    <t>Elevated Price</t>
  </si>
  <si>
    <t>Expenditure</t>
  </si>
  <si>
    <t>Request</t>
  </si>
  <si>
    <t>Approved Finance</t>
  </si>
  <si>
    <t>Finance Increment</t>
  </si>
  <si>
    <t>مجموع (ريال + ارز تسعير شده)</t>
  </si>
  <si>
    <t>(هزار ريال)</t>
  </si>
  <si>
    <t>(هزار دلار)</t>
  </si>
  <si>
    <t xml:space="preserve">هزينه هاي در تعهد كارفرما </t>
  </si>
  <si>
    <t xml:space="preserve">جمع هزينه شده </t>
  </si>
  <si>
    <t>برآورد اعتبار بخش ريالي زير پروژه 002</t>
  </si>
  <si>
    <t>برآورد اعتبار بخش ارزي زير پروژه 002</t>
  </si>
  <si>
    <t>پيش بيني اضافه­كاري در سقف 25 درصد برآورد بخش ريالي زير پروژه 002</t>
  </si>
  <si>
    <t>پيش بيني اضافه­كاري در سقف 25 درصد برآورد بخش ارزي زير پروژه 002</t>
  </si>
  <si>
    <t xml:space="preserve">جمع كل درخواست بخش ريالي </t>
  </si>
  <si>
    <t xml:space="preserve">جمع كل درخواست بخش ارزي </t>
  </si>
  <si>
    <t>اعتبار مصوب بخش ريالي</t>
  </si>
  <si>
    <t>اعتبار مصوب بخش ارزي</t>
  </si>
  <si>
    <t>مبلغ افزايش اعتبار بخش ريالي</t>
  </si>
  <si>
    <t>مبلغ افزايش اعتبار بخش ارزي</t>
  </si>
  <si>
    <t>هزينه انجام شده تاكنون طراحي و مهندسي</t>
  </si>
  <si>
    <t>RFCS</t>
  </si>
  <si>
    <t>توسعه مديريت</t>
  </si>
  <si>
    <t>فناوري سخت</t>
  </si>
  <si>
    <t>سهم داخل</t>
  </si>
  <si>
    <t>پیش بینی تعديل معادل 40 درصد برآورد بخش ريالي زيرپروژه 002</t>
  </si>
  <si>
    <t>نيروگاه خورشيدي</t>
  </si>
  <si>
    <t>تصفيه پساب</t>
  </si>
  <si>
    <t xml:space="preserve">در آيتم الف از 1-2 در نظر گرفته شده است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</si>
</sst>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43" formatCode="_(* #,##0.00_);_(* \(#,##0.00\);_(* &quot;-&quot;??_);_(@_)"/>
    <numFmt numFmtId="164" formatCode="_-&quot;ريال&quot;\ * #,##0_-;_-&quot;ريال&quot;\ * #,##0\-;_-&quot;ريال&quot;\ * &quot;-&quot;_-;_-@_-"/>
    <numFmt numFmtId="165" formatCode="_-* #,##0_-;_-* #,##0\-;_-* &quot;-&quot;_-;_-@_-"/>
    <numFmt numFmtId="166" formatCode="_-* #,##0.00_-;_-* #,##0.00\-;_-* &quot;-&quot;??_-;_-@_-"/>
    <numFmt numFmtId="167" formatCode="_-&quot;£&quot;* #,##0.00_-;\-&quot;£&quot;* #,##0.00_-;_-&quot;£&quot;* &quot;-&quot;??_-;_-@_-"/>
    <numFmt numFmtId="168" formatCode="_-[$IRR]\ * #,##0_-;\-[$IRR]\ * #,##0_-;_-[$IRR]\ * &quot;-&quot;_-;_-@_-"/>
    <numFmt numFmtId="169" formatCode="_-[$$-409]* #,##0.00_ ;_-[$$-409]* \-#,##0.00\ ;_-[$$-409]* &quot;-&quot;??_ ;_-@_ "/>
    <numFmt numFmtId="170" formatCode="0.0%"/>
    <numFmt numFmtId="171" formatCode="_-[$EUR]\ * #,##0_-;_-[$EUR]\ * #,##0\-;_-[$EUR]\ * &quot;-&quot;_-;_-@_-"/>
    <numFmt numFmtId="172" formatCode="#,##0_ ;[Red]\-#,##0\ "/>
    <numFmt numFmtId="173" formatCode="#,##0.0_ ;[Red]\-#,##0.0\ "/>
    <numFmt numFmtId="174" formatCode="[$£-809]#,##0"/>
    <numFmt numFmtId="175" formatCode="#,##0.00_ ;[Red]\-#,##0.00\ "/>
    <numFmt numFmtId="176" formatCode="_-[$USD]\ * #,##0_-;_-[$USD]\ * #,##0\-;_-[$USD]\ * &quot;-&quot;_-;_-@_-"/>
    <numFmt numFmtId="177" formatCode="0.000"/>
    <numFmt numFmtId="178" formatCode="[$€-413]\ #,##0_-"/>
    <numFmt numFmtId="179" formatCode="#,##0_-"/>
    <numFmt numFmtId="180" formatCode="#,##0.000"/>
    <numFmt numFmtId="181" formatCode="#,##0.0_-"/>
    <numFmt numFmtId="182" formatCode="#,##0.000_-"/>
    <numFmt numFmtId="183" formatCode="&quot;ريال&quot;\ #,##0_-"/>
    <numFmt numFmtId="184" formatCode="#,##0.00_-"/>
    <numFmt numFmtId="185" formatCode="000000"/>
    <numFmt numFmtId="186" formatCode="0.0"/>
    <numFmt numFmtId="187" formatCode="_-* #,##0_-;_-* #,##0\-;_-* &quot;-&quot;??_-;_-@_-"/>
    <numFmt numFmtId="188" formatCode="_-* #,##0.0_-;_-* #,##0.0\-;_-* &quot;-&quot;??_-;_-@_-"/>
    <numFmt numFmtId="189" formatCode="#,##0.0"/>
    <numFmt numFmtId="190" formatCode="[$-409]d\-mmm\-yy;@"/>
    <numFmt numFmtId="191" formatCode="_(* #,##0_);_(* \(#,##0\);_(* &quot;-&quot;??_);_(@_)"/>
    <numFmt numFmtId="192" formatCode="_-* #,##0.000_-;_-* #,##0.000\-;_-* &quot;-&quot;??_-;_-@_-"/>
    <numFmt numFmtId="193" formatCode="_-[$IRR]\ * #,##0.00_-;_-[$IRR]\ * #,##0.00\-;_-[$IRR]\ * &quot;-&quot;??_-;_-@_-"/>
    <numFmt numFmtId="194" formatCode="_-[$$-409]* #,##0_ ;_-[$$-409]* \-#,##0\ ;_-[$$-409]* &quot;-&quot;??_ ;_-@_ "/>
    <numFmt numFmtId="195" formatCode="#,##0.0000_ ;[Red]\-#,##0.0000\ "/>
    <numFmt numFmtId="196" formatCode="_-[$IRR]\ * #,##0_-;_-[$IRR]\ * #,##0\-;_-[$IRR]\ * &quot;-&quot;?_-;_-@_-"/>
    <numFmt numFmtId="197" formatCode="_-[$$-409]* #,##0.000_ ;_-[$$-409]* \-#,##0.000\ ;_-[$$-409]* &quot;-&quot;??_ ;_-@_ "/>
    <numFmt numFmtId="198" formatCode="_-[$€-2]\ * #,##0_-;_-[$€-2]\ * #,##0\-;_-[$€-2]\ * &quot;-&quot;??_-;_-@_-"/>
    <numFmt numFmtId="199" formatCode="0.000%"/>
  </numFmts>
  <fonts count="140">
    <font>
      <sz val="11"/>
      <color theme="1"/>
      <name val="Calibri"/>
      <family val="2"/>
      <scheme val="minor"/>
    </font>
    <font>
      <sz val="11"/>
      <color theme="1"/>
      <name val="Calibri"/>
      <family val="2"/>
      <charset val="178"/>
      <scheme val="minor"/>
    </font>
    <font>
      <b/>
      <sz val="11"/>
      <color theme="3"/>
      <name val="Calibri"/>
      <family val="2"/>
      <scheme val="minor"/>
    </font>
    <font>
      <b/>
      <sz val="11"/>
      <color theme="1"/>
      <name val="Calibri"/>
      <family val="2"/>
      <scheme val="minor"/>
    </font>
    <font>
      <sz val="12"/>
      <color theme="1"/>
      <name val="Times New Roman"/>
      <family val="1"/>
    </font>
    <font>
      <sz val="11"/>
      <color theme="1"/>
      <name val="Times New Roman"/>
      <family val="1"/>
    </font>
    <font>
      <b/>
      <sz val="11"/>
      <color rgb="FF0070C0"/>
      <name val="Calibri"/>
      <family val="2"/>
      <scheme val="minor"/>
    </font>
    <font>
      <b/>
      <sz val="12"/>
      <color theme="1"/>
      <name val="Calibri"/>
      <family val="2"/>
      <scheme val="minor"/>
    </font>
    <font>
      <sz val="11"/>
      <name val="Calibri"/>
      <family val="2"/>
      <scheme val="minor"/>
    </font>
    <font>
      <b/>
      <sz val="10"/>
      <color theme="3"/>
      <name val="Calibri"/>
      <family val="2"/>
      <scheme val="minor"/>
    </font>
    <font>
      <sz val="10"/>
      <color theme="1"/>
      <name val="Calibri"/>
      <family val="2"/>
      <scheme val="minor"/>
    </font>
    <font>
      <b/>
      <sz val="10"/>
      <color theme="1"/>
      <name val="Calibri"/>
      <family val="2"/>
      <scheme val="minor"/>
    </font>
    <font>
      <sz val="11"/>
      <color theme="1"/>
      <name val="Calibri"/>
      <family val="2"/>
      <scheme val="minor"/>
    </font>
    <font>
      <sz val="10"/>
      <color theme="1"/>
      <name val="B Nazanin"/>
      <charset val="178"/>
    </font>
    <font>
      <sz val="10"/>
      <name val="B Nazanin"/>
      <charset val="178"/>
    </font>
    <font>
      <b/>
      <sz val="10"/>
      <color rgb="FF0070C0"/>
      <name val="B Nazanin"/>
      <charset val="178"/>
    </font>
    <font>
      <sz val="10"/>
      <color rgb="FFFF0000"/>
      <name val="B Nazanin"/>
      <charset val="178"/>
    </font>
    <font>
      <b/>
      <sz val="10"/>
      <color theme="1"/>
      <name val="B Nazanin"/>
      <charset val="178"/>
    </font>
    <font>
      <sz val="10"/>
      <name val="Arial"/>
      <family val="2"/>
    </font>
    <font>
      <b/>
      <sz val="12"/>
      <color rgb="FF000000"/>
      <name val="Times New Roman"/>
      <family val="1"/>
    </font>
    <font>
      <b/>
      <sz val="11"/>
      <color rgb="FF000000"/>
      <name val="B Nazanin"/>
      <charset val="178"/>
    </font>
    <font>
      <sz val="11"/>
      <color rgb="FF000000"/>
      <name val="B Nazanin"/>
      <charset val="178"/>
    </font>
    <font>
      <sz val="11"/>
      <color rgb="FF000000"/>
      <name val="Calibri"/>
      <family val="2"/>
    </font>
    <font>
      <sz val="11"/>
      <color indexed="8"/>
      <name val="Calibri"/>
      <family val="2"/>
    </font>
    <font>
      <sz val="13"/>
      <color theme="1"/>
      <name val="B Nazanin"/>
      <charset val="178"/>
    </font>
    <font>
      <sz val="11"/>
      <color indexed="8"/>
      <name val="B Nazanin"/>
      <charset val="178"/>
    </font>
    <font>
      <sz val="10"/>
      <color rgb="FF000000"/>
      <name val="Calibri"/>
      <family val="2"/>
    </font>
    <font>
      <b/>
      <sz val="11"/>
      <color rgb="FF000000"/>
      <name val="Times New Roman"/>
      <family val="1"/>
    </font>
    <font>
      <b/>
      <sz val="10"/>
      <color rgb="FF000000"/>
      <name val="B Nazanin"/>
      <charset val="178"/>
    </font>
    <font>
      <sz val="13"/>
      <color rgb="FF000000"/>
      <name val="B Nazanin"/>
      <charset val="178"/>
    </font>
    <font>
      <sz val="12"/>
      <name val="Arial"/>
      <family val="2"/>
    </font>
    <font>
      <b/>
      <sz val="11"/>
      <color theme="1"/>
      <name val="Arial"/>
      <family val="2"/>
    </font>
    <font>
      <b/>
      <sz val="12"/>
      <name val="Arial"/>
      <family val="2"/>
    </font>
    <font>
      <sz val="11"/>
      <color theme="1"/>
      <name val="Arial"/>
      <family val="2"/>
    </font>
    <font>
      <sz val="10"/>
      <color theme="1"/>
      <name val="Arial"/>
      <family val="2"/>
    </font>
    <font>
      <vertAlign val="superscript"/>
      <sz val="10"/>
      <color indexed="8"/>
      <name val="Arial"/>
      <family val="2"/>
    </font>
    <font>
      <sz val="10"/>
      <color indexed="8"/>
      <name val="Arial"/>
      <family val="2"/>
    </font>
    <font>
      <sz val="12"/>
      <color indexed="8"/>
      <name val="Arial"/>
      <family val="2"/>
    </font>
    <font>
      <sz val="9"/>
      <color theme="1"/>
      <name val="Arial"/>
      <family val="2"/>
    </font>
    <font>
      <sz val="12"/>
      <color indexed="10"/>
      <name val="Arial"/>
      <family val="2"/>
    </font>
    <font>
      <sz val="12"/>
      <color theme="1"/>
      <name val="Arial"/>
      <family val="2"/>
    </font>
    <font>
      <sz val="12"/>
      <color rgb="FF000000"/>
      <name val="Calibri"/>
      <family val="2"/>
      <scheme val="minor"/>
    </font>
    <font>
      <sz val="9"/>
      <name val="Arial"/>
      <family val="2"/>
    </font>
    <font>
      <sz val="11"/>
      <name val="Arial"/>
      <family val="2"/>
    </font>
    <font>
      <sz val="12"/>
      <color indexed="8"/>
      <name val="Times New Roman"/>
      <family val="1"/>
    </font>
    <font>
      <b/>
      <sz val="10"/>
      <color theme="1"/>
      <name val="Arial"/>
      <family val="2"/>
    </font>
    <font>
      <b/>
      <sz val="12"/>
      <color theme="1"/>
      <name val="Arial"/>
      <family val="2"/>
    </font>
    <font>
      <sz val="8"/>
      <color theme="1"/>
      <name val="Arial"/>
      <family val="2"/>
    </font>
    <font>
      <sz val="10"/>
      <color indexed="8"/>
      <name val="MS Sans Serif"/>
      <family val="2"/>
    </font>
    <font>
      <sz val="10"/>
      <color theme="1"/>
      <name val="Times New Roman"/>
      <family val="1"/>
    </font>
    <font>
      <b/>
      <sz val="12"/>
      <color indexed="8"/>
      <name val="B Nazanin"/>
      <charset val="178"/>
    </font>
    <font>
      <b/>
      <sz val="7"/>
      <color indexed="8"/>
      <name val="B Nazanin"/>
      <charset val="178"/>
    </font>
    <font>
      <b/>
      <sz val="12"/>
      <color theme="1"/>
      <name val="B Nazanin"/>
      <charset val="178"/>
    </font>
    <font>
      <sz val="12"/>
      <color rgb="FFFF0000"/>
      <name val="B Nazanin"/>
      <charset val="178"/>
    </font>
    <font>
      <sz val="12"/>
      <color indexed="8"/>
      <name val="2  Lotus"/>
      <charset val="178"/>
    </font>
    <font>
      <sz val="12"/>
      <color theme="1"/>
      <name val="B Nazanin"/>
      <charset val="178"/>
    </font>
    <font>
      <sz val="11"/>
      <color theme="1"/>
      <name val="B Nazanin"/>
      <charset val="178"/>
    </font>
    <font>
      <sz val="9"/>
      <color theme="1"/>
      <name val="Tahoma"/>
      <family val="2"/>
    </font>
    <font>
      <b/>
      <sz val="12"/>
      <color theme="1"/>
      <name val="Times New Roman"/>
      <family val="1"/>
    </font>
    <font>
      <i/>
      <sz val="13"/>
      <color indexed="8"/>
      <name val="B Nazanin"/>
      <charset val="178"/>
    </font>
    <font>
      <sz val="10"/>
      <color indexed="10"/>
      <name val="Arial"/>
      <family val="2"/>
    </font>
    <font>
      <sz val="9"/>
      <color indexed="8"/>
      <name val="Arial"/>
      <family val="2"/>
    </font>
    <font>
      <b/>
      <sz val="9"/>
      <color indexed="8"/>
      <name val="Arial"/>
      <family val="2"/>
    </font>
    <font>
      <sz val="10"/>
      <name val="돋움"/>
      <family val="3"/>
      <charset val="129"/>
    </font>
    <font>
      <u/>
      <sz val="9"/>
      <color indexed="8"/>
      <name val="Arial"/>
      <family val="2"/>
    </font>
    <font>
      <b/>
      <sz val="9"/>
      <name val="Arial"/>
      <family val="2"/>
    </font>
    <font>
      <u/>
      <sz val="10"/>
      <name val="Arial"/>
      <family val="2"/>
    </font>
    <font>
      <b/>
      <sz val="10"/>
      <name val="Arial"/>
      <family val="2"/>
    </font>
    <font>
      <b/>
      <sz val="9"/>
      <color theme="1"/>
      <name val="Calibri"/>
      <family val="2"/>
      <scheme val="minor"/>
    </font>
    <font>
      <sz val="11"/>
      <color rgb="FF000000"/>
      <name val="Times New Roman"/>
      <family val="1"/>
    </font>
    <font>
      <b/>
      <sz val="14"/>
      <name val="Arial"/>
      <family val="2"/>
    </font>
    <font>
      <b/>
      <sz val="12"/>
      <color indexed="8"/>
      <name val="Times New Roman"/>
      <family val="1"/>
    </font>
    <font>
      <b/>
      <sz val="12"/>
      <color indexed="8"/>
      <name val="Arial"/>
      <family val="2"/>
    </font>
    <font>
      <b/>
      <sz val="20"/>
      <name val="Times New Roman"/>
      <family val="1"/>
    </font>
    <font>
      <b/>
      <sz val="32"/>
      <name val="Times New Roman"/>
      <family val="1"/>
    </font>
    <font>
      <b/>
      <sz val="12"/>
      <name val="Times New Roman"/>
      <family val="1"/>
    </font>
    <font>
      <b/>
      <sz val="11"/>
      <name val="Arial"/>
      <family val="2"/>
    </font>
    <font>
      <b/>
      <sz val="11"/>
      <color indexed="8"/>
      <name val="Arial"/>
      <family val="2"/>
    </font>
    <font>
      <b/>
      <sz val="11"/>
      <color indexed="8"/>
      <name val="Times New Roman"/>
      <family val="1"/>
    </font>
    <font>
      <b/>
      <u/>
      <sz val="14"/>
      <name val="Times New Roman"/>
      <family val="1"/>
    </font>
    <font>
      <b/>
      <sz val="14"/>
      <name val="Times New Roman"/>
      <family val="1"/>
    </font>
    <font>
      <sz val="14"/>
      <color theme="1"/>
      <name val="B Nazanin"/>
      <charset val="178"/>
    </font>
    <font>
      <sz val="14"/>
      <name val="B Nazanin"/>
      <charset val="178"/>
    </font>
    <font>
      <sz val="14"/>
      <name val="Arial"/>
      <family val="2"/>
    </font>
    <font>
      <b/>
      <u/>
      <sz val="12"/>
      <name val="B Nazanin"/>
      <charset val="178"/>
    </font>
    <font>
      <sz val="12"/>
      <name val="B Nazanin"/>
      <charset val="178"/>
    </font>
    <font>
      <b/>
      <u/>
      <sz val="32"/>
      <name val="Times New Roman"/>
      <family val="1"/>
    </font>
    <font>
      <b/>
      <u/>
      <sz val="12"/>
      <color theme="1"/>
      <name val="B Nazanin"/>
      <charset val="178"/>
    </font>
    <font>
      <b/>
      <sz val="13"/>
      <name val="Times New Roman"/>
      <family val="1"/>
    </font>
    <font>
      <sz val="13"/>
      <name val="Arial"/>
      <family val="2"/>
    </font>
    <font>
      <sz val="13"/>
      <name val="B Nazanin"/>
      <charset val="178"/>
    </font>
    <font>
      <b/>
      <sz val="13"/>
      <color theme="1"/>
      <name val="B Nazanin"/>
      <charset val="178"/>
    </font>
    <font>
      <b/>
      <sz val="13"/>
      <name val="B Nazanin"/>
      <charset val="178"/>
    </font>
    <font>
      <b/>
      <sz val="12"/>
      <name val="B Nazanin"/>
      <charset val="178"/>
    </font>
    <font>
      <b/>
      <u/>
      <sz val="14"/>
      <color theme="1"/>
      <name val="B Nazanin"/>
      <charset val="178"/>
    </font>
    <font>
      <u/>
      <sz val="14"/>
      <color theme="1"/>
      <name val="B Nazanin"/>
      <charset val="178"/>
    </font>
    <font>
      <u/>
      <sz val="13"/>
      <color theme="1"/>
      <name val="B Nazanin"/>
      <charset val="178"/>
    </font>
    <font>
      <sz val="13"/>
      <color theme="1"/>
      <name val="Calibri"/>
      <family val="2"/>
      <scheme val="minor"/>
    </font>
    <font>
      <b/>
      <sz val="10"/>
      <color indexed="8"/>
      <name val="Arial"/>
      <family val="2"/>
    </font>
    <font>
      <b/>
      <sz val="11"/>
      <color theme="1"/>
      <name val="B Nazanin"/>
      <charset val="178"/>
    </font>
    <font>
      <vertAlign val="superscript"/>
      <sz val="11"/>
      <color indexed="8"/>
      <name val="Calibri"/>
      <family val="2"/>
    </font>
    <font>
      <sz val="11"/>
      <name val="B Nazanin"/>
      <charset val="178"/>
    </font>
    <font>
      <b/>
      <sz val="11"/>
      <name val="B Nazanin"/>
      <charset val="178"/>
    </font>
    <font>
      <vertAlign val="superscript"/>
      <sz val="11"/>
      <name val="Calibri"/>
      <family val="2"/>
    </font>
    <font>
      <b/>
      <u/>
      <sz val="12"/>
      <name val="Arial"/>
      <family val="2"/>
    </font>
    <font>
      <sz val="8"/>
      <name val="Arial"/>
      <family val="2"/>
    </font>
    <font>
      <sz val="16"/>
      <name val="Arial"/>
      <family val="2"/>
    </font>
    <font>
      <b/>
      <u/>
      <sz val="18"/>
      <name val="B Nazanin"/>
      <charset val="178"/>
    </font>
    <font>
      <b/>
      <sz val="14"/>
      <color theme="1"/>
      <name val="B Nazanin"/>
      <charset val="178"/>
    </font>
    <font>
      <b/>
      <sz val="20"/>
      <color theme="1"/>
      <name val="B Nazanin"/>
      <charset val="178"/>
    </font>
    <font>
      <b/>
      <sz val="16"/>
      <color theme="1"/>
      <name val="B Nazanin"/>
      <charset val="178"/>
    </font>
    <font>
      <b/>
      <vertAlign val="superscript"/>
      <sz val="10"/>
      <name val="Arial"/>
      <family val="2"/>
    </font>
    <font>
      <b/>
      <u/>
      <sz val="10"/>
      <name val="Arial"/>
      <family val="2"/>
    </font>
    <font>
      <sz val="12"/>
      <color theme="1"/>
      <name val="Calibri"/>
      <family val="2"/>
      <scheme val="minor"/>
    </font>
    <font>
      <b/>
      <sz val="12"/>
      <color indexed="8"/>
      <name val="Calibri"/>
      <family val="2"/>
    </font>
    <font>
      <b/>
      <sz val="12"/>
      <name val="Calibri"/>
      <family val="2"/>
    </font>
    <font>
      <sz val="7"/>
      <color theme="1"/>
      <name val="Times New Roman"/>
      <family val="1"/>
    </font>
    <font>
      <sz val="9"/>
      <color theme="1"/>
      <name val="B Nazanin"/>
      <charset val="178"/>
    </font>
    <font>
      <b/>
      <u/>
      <sz val="12"/>
      <color theme="1"/>
      <name val="Calibri"/>
      <family val="2"/>
      <scheme val="minor"/>
    </font>
    <font>
      <sz val="10"/>
      <color rgb="FFFF0000"/>
      <name val="Arial"/>
      <family val="2"/>
    </font>
    <font>
      <sz val="12"/>
      <color theme="1"/>
      <name val="Calibri"/>
      <family val="2"/>
    </font>
    <font>
      <sz val="10"/>
      <name val="Arial"/>
      <family val="2"/>
    </font>
    <font>
      <b/>
      <u/>
      <sz val="16"/>
      <color theme="1"/>
      <name val="B Nazanin"/>
      <charset val="178"/>
    </font>
    <font>
      <b/>
      <sz val="11"/>
      <color indexed="8"/>
      <name val="B Nazanin"/>
      <charset val="178"/>
    </font>
    <font>
      <sz val="7"/>
      <name val="Times New Roman"/>
      <family val="1"/>
    </font>
    <font>
      <sz val="11"/>
      <color indexed="8"/>
      <name val="Arial"/>
      <family val="2"/>
    </font>
    <font>
      <b/>
      <sz val="16"/>
      <color theme="1"/>
      <name val="Arial"/>
      <family val="2"/>
    </font>
    <font>
      <b/>
      <sz val="14"/>
      <color indexed="8"/>
      <name val="Arial"/>
      <family val="2"/>
    </font>
    <font>
      <sz val="10"/>
      <color theme="0"/>
      <name val="Arial"/>
      <family val="2"/>
    </font>
    <font>
      <sz val="11"/>
      <color theme="0"/>
      <name val="Arial"/>
      <family val="2"/>
    </font>
    <font>
      <b/>
      <u/>
      <sz val="14"/>
      <name val="B Nazanin"/>
      <charset val="178"/>
    </font>
    <font>
      <b/>
      <sz val="10"/>
      <color theme="1"/>
      <name val="Times New Roman"/>
      <family val="1"/>
    </font>
    <font>
      <sz val="11"/>
      <color theme="1"/>
      <name val="B Traffic"/>
      <charset val="178"/>
    </font>
    <font>
      <b/>
      <sz val="11"/>
      <color rgb="FF000000"/>
      <name val="Calibri"/>
      <family val="2"/>
    </font>
    <font>
      <sz val="10"/>
      <color rgb="FF000000"/>
      <name val="Arial"/>
      <family val="2"/>
    </font>
    <font>
      <b/>
      <sz val="11"/>
      <color rgb="FF000000"/>
      <name val="Cambria"/>
      <family val="1"/>
    </font>
    <font>
      <sz val="11"/>
      <color indexed="8"/>
      <name val="Times New Roman"/>
      <family val="1"/>
    </font>
    <font>
      <b/>
      <sz val="13"/>
      <color rgb="FF000000"/>
      <name val="B Nazanin"/>
      <charset val="178"/>
    </font>
    <font>
      <sz val="14"/>
      <color rgb="FF000000"/>
      <name val="B Nazanin"/>
      <charset val="178"/>
    </font>
    <font>
      <b/>
      <sz val="12"/>
      <color rgb="FF000000"/>
      <name val="B Nazanin"/>
      <charset val="178"/>
    </font>
  </fonts>
  <fills count="1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rgb="FF92D050"/>
        <bgColor indexed="64"/>
      </patternFill>
    </fill>
    <fill>
      <patternFill patternType="solid">
        <fgColor theme="6" tint="0.59999389629810485"/>
        <bgColor indexed="64"/>
      </patternFill>
    </fill>
    <fill>
      <patternFill patternType="solid">
        <fgColor rgb="FFFFCC99"/>
        <bgColor indexed="64"/>
      </patternFill>
    </fill>
    <fill>
      <patternFill patternType="solid">
        <fgColor theme="3" tint="-0.249977111117893"/>
        <bgColor indexed="64"/>
      </patternFill>
    </fill>
    <fill>
      <patternFill patternType="solid">
        <fgColor indexed="9"/>
        <bgColor indexed="64"/>
      </patternFill>
    </fill>
    <fill>
      <patternFill patternType="solid">
        <fgColor rgb="FFD9D9D9"/>
        <bgColor indexed="64"/>
      </patternFill>
    </fill>
    <fill>
      <patternFill patternType="darkVertical">
        <bgColor theme="1"/>
      </patternFill>
    </fill>
  </fills>
  <borders count="112">
    <border>
      <left/>
      <right/>
      <top/>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diagonal/>
    </border>
    <border>
      <left style="hair">
        <color indexed="64"/>
      </left>
      <right/>
      <top style="hair">
        <color indexed="64"/>
      </top>
      <bottom style="thin">
        <color theme="4"/>
      </bottom>
      <diagonal/>
    </border>
    <border>
      <left/>
      <right/>
      <top style="hair">
        <color indexed="64"/>
      </top>
      <bottom style="thin">
        <color theme="4"/>
      </bottom>
      <diagonal/>
    </border>
    <border>
      <left/>
      <right/>
      <top/>
      <bottom style="thin">
        <color indexed="64"/>
      </bottom>
      <diagonal/>
    </border>
    <border>
      <left style="hair">
        <color indexed="64"/>
      </left>
      <right style="hair">
        <color indexed="64"/>
      </right>
      <top/>
      <bottom/>
      <diagonal/>
    </border>
    <border>
      <left style="hair">
        <color indexed="64"/>
      </left>
      <right style="hair">
        <color indexed="64"/>
      </right>
      <top style="thin">
        <color indexed="64"/>
      </top>
      <bottom/>
      <diagonal/>
    </border>
    <border>
      <left style="hair">
        <color indexed="64"/>
      </left>
      <right style="hair">
        <color indexed="64"/>
      </right>
      <top/>
      <bottom style="thin">
        <color theme="4"/>
      </bottom>
      <diagonal/>
    </border>
    <border>
      <left/>
      <right style="hair">
        <color indexed="64"/>
      </right>
      <top style="hair">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diagonalUp="1">
      <left style="thin">
        <color indexed="64"/>
      </left>
      <right style="thin">
        <color indexed="64"/>
      </right>
      <top style="medium">
        <color indexed="64"/>
      </top>
      <bottom style="thin">
        <color indexed="64"/>
      </bottom>
      <diagonal style="thin">
        <color indexed="64"/>
      </diagonal>
    </border>
    <border>
      <left style="medium">
        <color indexed="64"/>
      </left>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style="thin">
        <color indexed="64"/>
      </right>
      <top style="thin">
        <color indexed="64"/>
      </top>
      <bottom/>
      <diagonal/>
    </border>
    <border diagonalUp="1">
      <left style="thin">
        <color indexed="64"/>
      </left>
      <right style="thin">
        <color indexed="64"/>
      </right>
      <top style="thin">
        <color indexed="64"/>
      </top>
      <bottom/>
      <diagonal style="thin">
        <color indexed="64"/>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diagonalUp="1">
      <left style="thin">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top style="thin">
        <color indexed="64"/>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diagonalUp="1" diagonalDown="1">
      <left style="thin">
        <color indexed="64"/>
      </left>
      <right style="thin">
        <color indexed="64"/>
      </right>
      <top style="thin">
        <color indexed="64"/>
      </top>
      <bottom style="thin">
        <color indexed="64"/>
      </bottom>
      <diagonal style="thin">
        <color indexed="64"/>
      </diagonal>
    </border>
    <border>
      <left/>
      <right/>
      <top style="thin">
        <color indexed="64"/>
      </top>
      <bottom/>
      <diagonal/>
    </border>
    <border>
      <left style="medium">
        <color indexed="64"/>
      </left>
      <right/>
      <top style="medium">
        <color indexed="64"/>
      </top>
      <bottom style="thin">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diagonalUp="1">
      <left style="thin">
        <color indexed="64"/>
      </left>
      <right style="thin">
        <color indexed="64"/>
      </right>
      <top/>
      <bottom/>
      <diagonal style="thin">
        <color indexed="64"/>
      </diagonal>
    </border>
    <border>
      <left style="medium">
        <color indexed="64"/>
      </left>
      <right style="medium">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auto="1"/>
      </left>
      <right style="double">
        <color auto="1"/>
      </right>
      <top/>
      <bottom style="double">
        <color auto="1"/>
      </bottom>
      <diagonal/>
    </border>
    <border>
      <left/>
      <right/>
      <top style="hair">
        <color indexed="64"/>
      </top>
      <bottom/>
      <diagonal/>
    </border>
    <border>
      <left style="hair">
        <color indexed="64"/>
      </left>
      <right/>
      <top style="hair">
        <color indexed="64"/>
      </top>
      <bottom/>
      <diagonal/>
    </border>
    <border>
      <left/>
      <right/>
      <top/>
      <bottom style="double">
        <color theme="4"/>
      </bottom>
      <diagonal/>
    </border>
    <border>
      <left style="medium">
        <color indexed="64"/>
      </left>
      <right style="double">
        <color indexed="64"/>
      </right>
      <top style="double">
        <color indexed="64"/>
      </top>
      <bottom/>
      <diagonal/>
    </border>
    <border>
      <left style="medium">
        <color indexed="64"/>
      </left>
      <right style="double">
        <color indexed="64"/>
      </right>
      <top/>
      <bottom style="medium">
        <color indexed="64"/>
      </bottom>
      <diagonal/>
    </border>
    <border>
      <left style="double">
        <color indexed="64"/>
      </left>
      <right/>
      <top style="double">
        <color indexed="64"/>
      </top>
      <bottom/>
      <diagonal/>
    </border>
    <border>
      <left style="double">
        <color indexed="64"/>
      </left>
      <right/>
      <top/>
      <bottom style="medium">
        <color indexed="64"/>
      </bottom>
      <diagonal/>
    </border>
    <border>
      <left style="medium">
        <color indexed="64"/>
      </left>
      <right/>
      <top/>
      <bottom style="double">
        <color indexed="64"/>
      </bottom>
      <diagonal/>
    </border>
    <border>
      <left/>
      <right style="thin">
        <color indexed="64"/>
      </right>
      <top/>
      <bottom style="double">
        <color theme="4"/>
      </bottom>
      <diagonal/>
    </border>
    <border>
      <left style="thin">
        <color indexed="64"/>
      </left>
      <right/>
      <top/>
      <bottom style="double">
        <color theme="4"/>
      </bottom>
      <diagonal/>
    </border>
  </borders>
  <cellStyleXfs count="28">
    <xf numFmtId="0" fontId="0" fillId="0" borderId="0"/>
    <xf numFmtId="0" fontId="2" fillId="0" borderId="0" applyNumberFormat="0" applyFill="0" applyBorder="0" applyAlignment="0" applyProtection="0"/>
    <xf numFmtId="0" fontId="3" fillId="0" borderId="1" applyNumberFormat="0" applyFill="0" applyAlignment="0" applyProtection="0"/>
    <xf numFmtId="167" fontId="12" fillId="0" borderId="0" applyFont="0" applyFill="0" applyBorder="0" applyAlignment="0" applyProtection="0"/>
    <xf numFmtId="9" fontId="12" fillId="0" borderId="0" applyFont="0" applyFill="0" applyBorder="0" applyAlignment="0" applyProtection="0"/>
    <xf numFmtId="0" fontId="18" fillId="0" borderId="0"/>
    <xf numFmtId="43" fontId="12" fillId="0" borderId="0" applyFont="0" applyFill="0" applyBorder="0" applyAlignment="0" applyProtection="0"/>
    <xf numFmtId="0" fontId="18" fillId="0" borderId="0"/>
    <xf numFmtId="0" fontId="18" fillId="0" borderId="0"/>
    <xf numFmtId="0" fontId="48" fillId="0" borderId="0"/>
    <xf numFmtId="178" fontId="18" fillId="0" borderId="0"/>
    <xf numFmtId="178" fontId="12" fillId="0" borderId="0"/>
    <xf numFmtId="178" fontId="18" fillId="0" borderId="0"/>
    <xf numFmtId="178" fontId="18" fillId="0" borderId="0"/>
    <xf numFmtId="178" fontId="18" fillId="0" borderId="0"/>
    <xf numFmtId="178" fontId="18" fillId="0" borderId="0"/>
    <xf numFmtId="178" fontId="18" fillId="0" borderId="0"/>
    <xf numFmtId="178" fontId="12" fillId="0" borderId="0"/>
    <xf numFmtId="178" fontId="18" fillId="0" borderId="0"/>
    <xf numFmtId="0" fontId="18" fillId="0" borderId="0"/>
    <xf numFmtId="190" fontId="121" fillId="0" borderId="0"/>
    <xf numFmtId="0" fontId="12" fillId="0" borderId="0"/>
    <xf numFmtId="190" fontId="18" fillId="0" borderId="0"/>
    <xf numFmtId="190" fontId="18" fillId="0" borderId="0"/>
    <xf numFmtId="0" fontId="18" fillId="0" borderId="0"/>
    <xf numFmtId="166" fontId="12" fillId="0" borderId="0" applyFont="0" applyFill="0" applyBorder="0" applyAlignment="0" applyProtection="0"/>
    <xf numFmtId="178" fontId="12" fillId="0" borderId="0"/>
    <xf numFmtId="0" fontId="12" fillId="0" borderId="0"/>
  </cellStyleXfs>
  <cellXfs count="2373">
    <xf numFmtId="0" fontId="0" fillId="0" borderId="0" xfId="0"/>
    <xf numFmtId="0" fontId="0" fillId="0" borderId="0" xfId="0" applyAlignment="1">
      <alignment horizontal="right" wrapText="1" readingOrder="2"/>
    </xf>
    <xf numFmtId="0" fontId="2" fillId="0" borderId="0" xfId="1" applyAlignment="1">
      <alignment horizontal="center"/>
    </xf>
    <xf numFmtId="0" fontId="2" fillId="0" borderId="2" xfId="1" applyBorder="1" applyAlignment="1">
      <alignment horizontal="center" wrapText="1" readingOrder="2"/>
    </xf>
    <xf numFmtId="0" fontId="0" fillId="0" borderId="0" xfId="0" applyAlignment="1">
      <alignment horizontal="right" readingOrder="2"/>
    </xf>
    <xf numFmtId="0" fontId="7" fillId="2" borderId="1" xfId="2" applyFont="1" applyFill="1" applyAlignment="1">
      <alignment horizontal="right" wrapText="1" readingOrder="2"/>
    </xf>
    <xf numFmtId="0" fontId="0" fillId="2" borderId="7" xfId="0" applyFill="1" applyBorder="1" applyAlignment="1">
      <alignment horizontal="right" vertical="top" wrapText="1" readingOrder="2"/>
    </xf>
    <xf numFmtId="0" fontId="0" fillId="2" borderId="3" xfId="0" applyFill="1" applyBorder="1" applyAlignment="1">
      <alignment horizontal="right" vertical="top" wrapText="1" readingOrder="2"/>
    </xf>
    <xf numFmtId="0" fontId="6" fillId="2" borderId="5" xfId="0" applyFont="1" applyFill="1" applyBorder="1" applyAlignment="1">
      <alignment horizontal="right" vertical="top" wrapText="1" readingOrder="2"/>
    </xf>
    <xf numFmtId="0" fontId="6" fillId="2" borderId="4" xfId="0" applyFont="1" applyFill="1" applyBorder="1" applyAlignment="1">
      <alignment horizontal="right" vertical="top" wrapText="1" readingOrder="2"/>
    </xf>
    <xf numFmtId="0" fontId="0" fillId="0" borderId="3" xfId="0" applyBorder="1" applyAlignment="1">
      <alignment horizontal="right" vertical="top" wrapText="1" readingOrder="2"/>
    </xf>
    <xf numFmtId="0" fontId="6" fillId="0" borderId="13" xfId="0" applyFont="1" applyBorder="1" applyAlignment="1">
      <alignment horizontal="right" vertical="top" wrapText="1" readingOrder="2"/>
    </xf>
    <xf numFmtId="0" fontId="6" fillId="0" borderId="12" xfId="0" applyFont="1" applyBorder="1" applyAlignment="1">
      <alignment horizontal="right" vertical="top" wrapText="1" readingOrder="2"/>
    </xf>
    <xf numFmtId="168" fontId="0" fillId="0" borderId="0" xfId="3" applyNumberFormat="1" applyFont="1"/>
    <xf numFmtId="169" fontId="0" fillId="0" borderId="0" xfId="3" applyNumberFormat="1" applyFont="1"/>
    <xf numFmtId="170" fontId="0" fillId="0" borderId="0" xfId="4" applyNumberFormat="1" applyFont="1"/>
    <xf numFmtId="0" fontId="0" fillId="0" borderId="0" xfId="0" applyAlignment="1">
      <alignment wrapText="1"/>
    </xf>
    <xf numFmtId="0" fontId="9" fillId="0" borderId="2" xfId="1" applyFont="1" applyBorder="1" applyAlignment="1">
      <alignment horizontal="center" wrapText="1"/>
    </xf>
    <xf numFmtId="171" fontId="13" fillId="0" borderId="11" xfId="0" applyNumberFormat="1" applyFont="1" applyBorder="1" applyAlignment="1">
      <alignment horizontal="center" wrapText="1"/>
    </xf>
    <xf numFmtId="168" fontId="15" fillId="2" borderId="3" xfId="0" applyNumberFormat="1" applyFont="1" applyFill="1" applyBorder="1" applyAlignment="1">
      <alignment vertical="center" wrapText="1"/>
    </xf>
    <xf numFmtId="0" fontId="0" fillId="0" borderId="4" xfId="0" applyBorder="1" applyAlignment="1">
      <alignment horizontal="right" vertical="top" wrapText="1" readingOrder="2"/>
    </xf>
    <xf numFmtId="0" fontId="0" fillId="2" borderId="4" xfId="0" applyFill="1" applyBorder="1" applyAlignment="1">
      <alignment horizontal="right" vertical="top" wrapText="1" readingOrder="2"/>
    </xf>
    <xf numFmtId="168" fontId="15" fillId="2" borderId="2" xfId="0" applyNumberFormat="1" applyFont="1" applyFill="1" applyBorder="1" applyAlignment="1">
      <alignment horizontal="left" vertical="center" wrapText="1"/>
    </xf>
    <xf numFmtId="0" fontId="0" fillId="0" borderId="0" xfId="0" applyAlignment="1">
      <alignment horizontal="center"/>
    </xf>
    <xf numFmtId="0" fontId="20" fillId="0" borderId="23" xfId="0" applyFont="1" applyBorder="1" applyAlignment="1">
      <alignment horizontal="center" wrapText="1" readingOrder="2"/>
    </xf>
    <xf numFmtId="0" fontId="20" fillId="0" borderId="2" xfId="0" applyFont="1" applyBorder="1" applyAlignment="1">
      <alignment horizontal="center" wrapText="1" readingOrder="2"/>
    </xf>
    <xf numFmtId="0" fontId="20" fillId="0" borderId="24" xfId="0" applyFont="1" applyBorder="1" applyAlignment="1">
      <alignment horizontal="center" wrapText="1" readingOrder="2"/>
    </xf>
    <xf numFmtId="0" fontId="21" fillId="0" borderId="23" xfId="0" applyFont="1" applyBorder="1" applyAlignment="1">
      <alignment horizontal="center" wrapText="1" readingOrder="2"/>
    </xf>
    <xf numFmtId="0" fontId="21" fillId="0" borderId="2" xfId="0" applyFont="1" applyBorder="1" applyAlignment="1">
      <alignment horizontal="right" wrapText="1" readingOrder="2"/>
    </xf>
    <xf numFmtId="3" fontId="22" fillId="0" borderId="2" xfId="0" applyNumberFormat="1" applyFont="1" applyBorder="1" applyAlignment="1">
      <alignment horizontal="center" wrapText="1" readingOrder="1"/>
    </xf>
    <xf numFmtId="0" fontId="21" fillId="0" borderId="25" xfId="0" applyFont="1" applyBorder="1" applyAlignment="1">
      <alignment horizontal="center" wrapText="1" readingOrder="2"/>
    </xf>
    <xf numFmtId="0" fontId="21" fillId="0" borderId="26" xfId="0" applyFont="1" applyBorder="1" applyAlignment="1">
      <alignment horizontal="right" wrapText="1" readingOrder="2"/>
    </xf>
    <xf numFmtId="3" fontId="22" fillId="0" borderId="27" xfId="0" applyNumberFormat="1" applyFont="1" applyBorder="1" applyAlignment="1">
      <alignment horizontal="center" wrapText="1" readingOrder="1"/>
    </xf>
    <xf numFmtId="0" fontId="0" fillId="3" borderId="0" xfId="0" applyFill="1"/>
    <xf numFmtId="0" fontId="20" fillId="0" borderId="2" xfId="0" applyFont="1" applyBorder="1" applyAlignment="1">
      <alignment horizontal="center" vertical="center" wrapText="1" readingOrder="2"/>
    </xf>
    <xf numFmtId="0" fontId="21" fillId="0" borderId="2" xfId="0" applyFont="1" applyBorder="1" applyAlignment="1">
      <alignment horizontal="center" vertical="center" wrapText="1" readingOrder="2"/>
    </xf>
    <xf numFmtId="3" fontId="24" fillId="0" borderId="2" xfId="0" applyNumberFormat="1" applyFont="1" applyBorder="1" applyAlignment="1">
      <alignment horizontal="center" wrapText="1" readingOrder="1"/>
    </xf>
    <xf numFmtId="172" fontId="26" fillId="0" borderId="2" xfId="0" applyNumberFormat="1" applyFont="1" applyBorder="1" applyAlignment="1">
      <alignment horizontal="center" vertical="center" wrapText="1" readingOrder="1"/>
    </xf>
    <xf numFmtId="3" fontId="0" fillId="0" borderId="0" xfId="0" applyNumberFormat="1"/>
    <xf numFmtId="0" fontId="27" fillId="0" borderId="2" xfId="0" applyFont="1" applyBorder="1" applyAlignment="1">
      <alignment horizontal="center" vertical="center" wrapText="1" readingOrder="2"/>
    </xf>
    <xf numFmtId="0" fontId="21" fillId="0" borderId="2" xfId="0" applyFont="1" applyBorder="1" applyAlignment="1">
      <alignment horizontal="center" wrapText="1" readingOrder="2"/>
    </xf>
    <xf numFmtId="3" fontId="22" fillId="0" borderId="0" xfId="0" applyNumberFormat="1" applyFont="1" applyAlignment="1">
      <alignment horizontal="center" wrapText="1" readingOrder="1"/>
    </xf>
    <xf numFmtId="3" fontId="26" fillId="0" borderId="0" xfId="0" applyNumberFormat="1" applyFont="1" applyAlignment="1">
      <alignment horizontal="center" wrapText="1" readingOrder="1"/>
    </xf>
    <xf numFmtId="0" fontId="28" fillId="0" borderId="2" xfId="0" applyFont="1" applyBorder="1" applyAlignment="1">
      <alignment horizontal="right" wrapText="1" readingOrder="2"/>
    </xf>
    <xf numFmtId="3" fontId="29" fillId="0" borderId="2" xfId="0" applyNumberFormat="1" applyFont="1" applyBorder="1" applyAlignment="1">
      <alignment horizontal="center" wrapText="1" readingOrder="2"/>
    </xf>
    <xf numFmtId="0" fontId="29" fillId="0" borderId="2" xfId="0" applyFont="1" applyBorder="1" applyAlignment="1">
      <alignment horizontal="right" wrapText="1" readingOrder="2"/>
    </xf>
    <xf numFmtId="3" fontId="24" fillId="0" borderId="0" xfId="0" applyNumberFormat="1" applyFont="1" applyAlignment="1">
      <alignment horizontal="center" wrapText="1" readingOrder="1"/>
    </xf>
    <xf numFmtId="0" fontId="27" fillId="0" borderId="2" xfId="0" applyFont="1" applyBorder="1" applyAlignment="1">
      <alignment horizontal="center" wrapText="1" readingOrder="2"/>
    </xf>
    <xf numFmtId="172" fontId="30" fillId="0" borderId="0" xfId="8" applyNumberFormat="1" applyFont="1" applyAlignment="1">
      <alignment horizontal="center" vertical="center"/>
    </xf>
    <xf numFmtId="172" fontId="32" fillId="0" borderId="2" xfId="8" applyNumberFormat="1" applyFont="1" applyBorder="1" applyAlignment="1">
      <alignment horizontal="center" vertical="center"/>
    </xf>
    <xf numFmtId="172" fontId="32" fillId="0" borderId="24" xfId="8" applyNumberFormat="1" applyFont="1" applyBorder="1" applyAlignment="1">
      <alignment horizontal="center" vertical="center"/>
    </xf>
    <xf numFmtId="0" fontId="33" fillId="0" borderId="44" xfId="0" applyFont="1" applyBorder="1" applyAlignment="1">
      <alignment horizontal="center"/>
    </xf>
    <xf numFmtId="172" fontId="32" fillId="0" borderId="45" xfId="8" applyNumberFormat="1" applyFont="1" applyBorder="1" applyAlignment="1">
      <alignment horizontal="center" vertical="center"/>
    </xf>
    <xf numFmtId="172" fontId="32" fillId="0" borderId="44" xfId="8" applyNumberFormat="1" applyFont="1" applyBorder="1" applyAlignment="1">
      <alignment horizontal="center" vertical="center"/>
    </xf>
    <xf numFmtId="172" fontId="32" fillId="0" borderId="46" xfId="8" applyNumberFormat="1" applyFont="1" applyBorder="1" applyAlignment="1">
      <alignment horizontal="center" vertical="center"/>
    </xf>
    <xf numFmtId="0" fontId="34" fillId="0" borderId="20" xfId="0" applyFont="1" applyBorder="1" applyAlignment="1">
      <alignment horizontal="center" vertical="center"/>
    </xf>
    <xf numFmtId="0" fontId="34" fillId="0" borderId="47" xfId="0" applyFont="1" applyBorder="1" applyAlignment="1">
      <alignment horizontal="right" vertical="center"/>
    </xf>
    <xf numFmtId="49" fontId="34" fillId="0" borderId="48" xfId="0" applyNumberFormat="1" applyFont="1" applyBorder="1" applyAlignment="1">
      <alignment vertical="center"/>
    </xf>
    <xf numFmtId="0" fontId="34" fillId="0" borderId="21" xfId="0" applyFont="1" applyBorder="1" applyAlignment="1">
      <alignment vertical="center"/>
    </xf>
    <xf numFmtId="0" fontId="34" fillId="0" borderId="21" xfId="0" applyFont="1" applyBorder="1" applyAlignment="1">
      <alignment horizontal="center" vertical="center"/>
    </xf>
    <xf numFmtId="3" fontId="37" fillId="0" borderId="49" xfId="0" applyNumberFormat="1" applyFont="1" applyBorder="1" applyAlignment="1">
      <alignment horizontal="center" vertical="center"/>
    </xf>
    <xf numFmtId="172" fontId="30" fillId="0" borderId="21" xfId="8" applyNumberFormat="1" applyFont="1" applyBorder="1" applyAlignment="1">
      <alignment horizontal="center" vertical="center"/>
    </xf>
    <xf numFmtId="172" fontId="30" fillId="0" borderId="22" xfId="8" applyNumberFormat="1" applyFont="1" applyBorder="1" applyAlignment="1">
      <alignment horizontal="center" vertical="center"/>
    </xf>
    <xf numFmtId="0" fontId="34" fillId="0" borderId="50" xfId="0" applyFont="1" applyBorder="1" applyAlignment="1">
      <alignment horizontal="center" vertical="center"/>
    </xf>
    <xf numFmtId="0" fontId="34" fillId="0" borderId="8" xfId="0" applyFont="1" applyBorder="1" applyAlignment="1">
      <alignment horizontal="right" vertical="center"/>
    </xf>
    <xf numFmtId="49" fontId="34" fillId="0" borderId="10" xfId="0" applyNumberFormat="1" applyFont="1" applyBorder="1" applyAlignment="1">
      <alignment vertical="center"/>
    </xf>
    <xf numFmtId="0" fontId="34" fillId="0" borderId="10" xfId="0" applyFont="1" applyBorder="1" applyAlignment="1">
      <alignment vertical="center"/>
    </xf>
    <xf numFmtId="0" fontId="34" fillId="0" borderId="2" xfId="0" applyFont="1" applyBorder="1" applyAlignment="1">
      <alignment vertical="center"/>
    </xf>
    <xf numFmtId="0" fontId="34" fillId="0" borderId="2" xfId="0" applyFont="1" applyBorder="1" applyAlignment="1">
      <alignment horizontal="center" vertical="center"/>
    </xf>
    <xf numFmtId="3" fontId="37" fillId="0" borderId="51" xfId="0" applyNumberFormat="1" applyFont="1" applyBorder="1" applyAlignment="1">
      <alignment horizontal="center" vertical="center"/>
    </xf>
    <xf numFmtId="172" fontId="30" fillId="0" borderId="2" xfId="8" applyNumberFormat="1" applyFont="1" applyBorder="1" applyAlignment="1">
      <alignment horizontal="center" vertical="center"/>
    </xf>
    <xf numFmtId="172" fontId="30" fillId="0" borderId="24" xfId="8" applyNumberFormat="1" applyFont="1" applyBorder="1" applyAlignment="1">
      <alignment horizontal="center" vertical="center"/>
    </xf>
    <xf numFmtId="0" fontId="34" fillId="0" borderId="23" xfId="0" applyFont="1" applyBorder="1" applyAlignment="1">
      <alignment horizontal="center" vertical="center" wrapText="1"/>
    </xf>
    <xf numFmtId="0" fontId="38" fillId="0" borderId="2" xfId="0" applyFont="1" applyBorder="1" applyAlignment="1">
      <alignment vertical="center"/>
    </xf>
    <xf numFmtId="3" fontId="39" fillId="0" borderId="51" xfId="8" applyNumberFormat="1" applyFont="1" applyBorder="1" applyAlignment="1">
      <alignment horizontal="center" vertical="center"/>
    </xf>
    <xf numFmtId="172" fontId="30" fillId="0" borderId="51" xfId="8" applyNumberFormat="1" applyFont="1" applyBorder="1" applyAlignment="1">
      <alignment horizontal="center" vertical="center"/>
    </xf>
    <xf numFmtId="172" fontId="30" fillId="0" borderId="51" xfId="8" applyNumberFormat="1" applyFont="1" applyBorder="1" applyAlignment="1">
      <alignment vertical="center"/>
    </xf>
    <xf numFmtId="3" fontId="34" fillId="0" borderId="2" xfId="0" applyNumberFormat="1" applyFont="1" applyBorder="1" applyAlignment="1">
      <alignment horizontal="center" vertical="center"/>
    </xf>
    <xf numFmtId="173" fontId="30" fillId="0" borderId="51" xfId="8" applyNumberFormat="1" applyFont="1" applyBorder="1" applyAlignment="1">
      <alignment horizontal="center" vertical="center"/>
    </xf>
    <xf numFmtId="0" fontId="34" fillId="0" borderId="23" xfId="0" applyFont="1" applyBorder="1" applyAlignment="1">
      <alignment horizontal="center" vertical="center"/>
    </xf>
    <xf numFmtId="3" fontId="33" fillId="0" borderId="2" xfId="0" applyNumberFormat="1" applyFont="1" applyBorder="1" applyAlignment="1">
      <alignment horizontal="center" vertical="center"/>
    </xf>
    <xf numFmtId="172" fontId="40" fillId="0" borderId="2" xfId="8" applyNumberFormat="1" applyFont="1" applyBorder="1" applyAlignment="1">
      <alignment horizontal="center" vertical="center"/>
    </xf>
    <xf numFmtId="172" fontId="40" fillId="0" borderId="24" xfId="8" applyNumberFormat="1" applyFont="1" applyBorder="1" applyAlignment="1">
      <alignment horizontal="center" vertical="center"/>
    </xf>
    <xf numFmtId="2" fontId="34" fillId="0" borderId="2" xfId="0" applyNumberFormat="1" applyFont="1" applyBorder="1" applyAlignment="1">
      <alignment vertical="center"/>
    </xf>
    <xf numFmtId="1" fontId="34" fillId="0" borderId="2" xfId="0" applyNumberFormat="1" applyFont="1" applyBorder="1" applyAlignment="1">
      <alignment vertical="center"/>
    </xf>
    <xf numFmtId="0" fontId="33" fillId="0" borderId="2" xfId="0" applyFont="1" applyBorder="1" applyAlignment="1">
      <alignment horizontal="center" vertical="center"/>
    </xf>
    <xf numFmtId="3" fontId="34" fillId="0" borderId="2" xfId="0" applyNumberFormat="1" applyFont="1" applyBorder="1" applyAlignment="1">
      <alignment horizontal="center" vertical="center" wrapText="1"/>
    </xf>
    <xf numFmtId="3" fontId="37" fillId="0" borderId="2" xfId="0" applyNumberFormat="1" applyFont="1" applyBorder="1" applyAlignment="1">
      <alignment horizontal="center" vertical="center"/>
    </xf>
    <xf numFmtId="0" fontId="33" fillId="0" borderId="2" xfId="0" applyFont="1" applyBorder="1" applyAlignment="1">
      <alignment vertical="center"/>
    </xf>
    <xf numFmtId="172" fontId="30" fillId="0" borderId="2" xfId="8" quotePrefix="1" applyNumberFormat="1" applyFont="1" applyBorder="1" applyAlignment="1">
      <alignment horizontal="center" vertical="center"/>
    </xf>
    <xf numFmtId="0" fontId="34" fillId="0" borderId="23" xfId="0" applyFont="1" applyBorder="1" applyAlignment="1">
      <alignment horizontal="right" vertical="center"/>
    </xf>
    <xf numFmtId="0" fontId="36" fillId="0" borderId="2" xfId="0" applyFont="1" applyBorder="1" applyAlignment="1">
      <alignment horizontal="left" vertical="top"/>
    </xf>
    <xf numFmtId="0" fontId="37" fillId="0" borderId="2" xfId="0" applyFont="1" applyBorder="1" applyAlignment="1">
      <alignment horizontal="center" vertical="top"/>
    </xf>
    <xf numFmtId="0" fontId="33" fillId="0" borderId="2" xfId="0" applyFont="1" applyBorder="1" applyAlignment="1">
      <alignment horizontal="center"/>
    </xf>
    <xf numFmtId="0" fontId="34" fillId="0" borderId="23" xfId="0" quotePrefix="1" applyFont="1" applyBorder="1" applyAlignment="1">
      <alignment horizontal="right" vertical="center" wrapText="1"/>
    </xf>
    <xf numFmtId="0" fontId="18" fillId="0" borderId="19" xfId="0" applyFont="1" applyBorder="1" applyAlignment="1">
      <alignment vertical="center" wrapText="1"/>
    </xf>
    <xf numFmtId="0" fontId="18" fillId="0" borderId="2" xfId="0" applyFont="1" applyBorder="1" applyAlignment="1">
      <alignment horizontal="center" vertical="center"/>
    </xf>
    <xf numFmtId="3" fontId="37" fillId="0" borderId="19" xfId="0" applyNumberFormat="1" applyFont="1" applyBorder="1" applyAlignment="1">
      <alignment horizontal="center" vertical="center"/>
    </xf>
    <xf numFmtId="49" fontId="34" fillId="0" borderId="52" xfId="0" applyNumberFormat="1" applyFont="1" applyBorder="1" applyAlignment="1">
      <alignment vertical="center"/>
    </xf>
    <xf numFmtId="0" fontId="33" fillId="0" borderId="19" xfId="0" applyFont="1" applyBorder="1" applyAlignment="1">
      <alignment vertical="center"/>
    </xf>
    <xf numFmtId="0" fontId="34" fillId="0" borderId="19" xfId="0" applyFont="1" applyBorder="1" applyAlignment="1">
      <alignment horizontal="center" vertical="center"/>
    </xf>
    <xf numFmtId="0" fontId="18" fillId="0" borderId="19" xfId="0" applyFont="1" applyBorder="1" applyAlignment="1">
      <alignment horizontal="center" vertical="center"/>
    </xf>
    <xf numFmtId="172" fontId="30" fillId="0" borderId="53" xfId="8" applyNumberFormat="1" applyFont="1" applyBorder="1" applyAlignment="1">
      <alignment vertical="center"/>
    </xf>
    <xf numFmtId="172" fontId="30" fillId="0" borderId="19" xfId="8" applyNumberFormat="1" applyFont="1" applyBorder="1" applyAlignment="1">
      <alignment horizontal="center" vertical="center"/>
    </xf>
    <xf numFmtId="172" fontId="30" fillId="0" borderId="53" xfId="8" applyNumberFormat="1" applyFont="1" applyBorder="1" applyAlignment="1">
      <alignment horizontal="center" vertical="center"/>
    </xf>
    <xf numFmtId="0" fontId="34" fillId="0" borderId="23" xfId="0" quotePrefix="1" applyFont="1" applyBorder="1" applyAlignment="1">
      <alignment horizontal="right" vertical="center"/>
    </xf>
    <xf numFmtId="0" fontId="34" fillId="0" borderId="54" xfId="0" applyFont="1" applyBorder="1" applyAlignment="1">
      <alignment horizontal="right" vertical="center"/>
    </xf>
    <xf numFmtId="0" fontId="36" fillId="0" borderId="19" xfId="0" applyFont="1" applyBorder="1" applyAlignment="1">
      <alignment horizontal="left" vertical="top"/>
    </xf>
    <xf numFmtId="0" fontId="18" fillId="0" borderId="2" xfId="0" applyFont="1" applyBorder="1" applyAlignment="1">
      <alignment vertical="center"/>
    </xf>
    <xf numFmtId="0" fontId="42" fillId="0" borderId="2" xfId="0" applyFont="1" applyBorder="1" applyAlignment="1">
      <alignment vertical="center"/>
    </xf>
    <xf numFmtId="0" fontId="18" fillId="0" borderId="2" xfId="0" applyFont="1" applyBorder="1" applyAlignment="1">
      <alignment vertical="center" wrapText="1"/>
    </xf>
    <xf numFmtId="0" fontId="34" fillId="0" borderId="55" xfId="0" applyFont="1" applyBorder="1" applyAlignment="1">
      <alignment horizontal="center" vertical="center"/>
    </xf>
    <xf numFmtId="0" fontId="34" fillId="0" borderId="56" xfId="0" applyFont="1" applyBorder="1" applyAlignment="1">
      <alignment horizontal="right" vertical="center"/>
    </xf>
    <xf numFmtId="49" fontId="34" fillId="0" borderId="57" xfId="0" applyNumberFormat="1" applyFont="1" applyBorder="1" applyAlignment="1">
      <alignment vertical="center"/>
    </xf>
    <xf numFmtId="0" fontId="33" fillId="0" borderId="26" xfId="0" applyFont="1" applyBorder="1" applyAlignment="1">
      <alignment vertical="center"/>
    </xf>
    <xf numFmtId="172" fontId="30" fillId="0" borderId="26" xfId="8" applyNumberFormat="1" applyFont="1" applyBorder="1" applyAlignment="1">
      <alignment horizontal="center" vertical="center"/>
    </xf>
    <xf numFmtId="172" fontId="30" fillId="0" borderId="58" xfId="8" applyNumberFormat="1" applyFont="1" applyBorder="1" applyAlignment="1">
      <alignment horizontal="center" vertical="center"/>
    </xf>
    <xf numFmtId="0" fontId="44" fillId="0" borderId="0" xfId="0" applyFont="1" applyAlignment="1">
      <alignment horizontal="center" vertical="top" wrapText="1"/>
    </xf>
    <xf numFmtId="172" fontId="30" fillId="0" borderId="0" xfId="8" applyNumberFormat="1" applyFont="1" applyAlignment="1">
      <alignment vertical="center"/>
    </xf>
    <xf numFmtId="172" fontId="30" fillId="0" borderId="20" xfId="8" applyNumberFormat="1" applyFont="1" applyBorder="1" applyAlignment="1">
      <alignment horizontal="center" vertical="center"/>
    </xf>
    <xf numFmtId="172" fontId="32" fillId="0" borderId="26" xfId="8" applyNumberFormat="1" applyFont="1" applyBorder="1" applyAlignment="1">
      <alignment horizontal="center" vertical="center"/>
    </xf>
    <xf numFmtId="172" fontId="32" fillId="0" borderId="27" xfId="8" applyNumberFormat="1" applyFont="1" applyBorder="1" applyAlignment="1">
      <alignment horizontal="center" vertical="center"/>
    </xf>
    <xf numFmtId="3" fontId="22" fillId="0" borderId="24" xfId="0" applyNumberFormat="1" applyFont="1" applyBorder="1" applyAlignment="1">
      <alignment horizontal="center" wrapText="1" readingOrder="1"/>
    </xf>
    <xf numFmtId="9" fontId="0" fillId="0" borderId="2" xfId="0" applyNumberFormat="1" applyBorder="1" applyAlignment="1">
      <alignment horizontal="center"/>
    </xf>
    <xf numFmtId="0" fontId="21" fillId="0" borderId="25" xfId="0" applyFont="1" applyBorder="1" applyAlignment="1">
      <alignment horizontal="center" vertical="center" wrapText="1" readingOrder="2"/>
    </xf>
    <xf numFmtId="0" fontId="21" fillId="0" borderId="26" xfId="0" applyFont="1" applyBorder="1" applyAlignment="1">
      <alignment horizontal="right" vertical="center" wrapText="1" readingOrder="2"/>
    </xf>
    <xf numFmtId="3" fontId="22" fillId="0" borderId="26" xfId="0" applyNumberFormat="1" applyFont="1" applyBorder="1" applyAlignment="1">
      <alignment horizontal="center" vertical="center" wrapText="1" readingOrder="1"/>
    </xf>
    <xf numFmtId="3" fontId="22" fillId="0" borderId="27" xfId="0" applyNumberFormat="1" applyFont="1" applyBorder="1" applyAlignment="1">
      <alignment horizontal="center" vertical="center" wrapText="1" readingOrder="1"/>
    </xf>
    <xf numFmtId="3" fontId="45" fillId="0" borderId="10" xfId="8" applyNumberFormat="1" applyFont="1" applyBorder="1" applyAlignment="1">
      <alignment horizontal="center" vertical="center"/>
    </xf>
    <xf numFmtId="172" fontId="45" fillId="0" borderId="24" xfId="8" applyNumberFormat="1" applyFont="1" applyBorder="1" applyAlignment="1">
      <alignment horizontal="center" vertical="center"/>
    </xf>
    <xf numFmtId="0" fontId="45" fillId="0" borderId="26" xfId="0" applyFont="1" applyBorder="1" applyAlignment="1">
      <alignment horizontal="center" vertical="center" shrinkToFit="1"/>
    </xf>
    <xf numFmtId="0" fontId="45" fillId="0" borderId="27" xfId="0" applyFont="1" applyBorder="1" applyAlignment="1">
      <alignment horizontal="center" vertical="center" shrinkToFit="1"/>
    </xf>
    <xf numFmtId="0" fontId="34" fillId="0" borderId="2" xfId="5" applyFont="1" applyBorder="1" applyAlignment="1">
      <alignment horizontal="center" vertical="center"/>
    </xf>
    <xf numFmtId="0" fontId="34" fillId="0" borderId="2" xfId="5" applyFont="1" applyBorder="1" applyAlignment="1">
      <alignment horizontal="center"/>
    </xf>
    <xf numFmtId="0" fontId="38" fillId="0" borderId="2" xfId="5" applyFont="1" applyBorder="1" applyAlignment="1">
      <alignment horizontal="center" vertical="center"/>
    </xf>
    <xf numFmtId="2" fontId="34" fillId="0" borderId="2" xfId="5" applyNumberFormat="1" applyFont="1" applyBorder="1" applyAlignment="1">
      <alignment horizontal="left" vertical="center" indent="2"/>
    </xf>
    <xf numFmtId="3" fontId="34" fillId="0" borderId="2" xfId="5" applyNumberFormat="1" applyFont="1" applyBorder="1" applyAlignment="1">
      <alignment horizontal="center"/>
    </xf>
    <xf numFmtId="172" fontId="34" fillId="0" borderId="2" xfId="8" applyNumberFormat="1" applyFont="1" applyBorder="1" applyAlignment="1">
      <alignment horizontal="center" vertical="center"/>
    </xf>
    <xf numFmtId="0" fontId="34" fillId="0" borderId="2" xfId="5" quotePrefix="1" applyFont="1" applyBorder="1" applyAlignment="1">
      <alignment horizontal="center" vertical="center"/>
    </xf>
    <xf numFmtId="0" fontId="47" fillId="0" borderId="2" xfId="5" applyFont="1" applyBorder="1" applyAlignment="1">
      <alignment horizontal="center" vertical="center"/>
    </xf>
    <xf numFmtId="0" fontId="34" fillId="0" borderId="50" xfId="5" applyFont="1" applyBorder="1" applyAlignment="1">
      <alignment horizontal="center" vertical="center"/>
    </xf>
    <xf numFmtId="0" fontId="34" fillId="0" borderId="8" xfId="5" applyFont="1" applyBorder="1" applyAlignment="1">
      <alignment horizontal="center"/>
    </xf>
    <xf numFmtId="0" fontId="40" fillId="0" borderId="9" xfId="5" applyFont="1" applyBorder="1" applyAlignment="1">
      <alignment horizontal="center"/>
    </xf>
    <xf numFmtId="0" fontId="34" fillId="0" borderId="10" xfId="5" applyFont="1" applyBorder="1" applyAlignment="1">
      <alignment horizontal="center"/>
    </xf>
    <xf numFmtId="0" fontId="34" fillId="0" borderId="19" xfId="5" applyFont="1" applyBorder="1" applyAlignment="1">
      <alignment horizontal="center" vertical="center"/>
    </xf>
    <xf numFmtId="0" fontId="34" fillId="0" borderId="19" xfId="5" applyFont="1" applyBorder="1" applyAlignment="1">
      <alignment horizontal="center"/>
    </xf>
    <xf numFmtId="166" fontId="34" fillId="0" borderId="19" xfId="6" applyNumberFormat="1" applyFont="1" applyFill="1" applyBorder="1" applyAlignment="1">
      <alignment vertical="center"/>
    </xf>
    <xf numFmtId="3" fontId="34" fillId="0" borderId="69" xfId="5" applyNumberFormat="1" applyFont="1" applyBorder="1" applyAlignment="1">
      <alignment horizontal="center"/>
    </xf>
    <xf numFmtId="0" fontId="34" fillId="0" borderId="56" xfId="5" applyFont="1" applyBorder="1" applyAlignment="1">
      <alignment horizontal="center" vertical="center"/>
    </xf>
    <xf numFmtId="0" fontId="40" fillId="0" borderId="70" xfId="5" applyFont="1" applyBorder="1" applyAlignment="1">
      <alignment horizontal="center"/>
    </xf>
    <xf numFmtId="0" fontId="34" fillId="0" borderId="57" xfId="5" applyFont="1" applyBorder="1" applyAlignment="1">
      <alignment horizontal="center" vertical="center"/>
    </xf>
    <xf numFmtId="49" fontId="34" fillId="0" borderId="26" xfId="5" applyNumberFormat="1" applyFont="1" applyBorder="1" applyAlignment="1">
      <alignment horizontal="center" vertical="center"/>
    </xf>
    <xf numFmtId="0" fontId="34" fillId="0" borderId="26" xfId="5" applyFont="1" applyBorder="1" applyAlignment="1">
      <alignment horizontal="center" vertical="center"/>
    </xf>
    <xf numFmtId="0" fontId="34" fillId="0" borderId="26" xfId="5" applyFont="1" applyBorder="1"/>
    <xf numFmtId="3" fontId="34" fillId="0" borderId="26" xfId="5" applyNumberFormat="1" applyFont="1" applyBorder="1" applyAlignment="1">
      <alignment horizontal="center"/>
    </xf>
    <xf numFmtId="3" fontId="34" fillId="0" borderId="27" xfId="5" applyNumberFormat="1" applyFont="1" applyBorder="1" applyAlignment="1">
      <alignment horizontal="center"/>
    </xf>
    <xf numFmtId="0" fontId="34" fillId="0" borderId="0" xfId="0" applyFont="1" applyAlignment="1">
      <alignment horizontal="center" vertical="center"/>
    </xf>
    <xf numFmtId="49" fontId="34" fillId="0" borderId="0" xfId="0" applyNumberFormat="1" applyFont="1" applyAlignment="1">
      <alignment horizontal="center" vertical="center"/>
    </xf>
    <xf numFmtId="172" fontId="46" fillId="0" borderId="20" xfId="8" applyNumberFormat="1" applyFont="1" applyBorder="1" applyAlignment="1">
      <alignment horizontal="center" vertical="center"/>
    </xf>
    <xf numFmtId="172" fontId="46" fillId="0" borderId="21" xfId="8" applyNumberFormat="1" applyFont="1" applyBorder="1" applyAlignment="1">
      <alignment horizontal="center" vertical="center"/>
    </xf>
    <xf numFmtId="172" fontId="46" fillId="0" borderId="23" xfId="8" applyNumberFormat="1" applyFont="1" applyBorder="1" applyAlignment="1">
      <alignment horizontal="center" vertical="center"/>
    </xf>
    <xf numFmtId="1" fontId="46" fillId="0" borderId="2" xfId="8" applyNumberFormat="1" applyFont="1" applyBorder="1" applyAlignment="1">
      <alignment horizontal="center" vertical="center"/>
    </xf>
    <xf numFmtId="3" fontId="46" fillId="0" borderId="24" xfId="8" applyNumberFormat="1" applyFont="1" applyBorder="1" applyAlignment="1">
      <alignment horizontal="center" vertical="center"/>
    </xf>
    <xf numFmtId="172" fontId="46" fillId="0" borderId="25" xfId="8" applyNumberFormat="1" applyFont="1" applyBorder="1" applyAlignment="1">
      <alignment horizontal="center" vertical="center"/>
    </xf>
    <xf numFmtId="1" fontId="46" fillId="0" borderId="26" xfId="8" applyNumberFormat="1" applyFont="1" applyBorder="1" applyAlignment="1">
      <alignment horizontal="center" vertical="center"/>
    </xf>
    <xf numFmtId="3" fontId="46" fillId="0" borderId="27" xfId="8" applyNumberFormat="1" applyFont="1" applyBorder="1" applyAlignment="1">
      <alignment horizontal="center" vertical="center"/>
    </xf>
    <xf numFmtId="0" fontId="46" fillId="0" borderId="0" xfId="8" applyFont="1" applyAlignment="1">
      <alignment vertical="center"/>
    </xf>
    <xf numFmtId="0" fontId="0" fillId="0" borderId="8" xfId="0" applyBorder="1" applyAlignment="1">
      <alignment horizontal="center"/>
    </xf>
    <xf numFmtId="0" fontId="0" fillId="0" borderId="10" xfId="0" applyBorder="1" applyAlignment="1">
      <alignment horizontal="left"/>
    </xf>
    <xf numFmtId="9" fontId="0" fillId="0" borderId="8" xfId="0" applyNumberFormat="1" applyBorder="1" applyAlignment="1">
      <alignment horizontal="center"/>
    </xf>
    <xf numFmtId="172" fontId="40" fillId="0" borderId="20" xfId="8" applyNumberFormat="1" applyFont="1" applyBorder="1" applyAlignment="1">
      <alignment horizontal="center" vertical="center"/>
    </xf>
    <xf numFmtId="174" fontId="40" fillId="0" borderId="22" xfId="9" applyNumberFormat="1" applyFont="1" applyBorder="1" applyAlignment="1">
      <alignment vertical="center"/>
    </xf>
    <xf numFmtId="172" fontId="40" fillId="0" borderId="25" xfId="8" applyNumberFormat="1" applyFont="1" applyBorder="1" applyAlignment="1">
      <alignment horizontal="center" vertical="center"/>
    </xf>
    <xf numFmtId="0" fontId="34" fillId="0" borderId="33" xfId="0" applyFont="1" applyBorder="1" applyAlignment="1">
      <alignment horizontal="center" vertical="center"/>
    </xf>
    <xf numFmtId="0" fontId="46" fillId="0" borderId="2" xfId="0" applyFont="1" applyBorder="1" applyAlignment="1">
      <alignment horizontal="center" vertical="center"/>
    </xf>
    <xf numFmtId="0" fontId="46" fillId="0" borderId="2" xfId="0" applyFont="1" applyBorder="1" applyAlignment="1">
      <alignment horizontal="center" vertical="center" wrapText="1"/>
    </xf>
    <xf numFmtId="0" fontId="49" fillId="0" borderId="23" xfId="0" applyFont="1" applyBorder="1" applyAlignment="1">
      <alignment horizontal="right" vertical="center"/>
    </xf>
    <xf numFmtId="0" fontId="49" fillId="0" borderId="2" xfId="0" applyFont="1" applyBorder="1" applyAlignment="1">
      <alignment horizontal="center" vertical="center" wrapText="1"/>
    </xf>
    <xf numFmtId="0" fontId="49" fillId="0" borderId="2" xfId="0" applyFont="1" applyBorder="1" applyAlignment="1">
      <alignment horizontal="center" vertical="center"/>
    </xf>
    <xf numFmtId="1" fontId="30" fillId="0" borderId="2" xfId="8" applyNumberFormat="1" applyFont="1" applyBorder="1" applyAlignment="1">
      <alignment horizontal="center" vertical="center"/>
    </xf>
    <xf numFmtId="0" fontId="0" fillId="5" borderId="0" xfId="0" applyFill="1"/>
    <xf numFmtId="0" fontId="53" fillId="3" borderId="2" xfId="0" applyFont="1" applyFill="1" applyBorder="1" applyAlignment="1">
      <alignment horizontal="right" vertical="center" wrapText="1" readingOrder="2"/>
    </xf>
    <xf numFmtId="0" fontId="49" fillId="0" borderId="51" xfId="0" applyFont="1" applyBorder="1" applyAlignment="1">
      <alignment horizontal="center" vertical="center" wrapText="1"/>
    </xf>
    <xf numFmtId="1" fontId="30" fillId="0" borderId="51" xfId="8" applyNumberFormat="1" applyFont="1" applyBorder="1" applyAlignment="1">
      <alignment horizontal="center" vertical="center"/>
    </xf>
    <xf numFmtId="3" fontId="54" fillId="0" borderId="2" xfId="0" applyNumberFormat="1" applyFont="1" applyBorder="1" applyAlignment="1">
      <alignment horizontal="center" vertical="center"/>
    </xf>
    <xf numFmtId="175" fontId="30" fillId="0" borderId="51" xfId="8" applyNumberFormat="1" applyFont="1" applyBorder="1" applyAlignment="1">
      <alignment horizontal="center" vertical="center"/>
    </xf>
    <xf numFmtId="1" fontId="49" fillId="0" borderId="2" xfId="0" applyNumberFormat="1" applyFont="1" applyBorder="1" applyAlignment="1">
      <alignment horizontal="center" vertical="center" wrapText="1"/>
    </xf>
    <xf numFmtId="0" fontId="0" fillId="6" borderId="0" xfId="0" applyFill="1"/>
    <xf numFmtId="0" fontId="49" fillId="0" borderId="51" xfId="0" applyFont="1" applyBorder="1" applyAlignment="1">
      <alignment horizontal="center" vertical="center"/>
    </xf>
    <xf numFmtId="0" fontId="0" fillId="7" borderId="0" xfId="0" applyFill="1"/>
    <xf numFmtId="0" fontId="55" fillId="0" borderId="2" xfId="0" applyFont="1" applyBorder="1" applyAlignment="1">
      <alignment horizontal="right" wrapText="1" readingOrder="2"/>
    </xf>
    <xf numFmtId="3" fontId="54" fillId="0" borderId="51" xfId="0" applyNumberFormat="1" applyFont="1" applyBorder="1" applyAlignment="1">
      <alignment horizontal="center" vertical="center"/>
    </xf>
    <xf numFmtId="175" fontId="30" fillId="0" borderId="2" xfId="8" applyNumberFormat="1" applyFont="1" applyBorder="1" applyAlignment="1">
      <alignment horizontal="center" vertical="center"/>
    </xf>
    <xf numFmtId="0" fontId="49" fillId="0" borderId="25" xfId="0" applyFont="1" applyBorder="1" applyAlignment="1">
      <alignment horizontal="right" vertical="center"/>
    </xf>
    <xf numFmtId="0" fontId="49" fillId="0" borderId="26" xfId="0" applyFont="1" applyBorder="1" applyAlignment="1">
      <alignment horizontal="center" vertical="center" wrapText="1"/>
    </xf>
    <xf numFmtId="0" fontId="49" fillId="0" borderId="26" xfId="0" applyFont="1" applyBorder="1" applyAlignment="1">
      <alignment horizontal="center" vertical="center"/>
    </xf>
    <xf numFmtId="175" fontId="30" fillId="0" borderId="26" xfId="8" applyNumberFormat="1" applyFont="1" applyBorder="1" applyAlignment="1">
      <alignment horizontal="center" vertical="center"/>
    </xf>
    <xf numFmtId="172" fontId="30" fillId="0" borderId="27" xfId="8" applyNumberFormat="1" applyFont="1" applyBorder="1" applyAlignment="1">
      <alignment horizontal="center" vertical="center"/>
    </xf>
    <xf numFmtId="172" fontId="0" fillId="0" borderId="0" xfId="0" applyNumberFormat="1"/>
    <xf numFmtId="0" fontId="56" fillId="0" borderId="0" xfId="0" applyFont="1" applyAlignment="1">
      <alignment horizontal="center"/>
    </xf>
    <xf numFmtId="0" fontId="0" fillId="0" borderId="33" xfId="0" applyBorder="1"/>
    <xf numFmtId="0" fontId="0" fillId="0" borderId="71" xfId="0" applyBorder="1"/>
    <xf numFmtId="0" fontId="0" fillId="0" borderId="14" xfId="0" applyBorder="1"/>
    <xf numFmtId="0" fontId="0" fillId="0" borderId="23" xfId="0" applyBorder="1" applyAlignment="1">
      <alignment horizontal="center"/>
    </xf>
    <xf numFmtId="0" fontId="49" fillId="0" borderId="23" xfId="0" applyFont="1" applyBorder="1" applyAlignment="1">
      <alignment horizontal="center" vertical="center" wrapText="1"/>
    </xf>
    <xf numFmtId="0" fontId="57" fillId="0" borderId="2" xfId="0" applyFont="1" applyBorder="1" applyAlignment="1">
      <alignment wrapText="1"/>
    </xf>
    <xf numFmtId="0" fontId="57" fillId="0" borderId="2" xfId="0" applyFont="1" applyBorder="1" applyAlignment="1">
      <alignment horizontal="center" wrapText="1"/>
    </xf>
    <xf numFmtId="172" fontId="30" fillId="0" borderId="2" xfId="8" applyNumberFormat="1" applyFont="1" applyBorder="1" applyAlignment="1">
      <alignment vertical="center"/>
    </xf>
    <xf numFmtId="0" fontId="49" fillId="0" borderId="23" xfId="0" applyFont="1" applyBorder="1" applyAlignment="1">
      <alignment horizontal="center" vertical="center"/>
    </xf>
    <xf numFmtId="0" fontId="57" fillId="0" borderId="2" xfId="0" applyFont="1" applyBorder="1" applyAlignment="1">
      <alignment horizontal="center" vertical="top" wrapText="1"/>
    </xf>
    <xf numFmtId="3" fontId="39" fillId="0" borderId="2" xfId="8" applyNumberFormat="1" applyFont="1" applyBorder="1" applyAlignment="1">
      <alignment horizontal="center" vertical="center"/>
    </xf>
    <xf numFmtId="172" fontId="18" fillId="0" borderId="2" xfId="8" applyNumberFormat="1" applyBorder="1" applyAlignment="1">
      <alignment vertical="center"/>
    </xf>
    <xf numFmtId="0" fontId="49" fillId="0" borderId="25" xfId="0" applyFont="1" applyBorder="1" applyAlignment="1">
      <alignment horizontal="center" vertical="center" wrapText="1"/>
    </xf>
    <xf numFmtId="0" fontId="57" fillId="0" borderId="26" xfId="0" applyFont="1" applyBorder="1" applyAlignment="1">
      <alignment wrapText="1"/>
    </xf>
    <xf numFmtId="0" fontId="57" fillId="0" borderId="26" xfId="0" applyFont="1" applyBorder="1" applyAlignment="1">
      <alignment horizontal="center" wrapText="1"/>
    </xf>
    <xf numFmtId="172" fontId="30" fillId="0" borderId="69" xfId="8" applyNumberFormat="1" applyFont="1" applyBorder="1" applyAlignment="1">
      <alignment horizontal="center" vertical="center"/>
    </xf>
    <xf numFmtId="0" fontId="0" fillId="0" borderId="20" xfId="0" applyBorder="1" applyAlignment="1">
      <alignment horizontal="center"/>
    </xf>
    <xf numFmtId="172" fontId="32" fillId="0" borderId="21" xfId="8" applyNumberFormat="1" applyFont="1" applyBorder="1" applyAlignment="1">
      <alignment horizontal="center" vertical="center"/>
    </xf>
    <xf numFmtId="172" fontId="30" fillId="0" borderId="21" xfId="8" applyNumberFormat="1" applyFont="1" applyBorder="1" applyAlignment="1">
      <alignment horizontal="center" vertical="center" wrapText="1"/>
    </xf>
    <xf numFmtId="172" fontId="30" fillId="0" borderId="47" xfId="8" applyNumberFormat="1" applyFont="1" applyBorder="1" applyAlignment="1">
      <alignment horizontal="center" vertical="center" wrapText="1"/>
    </xf>
    <xf numFmtId="172" fontId="43" fillId="0" borderId="2" xfId="8" applyNumberFormat="1" applyFont="1" applyBorder="1" applyAlignment="1">
      <alignment horizontal="center" vertical="center"/>
    </xf>
    <xf numFmtId="172" fontId="43" fillId="0" borderId="8" xfId="8" applyNumberFormat="1" applyFont="1" applyBorder="1" applyAlignment="1">
      <alignment horizontal="center" vertical="center"/>
    </xf>
    <xf numFmtId="0" fontId="49" fillId="0" borderId="25" xfId="0" applyFont="1" applyBorder="1" applyAlignment="1">
      <alignment horizontal="center" vertical="center"/>
    </xf>
    <xf numFmtId="172" fontId="43" fillId="0" borderId="19" xfId="8" applyNumberFormat="1" applyFont="1" applyBorder="1" applyAlignment="1">
      <alignment horizontal="center" vertical="center"/>
    </xf>
    <xf numFmtId="172" fontId="43" fillId="0" borderId="21" xfId="8" applyNumberFormat="1" applyFont="1" applyBorder="1" applyAlignment="1">
      <alignment horizontal="center" vertical="center"/>
    </xf>
    <xf numFmtId="0" fontId="12" fillId="0" borderId="71" xfId="5" applyFont="1" applyBorder="1" applyAlignment="1">
      <alignment horizontal="center" vertical="center"/>
    </xf>
    <xf numFmtId="0" fontId="58" fillId="0" borderId="66" xfId="5" applyFont="1" applyBorder="1" applyAlignment="1">
      <alignment horizontal="center" vertical="center" wrapText="1"/>
    </xf>
    <xf numFmtId="0" fontId="44" fillId="0" borderId="14" xfId="5" applyFont="1" applyBorder="1" applyAlignment="1">
      <alignment horizontal="center" vertical="top" wrapText="1"/>
    </xf>
    <xf numFmtId="0" fontId="44" fillId="0" borderId="67" xfId="5" applyFont="1" applyBorder="1" applyAlignment="1">
      <alignment horizontal="center" vertical="top" wrapText="1"/>
    </xf>
    <xf numFmtId="0" fontId="12" fillId="0" borderId="50" xfId="5" quotePrefix="1" applyFont="1" applyBorder="1" applyAlignment="1">
      <alignment horizontal="right" vertical="center"/>
    </xf>
    <xf numFmtId="0" fontId="34" fillId="0" borderId="2" xfId="5" applyFont="1" applyBorder="1" applyAlignment="1">
      <alignment horizontal="justify" wrapText="1" readingOrder="1"/>
    </xf>
    <xf numFmtId="0" fontId="44" fillId="0" borderId="2" xfId="5" applyFont="1" applyBorder="1" applyAlignment="1">
      <alignment horizontal="center" vertical="top" wrapText="1"/>
    </xf>
    <xf numFmtId="172" fontId="30" fillId="0" borderId="10" xfId="8" applyNumberFormat="1" applyFont="1" applyBorder="1" applyAlignment="1">
      <alignment horizontal="center" vertical="center"/>
    </xf>
    <xf numFmtId="0" fontId="34" fillId="0" borderId="2" xfId="5" applyFont="1" applyBorder="1" applyAlignment="1">
      <alignment horizontal="left" vertical="center" wrapText="1" readingOrder="1"/>
    </xf>
    <xf numFmtId="0" fontId="34" fillId="0" borderId="66" xfId="5" applyFont="1" applyBorder="1" applyAlignment="1">
      <alignment horizontal="justify" wrapText="1" readingOrder="1"/>
    </xf>
    <xf numFmtId="0" fontId="12" fillId="0" borderId="50" xfId="5" applyFont="1" applyBorder="1" applyAlignment="1">
      <alignment horizontal="center" vertical="center"/>
    </xf>
    <xf numFmtId="0" fontId="44" fillId="0" borderId="9" xfId="5" applyFont="1" applyBorder="1" applyAlignment="1">
      <alignment horizontal="center" vertical="top" wrapText="1"/>
    </xf>
    <xf numFmtId="0" fontId="44" fillId="0" borderId="74" xfId="5" applyFont="1" applyBorder="1" applyAlignment="1">
      <alignment horizontal="center" vertical="top" wrapText="1"/>
    </xf>
    <xf numFmtId="0" fontId="58" fillId="0" borderId="8" xfId="5" applyFont="1" applyBorder="1" applyAlignment="1">
      <alignment horizontal="center" vertical="center" wrapText="1"/>
    </xf>
    <xf numFmtId="0" fontId="4" fillId="0" borderId="2" xfId="5" applyFont="1" applyBorder="1" applyAlignment="1">
      <alignment horizontal="left" vertical="top" wrapText="1"/>
    </xf>
    <xf numFmtId="0" fontId="58" fillId="0" borderId="2" xfId="5" applyFont="1" applyBorder="1" applyAlignment="1">
      <alignment horizontal="center" vertical="center" wrapText="1"/>
    </xf>
    <xf numFmtId="0" fontId="34" fillId="0" borderId="2" xfId="5" applyFont="1" applyBorder="1" applyAlignment="1">
      <alignment horizontal="left" vertical="top" wrapText="1" readingOrder="1"/>
    </xf>
    <xf numFmtId="0" fontId="34" fillId="0" borderId="2" xfId="5" applyFont="1" applyBorder="1" applyAlignment="1">
      <alignment horizontal="left" vertical="top" wrapText="1" indent="3" readingOrder="1"/>
    </xf>
    <xf numFmtId="0" fontId="58" fillId="0" borderId="8" xfId="5" applyFont="1" applyBorder="1" applyAlignment="1">
      <alignment horizontal="center" vertical="top" wrapText="1"/>
    </xf>
    <xf numFmtId="0" fontId="12" fillId="0" borderId="50" xfId="5" quotePrefix="1" applyFont="1" applyBorder="1" applyAlignment="1">
      <alignment horizontal="center" vertical="center"/>
    </xf>
    <xf numFmtId="0" fontId="12" fillId="0" borderId="2" xfId="5" applyFont="1" applyBorder="1" applyAlignment="1">
      <alignment horizontal="center"/>
    </xf>
    <xf numFmtId="0" fontId="4" fillId="0" borderId="2" xfId="5" applyFont="1" applyBorder="1" applyAlignment="1">
      <alignment horizontal="left" vertical="center" wrapText="1"/>
    </xf>
    <xf numFmtId="0" fontId="44" fillId="0" borderId="9" xfId="5" applyFont="1" applyBorder="1" applyAlignment="1">
      <alignment horizontal="center" vertical="center" wrapText="1"/>
    </xf>
    <xf numFmtId="0" fontId="44" fillId="0" borderId="74" xfId="5" applyFont="1" applyBorder="1" applyAlignment="1">
      <alignment horizontal="center" vertical="center" wrapText="1"/>
    </xf>
    <xf numFmtId="0" fontId="34" fillId="0" borderId="2" xfId="5" applyFont="1" applyBorder="1" applyAlignment="1">
      <alignment wrapText="1"/>
    </xf>
    <xf numFmtId="0" fontId="34" fillId="0" borderId="2" xfId="5" applyFont="1" applyBorder="1" applyAlignment="1">
      <alignment horizontal="center" readingOrder="1"/>
    </xf>
    <xf numFmtId="0" fontId="34" fillId="0" borderId="2" xfId="5" applyFont="1" applyBorder="1" applyAlignment="1">
      <alignment horizontal="center" wrapText="1" readingOrder="1"/>
    </xf>
    <xf numFmtId="0" fontId="34" fillId="0" borderId="2" xfId="5" applyFont="1" applyBorder="1" applyAlignment="1">
      <alignment horizontal="center" vertical="top" readingOrder="1"/>
    </xf>
    <xf numFmtId="0" fontId="12" fillId="0" borderId="0" xfId="5" applyFont="1"/>
    <xf numFmtId="0" fontId="34" fillId="0" borderId="2" xfId="5" applyFont="1" applyBorder="1" applyAlignment="1">
      <alignment vertical="center" wrapText="1"/>
    </xf>
    <xf numFmtId="0" fontId="12" fillId="0" borderId="2" xfId="7" applyFont="1" applyBorder="1" applyAlignment="1">
      <alignment horizontal="center"/>
    </xf>
    <xf numFmtId="0" fontId="12" fillId="0" borderId="50" xfId="7" quotePrefix="1" applyFont="1" applyBorder="1" applyAlignment="1">
      <alignment horizontal="center" vertical="center"/>
    </xf>
    <xf numFmtId="0" fontId="44" fillId="0" borderId="14" xfId="5" applyFont="1" applyBorder="1" applyAlignment="1">
      <alignment horizontal="center" vertical="center" wrapText="1"/>
    </xf>
    <xf numFmtId="0" fontId="58" fillId="0" borderId="2" xfId="5" applyFont="1" applyBorder="1" applyAlignment="1">
      <alignment horizontal="center" vertical="top" wrapText="1"/>
    </xf>
    <xf numFmtId="0" fontId="4" fillId="0" borderId="2" xfId="5" applyFont="1" applyBorder="1" applyAlignment="1">
      <alignment horizontal="center" vertical="top" wrapText="1"/>
    </xf>
    <xf numFmtId="0" fontId="4" fillId="0" borderId="50" xfId="5" applyFont="1" applyBorder="1" applyAlignment="1">
      <alignment horizontal="center" vertical="center" wrapText="1"/>
    </xf>
    <xf numFmtId="0" fontId="61" fillId="0" borderId="2" xfId="5" applyFont="1" applyBorder="1" applyAlignment="1">
      <alignment vertical="top" wrapText="1"/>
    </xf>
    <xf numFmtId="0" fontId="63" fillId="0" borderId="2" xfId="5" applyFont="1" applyBorder="1" applyAlignment="1">
      <alignment horizontal="center" vertical="center"/>
    </xf>
    <xf numFmtId="0" fontId="0" fillId="0" borderId="0" xfId="0" applyAlignment="1">
      <alignment horizontal="center" vertical="center"/>
    </xf>
    <xf numFmtId="0" fontId="4" fillId="0" borderId="0" xfId="0" applyFont="1" applyAlignment="1">
      <alignment horizontal="center" vertical="top" wrapText="1"/>
    </xf>
    <xf numFmtId="172" fontId="30" fillId="0" borderId="48" xfId="8" applyNumberFormat="1" applyFont="1" applyBorder="1" applyAlignment="1">
      <alignment horizontal="center" vertical="center"/>
    </xf>
    <xf numFmtId="172" fontId="32" fillId="0" borderId="25" xfId="8" applyNumberFormat="1" applyFont="1" applyBorder="1" applyAlignment="1">
      <alignment horizontal="center" vertical="center"/>
    </xf>
    <xf numFmtId="0" fontId="0" fillId="0" borderId="0" xfId="0" applyAlignment="1">
      <alignment vertical="center"/>
    </xf>
    <xf numFmtId="3" fontId="26" fillId="0" borderId="2" xfId="0" applyNumberFormat="1" applyFont="1" applyBorder="1" applyAlignment="1">
      <alignment horizontal="center" vertical="center" wrapText="1" readingOrder="1"/>
    </xf>
    <xf numFmtId="0" fontId="26" fillId="0" borderId="2" xfId="0" applyFont="1" applyBorder="1" applyAlignment="1">
      <alignment horizontal="center" vertical="center" wrapText="1" readingOrder="1"/>
    </xf>
    <xf numFmtId="0" fontId="7" fillId="0" borderId="26" xfId="0" applyFont="1" applyBorder="1" applyAlignment="1">
      <alignment horizontal="center" vertical="center"/>
    </xf>
    <xf numFmtId="172" fontId="32" fillId="0" borderId="57" xfId="8" applyNumberFormat="1" applyFont="1" applyBorder="1" applyAlignment="1">
      <alignment horizontal="center" vertical="center"/>
    </xf>
    <xf numFmtId="0" fontId="3" fillId="0" borderId="63" xfId="0" applyFont="1" applyBorder="1" applyAlignment="1">
      <alignment horizontal="center"/>
    </xf>
    <xf numFmtId="0" fontId="0" fillId="0" borderId="64" xfId="0" applyBorder="1" applyAlignment="1">
      <alignment horizontal="center" wrapText="1"/>
    </xf>
    <xf numFmtId="0" fontId="0" fillId="0" borderId="64" xfId="0" applyBorder="1" applyAlignment="1">
      <alignment horizontal="center"/>
    </xf>
    <xf numFmtId="0" fontId="4" fillId="0" borderId="64" xfId="0" applyFont="1" applyBorder="1" applyAlignment="1">
      <alignment horizontal="center" vertical="top" wrapText="1"/>
    </xf>
    <xf numFmtId="172" fontId="32" fillId="0" borderId="64" xfId="8" applyNumberFormat="1" applyFont="1" applyBorder="1" applyAlignment="1">
      <alignment horizontal="center" vertical="center"/>
    </xf>
    <xf numFmtId="0" fontId="67" fillId="0" borderId="23" xfId="5" applyFont="1" applyBorder="1" applyAlignment="1">
      <alignment horizontal="center" vertical="center"/>
    </xf>
    <xf numFmtId="0" fontId="67" fillId="0" borderId="8" xfId="5" applyFont="1" applyBorder="1" applyAlignment="1">
      <alignment vertical="center" wrapText="1"/>
    </xf>
    <xf numFmtId="0" fontId="18" fillId="0" borderId="2" xfId="5" applyBorder="1" applyAlignment="1">
      <alignment horizontal="center" vertical="center"/>
    </xf>
    <xf numFmtId="0" fontId="67" fillId="0" borderId="2" xfId="5" applyFont="1" applyBorder="1" applyAlignment="1">
      <alignment horizontal="center" vertical="center"/>
    </xf>
    <xf numFmtId="3" fontId="18" fillId="0" borderId="2" xfId="5" applyNumberFormat="1" applyBorder="1" applyAlignment="1">
      <alignment horizontal="center" vertical="center"/>
    </xf>
    <xf numFmtId="49" fontId="68" fillId="0" borderId="23" xfId="5" applyNumberFormat="1" applyFont="1" applyBorder="1" applyAlignment="1">
      <alignment horizontal="center" vertical="center" wrapText="1"/>
    </xf>
    <xf numFmtId="0" fontId="18" fillId="0" borderId="8" xfId="5" applyBorder="1" applyAlignment="1">
      <alignment vertical="center" wrapText="1"/>
    </xf>
    <xf numFmtId="172" fontId="30" fillId="0" borderId="79" xfId="8" applyNumberFormat="1" applyFont="1" applyBorder="1" applyAlignment="1">
      <alignment horizontal="center" vertical="center"/>
    </xf>
    <xf numFmtId="0" fontId="65" fillId="0" borderId="23" xfId="5" applyFont="1" applyBorder="1" applyAlignment="1">
      <alignment horizontal="center" vertical="center"/>
    </xf>
    <xf numFmtId="0" fontId="42" fillId="0" borderId="8" xfId="5" applyFont="1" applyBorder="1" applyAlignment="1">
      <alignment vertical="center" wrapText="1"/>
    </xf>
    <xf numFmtId="3" fontId="39" fillId="0" borderId="79" xfId="8" applyNumberFormat="1" applyFont="1" applyBorder="1" applyAlignment="1">
      <alignment horizontal="center" vertical="center"/>
    </xf>
    <xf numFmtId="49" fontId="67" fillId="0" borderId="23" xfId="5" applyNumberFormat="1" applyFont="1" applyBorder="1" applyAlignment="1">
      <alignment horizontal="center" vertical="center" wrapText="1"/>
    </xf>
    <xf numFmtId="3" fontId="18" fillId="0" borderId="2" xfId="8" applyNumberFormat="1" applyBorder="1" applyAlignment="1">
      <alignment horizontal="center" vertical="center"/>
    </xf>
    <xf numFmtId="0" fontId="11" fillId="0" borderId="23" xfId="5" applyFont="1" applyBorder="1" applyAlignment="1">
      <alignment horizontal="center"/>
    </xf>
    <xf numFmtId="0" fontId="67" fillId="0" borderId="2" xfId="5" applyFont="1" applyBorder="1" applyAlignment="1">
      <alignment vertical="center" wrapText="1"/>
    </xf>
    <xf numFmtId="3" fontId="30" fillId="0" borderId="2" xfId="8" applyNumberFormat="1" applyFont="1" applyBorder="1" applyAlignment="1">
      <alignment horizontal="center" vertical="center"/>
    </xf>
    <xf numFmtId="3" fontId="32" fillId="0" borderId="2" xfId="8" applyNumberFormat="1" applyFont="1" applyBorder="1" applyAlignment="1">
      <alignment horizontal="center" vertical="center"/>
    </xf>
    <xf numFmtId="3" fontId="67" fillId="0" borderId="2" xfId="5" applyNumberFormat="1" applyFont="1" applyBorder="1" applyAlignment="1">
      <alignment horizontal="center" vertical="center"/>
    </xf>
    <xf numFmtId="49" fontId="3" fillId="0" borderId="23" xfId="5" applyNumberFormat="1" applyFont="1" applyBorder="1" applyAlignment="1">
      <alignment horizontal="center" vertical="center" wrapText="1"/>
    </xf>
    <xf numFmtId="0" fontId="3" fillId="0" borderId="23" xfId="5" applyFont="1" applyBorder="1" applyAlignment="1">
      <alignment horizontal="center"/>
    </xf>
    <xf numFmtId="3" fontId="18" fillId="0" borderId="2" xfId="7" applyNumberFormat="1" applyBorder="1" applyAlignment="1">
      <alignment horizontal="center" vertical="center"/>
    </xf>
    <xf numFmtId="0" fontId="18" fillId="8" borderId="8" xfId="5" applyFill="1" applyBorder="1" applyAlignment="1">
      <alignment vertical="center" wrapText="1"/>
    </xf>
    <xf numFmtId="49" fontId="3" fillId="8" borderId="23" xfId="5" applyNumberFormat="1" applyFont="1" applyFill="1" applyBorder="1" applyAlignment="1">
      <alignment horizontal="center" vertical="center" wrapText="1"/>
    </xf>
    <xf numFmtId="3" fontId="30" fillId="8" borderId="2" xfId="8" applyNumberFormat="1" applyFont="1" applyFill="1" applyBorder="1" applyAlignment="1">
      <alignment horizontal="center" vertical="center"/>
    </xf>
    <xf numFmtId="0" fontId="18" fillId="8" borderId="2" xfId="5" applyFill="1" applyBorder="1" applyAlignment="1">
      <alignment horizontal="center" vertical="center"/>
    </xf>
    <xf numFmtId="3" fontId="18" fillId="8" borderId="2" xfId="7" applyNumberFormat="1" applyFill="1" applyBorder="1" applyAlignment="1">
      <alignment horizontal="center" vertical="center"/>
    </xf>
    <xf numFmtId="49" fontId="3" fillId="0" borderId="0" xfId="5" applyNumberFormat="1" applyFont="1" applyAlignment="1">
      <alignment horizontal="center" vertical="center" wrapText="1"/>
    </xf>
    <xf numFmtId="0" fontId="18" fillId="0" borderId="0" xfId="5" applyAlignment="1">
      <alignment vertical="center" wrapText="1"/>
    </xf>
    <xf numFmtId="3" fontId="32" fillId="0" borderId="0" xfId="8" applyNumberFormat="1" applyFont="1" applyAlignment="1">
      <alignment horizontal="center" vertical="center"/>
    </xf>
    <xf numFmtId="0" fontId="18" fillId="0" borderId="0" xfId="5" applyAlignment="1">
      <alignment horizontal="center" vertical="center"/>
    </xf>
    <xf numFmtId="3" fontId="39" fillId="0" borderId="0" xfId="8" applyNumberFormat="1" applyFont="1" applyAlignment="1">
      <alignment horizontal="center" vertical="center"/>
    </xf>
    <xf numFmtId="3" fontId="18" fillId="0" borderId="0" xfId="7" applyNumberFormat="1" applyAlignment="1">
      <alignment horizontal="center" vertical="center"/>
    </xf>
    <xf numFmtId="0" fontId="3" fillId="0" borderId="0" xfId="5" applyFont="1" applyAlignment="1">
      <alignment horizontal="center"/>
    </xf>
    <xf numFmtId="0" fontId="12" fillId="0" borderId="0" xfId="5" applyFont="1" applyAlignment="1">
      <alignment horizontal="center" wrapText="1"/>
    </xf>
    <xf numFmtId="0" fontId="12" fillId="0" borderId="0" xfId="5" applyFont="1" applyAlignment="1">
      <alignment horizontal="center"/>
    </xf>
    <xf numFmtId="172" fontId="32" fillId="0" borderId="19" xfId="8" applyNumberFormat="1" applyFont="1" applyBorder="1" applyAlignment="1">
      <alignment horizontal="center" vertical="center"/>
    </xf>
    <xf numFmtId="172" fontId="32" fillId="0" borderId="69" xfId="8" applyNumberFormat="1" applyFont="1" applyBorder="1" applyAlignment="1">
      <alignment horizontal="center" vertical="center"/>
    </xf>
    <xf numFmtId="0" fontId="3" fillId="0" borderId="0" xfId="0" applyFont="1" applyAlignment="1">
      <alignment horizontal="center"/>
    </xf>
    <xf numFmtId="0" fontId="0" fillId="0" borderId="0" xfId="0" applyAlignment="1">
      <alignment horizontal="center" wrapText="1"/>
    </xf>
    <xf numFmtId="0" fontId="20" fillId="0" borderId="37" xfId="0" applyFont="1" applyBorder="1" applyAlignment="1">
      <alignment horizontal="center" wrapText="1" readingOrder="2"/>
    </xf>
    <xf numFmtId="0" fontId="20" fillId="0" borderId="83" xfId="0" applyFont="1" applyBorder="1" applyAlignment="1">
      <alignment horizontal="center" wrapText="1" readingOrder="2"/>
    </xf>
    <xf numFmtId="0" fontId="20" fillId="0" borderId="41" xfId="0" applyFont="1" applyBorder="1" applyAlignment="1">
      <alignment horizontal="center" wrapText="1" readingOrder="2"/>
    </xf>
    <xf numFmtId="0" fontId="21" fillId="0" borderId="83" xfId="0" applyFont="1" applyBorder="1" applyAlignment="1">
      <alignment horizontal="center" wrapText="1" readingOrder="2"/>
    </xf>
    <xf numFmtId="0" fontId="21" fillId="0" borderId="41" xfId="0" applyFont="1" applyBorder="1" applyAlignment="1">
      <alignment horizontal="right" wrapText="1" readingOrder="2"/>
    </xf>
    <xf numFmtId="3" fontId="26" fillId="0" borderId="41" xfId="0" applyNumberFormat="1" applyFont="1" applyBorder="1" applyAlignment="1">
      <alignment horizontal="center" wrapText="1" readingOrder="1"/>
    </xf>
    <xf numFmtId="172" fontId="32" fillId="0" borderId="39" xfId="8" applyNumberFormat="1" applyFont="1" applyBorder="1" applyAlignment="1">
      <alignment horizontal="center" vertical="center"/>
    </xf>
    <xf numFmtId="3" fontId="37" fillId="0" borderId="21" xfId="0" applyNumberFormat="1" applyFont="1" applyBorder="1" applyAlignment="1">
      <alignment horizontal="center" vertical="center"/>
    </xf>
    <xf numFmtId="172" fontId="32" fillId="0" borderId="9" xfId="8" applyNumberFormat="1" applyFont="1" applyBorder="1" applyAlignment="1">
      <alignment horizontal="center" vertical="center"/>
    </xf>
    <xf numFmtId="176" fontId="16" fillId="0" borderId="3" xfId="0" applyNumberFormat="1" applyFont="1" applyBorder="1" applyAlignment="1">
      <alignment horizontal="center" wrapText="1"/>
    </xf>
    <xf numFmtId="176" fontId="13" fillId="0" borderId="3" xfId="0" applyNumberFormat="1" applyFont="1" applyBorder="1" applyAlignment="1">
      <alignment horizontal="center" wrapText="1"/>
    </xf>
    <xf numFmtId="176" fontId="17" fillId="2" borderId="2" xfId="2" applyNumberFormat="1" applyFont="1" applyFill="1" applyBorder="1" applyAlignment="1">
      <alignment horizontal="center" wrapText="1"/>
    </xf>
    <xf numFmtId="10" fontId="26" fillId="0" borderId="0" xfId="4" applyNumberFormat="1" applyFont="1" applyBorder="1" applyAlignment="1">
      <alignment horizontal="center" wrapText="1" readingOrder="1"/>
    </xf>
    <xf numFmtId="172" fontId="30" fillId="3" borderId="2" xfId="8" applyNumberFormat="1" applyFont="1" applyFill="1" applyBorder="1" applyAlignment="1">
      <alignment horizontal="center" vertical="center"/>
    </xf>
    <xf numFmtId="0" fontId="0" fillId="0" borderId="2" xfId="5" applyFont="1" applyBorder="1" applyAlignment="1">
      <alignment horizontal="center"/>
    </xf>
    <xf numFmtId="174" fontId="30" fillId="0" borderId="0" xfId="9" applyNumberFormat="1" applyFont="1" applyAlignment="1">
      <alignment horizontal="center" vertical="center"/>
    </xf>
    <xf numFmtId="172" fontId="46" fillId="0" borderId="0" xfId="8" applyNumberFormat="1" applyFont="1" applyAlignment="1">
      <alignment horizontal="center" vertical="center"/>
    </xf>
    <xf numFmtId="0" fontId="12" fillId="0" borderId="8" xfId="5" applyFont="1" applyBorder="1" applyAlignment="1">
      <alignment wrapText="1"/>
    </xf>
    <xf numFmtId="0" fontId="69" fillId="0" borderId="2" xfId="0" applyFont="1" applyBorder="1" applyAlignment="1">
      <alignment horizontal="right" wrapText="1" readingOrder="2"/>
    </xf>
    <xf numFmtId="176" fontId="15" fillId="2" borderId="2" xfId="0" applyNumberFormat="1" applyFont="1" applyFill="1" applyBorder="1" applyAlignment="1">
      <alignment horizontal="center" wrapText="1"/>
    </xf>
    <xf numFmtId="172" fontId="32" fillId="0" borderId="0" xfId="8" applyNumberFormat="1" applyFont="1" applyAlignment="1">
      <alignment vertical="center"/>
    </xf>
    <xf numFmtId="178" fontId="18" fillId="0" borderId="0" xfId="10"/>
    <xf numFmtId="178" fontId="74" fillId="0" borderId="33" xfId="10" applyFont="1" applyBorder="1" applyAlignment="1">
      <alignment vertical="center" wrapText="1"/>
    </xf>
    <xf numFmtId="178" fontId="74" fillId="0" borderId="36" xfId="10" applyFont="1" applyBorder="1" applyAlignment="1">
      <alignment vertical="center" wrapText="1"/>
    </xf>
    <xf numFmtId="178" fontId="18" fillId="0" borderId="33" xfId="10" applyBorder="1"/>
    <xf numFmtId="178" fontId="83" fillId="0" borderId="0" xfId="10" applyFont="1"/>
    <xf numFmtId="178" fontId="18" fillId="0" borderId="36" xfId="10" applyBorder="1" applyAlignment="1">
      <alignment vertical="center"/>
    </xf>
    <xf numFmtId="178" fontId="67" fillId="0" borderId="37" xfId="10" applyFont="1" applyBorder="1" applyAlignment="1">
      <alignment vertical="center"/>
    </xf>
    <xf numFmtId="178" fontId="67" fillId="0" borderId="38" xfId="10" applyFont="1" applyBorder="1" applyAlignment="1">
      <alignment vertical="center" wrapText="1"/>
    </xf>
    <xf numFmtId="178" fontId="67" fillId="0" borderId="38" xfId="10" applyFont="1" applyBorder="1" applyAlignment="1">
      <alignment vertical="center"/>
    </xf>
    <xf numFmtId="178" fontId="67" fillId="0" borderId="41" xfId="10" applyFont="1" applyBorder="1" applyAlignment="1">
      <alignment vertical="center" wrapText="1"/>
    </xf>
    <xf numFmtId="1" fontId="18" fillId="0" borderId="24" xfId="10" applyNumberFormat="1" applyBorder="1" applyAlignment="1">
      <alignment horizontal="center" vertical="center"/>
    </xf>
    <xf numFmtId="179" fontId="18" fillId="0" borderId="0" xfId="10" applyNumberFormat="1"/>
    <xf numFmtId="179" fontId="18" fillId="0" borderId="0" xfId="13" applyNumberFormat="1"/>
    <xf numFmtId="178" fontId="67" fillId="0" borderId="33" xfId="13" applyFont="1" applyBorder="1" applyAlignment="1">
      <alignment vertical="center"/>
    </xf>
    <xf numFmtId="178" fontId="18" fillId="0" borderId="60" xfId="13" applyBorder="1"/>
    <xf numFmtId="178" fontId="18" fillId="0" borderId="61" xfId="13" applyBorder="1"/>
    <xf numFmtId="178" fontId="67" fillId="0" borderId="88" xfId="10" applyFont="1" applyBorder="1"/>
    <xf numFmtId="178" fontId="67" fillId="0" borderId="89" xfId="10" applyFont="1" applyBorder="1"/>
    <xf numFmtId="178" fontId="32" fillId="0" borderId="61" xfId="15" applyFont="1" applyBorder="1" applyAlignment="1">
      <alignment vertical="center" textRotation="90"/>
    </xf>
    <xf numFmtId="3" fontId="32" fillId="0" borderId="61" xfId="14" applyNumberFormat="1" applyFont="1" applyBorder="1" applyAlignment="1">
      <alignment horizontal="right" vertical="center"/>
    </xf>
    <xf numFmtId="3" fontId="32" fillId="0" borderId="89" xfId="14" applyNumberFormat="1" applyFont="1" applyBorder="1" applyAlignment="1">
      <alignment horizontal="right" vertical="center"/>
    </xf>
    <xf numFmtId="178" fontId="93" fillId="0" borderId="87" xfId="14" applyFont="1" applyBorder="1" applyAlignment="1">
      <alignment horizontal="center" vertical="center" wrapText="1"/>
    </xf>
    <xf numFmtId="178" fontId="18" fillId="0" borderId="31" xfId="10" applyBorder="1"/>
    <xf numFmtId="178" fontId="18" fillId="0" borderId="76" xfId="10" applyBorder="1"/>
    <xf numFmtId="178" fontId="32" fillId="0" borderId="76" xfId="15" applyFont="1" applyBorder="1" applyAlignment="1">
      <alignment vertical="center" textRotation="90"/>
    </xf>
    <xf numFmtId="3" fontId="30" fillId="0" borderId="76" xfId="14" applyNumberFormat="1" applyFont="1" applyBorder="1" applyAlignment="1">
      <alignment horizontal="right" vertical="center"/>
    </xf>
    <xf numFmtId="3" fontId="30" fillId="0" borderId="48" xfId="14" applyNumberFormat="1" applyFont="1" applyBorder="1" applyAlignment="1">
      <alignment horizontal="right" vertical="center"/>
    </xf>
    <xf numFmtId="0" fontId="85" fillId="0" borderId="22" xfId="14" applyNumberFormat="1" applyFont="1" applyBorder="1" applyAlignment="1">
      <alignment horizontal="center" vertical="center" wrapText="1"/>
    </xf>
    <xf numFmtId="178" fontId="18" fillId="0" borderId="9" xfId="10" applyBorder="1"/>
    <xf numFmtId="178" fontId="32" fillId="0" borderId="9" xfId="15" applyFont="1" applyBorder="1" applyAlignment="1">
      <alignment vertical="center" textRotation="90"/>
    </xf>
    <xf numFmtId="178" fontId="93" fillId="0" borderId="2" xfId="14" applyFont="1" applyBorder="1" applyAlignment="1">
      <alignment horizontal="center" vertical="center" wrapText="1"/>
    </xf>
    <xf numFmtId="3" fontId="30" fillId="0" borderId="10" xfId="14" applyNumberFormat="1" applyFont="1" applyBorder="1" applyAlignment="1">
      <alignment horizontal="right" vertical="center"/>
    </xf>
    <xf numFmtId="0" fontId="85" fillId="0" borderId="24" xfId="14" applyNumberFormat="1" applyFont="1" applyBorder="1" applyAlignment="1">
      <alignment horizontal="center" vertical="center" wrapText="1"/>
    </xf>
    <xf numFmtId="178" fontId="18" fillId="0" borderId="66" xfId="10" applyBorder="1"/>
    <xf numFmtId="178" fontId="18" fillId="0" borderId="8" xfId="10" applyBorder="1"/>
    <xf numFmtId="3" fontId="30" fillId="0" borderId="9" xfId="14" applyNumberFormat="1" applyFont="1" applyBorder="1" applyAlignment="1">
      <alignment horizontal="right" vertical="center"/>
    </xf>
    <xf numFmtId="178" fontId="67" fillId="0" borderId="33" xfId="13" applyFont="1" applyBorder="1" applyAlignment="1">
      <alignment vertical="center" wrapText="1"/>
    </xf>
    <xf numFmtId="178" fontId="18" fillId="0" borderId="56" xfId="10" applyBorder="1"/>
    <xf numFmtId="178" fontId="32" fillId="0" borderId="70" xfId="15" applyFont="1" applyBorder="1" applyAlignment="1">
      <alignment vertical="center" textRotation="90"/>
    </xf>
    <xf numFmtId="3" fontId="30" fillId="0" borderId="70" xfId="14" applyNumberFormat="1" applyFont="1" applyBorder="1" applyAlignment="1">
      <alignment horizontal="right" vertical="center"/>
    </xf>
    <xf numFmtId="3" fontId="30" fillId="0" borderId="57" xfId="14" applyNumberFormat="1" applyFont="1" applyBorder="1" applyAlignment="1">
      <alignment horizontal="right" vertical="center"/>
    </xf>
    <xf numFmtId="0" fontId="85" fillId="0" borderId="27" xfId="14" applyNumberFormat="1" applyFont="1" applyBorder="1" applyAlignment="1">
      <alignment horizontal="center" vertical="center" wrapText="1"/>
    </xf>
    <xf numFmtId="178" fontId="18" fillId="0" borderId="40" xfId="10" applyBorder="1"/>
    <xf numFmtId="178" fontId="32" fillId="0" borderId="38" xfId="15" applyFont="1" applyBorder="1" applyAlignment="1">
      <alignment vertical="center" textRotation="90"/>
    </xf>
    <xf numFmtId="178" fontId="18" fillId="0" borderId="38" xfId="10" applyBorder="1"/>
    <xf numFmtId="3" fontId="30" fillId="0" borderId="38" xfId="14" applyNumberFormat="1" applyFont="1" applyBorder="1" applyAlignment="1">
      <alignment horizontal="right" vertical="center"/>
    </xf>
    <xf numFmtId="3" fontId="30" fillId="0" borderId="39" xfId="14" applyNumberFormat="1" applyFont="1" applyBorder="1" applyAlignment="1">
      <alignment horizontal="right" vertical="center"/>
    </xf>
    <xf numFmtId="178" fontId="85" fillId="0" borderId="46" xfId="14" applyFont="1" applyBorder="1" applyAlignment="1">
      <alignment horizontal="center" vertical="center" wrapText="1"/>
    </xf>
    <xf numFmtId="178" fontId="67" fillId="0" borderId="36" xfId="13" applyFont="1" applyBorder="1" applyAlignment="1">
      <alignment vertical="center"/>
    </xf>
    <xf numFmtId="1" fontId="67" fillId="0" borderId="36" xfId="13" applyNumberFormat="1" applyFont="1" applyBorder="1" applyAlignment="1">
      <alignment horizontal="center"/>
    </xf>
    <xf numFmtId="1" fontId="32" fillId="0" borderId="33" xfId="13" applyNumberFormat="1" applyFont="1" applyBorder="1" applyAlignment="1">
      <alignment vertical="center"/>
    </xf>
    <xf numFmtId="178" fontId="67" fillId="0" borderId="33" xfId="16" applyFont="1" applyBorder="1" applyAlignment="1">
      <alignment vertical="center"/>
    </xf>
    <xf numFmtId="1" fontId="67" fillId="0" borderId="33" xfId="10" applyNumberFormat="1" applyFont="1" applyBorder="1" applyAlignment="1">
      <alignment vertical="center" wrapText="1"/>
    </xf>
    <xf numFmtId="1" fontId="18" fillId="0" borderId="36" xfId="10" applyNumberFormat="1" applyBorder="1"/>
    <xf numFmtId="1" fontId="105" fillId="0" borderId="36" xfId="10" applyNumberFormat="1" applyFont="1" applyBorder="1" applyAlignment="1">
      <alignment vertical="center" wrapText="1"/>
    </xf>
    <xf numFmtId="1" fontId="105" fillId="0" borderId="33" xfId="10" applyNumberFormat="1" applyFont="1" applyBorder="1" applyAlignment="1">
      <alignment vertical="center" wrapText="1"/>
    </xf>
    <xf numFmtId="1" fontId="105" fillId="0" borderId="37" xfId="10" applyNumberFormat="1" applyFont="1" applyBorder="1" applyAlignment="1">
      <alignment vertical="center" wrapText="1"/>
    </xf>
    <xf numFmtId="1" fontId="105" fillId="0" borderId="38" xfId="10" applyNumberFormat="1" applyFont="1" applyBorder="1" applyAlignment="1">
      <alignment vertical="center" wrapText="1"/>
    </xf>
    <xf numFmtId="187" fontId="109" fillId="0" borderId="20" xfId="6" applyNumberFormat="1" applyFont="1" applyFill="1" applyBorder="1" applyAlignment="1">
      <alignment horizontal="center" vertical="center"/>
    </xf>
    <xf numFmtId="187" fontId="109" fillId="0" borderId="21" xfId="6" applyNumberFormat="1" applyFont="1" applyFill="1" applyBorder="1" applyAlignment="1">
      <alignment horizontal="center" vertical="center"/>
    </xf>
    <xf numFmtId="3" fontId="109" fillId="0" borderId="21" xfId="17" applyNumberFormat="1" applyFont="1" applyBorder="1" applyAlignment="1">
      <alignment horizontal="center" vertical="center" wrapText="1" readingOrder="2"/>
    </xf>
    <xf numFmtId="2" fontId="109" fillId="0" borderId="21" xfId="17" applyNumberFormat="1" applyFont="1" applyBorder="1" applyAlignment="1">
      <alignment horizontal="center" vertical="center"/>
    </xf>
    <xf numFmtId="165" fontId="109" fillId="0" borderId="21" xfId="17" applyNumberFormat="1" applyFont="1" applyBorder="1" applyAlignment="1">
      <alignment horizontal="center" vertical="center" wrapText="1" readingOrder="2"/>
    </xf>
    <xf numFmtId="178" fontId="109" fillId="0" borderId="21" xfId="17" applyFont="1" applyBorder="1" applyAlignment="1">
      <alignment horizontal="center" vertical="center" wrapText="1" readingOrder="2"/>
    </xf>
    <xf numFmtId="178" fontId="110" fillId="0" borderId="21" xfId="17" applyFont="1" applyBorder="1" applyAlignment="1">
      <alignment horizontal="right" vertical="center" wrapText="1" readingOrder="2"/>
    </xf>
    <xf numFmtId="178" fontId="110" fillId="0" borderId="22" xfId="17" applyFont="1" applyBorder="1" applyAlignment="1">
      <alignment horizontal="right" vertical="center" wrapText="1" readingOrder="2"/>
    </xf>
    <xf numFmtId="187" fontId="109" fillId="0" borderId="23" xfId="6" applyNumberFormat="1" applyFont="1" applyFill="1" applyBorder="1" applyAlignment="1">
      <alignment horizontal="center" vertical="center"/>
    </xf>
    <xf numFmtId="187" fontId="109" fillId="0" borderId="2" xfId="6" applyNumberFormat="1" applyFont="1" applyFill="1" applyBorder="1" applyAlignment="1">
      <alignment horizontal="center" vertical="center"/>
    </xf>
    <xf numFmtId="3" fontId="109" fillId="0" borderId="2" xfId="17" applyNumberFormat="1" applyFont="1" applyBorder="1" applyAlignment="1">
      <alignment horizontal="center" vertical="center" wrapText="1" readingOrder="2"/>
    </xf>
    <xf numFmtId="2" fontId="109" fillId="0" borderId="2" xfId="17" applyNumberFormat="1" applyFont="1" applyBorder="1" applyAlignment="1">
      <alignment horizontal="center" vertical="center"/>
    </xf>
    <xf numFmtId="165" fontId="109" fillId="0" borderId="2" xfId="17" applyNumberFormat="1" applyFont="1" applyBorder="1" applyAlignment="1">
      <alignment horizontal="center" vertical="center" wrapText="1" readingOrder="2"/>
    </xf>
    <xf numFmtId="178" fontId="109" fillId="0" borderId="2" xfId="17" applyFont="1" applyBorder="1" applyAlignment="1">
      <alignment horizontal="center" vertical="center" wrapText="1" readingOrder="2"/>
    </xf>
    <xf numFmtId="178" fontId="110" fillId="0" borderId="2" xfId="17" applyFont="1" applyBorder="1" applyAlignment="1">
      <alignment horizontal="right" vertical="center" wrapText="1" readingOrder="2"/>
    </xf>
    <xf numFmtId="178" fontId="110" fillId="0" borderId="24" xfId="17" applyFont="1" applyBorder="1" applyAlignment="1">
      <alignment horizontal="right" vertical="center" wrapText="1" readingOrder="2"/>
    </xf>
    <xf numFmtId="178" fontId="110" fillId="0" borderId="2" xfId="17" applyFont="1" applyBorder="1" applyAlignment="1">
      <alignment horizontal="right" vertical="center" readingOrder="2"/>
    </xf>
    <xf numFmtId="178" fontId="110" fillId="0" borderId="24" xfId="17" applyFont="1" applyBorder="1" applyAlignment="1">
      <alignment horizontal="right" vertical="center" wrapText="1" readingOrder="1"/>
    </xf>
    <xf numFmtId="188" fontId="109" fillId="0" borderId="2" xfId="6" applyNumberFormat="1" applyFont="1" applyFill="1" applyBorder="1" applyAlignment="1">
      <alignment horizontal="center" vertical="center"/>
    </xf>
    <xf numFmtId="187" fontId="109" fillId="0" borderId="25" xfId="6" applyNumberFormat="1" applyFont="1" applyFill="1" applyBorder="1" applyAlignment="1">
      <alignment horizontal="center" vertical="center"/>
    </xf>
    <xf numFmtId="187" fontId="110" fillId="0" borderId="26" xfId="6" applyNumberFormat="1" applyFont="1" applyFill="1" applyBorder="1" applyAlignment="1">
      <alignment horizontal="center" vertical="center"/>
    </xf>
    <xf numFmtId="3" fontId="110" fillId="0" borderId="26" xfId="17" applyNumberFormat="1" applyFont="1" applyBorder="1" applyAlignment="1">
      <alignment horizontal="center" vertical="center" wrapText="1" readingOrder="2"/>
    </xf>
    <xf numFmtId="2" fontId="110" fillId="0" borderId="26" xfId="17" applyNumberFormat="1" applyFont="1" applyBorder="1" applyAlignment="1">
      <alignment horizontal="center" vertical="center"/>
    </xf>
    <xf numFmtId="165" fontId="110" fillId="0" borderId="26" xfId="17" applyNumberFormat="1" applyFont="1" applyBorder="1" applyAlignment="1">
      <alignment horizontal="center" vertical="center" wrapText="1" readingOrder="2"/>
    </xf>
    <xf numFmtId="178" fontId="110" fillId="0" borderId="26" xfId="17" applyFont="1" applyBorder="1" applyAlignment="1">
      <alignment horizontal="center" vertical="center" wrapText="1" readingOrder="2"/>
    </xf>
    <xf numFmtId="178" fontId="110" fillId="0" borderId="26" xfId="17" applyFont="1" applyBorder="1" applyAlignment="1">
      <alignment horizontal="right" vertical="center" readingOrder="2"/>
    </xf>
    <xf numFmtId="178" fontId="110" fillId="0" borderId="27" xfId="17" applyFont="1" applyBorder="1" applyAlignment="1">
      <alignment horizontal="right" vertical="center" wrapText="1" readingOrder="2"/>
    </xf>
    <xf numFmtId="178" fontId="12" fillId="0" borderId="0" xfId="17"/>
    <xf numFmtId="178" fontId="8" fillId="0" borderId="0" xfId="17" applyFont="1"/>
    <xf numFmtId="165" fontId="12" fillId="0" borderId="0" xfId="17" applyNumberFormat="1"/>
    <xf numFmtId="178" fontId="18" fillId="0" borderId="8" xfId="17" applyFont="1" applyBorder="1" applyAlignment="1">
      <alignment horizontal="right" vertical="center"/>
    </xf>
    <xf numFmtId="49" fontId="18" fillId="0" borderId="10" xfId="17" applyNumberFormat="1" applyFont="1" applyBorder="1" applyAlignment="1">
      <alignment vertical="center"/>
    </xf>
    <xf numFmtId="178" fontId="76" fillId="0" borderId="2" xfId="17" applyFont="1" applyBorder="1" applyAlignment="1">
      <alignment horizontal="right" vertical="center"/>
    </xf>
    <xf numFmtId="172" fontId="32" fillId="0" borderId="2" xfId="18" applyNumberFormat="1" applyFont="1" applyBorder="1" applyAlignment="1">
      <alignment vertical="center"/>
    </xf>
    <xf numFmtId="178" fontId="67" fillId="0" borderId="2" xfId="17" applyFont="1" applyBorder="1" applyAlignment="1">
      <alignment horizontal="center" vertical="center"/>
    </xf>
    <xf numFmtId="178" fontId="67" fillId="0" borderId="8" xfId="17" applyFont="1" applyBorder="1" applyAlignment="1">
      <alignment horizontal="right" vertical="center"/>
    </xf>
    <xf numFmtId="49" fontId="67" fillId="0" borderId="10" xfId="17" applyNumberFormat="1" applyFont="1" applyBorder="1" applyAlignment="1">
      <alignment vertical="center"/>
    </xf>
    <xf numFmtId="178" fontId="67" fillId="0" borderId="2" xfId="17" applyFont="1" applyBorder="1" applyAlignment="1">
      <alignment vertical="center"/>
    </xf>
    <xf numFmtId="172" fontId="30" fillId="0" borderId="2" xfId="18" applyNumberFormat="1" applyFont="1" applyBorder="1" applyAlignment="1">
      <alignment horizontal="center" vertical="center"/>
    </xf>
    <xf numFmtId="178" fontId="67" fillId="0" borderId="10" xfId="17" applyFont="1" applyBorder="1" applyAlignment="1">
      <alignment vertical="center"/>
    </xf>
    <xf numFmtId="178" fontId="65" fillId="0" borderId="2" xfId="17" applyFont="1" applyBorder="1" applyAlignment="1">
      <alignment vertical="center"/>
    </xf>
    <xf numFmtId="3" fontId="32" fillId="0" borderId="2" xfId="17" applyNumberFormat="1" applyFont="1" applyBorder="1" applyAlignment="1">
      <alignment horizontal="center" vertical="center"/>
    </xf>
    <xf numFmtId="3" fontId="67" fillId="0" borderId="2" xfId="17" applyNumberFormat="1" applyFont="1" applyBorder="1" applyAlignment="1">
      <alignment horizontal="center" vertical="center"/>
    </xf>
    <xf numFmtId="178" fontId="67" fillId="0" borderId="2" xfId="17" applyFont="1" applyBorder="1" applyAlignment="1">
      <alignment horizontal="left" vertical="top"/>
    </xf>
    <xf numFmtId="178" fontId="67" fillId="0" borderId="2" xfId="17" applyFont="1" applyBorder="1" applyAlignment="1">
      <alignment horizontal="right" vertical="top"/>
    </xf>
    <xf numFmtId="178" fontId="67" fillId="0" borderId="2" xfId="17" applyFont="1" applyBorder="1" applyAlignment="1">
      <alignment horizontal="right" vertical="center"/>
    </xf>
    <xf numFmtId="3" fontId="18" fillId="0" borderId="2" xfId="17" applyNumberFormat="1" applyFont="1" applyBorder="1" applyAlignment="1">
      <alignment horizontal="center" vertical="center"/>
    </xf>
    <xf numFmtId="3" fontId="8" fillId="0" borderId="0" xfId="17" applyNumberFormat="1" applyFont="1"/>
    <xf numFmtId="178" fontId="112" fillId="0" borderId="2" xfId="17" applyFont="1" applyBorder="1" applyAlignment="1">
      <alignment vertical="center"/>
    </xf>
    <xf numFmtId="3" fontId="43" fillId="0" borderId="2" xfId="17" applyNumberFormat="1" applyFont="1" applyBorder="1" applyAlignment="1">
      <alignment horizontal="center" vertical="center"/>
    </xf>
    <xf numFmtId="172" fontId="93" fillId="0" borderId="2" xfId="18" applyNumberFormat="1" applyFont="1" applyBorder="1" applyAlignment="1">
      <alignment vertical="center"/>
    </xf>
    <xf numFmtId="178" fontId="67" fillId="0" borderId="64" xfId="17" applyFont="1" applyBorder="1" applyAlignment="1">
      <alignment horizontal="center" vertical="center"/>
    </xf>
    <xf numFmtId="178" fontId="67" fillId="0" borderId="66" xfId="17" applyFont="1" applyBorder="1" applyAlignment="1">
      <alignment horizontal="right" vertical="center"/>
    </xf>
    <xf numFmtId="49" fontId="67" fillId="0" borderId="72" xfId="17" applyNumberFormat="1" applyFont="1" applyBorder="1" applyAlignment="1">
      <alignment vertical="center"/>
    </xf>
    <xf numFmtId="178" fontId="67" fillId="0" borderId="64" xfId="17" applyFont="1" applyBorder="1" applyAlignment="1">
      <alignment vertical="center"/>
    </xf>
    <xf numFmtId="178" fontId="67" fillId="0" borderId="91" xfId="17" applyFont="1" applyBorder="1" applyAlignment="1">
      <alignment horizontal="right" vertical="center"/>
    </xf>
    <xf numFmtId="178" fontId="67" fillId="0" borderId="92" xfId="17" applyFont="1" applyBorder="1" applyAlignment="1">
      <alignment horizontal="right" vertical="center"/>
    </xf>
    <xf numFmtId="178" fontId="67" fillId="0" borderId="92" xfId="17" quotePrefix="1" applyFont="1" applyBorder="1" applyAlignment="1">
      <alignment horizontal="right" vertical="center"/>
    </xf>
    <xf numFmtId="178" fontId="67" fillId="0" borderId="2" xfId="17" applyFont="1" applyBorder="1" applyAlignment="1">
      <alignment vertical="center" wrapText="1"/>
    </xf>
    <xf numFmtId="172" fontId="32" fillId="0" borderId="93" xfId="18" applyNumberFormat="1" applyFont="1" applyBorder="1" applyAlignment="1">
      <alignment vertical="center"/>
    </xf>
    <xf numFmtId="178" fontId="67" fillId="0" borderId="35" xfId="17" applyFont="1" applyBorder="1" applyAlignment="1">
      <alignment horizontal="right" vertical="center"/>
    </xf>
    <xf numFmtId="49" fontId="67" fillId="0" borderId="34" xfId="17" applyNumberFormat="1" applyFont="1" applyBorder="1" applyAlignment="1">
      <alignment vertical="center"/>
    </xf>
    <xf numFmtId="178" fontId="32" fillId="0" borderId="43" xfId="17" applyFont="1" applyBorder="1" applyAlignment="1">
      <alignment horizontal="center" vertical="top"/>
    </xf>
    <xf numFmtId="178" fontId="76" fillId="0" borderId="94" xfId="17" applyFont="1" applyBorder="1" applyAlignment="1">
      <alignment horizontal="center"/>
    </xf>
    <xf numFmtId="178" fontId="76" fillId="0" borderId="87" xfId="17" applyFont="1" applyBorder="1" applyAlignment="1">
      <alignment horizontal="center"/>
    </xf>
    <xf numFmtId="178" fontId="12" fillId="0" borderId="0" xfId="17" applyAlignment="1">
      <alignment horizontal="center"/>
    </xf>
    <xf numFmtId="3" fontId="12" fillId="0" borderId="0" xfId="17" applyNumberFormat="1"/>
    <xf numFmtId="180" fontId="12" fillId="0" borderId="0" xfId="17" applyNumberFormat="1"/>
    <xf numFmtId="3" fontId="30" fillId="0" borderId="0" xfId="18" applyNumberFormat="1" applyFont="1" applyAlignment="1">
      <alignment horizontal="center" vertical="center"/>
    </xf>
    <xf numFmtId="3" fontId="12" fillId="0" borderId="0" xfId="17" applyNumberFormat="1" applyAlignment="1">
      <alignment horizontal="center"/>
    </xf>
    <xf numFmtId="1" fontId="12" fillId="0" borderId="0" xfId="17" applyNumberFormat="1" applyAlignment="1">
      <alignment horizontal="center"/>
    </xf>
    <xf numFmtId="3" fontId="56" fillId="0" borderId="0" xfId="17" applyNumberFormat="1" applyFont="1" applyAlignment="1">
      <alignment horizontal="center"/>
    </xf>
    <xf numFmtId="1" fontId="30" fillId="0" borderId="0" xfId="18" applyNumberFormat="1" applyFont="1" applyAlignment="1">
      <alignment horizontal="center" vertical="center"/>
    </xf>
    <xf numFmtId="178" fontId="84" fillId="0" borderId="34" xfId="17" applyFont="1" applyBorder="1" applyAlignment="1">
      <alignment vertical="top" wrapText="1" readingOrder="2"/>
    </xf>
    <xf numFmtId="178" fontId="12" fillId="0" borderId="34" xfId="17" applyBorder="1"/>
    <xf numFmtId="178" fontId="12" fillId="0" borderId="2" xfId="17" applyBorder="1" applyAlignment="1">
      <alignment horizontal="center"/>
    </xf>
    <xf numFmtId="3" fontId="52" fillId="0" borderId="23" xfId="17" applyNumberFormat="1" applyFont="1" applyBorder="1" applyAlignment="1">
      <alignment horizontal="center" vertical="center" wrapText="1"/>
    </xf>
    <xf numFmtId="3" fontId="52" fillId="0" borderId="2" xfId="17" applyNumberFormat="1" applyFont="1" applyBorder="1" applyAlignment="1">
      <alignment horizontal="center" vertical="center" wrapText="1"/>
    </xf>
    <xf numFmtId="172" fontId="32" fillId="0" borderId="2" xfId="18" applyNumberFormat="1" applyFont="1" applyBorder="1" applyAlignment="1">
      <alignment horizontal="center" vertical="center"/>
    </xf>
    <xf numFmtId="178" fontId="71" fillId="0" borderId="2" xfId="17" applyFont="1" applyBorder="1" applyAlignment="1">
      <alignment horizontal="center" vertical="top" wrapText="1"/>
    </xf>
    <xf numFmtId="178" fontId="45" fillId="0" borderId="2" xfId="17" applyFont="1" applyBorder="1" applyAlignment="1">
      <alignment horizontal="right" vertical="center" wrapText="1" readingOrder="1"/>
    </xf>
    <xf numFmtId="3" fontId="52" fillId="0" borderId="24" xfId="17" applyNumberFormat="1" applyFont="1" applyBorder="1" applyAlignment="1">
      <alignment horizontal="center" vertical="center" wrapText="1"/>
    </xf>
    <xf numFmtId="178" fontId="46" fillId="0" borderId="2" xfId="17" applyFont="1" applyBorder="1" applyAlignment="1">
      <alignment horizontal="right" vertical="center" wrapText="1" readingOrder="1"/>
    </xf>
    <xf numFmtId="178" fontId="113" fillId="0" borderId="34" xfId="17" applyFont="1" applyBorder="1"/>
    <xf numFmtId="182" fontId="8" fillId="0" borderId="0" xfId="17" applyNumberFormat="1" applyFont="1"/>
    <xf numFmtId="178" fontId="113" fillId="0" borderId="0" xfId="17" applyFont="1"/>
    <xf numFmtId="3" fontId="52" fillId="0" borderId="25" xfId="17" applyNumberFormat="1" applyFont="1" applyBorder="1" applyAlignment="1">
      <alignment horizontal="center" vertical="center" wrapText="1"/>
    </xf>
    <xf numFmtId="3" fontId="52" fillId="0" borderId="26" xfId="17" applyNumberFormat="1" applyFont="1" applyBorder="1" applyAlignment="1">
      <alignment horizontal="center" vertical="center" wrapText="1"/>
    </xf>
    <xf numFmtId="172" fontId="32" fillId="0" borderId="26" xfId="18" applyNumberFormat="1" applyFont="1" applyBorder="1" applyAlignment="1">
      <alignment horizontal="center" vertical="center"/>
    </xf>
    <xf numFmtId="178" fontId="71" fillId="0" borderId="26" xfId="17" applyFont="1" applyBorder="1" applyAlignment="1">
      <alignment horizontal="center" vertical="top" wrapText="1"/>
    </xf>
    <xf numFmtId="178" fontId="46" fillId="0" borderId="26" xfId="17" applyFont="1" applyBorder="1" applyAlignment="1">
      <alignment horizontal="right" vertical="center" wrapText="1" readingOrder="1"/>
    </xf>
    <xf numFmtId="3" fontId="52" fillId="0" borderId="27" xfId="17" applyNumberFormat="1" applyFont="1" applyBorder="1" applyAlignment="1">
      <alignment horizontal="center" vertical="center" wrapText="1"/>
    </xf>
    <xf numFmtId="3" fontId="55" fillId="0" borderId="43" xfId="17" applyNumberFormat="1" applyFont="1" applyBorder="1" applyAlignment="1">
      <alignment horizontal="center" vertical="center" wrapText="1"/>
    </xf>
    <xf numFmtId="172" fontId="30" fillId="0" borderId="43" xfId="18" applyNumberFormat="1" applyFont="1" applyBorder="1" applyAlignment="1">
      <alignment horizontal="center" vertical="center"/>
    </xf>
    <xf numFmtId="178" fontId="44" fillId="0" borderId="43" xfId="17" applyFont="1" applyBorder="1" applyAlignment="1">
      <alignment horizontal="center" vertical="top" wrapText="1"/>
    </xf>
    <xf numFmtId="178" fontId="40" fillId="0" borderId="43" xfId="17" applyFont="1" applyBorder="1" applyAlignment="1">
      <alignment horizontal="right" vertical="center" wrapText="1" readingOrder="1"/>
    </xf>
    <xf numFmtId="3" fontId="52" fillId="0" borderId="20" xfId="17" applyNumberFormat="1" applyFont="1" applyBorder="1" applyAlignment="1">
      <alignment horizontal="center" vertical="center" wrapText="1"/>
    </xf>
    <xf numFmtId="3" fontId="52" fillId="0" borderId="21" xfId="17" applyNumberFormat="1" applyFont="1" applyBorder="1" applyAlignment="1">
      <alignment horizontal="center" vertical="center" wrapText="1"/>
    </xf>
    <xf numFmtId="172" fontId="32" fillId="0" borderId="21" xfId="18" applyNumberFormat="1" applyFont="1" applyBorder="1" applyAlignment="1">
      <alignment horizontal="center" vertical="center"/>
    </xf>
    <xf numFmtId="178" fontId="71" fillId="0" borderId="21" xfId="17" applyFont="1" applyBorder="1" applyAlignment="1">
      <alignment horizontal="center" vertical="top" wrapText="1"/>
    </xf>
    <xf numFmtId="178" fontId="46" fillId="0" borderId="21" xfId="17" applyFont="1" applyBorder="1" applyAlignment="1">
      <alignment horizontal="right" vertical="center" wrapText="1" readingOrder="1"/>
    </xf>
    <xf numFmtId="3" fontId="52" fillId="0" borderId="22" xfId="17" applyNumberFormat="1" applyFont="1" applyBorder="1" applyAlignment="1">
      <alignment horizontal="center" vertical="center" wrapText="1"/>
    </xf>
    <xf numFmtId="178" fontId="7" fillId="0" borderId="2" xfId="17" applyFont="1" applyBorder="1" applyAlignment="1">
      <alignment horizontal="center"/>
    </xf>
    <xf numFmtId="178" fontId="58" fillId="0" borderId="2" xfId="17" applyFont="1" applyBorder="1" applyAlignment="1">
      <alignment horizontal="right" vertical="center" wrapText="1"/>
    </xf>
    <xf numFmtId="178" fontId="58" fillId="0" borderId="26" xfId="17" applyFont="1" applyBorder="1" applyAlignment="1">
      <alignment horizontal="right" vertical="center" wrapText="1"/>
    </xf>
    <xf numFmtId="178" fontId="4" fillId="0" borderId="43" xfId="17" applyFont="1" applyBorder="1" applyAlignment="1">
      <alignment horizontal="right" vertical="center" wrapText="1"/>
    </xf>
    <xf numFmtId="178" fontId="58" fillId="0" borderId="21" xfId="17" applyFont="1" applyBorder="1" applyAlignment="1">
      <alignment horizontal="right" vertical="center" wrapText="1"/>
    </xf>
    <xf numFmtId="172" fontId="30" fillId="0" borderId="43" xfId="18" applyNumberFormat="1" applyFont="1" applyBorder="1" applyAlignment="1">
      <alignment vertical="center"/>
    </xf>
    <xf numFmtId="178" fontId="113" fillId="0" borderId="43" xfId="17" applyFont="1" applyBorder="1" applyAlignment="1">
      <alignment horizontal="center"/>
    </xf>
    <xf numFmtId="3" fontId="52" fillId="0" borderId="85" xfId="17" applyNumberFormat="1" applyFont="1" applyBorder="1" applyAlignment="1">
      <alignment horizontal="center" vertical="center" wrapText="1"/>
    </xf>
    <xf numFmtId="3" fontId="52" fillId="0" borderId="86" xfId="17" applyNumberFormat="1" applyFont="1" applyBorder="1" applyAlignment="1">
      <alignment horizontal="center" vertical="center" wrapText="1"/>
    </xf>
    <xf numFmtId="172" fontId="32" fillId="0" borderId="86" xfId="18" applyNumberFormat="1" applyFont="1" applyBorder="1" applyAlignment="1">
      <alignment vertical="center"/>
    </xf>
    <xf numFmtId="172" fontId="32" fillId="0" borderId="86" xfId="18" applyNumberFormat="1" applyFont="1" applyBorder="1" applyAlignment="1">
      <alignment horizontal="right" vertical="center"/>
    </xf>
    <xf numFmtId="3" fontId="52" fillId="0" borderId="87" xfId="17" applyNumberFormat="1" applyFont="1" applyBorder="1" applyAlignment="1">
      <alignment horizontal="center" vertical="center" wrapText="1"/>
    </xf>
    <xf numFmtId="3" fontId="55" fillId="0" borderId="64" xfId="17" applyNumberFormat="1" applyFont="1" applyBorder="1" applyAlignment="1">
      <alignment horizontal="center" vertical="center" wrapText="1"/>
    </xf>
    <xf numFmtId="172" fontId="30" fillId="0" borderId="64" xfId="18" applyNumberFormat="1" applyFont="1" applyBorder="1" applyAlignment="1">
      <alignment vertical="center"/>
    </xf>
    <xf numFmtId="178" fontId="113" fillId="0" borderId="64" xfId="17" applyFont="1" applyBorder="1"/>
    <xf numFmtId="172" fontId="30" fillId="0" borderId="64" xfId="18" applyNumberFormat="1" applyFont="1" applyBorder="1" applyAlignment="1">
      <alignment horizontal="right" vertical="center"/>
    </xf>
    <xf numFmtId="172" fontId="30" fillId="0" borderId="2" xfId="18" applyNumberFormat="1" applyFont="1" applyBorder="1" applyAlignment="1">
      <alignment vertical="center"/>
    </xf>
    <xf numFmtId="178" fontId="113" fillId="0" borderId="2" xfId="17" applyFont="1" applyBorder="1"/>
    <xf numFmtId="178" fontId="4" fillId="0" borderId="2" xfId="17" applyFont="1" applyBorder="1" applyAlignment="1">
      <alignment horizontal="right" vertical="center" wrapText="1"/>
    </xf>
    <xf numFmtId="3" fontId="55" fillId="0" borderId="19" xfId="17" applyNumberFormat="1" applyFont="1" applyBorder="1" applyAlignment="1">
      <alignment horizontal="center" vertical="center" wrapText="1"/>
    </xf>
    <xf numFmtId="172" fontId="30" fillId="0" borderId="19" xfId="18" applyNumberFormat="1" applyFont="1" applyBorder="1" applyAlignment="1">
      <alignment vertical="center"/>
    </xf>
    <xf numFmtId="178" fontId="113" fillId="0" borderId="19" xfId="17" applyFont="1" applyBorder="1"/>
    <xf numFmtId="178" fontId="4" fillId="0" borderId="19" xfId="17" applyFont="1" applyBorder="1" applyAlignment="1">
      <alignment horizontal="right" vertical="center" wrapText="1"/>
    </xf>
    <xf numFmtId="172" fontId="32" fillId="0" borderId="21" xfId="18" applyNumberFormat="1" applyFont="1" applyBorder="1" applyAlignment="1">
      <alignment vertical="center"/>
    </xf>
    <xf numFmtId="178" fontId="7" fillId="0" borderId="21" xfId="17" applyFont="1" applyBorder="1" applyAlignment="1">
      <alignment horizontal="center"/>
    </xf>
    <xf numFmtId="172" fontId="32" fillId="0" borderId="21" xfId="18" applyNumberFormat="1" applyFont="1" applyBorder="1" applyAlignment="1">
      <alignment horizontal="right" vertical="center"/>
    </xf>
    <xf numFmtId="172" fontId="32" fillId="0" borderId="2" xfId="18" applyNumberFormat="1" applyFont="1" applyBorder="1" applyAlignment="1">
      <alignment horizontal="right" vertical="center"/>
    </xf>
    <xf numFmtId="172" fontId="32" fillId="0" borderId="26" xfId="18" applyNumberFormat="1" applyFont="1" applyBorder="1" applyAlignment="1">
      <alignment vertical="center"/>
    </xf>
    <xf numFmtId="178" fontId="7" fillId="0" borderId="26" xfId="17" applyFont="1" applyBorder="1" applyAlignment="1">
      <alignment horizontal="center"/>
    </xf>
    <xf numFmtId="172" fontId="32" fillId="0" borderId="26" xfId="18" applyNumberFormat="1" applyFont="1" applyBorder="1" applyAlignment="1">
      <alignment horizontal="right" vertical="center"/>
    </xf>
    <xf numFmtId="178" fontId="113" fillId="0" borderId="64" xfId="17" applyFont="1" applyBorder="1" applyAlignment="1">
      <alignment horizontal="center"/>
    </xf>
    <xf numFmtId="178" fontId="4" fillId="0" borderId="64" xfId="17" applyFont="1" applyBorder="1" applyAlignment="1">
      <alignment horizontal="right" vertical="center" wrapText="1"/>
    </xf>
    <xf numFmtId="178" fontId="113" fillId="0" borderId="2" xfId="17" applyFont="1" applyBorder="1" applyAlignment="1">
      <alignment horizontal="center"/>
    </xf>
    <xf numFmtId="178" fontId="113" fillId="0" borderId="19" xfId="17" applyFont="1" applyBorder="1" applyAlignment="1">
      <alignment horizontal="center"/>
    </xf>
    <xf numFmtId="178" fontId="7" fillId="0" borderId="86" xfId="17" applyFont="1" applyBorder="1" applyAlignment="1">
      <alignment horizontal="center"/>
    </xf>
    <xf numFmtId="178" fontId="113" fillId="0" borderId="2" xfId="14" applyFont="1" applyBorder="1" applyAlignment="1">
      <alignment horizontal="center"/>
    </xf>
    <xf numFmtId="178" fontId="4" fillId="0" borderId="2" xfId="14" applyFont="1" applyBorder="1" applyAlignment="1">
      <alignment horizontal="right" vertical="center" wrapText="1"/>
    </xf>
    <xf numFmtId="178" fontId="113" fillId="0" borderId="34" xfId="14" applyFont="1" applyBorder="1"/>
    <xf numFmtId="178" fontId="113" fillId="0" borderId="0" xfId="14" applyFont="1"/>
    <xf numFmtId="178" fontId="4" fillId="0" borderId="19" xfId="14" applyFont="1" applyBorder="1" applyAlignment="1">
      <alignment horizontal="right" vertical="center" wrapText="1"/>
    </xf>
    <xf numFmtId="178" fontId="58" fillId="0" borderId="21" xfId="14" applyFont="1" applyBorder="1" applyAlignment="1">
      <alignment horizontal="right" vertical="center" wrapText="1"/>
    </xf>
    <xf numFmtId="178" fontId="58" fillId="0" borderId="2" xfId="14" applyFont="1" applyBorder="1" applyAlignment="1">
      <alignment horizontal="right" vertical="center" wrapText="1"/>
    </xf>
    <xf numFmtId="178" fontId="58" fillId="0" borderId="2" xfId="14" applyFont="1" applyBorder="1" applyAlignment="1">
      <alignment horizontal="right" vertical="center" wrapText="1" readingOrder="2"/>
    </xf>
    <xf numFmtId="178" fontId="58" fillId="0" borderId="26" xfId="14" applyFont="1" applyBorder="1" applyAlignment="1">
      <alignment horizontal="right" vertical="center" wrapText="1" readingOrder="2"/>
    </xf>
    <xf numFmtId="178" fontId="72" fillId="0" borderId="21" xfId="17" applyFont="1" applyBorder="1" applyAlignment="1">
      <alignment horizontal="right" vertical="center" wrapText="1"/>
    </xf>
    <xf numFmtId="178" fontId="72" fillId="0" borderId="2" xfId="17" applyFont="1" applyBorder="1" applyAlignment="1">
      <alignment horizontal="right" vertical="center" wrapText="1"/>
    </xf>
    <xf numFmtId="178" fontId="72" fillId="0" borderId="26" xfId="17" applyFont="1" applyBorder="1" applyAlignment="1">
      <alignment horizontal="right" vertical="center" wrapText="1"/>
    </xf>
    <xf numFmtId="178" fontId="7" fillId="0" borderId="26" xfId="17" applyFont="1" applyBorder="1"/>
    <xf numFmtId="178" fontId="113" fillId="0" borderId="72" xfId="17" applyFont="1" applyBorder="1"/>
    <xf numFmtId="178" fontId="12" fillId="0" borderId="0" xfId="17" applyAlignment="1">
      <alignment horizontal="right" vertical="center"/>
    </xf>
    <xf numFmtId="178" fontId="12" fillId="0" borderId="0" xfId="17" applyAlignment="1">
      <alignment horizontal="center" vertical="center"/>
    </xf>
    <xf numFmtId="3" fontId="52" fillId="0" borderId="23" xfId="14" applyNumberFormat="1" applyFont="1" applyBorder="1" applyAlignment="1">
      <alignment horizontal="center" vertical="center" wrapText="1"/>
    </xf>
    <xf numFmtId="3" fontId="52" fillId="0" borderId="2" xfId="14" applyNumberFormat="1" applyFont="1" applyBorder="1" applyAlignment="1">
      <alignment horizontal="center" vertical="center" wrapText="1"/>
    </xf>
    <xf numFmtId="178" fontId="3" fillId="0" borderId="2" xfId="14" applyFont="1" applyBorder="1" applyAlignment="1">
      <alignment horizontal="center" vertical="center"/>
    </xf>
    <xf numFmtId="178" fontId="3" fillId="0" borderId="2" xfId="14" applyFont="1" applyBorder="1" applyAlignment="1">
      <alignment horizontal="right" vertical="center"/>
    </xf>
    <xf numFmtId="3" fontId="52" fillId="0" borderId="24" xfId="14" applyNumberFormat="1" applyFont="1" applyBorder="1" applyAlignment="1">
      <alignment horizontal="center" vertical="center" wrapText="1"/>
    </xf>
    <xf numFmtId="178" fontId="3" fillId="0" borderId="2" xfId="14" applyFont="1" applyBorder="1" applyAlignment="1">
      <alignment horizontal="right" vertical="center" wrapText="1"/>
    </xf>
    <xf numFmtId="3" fontId="52" fillId="0" borderId="25" xfId="14" applyNumberFormat="1" applyFont="1" applyBorder="1" applyAlignment="1">
      <alignment horizontal="center" vertical="center" wrapText="1"/>
    </xf>
    <xf numFmtId="3" fontId="52" fillId="0" borderId="26" xfId="14" applyNumberFormat="1" applyFont="1" applyBorder="1" applyAlignment="1">
      <alignment horizontal="center" vertical="center" wrapText="1"/>
    </xf>
    <xf numFmtId="178" fontId="3" fillId="0" borderId="26" xfId="14" applyFont="1" applyBorder="1" applyAlignment="1">
      <alignment horizontal="center" vertical="center"/>
    </xf>
    <xf numFmtId="178" fontId="3" fillId="0" borderId="26" xfId="14" applyFont="1" applyBorder="1" applyAlignment="1">
      <alignment horizontal="right" vertical="center"/>
    </xf>
    <xf numFmtId="178" fontId="3" fillId="0" borderId="27" xfId="14" applyFont="1" applyBorder="1" applyAlignment="1">
      <alignment horizontal="center"/>
    </xf>
    <xf numFmtId="178" fontId="104" fillId="0" borderId="28" xfId="10" applyFont="1" applyBorder="1" applyAlignment="1">
      <alignment vertical="center"/>
    </xf>
    <xf numFmtId="178" fontId="104" fillId="0" borderId="29" xfId="10" applyFont="1" applyBorder="1" applyAlignment="1">
      <alignment vertical="center"/>
    </xf>
    <xf numFmtId="178" fontId="104" fillId="0" borderId="32" xfId="10" applyFont="1" applyBorder="1" applyAlignment="1">
      <alignment vertical="center"/>
    </xf>
    <xf numFmtId="164" fontId="52" fillId="0" borderId="20" xfId="17" applyNumberFormat="1" applyFont="1" applyBorder="1" applyAlignment="1">
      <alignment horizontal="center" vertical="center" wrapText="1"/>
    </xf>
    <xf numFmtId="178" fontId="85" fillId="0" borderId="36" xfId="10" applyFont="1" applyBorder="1"/>
    <xf numFmtId="179" fontId="55" fillId="0" borderId="23" xfId="17" applyNumberFormat="1" applyFont="1" applyBorder="1" applyAlignment="1">
      <alignment horizontal="right" vertical="center" wrapText="1"/>
    </xf>
    <xf numFmtId="178" fontId="18" fillId="0" borderId="36" xfId="10" applyBorder="1"/>
    <xf numFmtId="178" fontId="67" fillId="0" borderId="37" xfId="13" applyFont="1" applyBorder="1" applyAlignment="1">
      <alignment vertical="center" wrapText="1"/>
    </xf>
    <xf numFmtId="178" fontId="18" fillId="0" borderId="41" xfId="10" applyBorder="1"/>
    <xf numFmtId="178" fontId="104" fillId="0" borderId="33" xfId="10" applyFont="1" applyBorder="1" applyAlignment="1">
      <alignment vertical="center"/>
    </xf>
    <xf numFmtId="178" fontId="104" fillId="0" borderId="36" xfId="10" applyFont="1" applyBorder="1" applyAlignment="1">
      <alignment vertical="center"/>
    </xf>
    <xf numFmtId="178" fontId="55" fillId="0" borderId="86" xfId="17" applyFont="1" applyBorder="1" applyAlignment="1">
      <alignment vertical="center" wrapText="1"/>
    </xf>
    <xf numFmtId="0" fontId="30" fillId="0" borderId="86" xfId="13" applyNumberFormat="1" applyFont="1" applyBorder="1"/>
    <xf numFmtId="0" fontId="56" fillId="0" borderId="24" xfId="17" applyNumberFormat="1" applyFont="1" applyBorder="1" applyAlignment="1">
      <alignment horizontal="center" vertical="center" wrapText="1"/>
    </xf>
    <xf numFmtId="0" fontId="56" fillId="0" borderId="69" xfId="17" applyNumberFormat="1" applyFont="1" applyBorder="1" applyAlignment="1">
      <alignment horizontal="center" vertical="center" wrapText="1"/>
    </xf>
    <xf numFmtId="0" fontId="56" fillId="0" borderId="87" xfId="17" applyNumberFormat="1" applyFont="1" applyBorder="1" applyAlignment="1">
      <alignment horizontal="center" vertical="center" wrapText="1"/>
    </xf>
    <xf numFmtId="178" fontId="18" fillId="0" borderId="0" xfId="13"/>
    <xf numFmtId="3" fontId="56" fillId="0" borderId="0" xfId="17" applyNumberFormat="1" applyFont="1" applyAlignment="1">
      <alignment horizontal="center" vertical="center" wrapText="1"/>
    </xf>
    <xf numFmtId="178" fontId="56" fillId="0" borderId="0" xfId="17" applyFont="1" applyAlignment="1">
      <alignment horizontal="center" vertical="center" wrapText="1"/>
    </xf>
    <xf numFmtId="179" fontId="56" fillId="0" borderId="26" xfId="17" applyNumberFormat="1" applyFont="1" applyBorder="1" applyAlignment="1">
      <alignment horizontal="center" vertical="center"/>
    </xf>
    <xf numFmtId="179" fontId="56" fillId="0" borderId="27" xfId="17" applyNumberFormat="1" applyFont="1" applyBorder="1" applyAlignment="1">
      <alignment horizontal="center" vertical="center"/>
    </xf>
    <xf numFmtId="3" fontId="56" fillId="0" borderId="2" xfId="17" applyNumberFormat="1" applyFont="1" applyBorder="1" applyAlignment="1">
      <alignment horizontal="center"/>
    </xf>
    <xf numFmtId="3" fontId="56" fillId="0" borderId="24" xfId="17" applyNumberFormat="1" applyFont="1" applyBorder="1" applyAlignment="1">
      <alignment horizontal="center"/>
    </xf>
    <xf numFmtId="3" fontId="56" fillId="0" borderId="26" xfId="17" applyNumberFormat="1" applyFont="1" applyBorder="1" applyAlignment="1">
      <alignment horizontal="center"/>
    </xf>
    <xf numFmtId="3" fontId="56" fillId="0" borderId="27" xfId="17" applyNumberFormat="1" applyFont="1" applyBorder="1" applyAlignment="1">
      <alignment horizontal="center"/>
    </xf>
    <xf numFmtId="3" fontId="56" fillId="0" borderId="86" xfId="17" applyNumberFormat="1" applyFont="1" applyBorder="1" applyAlignment="1">
      <alignment horizontal="center"/>
    </xf>
    <xf numFmtId="3" fontId="56" fillId="0" borderId="87" xfId="17" applyNumberFormat="1" applyFont="1" applyBorder="1" applyAlignment="1">
      <alignment horizontal="center"/>
    </xf>
    <xf numFmtId="178" fontId="67" fillId="0" borderId="14" xfId="13" applyFont="1" applyBorder="1" applyAlignment="1">
      <alignment vertical="center"/>
    </xf>
    <xf numFmtId="1" fontId="18" fillId="0" borderId="2" xfId="10" applyNumberFormat="1" applyBorder="1" applyAlignment="1">
      <alignment horizontal="center" vertical="center"/>
    </xf>
    <xf numFmtId="178" fontId="67" fillId="0" borderId="9" xfId="13" applyFont="1" applyBorder="1" applyAlignment="1">
      <alignment vertical="center"/>
    </xf>
    <xf numFmtId="179" fontId="18" fillId="0" borderId="2" xfId="16" applyNumberFormat="1" applyBorder="1" applyAlignment="1">
      <alignment horizontal="center" vertical="center"/>
    </xf>
    <xf numFmtId="179" fontId="18" fillId="0" borderId="24" xfId="16" applyNumberFormat="1" applyBorder="1" applyAlignment="1">
      <alignment horizontal="center" vertical="center"/>
    </xf>
    <xf numFmtId="178" fontId="67" fillId="0" borderId="2" xfId="13" applyFont="1" applyBorder="1" applyAlignment="1">
      <alignment vertical="center"/>
    </xf>
    <xf numFmtId="178" fontId="67" fillId="0" borderId="24" xfId="13" applyFont="1" applyBorder="1" applyAlignment="1">
      <alignment vertical="center"/>
    </xf>
    <xf numFmtId="1" fontId="67" fillId="0" borderId="2" xfId="13" applyNumberFormat="1" applyFont="1" applyBorder="1" applyAlignment="1">
      <alignment horizontal="center"/>
    </xf>
    <xf numFmtId="1" fontId="67" fillId="0" borderId="24" xfId="13" applyNumberFormat="1" applyFont="1" applyBorder="1" applyAlignment="1">
      <alignment horizontal="center"/>
    </xf>
    <xf numFmtId="178" fontId="67" fillId="0" borderId="70" xfId="13" applyFont="1" applyBorder="1" applyAlignment="1">
      <alignment vertical="center"/>
    </xf>
    <xf numFmtId="3" fontId="18" fillId="0" borderId="27" xfId="10" applyNumberFormat="1" applyBorder="1" applyAlignment="1">
      <alignment horizontal="center" vertical="center"/>
    </xf>
    <xf numFmtId="3" fontId="85" fillId="0" borderId="22" xfId="17" applyNumberFormat="1" applyFont="1" applyBorder="1" applyAlignment="1">
      <alignment horizontal="center" vertical="center" wrapText="1"/>
    </xf>
    <xf numFmtId="3" fontId="85" fillId="0" borderId="48" xfId="17" applyNumberFormat="1" applyFont="1" applyBorder="1" applyAlignment="1">
      <alignment horizontal="center" vertical="center" wrapText="1"/>
    </xf>
    <xf numFmtId="3" fontId="85" fillId="0" borderId="21" xfId="17" applyNumberFormat="1" applyFont="1" applyBorder="1" applyAlignment="1">
      <alignment horizontal="center" vertical="center" wrapText="1"/>
    </xf>
    <xf numFmtId="3" fontId="85" fillId="0" borderId="47" xfId="17" applyNumberFormat="1" applyFont="1" applyBorder="1" applyAlignment="1">
      <alignment horizontal="center" vertical="center" wrapText="1"/>
    </xf>
    <xf numFmtId="3" fontId="85" fillId="0" borderId="63" xfId="17" applyNumberFormat="1" applyFont="1" applyBorder="1" applyAlignment="1">
      <alignment horizontal="center" vertical="center" wrapText="1"/>
    </xf>
    <xf numFmtId="3" fontId="85" fillId="0" borderId="64" xfId="17" applyNumberFormat="1" applyFont="1" applyBorder="1" applyAlignment="1">
      <alignment horizontal="center" vertical="center" wrapText="1"/>
    </xf>
    <xf numFmtId="3" fontId="85" fillId="0" borderId="65" xfId="17" applyNumberFormat="1" applyFont="1" applyBorder="1" applyAlignment="1">
      <alignment horizontal="center" vertical="center" wrapText="1"/>
    </xf>
    <xf numFmtId="3" fontId="85" fillId="0" borderId="24" xfId="17" applyNumberFormat="1" applyFont="1" applyBorder="1" applyAlignment="1">
      <alignment horizontal="center" vertical="center" wrapText="1"/>
    </xf>
    <xf numFmtId="3" fontId="85" fillId="0" borderId="10" xfId="17" applyNumberFormat="1" applyFont="1" applyBorder="1" applyAlignment="1">
      <alignment horizontal="center" vertical="center" wrapText="1"/>
    </xf>
    <xf numFmtId="3" fontId="85" fillId="0" borderId="2" xfId="17" applyNumberFormat="1" applyFont="1" applyBorder="1" applyAlignment="1">
      <alignment horizontal="center" vertical="center" wrapText="1"/>
    </xf>
    <xf numFmtId="3" fontId="85" fillId="0" borderId="8" xfId="17" applyNumberFormat="1" applyFont="1" applyBorder="1" applyAlignment="1">
      <alignment horizontal="center" vertical="center" wrapText="1"/>
    </xf>
    <xf numFmtId="3" fontId="85" fillId="0" borderId="23" xfId="17" applyNumberFormat="1" applyFont="1" applyBorder="1" applyAlignment="1">
      <alignment horizontal="center" vertical="center" wrapText="1"/>
    </xf>
    <xf numFmtId="3" fontId="85" fillId="0" borderId="27" xfId="17" applyNumberFormat="1" applyFont="1" applyBorder="1" applyAlignment="1">
      <alignment horizontal="center" vertical="center" wrapText="1"/>
    </xf>
    <xf numFmtId="3" fontId="85" fillId="0" borderId="57" xfId="17" applyNumberFormat="1" applyFont="1" applyBorder="1" applyAlignment="1">
      <alignment horizontal="center" vertical="center" wrapText="1"/>
    </xf>
    <xf numFmtId="3" fontId="85" fillId="0" borderId="26" xfId="17" applyNumberFormat="1" applyFont="1" applyBorder="1" applyAlignment="1">
      <alignment horizontal="center" vertical="center" wrapText="1"/>
    </xf>
    <xf numFmtId="3" fontId="85" fillId="0" borderId="56" xfId="17" applyNumberFormat="1" applyFont="1" applyBorder="1" applyAlignment="1">
      <alignment horizontal="center" vertical="center" wrapText="1"/>
    </xf>
    <xf numFmtId="3" fontId="85" fillId="0" borderId="25" xfId="17" applyNumberFormat="1" applyFont="1" applyBorder="1" applyAlignment="1">
      <alignment horizontal="center" vertical="center" wrapText="1"/>
    </xf>
    <xf numFmtId="2" fontId="18" fillId="0" borderId="0" xfId="10" applyNumberFormat="1"/>
    <xf numFmtId="2" fontId="119" fillId="0" borderId="0" xfId="10" applyNumberFormat="1" applyFont="1"/>
    <xf numFmtId="3" fontId="85" fillId="0" borderId="42" xfId="17" applyNumberFormat="1" applyFont="1" applyBorder="1" applyAlignment="1">
      <alignment horizontal="center" vertical="center" wrapText="1"/>
    </xf>
    <xf numFmtId="2" fontId="18" fillId="0" borderId="0" xfId="10" applyNumberFormat="1" applyAlignment="1">
      <alignment horizontal="center" vertical="center"/>
    </xf>
    <xf numFmtId="178" fontId="18" fillId="0" borderId="0" xfId="10" applyAlignment="1">
      <alignment vertical="center"/>
    </xf>
    <xf numFmtId="1" fontId="18" fillId="0" borderId="36" xfId="10" applyNumberFormat="1" applyBorder="1" applyAlignment="1">
      <alignment vertical="center"/>
    </xf>
    <xf numFmtId="179" fontId="85" fillId="0" borderId="20" xfId="14" applyNumberFormat="1" applyFont="1" applyBorder="1" applyAlignment="1">
      <alignment horizontal="center" vertical="center" wrapText="1"/>
    </xf>
    <xf numFmtId="179" fontId="85" fillId="0" borderId="23" xfId="14" applyNumberFormat="1" applyFont="1" applyBorder="1" applyAlignment="1">
      <alignment horizontal="center" vertical="center" wrapText="1"/>
    </xf>
    <xf numFmtId="179" fontId="85" fillId="0" borderId="25" xfId="14" applyNumberFormat="1" applyFont="1" applyBorder="1" applyAlignment="1">
      <alignment horizontal="center" vertical="center" wrapText="1"/>
    </xf>
    <xf numFmtId="178" fontId="18" fillId="0" borderId="36" xfId="16" applyBorder="1" applyAlignment="1">
      <alignment vertical="center"/>
    </xf>
    <xf numFmtId="186" fontId="18" fillId="0" borderId="36" xfId="10" applyNumberFormat="1" applyBorder="1" applyAlignment="1">
      <alignment vertical="center"/>
    </xf>
    <xf numFmtId="178" fontId="18" fillId="0" borderId="8" xfId="10" applyBorder="1" applyAlignment="1">
      <alignment vertical="center"/>
    </xf>
    <xf numFmtId="178" fontId="18" fillId="0" borderId="9" xfId="10" applyBorder="1" applyAlignment="1">
      <alignment vertical="center"/>
    </xf>
    <xf numFmtId="178" fontId="18" fillId="0" borderId="10" xfId="10" applyBorder="1" applyAlignment="1">
      <alignment vertical="center"/>
    </xf>
    <xf numFmtId="178" fontId="85" fillId="0" borderId="2" xfId="14" applyFont="1" applyBorder="1" applyAlignment="1">
      <alignment horizontal="center" vertical="center" wrapText="1"/>
    </xf>
    <xf numFmtId="1" fontId="67" fillId="0" borderId="36" xfId="13" applyNumberFormat="1" applyFont="1" applyBorder="1" applyAlignment="1">
      <alignment horizontal="center" vertical="center"/>
    </xf>
    <xf numFmtId="1" fontId="32" fillId="0" borderId="37" xfId="13" applyNumberFormat="1" applyFont="1" applyBorder="1" applyAlignment="1">
      <alignment vertical="center"/>
    </xf>
    <xf numFmtId="178" fontId="67" fillId="0" borderId="38" xfId="13" applyFont="1" applyBorder="1" applyAlignment="1">
      <alignment vertical="center"/>
    </xf>
    <xf numFmtId="178" fontId="18" fillId="0" borderId="38" xfId="13" applyBorder="1" applyAlignment="1">
      <alignment vertical="center"/>
    </xf>
    <xf numFmtId="1" fontId="67" fillId="0" borderId="41" xfId="13" applyNumberFormat="1" applyFont="1" applyBorder="1" applyAlignment="1">
      <alignment horizontal="center" vertical="center"/>
    </xf>
    <xf numFmtId="178" fontId="67" fillId="0" borderId="37" xfId="16" applyFont="1" applyBorder="1" applyAlignment="1">
      <alignment vertical="center"/>
    </xf>
    <xf numFmtId="179" fontId="18" fillId="0" borderId="2" xfId="13" applyNumberFormat="1" applyBorder="1"/>
    <xf numFmtId="179" fontId="18" fillId="0" borderId="24" xfId="13" applyNumberFormat="1" applyBorder="1"/>
    <xf numFmtId="179" fontId="18" fillId="0" borderId="2" xfId="13" applyNumberFormat="1" applyBorder="1" applyAlignment="1">
      <alignment horizontal="center" vertical="center"/>
    </xf>
    <xf numFmtId="179" fontId="18" fillId="0" borderId="24" xfId="13" applyNumberFormat="1" applyBorder="1" applyAlignment="1">
      <alignment horizontal="center" vertical="center"/>
    </xf>
    <xf numFmtId="179" fontId="18" fillId="0" borderId="2" xfId="10" applyNumberFormat="1" applyBorder="1"/>
    <xf numFmtId="179" fontId="18" fillId="0" borderId="24" xfId="10" applyNumberFormat="1" applyBorder="1"/>
    <xf numFmtId="1" fontId="67" fillId="0" borderId="38" xfId="13" applyNumberFormat="1" applyFont="1" applyBorder="1" applyAlignment="1">
      <alignment wrapText="1"/>
    </xf>
    <xf numFmtId="1" fontId="105" fillId="0" borderId="41" xfId="10" applyNumberFormat="1" applyFont="1" applyBorder="1" applyAlignment="1">
      <alignment vertical="center" wrapText="1"/>
    </xf>
    <xf numFmtId="179" fontId="104" fillId="0" borderId="33" xfId="10" applyNumberFormat="1" applyFont="1" applyBorder="1" applyAlignment="1">
      <alignment vertical="center"/>
    </xf>
    <xf numFmtId="179" fontId="104" fillId="0" borderId="36" xfId="10" applyNumberFormat="1" applyFont="1" applyBorder="1" applyAlignment="1">
      <alignment vertical="center"/>
    </xf>
    <xf numFmtId="179" fontId="67" fillId="0" borderId="33" xfId="13" applyNumberFormat="1" applyFont="1" applyBorder="1" applyAlignment="1">
      <alignment vertical="center"/>
    </xf>
    <xf numFmtId="179" fontId="105" fillId="0" borderId="36" xfId="10" applyNumberFormat="1" applyFont="1" applyBorder="1" applyAlignment="1">
      <alignment vertical="center" wrapText="1"/>
    </xf>
    <xf numFmtId="179" fontId="67" fillId="0" borderId="33" xfId="13" applyNumberFormat="1" applyFont="1" applyBorder="1" applyAlignment="1">
      <alignment vertical="center" wrapText="1"/>
    </xf>
    <xf numFmtId="179" fontId="32" fillId="0" borderId="33" xfId="13" applyNumberFormat="1" applyFont="1" applyBorder="1" applyAlignment="1">
      <alignment vertical="center"/>
    </xf>
    <xf numFmtId="179" fontId="67" fillId="0" borderId="33" xfId="16" applyNumberFormat="1" applyFont="1" applyBorder="1" applyAlignment="1">
      <alignment vertical="center"/>
    </xf>
    <xf numFmtId="179" fontId="67" fillId="0" borderId="33" xfId="10" applyNumberFormat="1" applyFont="1" applyBorder="1" applyAlignment="1">
      <alignment vertical="center" wrapText="1"/>
    </xf>
    <xf numFmtId="179" fontId="18" fillId="0" borderId="36" xfId="10" applyNumberFormat="1" applyBorder="1"/>
    <xf numFmtId="179" fontId="105" fillId="0" borderId="37" xfId="10" applyNumberFormat="1" applyFont="1" applyBorder="1" applyAlignment="1">
      <alignment vertical="center" wrapText="1"/>
    </xf>
    <xf numFmtId="178" fontId="18" fillId="0" borderId="24" xfId="13" applyBorder="1"/>
    <xf numFmtId="0" fontId="18" fillId="0" borderId="24" xfId="10" applyNumberFormat="1" applyBorder="1" applyAlignment="1">
      <alignment horizontal="center" vertical="center" wrapText="1"/>
    </xf>
    <xf numFmtId="179" fontId="18" fillId="0" borderId="21" xfId="13" applyNumberFormat="1" applyBorder="1" applyAlignment="1">
      <alignment horizontal="center" vertical="center"/>
    </xf>
    <xf numFmtId="179" fontId="67" fillId="0" borderId="38" xfId="13" applyNumberFormat="1" applyFont="1" applyBorder="1" applyAlignment="1">
      <alignment wrapText="1"/>
    </xf>
    <xf numFmtId="179" fontId="105" fillId="0" borderId="41" xfId="10" applyNumberFormat="1" applyFont="1" applyBorder="1" applyAlignment="1">
      <alignment vertical="center" wrapText="1"/>
    </xf>
    <xf numFmtId="190" fontId="121" fillId="0" borderId="28" xfId="20" applyBorder="1"/>
    <xf numFmtId="190" fontId="121" fillId="0" borderId="29" xfId="20" applyBorder="1"/>
    <xf numFmtId="190" fontId="121" fillId="0" borderId="32" xfId="20" applyBorder="1"/>
    <xf numFmtId="190" fontId="121" fillId="0" borderId="0" xfId="20"/>
    <xf numFmtId="0" fontId="12" fillId="0" borderId="0" xfId="21"/>
    <xf numFmtId="190" fontId="121" fillId="0" borderId="33" xfId="20" applyBorder="1"/>
    <xf numFmtId="190" fontId="121" fillId="0" borderId="36" xfId="20" applyBorder="1"/>
    <xf numFmtId="0" fontId="52" fillId="10" borderId="26" xfId="21" applyFont="1" applyFill="1" applyBorder="1" applyAlignment="1">
      <alignment horizontal="center" vertical="center" wrapText="1" readingOrder="2"/>
    </xf>
    <xf numFmtId="179" fontId="34" fillId="0" borderId="25" xfId="21" applyNumberFormat="1" applyFont="1" applyBorder="1" applyAlignment="1">
      <alignment horizontal="center" vertical="center" wrapText="1" readingOrder="1"/>
    </xf>
    <xf numFmtId="179" fontId="12" fillId="0" borderId="26" xfId="21" applyNumberFormat="1" applyBorder="1" applyAlignment="1">
      <alignment horizontal="center" vertical="center"/>
    </xf>
    <xf numFmtId="0" fontId="99" fillId="0" borderId="27" xfId="21" applyFont="1" applyBorder="1" applyAlignment="1">
      <alignment horizontal="right" vertical="center" wrapText="1" readingOrder="2"/>
    </xf>
    <xf numFmtId="190" fontId="104" fillId="0" borderId="29" xfId="20" applyFont="1" applyBorder="1" applyAlignment="1">
      <alignment horizontal="center" vertical="center"/>
    </xf>
    <xf numFmtId="190" fontId="121" fillId="0" borderId="96" xfId="20" applyBorder="1"/>
    <xf numFmtId="179" fontId="12" fillId="0" borderId="2" xfId="21" applyNumberFormat="1" applyBorder="1" applyAlignment="1">
      <alignment horizontal="center" vertical="center"/>
    </xf>
    <xf numFmtId="0" fontId="99" fillId="0" borderId="24" xfId="21" applyFont="1" applyBorder="1" applyAlignment="1">
      <alignment horizontal="right" vertical="center" wrapText="1" readingOrder="2"/>
    </xf>
    <xf numFmtId="190" fontId="121" fillId="0" borderId="97" xfId="20" applyBorder="1"/>
    <xf numFmtId="0" fontId="67" fillId="0" borderId="57" xfId="20" applyNumberFormat="1" applyFont="1" applyBorder="1" applyAlignment="1">
      <alignment horizontal="center" vertical="center" wrapText="1"/>
    </xf>
    <xf numFmtId="0" fontId="67" fillId="0" borderId="26" xfId="20" applyNumberFormat="1" applyFont="1" applyBorder="1" applyAlignment="1">
      <alignment horizontal="center" vertical="center" wrapText="1"/>
    </xf>
    <xf numFmtId="190" fontId="18" fillId="0" borderId="96" xfId="20" applyFont="1" applyBorder="1"/>
    <xf numFmtId="0" fontId="18" fillId="0" borderId="20" xfId="20" applyNumberFormat="1" applyFont="1" applyBorder="1" applyAlignment="1">
      <alignment horizontal="center" vertical="center" wrapText="1"/>
    </xf>
    <xf numFmtId="0" fontId="18" fillId="0" borderId="21" xfId="20" applyNumberFormat="1" applyFont="1" applyBorder="1" applyAlignment="1">
      <alignment horizontal="center" vertical="center" wrapText="1"/>
    </xf>
    <xf numFmtId="0" fontId="18" fillId="0" borderId="22" xfId="20" applyNumberFormat="1" applyFont="1" applyBorder="1" applyAlignment="1">
      <alignment horizontal="center" vertical="center" wrapText="1"/>
    </xf>
    <xf numFmtId="190" fontId="18" fillId="0" borderId="91" xfId="20" applyFont="1" applyBorder="1"/>
    <xf numFmtId="1" fontId="18" fillId="0" borderId="72" xfId="22" applyNumberFormat="1" applyBorder="1" applyAlignment="1">
      <alignment horizontal="center" vertical="center"/>
    </xf>
    <xf numFmtId="1" fontId="18" fillId="0" borderId="64" xfId="22" applyNumberFormat="1" applyBorder="1" applyAlignment="1">
      <alignment horizontal="center" vertical="center"/>
    </xf>
    <xf numFmtId="1" fontId="18" fillId="0" borderId="65" xfId="22" applyNumberFormat="1" applyBorder="1" applyAlignment="1">
      <alignment horizontal="center" vertical="center"/>
    </xf>
    <xf numFmtId="2" fontId="121" fillId="0" borderId="0" xfId="20" applyNumberFormat="1"/>
    <xf numFmtId="2" fontId="12" fillId="0" borderId="0" xfId="21" applyNumberFormat="1"/>
    <xf numFmtId="190" fontId="18" fillId="0" borderId="92" xfId="20" applyFont="1" applyBorder="1"/>
    <xf numFmtId="1" fontId="18" fillId="0" borderId="10" xfId="22" applyNumberFormat="1" applyBorder="1" applyAlignment="1">
      <alignment horizontal="center" vertical="center"/>
    </xf>
    <xf numFmtId="1" fontId="18" fillId="0" borderId="2" xfId="22" applyNumberFormat="1" applyBorder="1" applyAlignment="1">
      <alignment horizontal="center" vertical="center"/>
    </xf>
    <xf numFmtId="1" fontId="18" fillId="0" borderId="24" xfId="22" applyNumberFormat="1" applyBorder="1" applyAlignment="1">
      <alignment horizontal="center" vertical="center"/>
    </xf>
    <xf numFmtId="179" fontId="12" fillId="0" borderId="0" xfId="21" applyNumberFormat="1" applyAlignment="1">
      <alignment horizontal="center" vertical="center"/>
    </xf>
    <xf numFmtId="179" fontId="12" fillId="0" borderId="34" xfId="21" applyNumberFormat="1" applyBorder="1" applyAlignment="1">
      <alignment horizontal="center" vertical="center"/>
    </xf>
    <xf numFmtId="179" fontId="12" fillId="0" borderId="43" xfId="21" applyNumberFormat="1" applyBorder="1" applyAlignment="1">
      <alignment horizontal="center" vertical="center"/>
    </xf>
    <xf numFmtId="0" fontId="99" fillId="0" borderId="95" xfId="21" applyFont="1" applyBorder="1" applyAlignment="1">
      <alignment horizontal="right" vertical="center" wrapText="1" readingOrder="2"/>
    </xf>
    <xf numFmtId="10" fontId="122" fillId="0" borderId="0" xfId="21" applyNumberFormat="1" applyFont="1"/>
    <xf numFmtId="190" fontId="18" fillId="0" borderId="97" xfId="20" applyFont="1" applyBorder="1"/>
    <xf numFmtId="1" fontId="18" fillId="0" borderId="57" xfId="22" applyNumberFormat="1" applyBorder="1" applyAlignment="1">
      <alignment horizontal="center" vertical="center"/>
    </xf>
    <xf numFmtId="1" fontId="18" fillId="0" borderId="26" xfId="22" applyNumberFormat="1" applyBorder="1" applyAlignment="1">
      <alignment horizontal="center" vertical="center"/>
    </xf>
    <xf numFmtId="1" fontId="18" fillId="0" borderId="27" xfId="22" applyNumberFormat="1" applyBorder="1" applyAlignment="1">
      <alignment horizontal="center" vertical="center"/>
    </xf>
    <xf numFmtId="10" fontId="12" fillId="0" borderId="0" xfId="21" applyNumberFormat="1"/>
    <xf numFmtId="1" fontId="18" fillId="0" borderId="0" xfId="22" applyNumberFormat="1" applyAlignment="1">
      <alignment horizontal="center" vertical="center"/>
    </xf>
    <xf numFmtId="0" fontId="125" fillId="0" borderId="28" xfId="20" applyNumberFormat="1" applyFont="1" applyBorder="1" applyAlignment="1">
      <alignment horizontal="center" vertical="center"/>
    </xf>
    <xf numFmtId="0" fontId="18" fillId="0" borderId="32" xfId="20" applyNumberFormat="1" applyFont="1" applyBorder="1"/>
    <xf numFmtId="0" fontId="67" fillId="0" borderId="85" xfId="20" applyNumberFormat="1" applyFont="1" applyBorder="1" applyAlignment="1">
      <alignment horizontal="center" vertical="center"/>
    </xf>
    <xf numFmtId="190" fontId="67" fillId="0" borderId="86" xfId="20" applyFont="1" applyBorder="1" applyAlignment="1">
      <alignment horizontal="center" vertical="center"/>
    </xf>
    <xf numFmtId="0" fontId="67" fillId="0" borderId="86" xfId="20" applyNumberFormat="1" applyFont="1" applyBorder="1" applyAlignment="1">
      <alignment horizontal="center" vertical="center" wrapText="1"/>
    </xf>
    <xf numFmtId="0" fontId="67" fillId="0" borderId="87" xfId="20" applyNumberFormat="1" applyFont="1" applyBorder="1" applyAlignment="1">
      <alignment horizontal="center" vertical="center" wrapText="1"/>
    </xf>
    <xf numFmtId="0" fontId="36" fillId="0" borderId="20" xfId="20" applyNumberFormat="1" applyFont="1" applyBorder="1" applyAlignment="1">
      <alignment horizontal="center" vertical="center"/>
    </xf>
    <xf numFmtId="0" fontId="13" fillId="0" borderId="21" xfId="21" applyFont="1" applyBorder="1" applyAlignment="1">
      <alignment horizontal="left" vertical="center" wrapText="1"/>
    </xf>
    <xf numFmtId="0" fontId="18" fillId="0" borderId="21" xfId="20" applyNumberFormat="1" applyFont="1" applyBorder="1" applyAlignment="1">
      <alignment horizontal="center" vertical="center"/>
    </xf>
    <xf numFmtId="0" fontId="18" fillId="0" borderId="22" xfId="20" applyNumberFormat="1" applyFont="1" applyBorder="1" applyAlignment="1">
      <alignment horizontal="center" vertical="center"/>
    </xf>
    <xf numFmtId="0" fontId="36" fillId="0" borderId="23" xfId="20" applyNumberFormat="1" applyFont="1" applyBorder="1" applyAlignment="1">
      <alignment horizontal="left" vertical="center" indent="1"/>
    </xf>
    <xf numFmtId="0" fontId="13" fillId="0" borderId="2" xfId="21" applyFont="1" applyBorder="1" applyAlignment="1">
      <alignment horizontal="left" vertical="center" wrapText="1" indent="2"/>
    </xf>
    <xf numFmtId="0" fontId="18" fillId="0" borderId="2" xfId="20" applyNumberFormat="1" applyFont="1" applyBorder="1" applyAlignment="1">
      <alignment horizontal="center" vertical="center"/>
    </xf>
    <xf numFmtId="0" fontId="18" fillId="0" borderId="24" xfId="20" applyNumberFormat="1" applyFont="1" applyBorder="1" applyAlignment="1">
      <alignment horizontal="center" vertical="center"/>
    </xf>
    <xf numFmtId="0" fontId="36" fillId="0" borderId="23" xfId="20" quotePrefix="1" applyNumberFormat="1" applyFont="1" applyBorder="1" applyAlignment="1">
      <alignment horizontal="left" vertical="center" indent="1"/>
    </xf>
    <xf numFmtId="0" fontId="36" fillId="0" borderId="55" xfId="20" applyNumberFormat="1" applyFont="1" applyBorder="1" applyAlignment="1">
      <alignment horizontal="left" vertical="center" indent="1"/>
    </xf>
    <xf numFmtId="0" fontId="13" fillId="0" borderId="19" xfId="21" applyFont="1" applyBorder="1" applyAlignment="1">
      <alignment horizontal="left" vertical="center" wrapText="1" indent="2"/>
    </xf>
    <xf numFmtId="0" fontId="18" fillId="0" borderId="19" xfId="20" applyNumberFormat="1" applyFont="1" applyBorder="1" applyAlignment="1">
      <alignment horizontal="center" vertical="center"/>
    </xf>
    <xf numFmtId="0" fontId="36" fillId="0" borderId="85" xfId="20" applyNumberFormat="1" applyFont="1" applyBorder="1" applyAlignment="1">
      <alignment horizontal="center" vertical="center"/>
    </xf>
    <xf numFmtId="190" fontId="98" fillId="0" borderId="86" xfId="22" applyFont="1" applyBorder="1" applyAlignment="1">
      <alignment horizontal="left" vertical="center" wrapText="1"/>
    </xf>
    <xf numFmtId="0" fontId="18" fillId="0" borderId="86" xfId="20" applyNumberFormat="1" applyFont="1" applyBorder="1" applyAlignment="1">
      <alignment horizontal="center" vertical="center"/>
    </xf>
    <xf numFmtId="0" fontId="18" fillId="0" borderId="87" xfId="20" applyNumberFormat="1" applyFont="1" applyBorder="1" applyAlignment="1">
      <alignment horizontal="center" vertical="center"/>
    </xf>
    <xf numFmtId="0" fontId="125" fillId="0" borderId="60" xfId="20" applyNumberFormat="1" applyFont="1" applyBorder="1" applyAlignment="1">
      <alignment horizontal="center" vertical="center"/>
    </xf>
    <xf numFmtId="190" fontId="18" fillId="0" borderId="0" xfId="20" applyFont="1"/>
    <xf numFmtId="190" fontId="128" fillId="0" borderId="0" xfId="20" applyFont="1"/>
    <xf numFmtId="0" fontId="67" fillId="0" borderId="25" xfId="20" applyNumberFormat="1" applyFont="1" applyBorder="1" applyAlignment="1">
      <alignment horizontal="center" vertical="center" wrapText="1"/>
    </xf>
    <xf numFmtId="0" fontId="67" fillId="0" borderId="27" xfId="20" applyNumberFormat="1" applyFont="1" applyBorder="1" applyAlignment="1">
      <alignment horizontal="center" vertical="center" wrapText="1"/>
    </xf>
    <xf numFmtId="0" fontId="125" fillId="0" borderId="20" xfId="22" applyNumberFormat="1" applyFont="1" applyBorder="1" applyAlignment="1">
      <alignment horizontal="left" vertical="center"/>
    </xf>
    <xf numFmtId="190" fontId="43" fillId="0" borderId="22" xfId="23" applyFont="1" applyBorder="1" applyAlignment="1">
      <alignment horizontal="left" vertical="center" wrapText="1"/>
    </xf>
    <xf numFmtId="0" fontId="128" fillId="0" borderId="72" xfId="22" applyNumberFormat="1" applyFont="1" applyBorder="1" applyAlignment="1">
      <alignment horizontal="center" vertical="center"/>
    </xf>
    <xf numFmtId="0" fontId="128" fillId="0" borderId="65" xfId="22" applyNumberFormat="1" applyFont="1" applyBorder="1" applyAlignment="1">
      <alignment horizontal="center" vertical="center"/>
    </xf>
    <xf numFmtId="0" fontId="128" fillId="0" borderId="64" xfId="22" applyNumberFormat="1" applyFont="1" applyBorder="1" applyAlignment="1">
      <alignment horizontal="center" vertical="center"/>
    </xf>
    <xf numFmtId="0" fontId="128" fillId="0" borderId="91" xfId="22" applyNumberFormat="1" applyFont="1" applyBorder="1" applyAlignment="1">
      <alignment horizontal="center" vertical="center"/>
    </xf>
    <xf numFmtId="190" fontId="18" fillId="0" borderId="0" xfId="22"/>
    <xf numFmtId="0" fontId="125" fillId="0" borderId="23" xfId="22" applyNumberFormat="1" applyFont="1" applyBorder="1" applyAlignment="1">
      <alignment horizontal="center" vertical="center"/>
    </xf>
    <xf numFmtId="190" fontId="43" fillId="0" borderId="24" xfId="23" applyFont="1" applyBorder="1" applyAlignment="1">
      <alignment horizontal="left" vertical="center" wrapText="1" indent="2"/>
    </xf>
    <xf numFmtId="0" fontId="18" fillId="0" borderId="10" xfId="22" applyNumberFormat="1" applyBorder="1" applyAlignment="1">
      <alignment horizontal="center" vertical="center"/>
    </xf>
    <xf numFmtId="0" fontId="18" fillId="0" borderId="24" xfId="22" applyNumberFormat="1" applyBorder="1" applyAlignment="1">
      <alignment horizontal="center" vertical="center"/>
    </xf>
    <xf numFmtId="0" fontId="18" fillId="0" borderId="2" xfId="22" applyNumberFormat="1" applyBorder="1" applyAlignment="1">
      <alignment horizontal="center" vertical="center"/>
    </xf>
    <xf numFmtId="0" fontId="18" fillId="0" borderId="92" xfId="22" applyNumberFormat="1" applyBorder="1" applyAlignment="1">
      <alignment horizontal="center" vertical="center"/>
    </xf>
    <xf numFmtId="190" fontId="125" fillId="0" borderId="24" xfId="22" applyFont="1" applyBorder="1" applyAlignment="1">
      <alignment horizontal="left" vertical="center" wrapText="1" indent="2"/>
    </xf>
    <xf numFmtId="0" fontId="125" fillId="0" borderId="23" xfId="22" applyNumberFormat="1" applyFont="1" applyBorder="1" applyAlignment="1">
      <alignment horizontal="left" vertical="center"/>
    </xf>
    <xf numFmtId="190" fontId="43" fillId="0" borderId="24" xfId="23" applyFont="1" applyBorder="1" applyAlignment="1">
      <alignment horizontal="left" vertical="center" wrapText="1"/>
    </xf>
    <xf numFmtId="0" fontId="128" fillId="0" borderId="10" xfId="22" applyNumberFormat="1" applyFont="1" applyBorder="1" applyAlignment="1">
      <alignment horizontal="center" vertical="center"/>
    </xf>
    <xf numFmtId="0" fontId="128" fillId="0" borderId="24" xfId="22" applyNumberFormat="1" applyFont="1" applyBorder="1" applyAlignment="1">
      <alignment horizontal="center" vertical="center"/>
    </xf>
    <xf numFmtId="0" fontId="128" fillId="0" borderId="2" xfId="22" applyNumberFormat="1" applyFont="1" applyBorder="1" applyAlignment="1">
      <alignment horizontal="center" vertical="center"/>
    </xf>
    <xf numFmtId="0" fontId="128" fillId="0" borderId="92" xfId="22" applyNumberFormat="1" applyFont="1" applyBorder="1" applyAlignment="1">
      <alignment horizontal="center" vertical="center"/>
    </xf>
    <xf numFmtId="0" fontId="33" fillId="0" borderId="23" xfId="22" applyNumberFormat="1" applyFont="1" applyBorder="1" applyAlignment="1">
      <alignment horizontal="center" vertical="center"/>
    </xf>
    <xf numFmtId="0" fontId="125" fillId="0" borderId="23" xfId="22" quotePrefix="1" applyNumberFormat="1" applyFont="1" applyBorder="1" applyAlignment="1">
      <alignment horizontal="center" vertical="center"/>
    </xf>
    <xf numFmtId="0" fontId="43" fillId="0" borderId="10" xfId="23" applyNumberFormat="1" applyFont="1" applyBorder="1" applyAlignment="1">
      <alignment horizontal="center" vertical="center" wrapText="1"/>
    </xf>
    <xf numFmtId="0" fontId="43" fillId="0" borderId="2" xfId="23" applyNumberFormat="1" applyFont="1" applyBorder="1" applyAlignment="1">
      <alignment horizontal="center" vertical="center" wrapText="1"/>
    </xf>
    <xf numFmtId="0" fontId="43" fillId="0" borderId="92" xfId="23" applyNumberFormat="1" applyFont="1" applyBorder="1" applyAlignment="1">
      <alignment horizontal="center" vertical="center" wrapText="1"/>
    </xf>
    <xf numFmtId="0" fontId="129" fillId="0" borderId="10" xfId="23" applyNumberFormat="1" applyFont="1" applyBorder="1" applyAlignment="1">
      <alignment horizontal="center" vertical="center" wrapText="1"/>
    </xf>
    <xf numFmtId="0" fontId="129" fillId="0" borderId="24" xfId="23" applyNumberFormat="1" applyFont="1" applyBorder="1" applyAlignment="1">
      <alignment horizontal="center" vertical="center" wrapText="1"/>
    </xf>
    <xf numFmtId="0" fontId="129" fillId="0" borderId="2" xfId="23" applyNumberFormat="1" applyFont="1" applyBorder="1" applyAlignment="1">
      <alignment horizontal="center" vertical="center" wrapText="1"/>
    </xf>
    <xf numFmtId="0" fontId="129" fillId="0" borderId="92" xfId="23" applyNumberFormat="1" applyFont="1" applyBorder="1" applyAlignment="1">
      <alignment horizontal="center" vertical="center" wrapText="1"/>
    </xf>
    <xf numFmtId="190" fontId="18" fillId="0" borderId="24" xfId="23" applyBorder="1" applyAlignment="1">
      <alignment horizontal="left" vertical="center" wrapText="1" indent="2"/>
    </xf>
    <xf numFmtId="190" fontId="125" fillId="0" borderId="24" xfId="22" applyFont="1" applyBorder="1" applyAlignment="1">
      <alignment horizontal="left" vertical="center" wrapText="1"/>
    </xf>
    <xf numFmtId="190" fontId="33" fillId="0" borderId="24" xfId="23" applyFont="1" applyBorder="1" applyAlignment="1">
      <alignment horizontal="left" vertical="center" wrapText="1"/>
    </xf>
    <xf numFmtId="0" fontId="125" fillId="0" borderId="23" xfId="20" applyNumberFormat="1" applyFont="1" applyBorder="1" applyAlignment="1">
      <alignment horizontal="left" vertical="center"/>
    </xf>
    <xf numFmtId="190" fontId="43" fillId="0" borderId="24" xfId="23" applyFont="1" applyBorder="1" applyAlignment="1">
      <alignment horizontal="right" vertical="center" wrapText="1"/>
    </xf>
    <xf numFmtId="0" fontId="18" fillId="0" borderId="52" xfId="22" applyNumberFormat="1" applyBorder="1" applyAlignment="1">
      <alignment horizontal="center" vertical="center"/>
    </xf>
    <xf numFmtId="0" fontId="18" fillId="0" borderId="69" xfId="22" applyNumberFormat="1" applyBorder="1" applyAlignment="1">
      <alignment horizontal="center" vertical="center"/>
    </xf>
    <xf numFmtId="1" fontId="18" fillId="0" borderId="19" xfId="20" applyNumberFormat="1" applyFont="1" applyBorder="1" applyAlignment="1">
      <alignment horizontal="center" vertical="center"/>
    </xf>
    <xf numFmtId="1" fontId="18" fillId="0" borderId="69" xfId="20" applyNumberFormat="1" applyFont="1" applyBorder="1" applyAlignment="1">
      <alignment horizontal="center" vertical="center"/>
    </xf>
    <xf numFmtId="0" fontId="18" fillId="0" borderId="19" xfId="22" applyNumberFormat="1" applyBorder="1" applyAlignment="1">
      <alignment horizontal="center" vertical="center"/>
    </xf>
    <xf numFmtId="1" fontId="18" fillId="0" borderId="99" xfId="20" applyNumberFormat="1" applyFont="1" applyBorder="1" applyAlignment="1">
      <alignment horizontal="center" vertical="center"/>
    </xf>
    <xf numFmtId="0" fontId="125" fillId="0" borderId="25" xfId="20" applyNumberFormat="1" applyFont="1" applyBorder="1" applyAlignment="1">
      <alignment horizontal="center" vertical="center"/>
    </xf>
    <xf numFmtId="190" fontId="43" fillId="0" borderId="27" xfId="23" applyFont="1" applyBorder="1" applyAlignment="1">
      <alignment horizontal="right" vertical="center" wrapText="1" indent="2"/>
    </xf>
    <xf numFmtId="1" fontId="18" fillId="0" borderId="52" xfId="22" applyNumberFormat="1" applyBorder="1" applyAlignment="1">
      <alignment horizontal="center" vertical="center"/>
    </xf>
    <xf numFmtId="1" fontId="18" fillId="0" borderId="69" xfId="22" applyNumberFormat="1" applyBorder="1" applyAlignment="1">
      <alignment horizontal="center" vertical="center"/>
    </xf>
    <xf numFmtId="1" fontId="18" fillId="0" borderId="19" xfId="22" applyNumberFormat="1" applyBorder="1" applyAlignment="1">
      <alignment horizontal="center" vertical="center"/>
    </xf>
    <xf numFmtId="0" fontId="125" fillId="0" borderId="45" xfId="22" applyNumberFormat="1" applyFont="1" applyBorder="1" applyAlignment="1">
      <alignment horizontal="center" vertical="center"/>
    </xf>
    <xf numFmtId="190" fontId="77" fillId="0" borderId="44" xfId="22" applyFont="1" applyBorder="1" applyAlignment="1">
      <alignment horizontal="left" vertical="center" wrapText="1"/>
    </xf>
    <xf numFmtId="1" fontId="18" fillId="0" borderId="86" xfId="22" applyNumberFormat="1" applyBorder="1" applyAlignment="1">
      <alignment horizontal="center" vertical="center"/>
    </xf>
    <xf numFmtId="1" fontId="18" fillId="0" borderId="87" xfId="22" applyNumberFormat="1" applyBorder="1" applyAlignment="1">
      <alignment horizontal="center" vertical="center"/>
    </xf>
    <xf numFmtId="1" fontId="18" fillId="0" borderId="100" xfId="22" applyNumberFormat="1" applyBorder="1" applyAlignment="1">
      <alignment horizontal="center" vertical="center"/>
    </xf>
    <xf numFmtId="0" fontId="125" fillId="0" borderId="0" xfId="22" applyNumberFormat="1" applyFont="1" applyAlignment="1">
      <alignment horizontal="center" vertical="center"/>
    </xf>
    <xf numFmtId="190" fontId="125" fillId="0" borderId="0" xfId="22" applyFont="1" applyAlignment="1">
      <alignment horizontal="left" vertical="center" wrapText="1"/>
    </xf>
    <xf numFmtId="1" fontId="18" fillId="0" borderId="0" xfId="22" applyNumberFormat="1"/>
    <xf numFmtId="0" fontId="18" fillId="0" borderId="0" xfId="22" applyNumberFormat="1"/>
    <xf numFmtId="0" fontId="125" fillId="0" borderId="63" xfId="20" applyNumberFormat="1" applyFont="1" applyBorder="1" applyAlignment="1">
      <alignment horizontal="left" vertical="center"/>
    </xf>
    <xf numFmtId="190" fontId="43" fillId="0" borderId="64" xfId="23" applyFont="1" applyBorder="1" applyAlignment="1">
      <alignment horizontal="left" vertical="center" wrapText="1"/>
    </xf>
    <xf numFmtId="0" fontId="128" fillId="0" borderId="63" xfId="22" applyNumberFormat="1" applyFont="1" applyBorder="1" applyAlignment="1">
      <alignment horizontal="center" vertical="center"/>
    </xf>
    <xf numFmtId="1" fontId="128" fillId="0" borderId="64" xfId="20" applyNumberFormat="1" applyFont="1" applyBorder="1" applyAlignment="1">
      <alignment horizontal="center" vertical="center"/>
    </xf>
    <xf numFmtId="1" fontId="128" fillId="0" borderId="65" xfId="20" applyNumberFormat="1" applyFont="1" applyBorder="1" applyAlignment="1">
      <alignment horizontal="center" vertical="center"/>
    </xf>
    <xf numFmtId="1" fontId="128" fillId="0" borderId="91" xfId="20" applyNumberFormat="1" applyFont="1" applyBorder="1" applyAlignment="1">
      <alignment horizontal="center" vertical="center"/>
    </xf>
    <xf numFmtId="0" fontId="125" fillId="0" borderId="23" xfId="20" applyNumberFormat="1" applyFont="1" applyBorder="1" applyAlignment="1">
      <alignment horizontal="center" vertical="center"/>
    </xf>
    <xf numFmtId="190" fontId="43" fillId="0" borderId="2" xfId="23" applyFont="1" applyBorder="1" applyAlignment="1">
      <alignment horizontal="left" vertical="center" wrapText="1" indent="2"/>
    </xf>
    <xf numFmtId="0" fontId="18" fillId="0" borderId="23" xfId="22" applyNumberFormat="1" applyBorder="1" applyAlignment="1">
      <alignment horizontal="center" vertical="center"/>
    </xf>
    <xf numFmtId="1" fontId="18" fillId="0" borderId="2" xfId="20" applyNumberFormat="1" applyFont="1" applyBorder="1" applyAlignment="1">
      <alignment horizontal="center" vertical="center"/>
    </xf>
    <xf numFmtId="1" fontId="18" fillId="0" borderId="24" xfId="20" applyNumberFormat="1" applyFont="1" applyBorder="1" applyAlignment="1">
      <alignment horizontal="center" vertical="center"/>
    </xf>
    <xf numFmtId="1" fontId="18" fillId="0" borderId="92" xfId="20" applyNumberFormat="1" applyFont="1" applyBorder="1" applyAlignment="1">
      <alignment horizontal="center" vertical="center"/>
    </xf>
    <xf numFmtId="0" fontId="128" fillId="0" borderId="23" xfId="22" applyNumberFormat="1" applyFont="1" applyBorder="1" applyAlignment="1">
      <alignment horizontal="center" vertical="center"/>
    </xf>
    <xf numFmtId="0" fontId="125" fillId="0" borderId="23" xfId="20" quotePrefix="1" applyNumberFormat="1" applyFont="1" applyBorder="1" applyAlignment="1">
      <alignment horizontal="center" vertical="center"/>
    </xf>
    <xf numFmtId="190" fontId="43" fillId="0" borderId="2" xfId="23" applyFont="1" applyBorder="1" applyAlignment="1">
      <alignment horizontal="left" vertical="center" wrapText="1"/>
    </xf>
    <xf numFmtId="1" fontId="128" fillId="0" borderId="2" xfId="20" applyNumberFormat="1" applyFont="1" applyBorder="1" applyAlignment="1">
      <alignment horizontal="center" vertical="center"/>
    </xf>
    <xf numFmtId="1" fontId="128" fillId="0" borderId="24" xfId="20" applyNumberFormat="1" applyFont="1" applyBorder="1" applyAlignment="1">
      <alignment horizontal="center" vertical="center"/>
    </xf>
    <xf numFmtId="1" fontId="128" fillId="0" borderId="92" xfId="20" applyNumberFormat="1" applyFont="1" applyBorder="1" applyAlignment="1">
      <alignment horizontal="center" vertical="center"/>
    </xf>
    <xf numFmtId="190" fontId="43" fillId="0" borderId="2" xfId="23" applyFont="1" applyBorder="1" applyAlignment="1">
      <alignment horizontal="left" vertical="center" wrapText="1" indent="3"/>
    </xf>
    <xf numFmtId="190" fontId="43" fillId="0" borderId="2" xfId="23" applyFont="1" applyBorder="1" applyAlignment="1">
      <alignment horizontal="left" vertical="top" wrapText="1" indent="3"/>
    </xf>
    <xf numFmtId="190" fontId="43" fillId="0" borderId="2" xfId="23" applyFont="1" applyBorder="1" applyAlignment="1">
      <alignment horizontal="left" vertical="center" indent="2"/>
    </xf>
    <xf numFmtId="0" fontId="34" fillId="0" borderId="23" xfId="22" applyNumberFormat="1" applyFont="1" applyBorder="1" applyAlignment="1">
      <alignment horizontal="center" vertical="center"/>
    </xf>
    <xf numFmtId="0" fontId="34" fillId="0" borderId="24" xfId="22" applyNumberFormat="1" applyFont="1" applyBorder="1" applyAlignment="1">
      <alignment horizontal="center" vertical="center"/>
    </xf>
    <xf numFmtId="0" fontId="34" fillId="0" borderId="2" xfId="22" applyNumberFormat="1" applyFont="1" applyBorder="1" applyAlignment="1">
      <alignment horizontal="center" vertical="center"/>
    </xf>
    <xf numFmtId="0" fontId="125" fillId="0" borderId="55" xfId="20" applyNumberFormat="1" applyFont="1" applyBorder="1" applyAlignment="1">
      <alignment horizontal="center" vertical="center"/>
    </xf>
    <xf numFmtId="190" fontId="43" fillId="0" borderId="19" xfId="23" applyFont="1" applyBorder="1" applyAlignment="1">
      <alignment horizontal="left" vertical="center" wrapText="1" indent="2"/>
    </xf>
    <xf numFmtId="190" fontId="43" fillId="0" borderId="19" xfId="23" applyFont="1" applyBorder="1" applyAlignment="1">
      <alignment horizontal="right" vertical="center" wrapText="1"/>
    </xf>
    <xf numFmtId="0" fontId="18" fillId="0" borderId="55" xfId="22" applyNumberFormat="1" applyBorder="1" applyAlignment="1">
      <alignment horizontal="center" vertical="center"/>
    </xf>
    <xf numFmtId="190" fontId="43" fillId="0" borderId="19" xfId="23" applyFont="1" applyBorder="1" applyAlignment="1">
      <alignment horizontal="right" vertical="center" wrapText="1" indent="2"/>
    </xf>
    <xf numFmtId="0" fontId="18" fillId="0" borderId="85" xfId="20" applyNumberFormat="1" applyFont="1" applyBorder="1" applyAlignment="1">
      <alignment horizontal="center"/>
    </xf>
    <xf numFmtId="190" fontId="76" fillId="0" borderId="86" xfId="23" applyFont="1" applyBorder="1" applyAlignment="1">
      <alignment horizontal="left" vertical="center" wrapText="1"/>
    </xf>
    <xf numFmtId="0" fontId="18" fillId="0" borderId="86" xfId="22" applyNumberFormat="1" applyBorder="1" applyAlignment="1">
      <alignment horizontal="center" vertical="center"/>
    </xf>
    <xf numFmtId="0" fontId="18" fillId="0" borderId="87" xfId="22" applyNumberFormat="1" applyBorder="1" applyAlignment="1">
      <alignment horizontal="center" vertical="center"/>
    </xf>
    <xf numFmtId="0" fontId="18" fillId="0" borderId="100" xfId="22" applyNumberFormat="1" applyBorder="1" applyAlignment="1">
      <alignment horizontal="center" vertical="center"/>
    </xf>
    <xf numFmtId="0" fontId="18" fillId="0" borderId="0" xfId="20" applyNumberFormat="1" applyFont="1" applyAlignment="1">
      <alignment horizontal="center"/>
    </xf>
    <xf numFmtId="0" fontId="18" fillId="0" borderId="100" xfId="22" applyNumberFormat="1" applyBorder="1" applyAlignment="1">
      <alignment horizontal="center"/>
    </xf>
    <xf numFmtId="0" fontId="125" fillId="0" borderId="20" xfId="20" applyNumberFormat="1" applyFont="1" applyBorder="1" applyAlignment="1">
      <alignment horizontal="left" vertical="center"/>
    </xf>
    <xf numFmtId="190" fontId="43" fillId="0" borderId="21" xfId="23" applyFont="1" applyBorder="1" applyAlignment="1">
      <alignment horizontal="left" vertical="center" wrapText="1"/>
    </xf>
    <xf numFmtId="0" fontId="128" fillId="0" borderId="21" xfId="20" applyNumberFormat="1" applyFont="1" applyBorder="1" applyAlignment="1">
      <alignment horizontal="center" vertical="center"/>
    </xf>
    <xf numFmtId="0" fontId="128" fillId="0" borderId="22" xfId="20" applyNumberFormat="1" applyFont="1" applyBorder="1" applyAlignment="1">
      <alignment horizontal="center" vertical="center"/>
    </xf>
    <xf numFmtId="0" fontId="128" fillId="0" borderId="96" xfId="20" applyNumberFormat="1" applyFont="1" applyBorder="1" applyAlignment="1">
      <alignment horizontal="center" vertical="center"/>
    </xf>
    <xf numFmtId="0" fontId="18" fillId="0" borderId="92" xfId="20" applyNumberFormat="1" applyFont="1" applyBorder="1" applyAlignment="1">
      <alignment horizontal="center" vertical="center"/>
    </xf>
    <xf numFmtId="0" fontId="43" fillId="0" borderId="2" xfId="20" applyNumberFormat="1" applyFont="1" applyBorder="1" applyAlignment="1">
      <alignment horizontal="left" vertical="center" wrapText="1" indent="2"/>
    </xf>
    <xf numFmtId="0" fontId="43" fillId="0" borderId="2" xfId="20" applyNumberFormat="1" applyFont="1" applyBorder="1" applyAlignment="1">
      <alignment horizontal="left" vertical="center" indent="2"/>
    </xf>
    <xf numFmtId="0" fontId="128" fillId="0" borderId="2" xfId="20" applyNumberFormat="1" applyFont="1" applyBorder="1" applyAlignment="1">
      <alignment horizontal="center" vertical="center"/>
    </xf>
    <xf numFmtId="0" fontId="128" fillId="0" borderId="24" xfId="20" applyNumberFormat="1" applyFont="1" applyBorder="1" applyAlignment="1">
      <alignment horizontal="center" vertical="center"/>
    </xf>
    <xf numFmtId="0" fontId="128" fillId="0" borderId="92" xfId="20" applyNumberFormat="1" applyFont="1" applyBorder="1" applyAlignment="1">
      <alignment horizontal="center" vertical="center"/>
    </xf>
    <xf numFmtId="0" fontId="43" fillId="0" borderId="2" xfId="20" applyNumberFormat="1" applyFont="1" applyBorder="1" applyAlignment="1">
      <alignment horizontal="left" vertical="center"/>
    </xf>
    <xf numFmtId="190" fontId="18" fillId="0" borderId="2" xfId="20" applyFont="1" applyBorder="1"/>
    <xf numFmtId="0" fontId="125" fillId="0" borderId="55" xfId="20" applyNumberFormat="1" applyFont="1" applyBorder="1" applyAlignment="1">
      <alignment horizontal="left" vertical="center"/>
    </xf>
    <xf numFmtId="190" fontId="43" fillId="0" borderId="19" xfId="23" applyFont="1" applyBorder="1" applyAlignment="1">
      <alignment horizontal="left" vertical="center" wrapText="1"/>
    </xf>
    <xf numFmtId="0" fontId="128" fillId="0" borderId="19" xfId="20" applyNumberFormat="1" applyFont="1" applyBorder="1" applyAlignment="1">
      <alignment horizontal="center" vertical="center"/>
    </xf>
    <xf numFmtId="0" fontId="128" fillId="0" borderId="69" xfId="20" applyNumberFormat="1" applyFont="1" applyBorder="1" applyAlignment="1">
      <alignment horizontal="center" vertical="center"/>
    </xf>
    <xf numFmtId="0" fontId="128" fillId="0" borderId="99" xfId="20" applyNumberFormat="1" applyFont="1" applyBorder="1" applyAlignment="1">
      <alignment horizontal="center" vertical="center"/>
    </xf>
    <xf numFmtId="0" fontId="125" fillId="0" borderId="85" xfId="20" applyNumberFormat="1" applyFont="1" applyBorder="1" applyAlignment="1">
      <alignment horizontal="center" vertical="center"/>
    </xf>
    <xf numFmtId="190" fontId="70" fillId="0" borderId="88" xfId="23" applyFont="1" applyBorder="1" applyAlignment="1">
      <alignment horizontal="left" vertical="center" wrapText="1"/>
    </xf>
    <xf numFmtId="0" fontId="18" fillId="0" borderId="85" xfId="22" applyNumberFormat="1" applyBorder="1" applyAlignment="1">
      <alignment horizontal="center" vertical="center"/>
    </xf>
    <xf numFmtId="0" fontId="125" fillId="0" borderId="0" xfId="20" applyNumberFormat="1" applyFont="1" applyAlignment="1">
      <alignment horizontal="center" vertical="center"/>
    </xf>
    <xf numFmtId="190" fontId="125" fillId="0" borderId="0" xfId="20" applyFont="1" applyAlignment="1">
      <alignment horizontal="left" vertical="center" wrapText="1"/>
    </xf>
    <xf numFmtId="0" fontId="43" fillId="0" borderId="2" xfId="23" applyNumberFormat="1" applyFont="1" applyBorder="1" applyAlignment="1">
      <alignment horizontal="left" vertical="center" wrapText="1" indent="2"/>
    </xf>
    <xf numFmtId="0" fontId="34" fillId="0" borderId="2" xfId="20" applyNumberFormat="1" applyFont="1" applyBorder="1" applyAlignment="1">
      <alignment horizontal="center" vertical="center"/>
    </xf>
    <xf numFmtId="0" fontId="34" fillId="0" borderId="24" xfId="20" applyNumberFormat="1" applyFont="1" applyBorder="1" applyAlignment="1">
      <alignment horizontal="center" vertical="center"/>
    </xf>
    <xf numFmtId="0" fontId="18" fillId="0" borderId="69" xfId="20" applyNumberFormat="1" applyFont="1" applyBorder="1" applyAlignment="1">
      <alignment horizontal="center" vertical="center"/>
    </xf>
    <xf numFmtId="0" fontId="18" fillId="0" borderId="99" xfId="20" applyNumberFormat="1" applyFont="1" applyBorder="1" applyAlignment="1">
      <alignment horizontal="center" vertical="center"/>
    </xf>
    <xf numFmtId="1" fontId="18" fillId="0" borderId="85" xfId="22" applyNumberFormat="1" applyBorder="1" applyAlignment="1">
      <alignment horizontal="center" vertical="center"/>
    </xf>
    <xf numFmtId="0" fontId="18" fillId="0" borderId="21" xfId="22" applyNumberFormat="1" applyBorder="1" applyAlignment="1">
      <alignment horizontal="center" vertical="center"/>
    </xf>
    <xf numFmtId="0" fontId="18" fillId="0" borderId="22" xfId="22" applyNumberFormat="1" applyBorder="1" applyAlignment="1">
      <alignment horizontal="center" vertical="center"/>
    </xf>
    <xf numFmtId="0" fontId="18" fillId="0" borderId="96" xfId="22" applyNumberFormat="1" applyBorder="1" applyAlignment="1">
      <alignment horizontal="center" vertical="center"/>
    </xf>
    <xf numFmtId="0" fontId="43" fillId="0" borderId="2" xfId="22" applyNumberFormat="1" applyFont="1" applyBorder="1" applyAlignment="1">
      <alignment horizontal="left" vertical="center" indent="2"/>
    </xf>
    <xf numFmtId="190" fontId="33" fillId="0" borderId="2" xfId="23" applyFont="1" applyBorder="1" applyAlignment="1">
      <alignment horizontal="left" vertical="center" wrapText="1" indent="2"/>
    </xf>
    <xf numFmtId="0" fontId="34" fillId="0" borderId="92" xfId="22" applyNumberFormat="1" applyFont="1" applyBorder="1" applyAlignment="1">
      <alignment horizontal="center" vertical="center"/>
    </xf>
    <xf numFmtId="0" fontId="43" fillId="0" borderId="23" xfId="23" applyNumberFormat="1" applyFont="1" applyBorder="1" applyAlignment="1">
      <alignment horizontal="center" vertical="center" wrapText="1"/>
    </xf>
    <xf numFmtId="0" fontId="33" fillId="0" borderId="2" xfId="23" applyNumberFormat="1" applyFont="1" applyBorder="1" applyAlignment="1">
      <alignment horizontal="center" vertical="center" wrapText="1"/>
    </xf>
    <xf numFmtId="0" fontId="129" fillId="0" borderId="23" xfId="23" applyNumberFormat="1" applyFont="1" applyBorder="1" applyAlignment="1">
      <alignment horizontal="center" vertical="center" wrapText="1"/>
    </xf>
    <xf numFmtId="0" fontId="43" fillId="0" borderId="2" xfId="22" applyNumberFormat="1" applyFont="1" applyBorder="1" applyAlignment="1">
      <alignment horizontal="left" vertical="center"/>
    </xf>
    <xf numFmtId="0" fontId="43" fillId="0" borderId="2" xfId="22" applyNumberFormat="1" applyFont="1" applyBorder="1" applyAlignment="1">
      <alignment horizontal="left" vertical="center" indent="3"/>
    </xf>
    <xf numFmtId="0" fontId="125" fillId="0" borderId="55" xfId="22" applyNumberFormat="1" applyFont="1" applyBorder="1" applyAlignment="1">
      <alignment horizontal="center" vertical="center"/>
    </xf>
    <xf numFmtId="0" fontId="43" fillId="0" borderId="19" xfId="22" applyNumberFormat="1" applyFont="1" applyBorder="1" applyAlignment="1">
      <alignment horizontal="left" vertical="center" indent="3"/>
    </xf>
    <xf numFmtId="0" fontId="128" fillId="0" borderId="55" xfId="22" applyNumberFormat="1" applyFont="1" applyBorder="1" applyAlignment="1">
      <alignment horizontal="center" vertical="center"/>
    </xf>
    <xf numFmtId="0" fontId="128" fillId="0" borderId="69" xfId="22" applyNumberFormat="1" applyFont="1" applyBorder="1" applyAlignment="1">
      <alignment horizontal="center" vertical="center"/>
    </xf>
    <xf numFmtId="0" fontId="128" fillId="0" borderId="19" xfId="22" applyNumberFormat="1" applyFont="1" applyBorder="1" applyAlignment="1">
      <alignment horizontal="center" vertical="center"/>
    </xf>
    <xf numFmtId="0" fontId="18" fillId="0" borderId="99" xfId="22" applyNumberFormat="1" applyBorder="1" applyAlignment="1">
      <alignment horizontal="center" vertical="center"/>
    </xf>
    <xf numFmtId="0" fontId="125" fillId="0" borderId="85" xfId="22" applyNumberFormat="1" applyFont="1" applyBorder="1" applyAlignment="1">
      <alignment horizontal="center" vertical="center"/>
    </xf>
    <xf numFmtId="0" fontId="67" fillId="0" borderId="86" xfId="22" applyNumberFormat="1" applyFont="1" applyBorder="1" applyAlignment="1">
      <alignment horizontal="left" vertical="center"/>
    </xf>
    <xf numFmtId="0" fontId="45" fillId="0" borderId="25" xfId="20" applyNumberFormat="1" applyFont="1" applyBorder="1" applyAlignment="1">
      <alignment horizontal="center" vertical="center" wrapText="1"/>
    </xf>
    <xf numFmtId="0" fontId="45" fillId="0" borderId="27" xfId="20" applyNumberFormat="1" applyFont="1" applyBorder="1" applyAlignment="1">
      <alignment horizontal="center" vertical="center" wrapText="1"/>
    </xf>
    <xf numFmtId="0" fontId="33" fillId="0" borderId="20" xfId="22" applyNumberFormat="1" applyFont="1" applyBorder="1" applyAlignment="1">
      <alignment horizontal="left" vertical="center"/>
    </xf>
    <xf numFmtId="190" fontId="33" fillId="0" borderId="21" xfId="23" applyFont="1" applyBorder="1" applyAlignment="1">
      <alignment horizontal="left" vertical="center" wrapText="1"/>
    </xf>
    <xf numFmtId="0" fontId="34" fillId="0" borderId="63" xfId="22" applyNumberFormat="1" applyFont="1" applyBorder="1" applyAlignment="1">
      <alignment horizontal="center" vertical="center"/>
    </xf>
    <xf numFmtId="0" fontId="34" fillId="0" borderId="65" xfId="22" applyNumberFormat="1" applyFont="1" applyBorder="1" applyAlignment="1">
      <alignment horizontal="center" vertical="center"/>
    </xf>
    <xf numFmtId="0" fontId="34" fillId="0" borderId="64" xfId="22" applyNumberFormat="1" applyFont="1" applyBorder="1" applyAlignment="1">
      <alignment horizontal="center" vertical="center"/>
    </xf>
    <xf numFmtId="1" fontId="33" fillId="0" borderId="21" xfId="23" applyNumberFormat="1" applyFont="1" applyBorder="1" applyAlignment="1">
      <alignment horizontal="center" vertical="center" wrapText="1"/>
    </xf>
    <xf numFmtId="1" fontId="33" fillId="0" borderId="22" xfId="23" applyNumberFormat="1" applyFont="1" applyBorder="1" applyAlignment="1">
      <alignment horizontal="center" vertical="center" wrapText="1"/>
    </xf>
    <xf numFmtId="1" fontId="33" fillId="0" borderId="96" xfId="23" applyNumberFormat="1" applyFont="1" applyBorder="1" applyAlignment="1">
      <alignment horizontal="center" vertical="center" wrapText="1"/>
    </xf>
    <xf numFmtId="0" fontId="33" fillId="0" borderId="23" xfId="22" quotePrefix="1" applyNumberFormat="1" applyFont="1" applyBorder="1" applyAlignment="1">
      <alignment horizontal="center" vertical="center"/>
    </xf>
    <xf numFmtId="1" fontId="33" fillId="0" borderId="2" xfId="23" applyNumberFormat="1" applyFont="1" applyBorder="1" applyAlignment="1">
      <alignment horizontal="center" vertical="center" wrapText="1"/>
    </xf>
    <xf numFmtId="1" fontId="33" fillId="0" borderId="24" xfId="23" applyNumberFormat="1" applyFont="1" applyBorder="1" applyAlignment="1">
      <alignment horizontal="center" vertical="center" wrapText="1"/>
    </xf>
    <xf numFmtId="1" fontId="33" fillId="0" borderId="92" xfId="23" applyNumberFormat="1" applyFont="1" applyBorder="1" applyAlignment="1">
      <alignment horizontal="center" vertical="center" wrapText="1"/>
    </xf>
    <xf numFmtId="0" fontId="33" fillId="0" borderId="23" xfId="22" applyNumberFormat="1" applyFont="1" applyBorder="1" applyAlignment="1">
      <alignment horizontal="left" vertical="center"/>
    </xf>
    <xf numFmtId="190" fontId="33" fillId="0" borderId="2" xfId="23" applyFont="1" applyBorder="1" applyAlignment="1">
      <alignment horizontal="left" vertical="center" wrapText="1"/>
    </xf>
    <xf numFmtId="0" fontId="33" fillId="0" borderId="2" xfId="22" applyNumberFormat="1" applyFont="1" applyBorder="1" applyAlignment="1">
      <alignment horizontal="left" vertical="center" indent="2"/>
    </xf>
    <xf numFmtId="1" fontId="33" fillId="0" borderId="2" xfId="22" applyNumberFormat="1" applyFont="1" applyBorder="1" applyAlignment="1">
      <alignment horizontal="center" vertical="center"/>
    </xf>
    <xf numFmtId="1" fontId="33" fillId="0" borderId="24" xfId="22" applyNumberFormat="1" applyFont="1" applyBorder="1" applyAlignment="1">
      <alignment horizontal="center" vertical="center"/>
    </xf>
    <xf numFmtId="1" fontId="33" fillId="0" borderId="92" xfId="22" applyNumberFormat="1" applyFont="1" applyBorder="1" applyAlignment="1">
      <alignment horizontal="center" vertical="center"/>
    </xf>
    <xf numFmtId="2" fontId="33" fillId="0" borderId="23" xfId="22" applyNumberFormat="1" applyFont="1" applyBorder="1" applyAlignment="1">
      <alignment horizontal="center" vertical="center"/>
    </xf>
    <xf numFmtId="0" fontId="33" fillId="0" borderId="2" xfId="22" applyNumberFormat="1" applyFont="1" applyBorder="1" applyAlignment="1">
      <alignment horizontal="center" vertical="center"/>
    </xf>
    <xf numFmtId="0" fontId="33" fillId="0" borderId="24" xfId="22" applyNumberFormat="1" applyFont="1" applyBorder="1" applyAlignment="1">
      <alignment horizontal="center" vertical="center"/>
    </xf>
    <xf numFmtId="190" fontId="33" fillId="0" borderId="2" xfId="23" applyFont="1" applyBorder="1" applyAlignment="1">
      <alignment horizontal="left" vertical="center" wrapText="1" indent="3"/>
    </xf>
    <xf numFmtId="0" fontId="33" fillId="0" borderId="2" xfId="22" applyNumberFormat="1" applyFont="1" applyBorder="1" applyAlignment="1">
      <alignment horizontal="left" vertical="center" indent="3"/>
    </xf>
    <xf numFmtId="0" fontId="33" fillId="0" borderId="2" xfId="22" applyNumberFormat="1" applyFont="1" applyBorder="1" applyAlignment="1">
      <alignment horizontal="left" vertical="center"/>
    </xf>
    <xf numFmtId="0" fontId="33" fillId="0" borderId="23" xfId="23" applyNumberFormat="1" applyFont="1" applyBorder="1" applyAlignment="1">
      <alignment horizontal="center" vertical="center" wrapText="1"/>
    </xf>
    <xf numFmtId="0" fontId="33" fillId="0" borderId="24" xfId="23" applyNumberFormat="1" applyFont="1" applyBorder="1" applyAlignment="1">
      <alignment horizontal="center" vertical="center" wrapText="1"/>
    </xf>
    <xf numFmtId="0" fontId="33" fillId="0" borderId="92" xfId="22" applyNumberFormat="1" applyFont="1" applyBorder="1" applyAlignment="1">
      <alignment horizontal="center" vertical="center"/>
    </xf>
    <xf numFmtId="0" fontId="34" fillId="0" borderId="19" xfId="22" applyNumberFormat="1" applyFont="1" applyBorder="1" applyAlignment="1">
      <alignment horizontal="center" vertical="center"/>
    </xf>
    <xf numFmtId="0" fontId="34" fillId="0" borderId="69" xfId="22" applyNumberFormat="1" applyFont="1" applyBorder="1" applyAlignment="1">
      <alignment horizontal="center" vertical="center"/>
    </xf>
    <xf numFmtId="0" fontId="33" fillId="0" borderId="2" xfId="22" applyNumberFormat="1" applyFont="1" applyBorder="1" applyAlignment="1">
      <alignment horizontal="left" vertical="center" wrapText="1" indent="2"/>
    </xf>
    <xf numFmtId="190" fontId="33" fillId="0" borderId="19" xfId="23" applyFont="1" applyBorder="1" applyAlignment="1">
      <alignment horizontal="left" vertical="center" wrapText="1" indent="2"/>
    </xf>
    <xf numFmtId="0" fontId="34" fillId="0" borderId="55" xfId="22" applyNumberFormat="1" applyFont="1" applyBorder="1" applyAlignment="1">
      <alignment horizontal="center" vertical="center"/>
    </xf>
    <xf numFmtId="0" fontId="33" fillId="0" borderId="19" xfId="22" applyNumberFormat="1" applyFont="1" applyBorder="1" applyAlignment="1">
      <alignment horizontal="center" vertical="center"/>
    </xf>
    <xf numFmtId="0" fontId="33" fillId="0" borderId="69" xfId="22" applyNumberFormat="1" applyFont="1" applyBorder="1" applyAlignment="1">
      <alignment horizontal="center" vertical="center"/>
    </xf>
    <xf numFmtId="1" fontId="33" fillId="0" borderId="99" xfId="22" applyNumberFormat="1" applyFont="1" applyBorder="1" applyAlignment="1">
      <alignment horizontal="center" vertical="center"/>
    </xf>
    <xf numFmtId="2" fontId="33" fillId="0" borderId="55" xfId="22" quotePrefix="1" applyNumberFormat="1" applyFont="1" applyBorder="1" applyAlignment="1">
      <alignment horizontal="center" vertical="center"/>
    </xf>
    <xf numFmtId="0" fontId="33" fillId="0" borderId="19" xfId="22" applyNumberFormat="1" applyFont="1" applyBorder="1" applyAlignment="1">
      <alignment horizontal="left" vertical="center" indent="2"/>
    </xf>
    <xf numFmtId="1" fontId="34" fillId="0" borderId="19" xfId="22" applyNumberFormat="1" applyFont="1" applyBorder="1" applyAlignment="1">
      <alignment horizontal="center" vertical="center"/>
    </xf>
    <xf numFmtId="1" fontId="34" fillId="0" borderId="69" xfId="22" applyNumberFormat="1" applyFont="1" applyBorder="1" applyAlignment="1">
      <alignment horizontal="center" vertical="center"/>
    </xf>
    <xf numFmtId="1" fontId="33" fillId="0" borderId="19" xfId="22" applyNumberFormat="1" applyFont="1" applyBorder="1" applyAlignment="1">
      <alignment horizontal="center" vertical="center"/>
    </xf>
    <xf numFmtId="1" fontId="33" fillId="0" borderId="69" xfId="22" applyNumberFormat="1" applyFont="1" applyBorder="1" applyAlignment="1">
      <alignment horizontal="center" vertical="center"/>
    </xf>
    <xf numFmtId="0" fontId="33" fillId="0" borderId="23" xfId="20" applyNumberFormat="1" applyFont="1" applyBorder="1" applyAlignment="1">
      <alignment horizontal="left" vertical="center"/>
    </xf>
    <xf numFmtId="190" fontId="33" fillId="0" borderId="19" xfId="23" applyFont="1" applyBorder="1" applyAlignment="1">
      <alignment horizontal="right" vertical="center" wrapText="1"/>
    </xf>
    <xf numFmtId="1" fontId="34" fillId="0" borderId="19" xfId="20" applyNumberFormat="1" applyFont="1" applyBorder="1" applyAlignment="1">
      <alignment horizontal="center" vertical="center"/>
    </xf>
    <xf numFmtId="1" fontId="34" fillId="0" borderId="69" xfId="20" applyNumberFormat="1" applyFont="1" applyBorder="1" applyAlignment="1">
      <alignment horizontal="center" vertical="center"/>
    </xf>
    <xf numFmtId="1" fontId="34" fillId="0" borderId="99" xfId="20" applyNumberFormat="1" applyFont="1" applyBorder="1" applyAlignment="1">
      <alignment horizontal="center" vertical="center"/>
    </xf>
    <xf numFmtId="0" fontId="33" fillId="0" borderId="55" xfId="20" applyNumberFormat="1" applyFont="1" applyBorder="1" applyAlignment="1">
      <alignment horizontal="center" vertical="center"/>
    </xf>
    <xf numFmtId="190" fontId="33" fillId="0" borderId="19" xfId="23" applyFont="1" applyBorder="1" applyAlignment="1">
      <alignment horizontal="right" vertical="center" wrapText="1" indent="2"/>
    </xf>
    <xf numFmtId="0" fontId="33" fillId="0" borderId="85" xfId="22" applyNumberFormat="1" applyFont="1" applyBorder="1" applyAlignment="1">
      <alignment horizontal="center" vertical="center"/>
    </xf>
    <xf numFmtId="190" fontId="31" fillId="0" borderId="86" xfId="23" applyFont="1" applyBorder="1" applyAlignment="1">
      <alignment horizontal="left" vertical="center" wrapText="1"/>
    </xf>
    <xf numFmtId="0" fontId="128" fillId="0" borderId="21" xfId="24" applyFont="1" applyBorder="1" applyAlignment="1">
      <alignment horizontal="center" vertical="center"/>
    </xf>
    <xf numFmtId="0" fontId="128" fillId="0" borderId="22" xfId="24" applyFont="1" applyBorder="1" applyAlignment="1">
      <alignment horizontal="center" vertical="center"/>
    </xf>
    <xf numFmtId="0" fontId="128" fillId="0" borderId="96" xfId="24" applyFont="1" applyBorder="1" applyAlignment="1">
      <alignment horizontal="center" vertical="center"/>
    </xf>
    <xf numFmtId="0" fontId="18" fillId="0" borderId="2" xfId="24" applyBorder="1" applyAlignment="1">
      <alignment horizontal="center" vertical="center"/>
    </xf>
    <xf numFmtId="0" fontId="18" fillId="0" borderId="24" xfId="24" applyBorder="1" applyAlignment="1">
      <alignment horizontal="center" vertical="center"/>
    </xf>
    <xf numFmtId="0" fontId="18" fillId="0" borderId="92" xfId="24" applyBorder="1" applyAlignment="1">
      <alignment horizontal="center" vertical="center"/>
    </xf>
    <xf numFmtId="0" fontId="33" fillId="0" borderId="2" xfId="24" applyFont="1" applyBorder="1" applyAlignment="1">
      <alignment horizontal="left" vertical="center" indent="2"/>
    </xf>
    <xf numFmtId="0" fontId="33" fillId="0" borderId="2" xfId="24" applyFont="1" applyBorder="1" applyAlignment="1">
      <alignment horizontal="left" vertical="center" wrapText="1" indent="2"/>
    </xf>
    <xf numFmtId="0" fontId="128" fillId="0" borderId="2" xfId="24" applyFont="1" applyBorder="1" applyAlignment="1">
      <alignment horizontal="center" vertical="center"/>
    </xf>
    <xf numFmtId="0" fontId="128" fillId="0" borderId="24" xfId="24" applyFont="1" applyBorder="1" applyAlignment="1">
      <alignment horizontal="center" vertical="center"/>
    </xf>
    <xf numFmtId="0" fontId="128" fillId="0" borderId="92" xfId="24" applyFont="1" applyBorder="1" applyAlignment="1">
      <alignment horizontal="center" vertical="center"/>
    </xf>
    <xf numFmtId="0" fontId="34" fillId="0" borderId="23" xfId="22" applyNumberFormat="1" applyFont="1" applyBorder="1" applyAlignment="1">
      <alignment horizontal="left" vertical="center"/>
    </xf>
    <xf numFmtId="0" fontId="33" fillId="0" borderId="2" xfId="24" applyFont="1" applyBorder="1" applyAlignment="1">
      <alignment horizontal="left" vertical="center" indent="4"/>
    </xf>
    <xf numFmtId="0" fontId="33" fillId="0" borderId="2" xfId="24" applyFont="1" applyBorder="1" applyAlignment="1">
      <alignment horizontal="left" vertical="center" wrapText="1" indent="4"/>
    </xf>
    <xf numFmtId="190" fontId="33" fillId="0" borderId="2" xfId="23" applyFont="1" applyBorder="1" applyAlignment="1">
      <alignment horizontal="left" vertical="center" wrapText="1" indent="4"/>
    </xf>
    <xf numFmtId="190" fontId="33" fillId="0" borderId="2" xfId="22" applyFont="1" applyBorder="1" applyAlignment="1">
      <alignment horizontal="left" vertical="center" wrapText="1" indent="4"/>
    </xf>
    <xf numFmtId="190" fontId="33" fillId="0" borderId="2" xfId="22" applyFont="1" applyBorder="1" applyAlignment="1">
      <alignment horizontal="left" vertical="center" wrapText="1" indent="2"/>
    </xf>
    <xf numFmtId="0" fontId="33" fillId="0" borderId="2" xfId="24" applyFont="1" applyBorder="1" applyAlignment="1">
      <alignment horizontal="left" vertical="center"/>
    </xf>
    <xf numFmtId="0" fontId="33" fillId="0" borderId="55" xfId="22" applyNumberFormat="1" applyFont="1" applyBorder="1" applyAlignment="1">
      <alignment horizontal="center" vertical="center"/>
    </xf>
    <xf numFmtId="0" fontId="18" fillId="0" borderId="19" xfId="24" applyBorder="1" applyAlignment="1">
      <alignment horizontal="center" vertical="center"/>
    </xf>
    <xf numFmtId="0" fontId="18" fillId="0" borderId="69" xfId="24" applyBorder="1" applyAlignment="1">
      <alignment horizontal="center" vertical="center"/>
    </xf>
    <xf numFmtId="0" fontId="18" fillId="0" borderId="99" xfId="24" applyBorder="1" applyAlignment="1">
      <alignment horizontal="center" vertical="center"/>
    </xf>
    <xf numFmtId="0" fontId="34" fillId="0" borderId="0" xfId="22" applyNumberFormat="1" applyFont="1"/>
    <xf numFmtId="190" fontId="34" fillId="0" borderId="0" xfId="22" applyFont="1"/>
    <xf numFmtId="0" fontId="129" fillId="0" borderId="21" xfId="22" applyNumberFormat="1" applyFont="1" applyBorder="1" applyAlignment="1">
      <alignment horizontal="center" vertical="center"/>
    </xf>
    <xf numFmtId="0" fontId="129" fillId="0" borderId="22" xfId="22" applyNumberFormat="1" applyFont="1" applyBorder="1" applyAlignment="1">
      <alignment horizontal="center" vertical="center"/>
    </xf>
    <xf numFmtId="0" fontId="129" fillId="0" borderId="96" xfId="22" applyNumberFormat="1" applyFont="1" applyBorder="1" applyAlignment="1">
      <alignment horizontal="center" vertical="center"/>
    </xf>
    <xf numFmtId="0" fontId="129" fillId="0" borderId="2" xfId="22" applyNumberFormat="1" applyFont="1" applyBorder="1" applyAlignment="1">
      <alignment horizontal="center" vertical="center"/>
    </xf>
    <xf numFmtId="0" fontId="129" fillId="0" borderId="24" xfId="22" applyNumberFormat="1" applyFont="1" applyBorder="1" applyAlignment="1">
      <alignment horizontal="center" vertical="center"/>
    </xf>
    <xf numFmtId="0" fontId="129" fillId="0" borderId="92" xfId="22" applyNumberFormat="1" applyFont="1" applyBorder="1" applyAlignment="1">
      <alignment horizontal="center" vertical="center"/>
    </xf>
    <xf numFmtId="0" fontId="43" fillId="0" borderId="2" xfId="22" applyNumberFormat="1" applyFont="1" applyBorder="1" applyAlignment="1">
      <alignment horizontal="center" vertical="center"/>
    </xf>
    <xf numFmtId="0" fontId="43" fillId="0" borderId="24" xfId="22" applyNumberFormat="1" applyFont="1" applyBorder="1" applyAlignment="1">
      <alignment horizontal="center" vertical="center"/>
    </xf>
    <xf numFmtId="0" fontId="43" fillId="0" borderId="92" xfId="22" applyNumberFormat="1" applyFont="1" applyBorder="1" applyAlignment="1">
      <alignment horizontal="center" vertical="center"/>
    </xf>
    <xf numFmtId="0" fontId="18" fillId="0" borderId="85" xfId="22" applyNumberFormat="1" applyBorder="1"/>
    <xf numFmtId="0" fontId="125" fillId="0" borderId="20" xfId="20" applyNumberFormat="1" applyFont="1" applyBorder="1" applyAlignment="1">
      <alignment horizontal="center" vertical="center"/>
    </xf>
    <xf numFmtId="1" fontId="128" fillId="0" borderId="21" xfId="20" applyNumberFormat="1" applyFont="1" applyBorder="1" applyAlignment="1">
      <alignment horizontal="center" vertical="center"/>
    </xf>
    <xf numFmtId="1" fontId="128" fillId="0" borderId="22" xfId="20" applyNumberFormat="1" applyFont="1" applyBorder="1" applyAlignment="1">
      <alignment horizontal="center" vertical="center"/>
    </xf>
    <xf numFmtId="1" fontId="128" fillId="0" borderId="96" xfId="20" applyNumberFormat="1" applyFont="1" applyBorder="1" applyAlignment="1">
      <alignment horizontal="center" vertical="center"/>
    </xf>
    <xf numFmtId="0" fontId="125" fillId="0" borderId="23" xfId="20" applyNumberFormat="1" applyFont="1" applyBorder="1" applyAlignment="1">
      <alignment horizontal="right" vertical="center"/>
    </xf>
    <xf numFmtId="0" fontId="125" fillId="0" borderId="23" xfId="20" quotePrefix="1" applyNumberFormat="1" applyFont="1" applyBorder="1" applyAlignment="1">
      <alignment horizontal="right" vertical="center"/>
    </xf>
    <xf numFmtId="1" fontId="43" fillId="0" borderId="2" xfId="23" applyNumberFormat="1" applyFont="1" applyBorder="1" applyAlignment="1">
      <alignment horizontal="left" vertical="center" wrapText="1"/>
    </xf>
    <xf numFmtId="0" fontId="18" fillId="0" borderId="23" xfId="20" applyNumberFormat="1" applyFont="1" applyBorder="1"/>
    <xf numFmtId="0" fontId="18" fillId="0" borderId="23" xfId="20" quotePrefix="1" applyNumberFormat="1" applyFont="1" applyBorder="1" applyAlignment="1">
      <alignment horizontal="right"/>
    </xf>
    <xf numFmtId="0" fontId="18" fillId="0" borderId="23" xfId="20" applyNumberFormat="1" applyFont="1" applyBorder="1" applyAlignment="1">
      <alignment horizontal="right"/>
    </xf>
    <xf numFmtId="0" fontId="125" fillId="0" borderId="55" xfId="20" applyNumberFormat="1" applyFont="1" applyBorder="1" applyAlignment="1">
      <alignment horizontal="right" vertical="center"/>
    </xf>
    <xf numFmtId="0" fontId="43" fillId="0" borderId="19" xfId="20" applyNumberFormat="1" applyFont="1" applyBorder="1" applyAlignment="1">
      <alignment horizontal="left" vertical="center" indent="2"/>
    </xf>
    <xf numFmtId="0" fontId="33" fillId="0" borderId="85" xfId="20" applyNumberFormat="1" applyFont="1" applyBorder="1" applyAlignment="1">
      <alignment horizontal="center" vertical="center"/>
    </xf>
    <xf numFmtId="190" fontId="85" fillId="0" borderId="0" xfId="20" applyFont="1"/>
    <xf numFmtId="0" fontId="43" fillId="0" borderId="6" xfId="20" applyNumberFormat="1" applyFont="1" applyBorder="1" applyAlignment="1">
      <alignment horizontal="left" vertical="center"/>
    </xf>
    <xf numFmtId="190" fontId="128" fillId="11" borderId="0" xfId="20" applyFont="1" applyFill="1"/>
    <xf numFmtId="190" fontId="34" fillId="0" borderId="0" xfId="20" applyFont="1"/>
    <xf numFmtId="190" fontId="34" fillId="11" borderId="0" xfId="20" applyFont="1" applyFill="1"/>
    <xf numFmtId="0" fontId="33" fillId="0" borderId="20" xfId="20" applyNumberFormat="1" applyFont="1" applyBorder="1" applyAlignment="1">
      <alignment horizontal="left" vertical="center"/>
    </xf>
    <xf numFmtId="1" fontId="33" fillId="0" borderId="21" xfId="20" applyNumberFormat="1" applyFont="1" applyBorder="1" applyAlignment="1">
      <alignment horizontal="center" vertical="center"/>
    </xf>
    <xf numFmtId="1" fontId="33" fillId="0" borderId="22" xfId="20" applyNumberFormat="1" applyFont="1" applyBorder="1" applyAlignment="1">
      <alignment horizontal="center" vertical="center"/>
    </xf>
    <xf numFmtId="1" fontId="33" fillId="0" borderId="96" xfId="20" applyNumberFormat="1" applyFont="1" applyBorder="1" applyAlignment="1">
      <alignment horizontal="center" vertical="center"/>
    </xf>
    <xf numFmtId="190" fontId="34" fillId="4" borderId="0" xfId="20" applyFont="1" applyFill="1"/>
    <xf numFmtId="190" fontId="33" fillId="0" borderId="2" xfId="20" applyFont="1" applyBorder="1" applyAlignment="1">
      <alignment horizontal="left" vertical="center" wrapText="1"/>
    </xf>
    <xf numFmtId="1" fontId="33" fillId="0" borderId="2" xfId="20" applyNumberFormat="1" applyFont="1" applyBorder="1" applyAlignment="1">
      <alignment horizontal="center" vertical="center"/>
    </xf>
    <xf numFmtId="1" fontId="33" fillId="0" borderId="24" xfId="20" applyNumberFormat="1" applyFont="1" applyBorder="1" applyAlignment="1">
      <alignment horizontal="center" vertical="center"/>
    </xf>
    <xf numFmtId="1" fontId="33" fillId="0" borderId="92" xfId="20" applyNumberFormat="1" applyFont="1" applyBorder="1" applyAlignment="1">
      <alignment horizontal="center" vertical="center"/>
    </xf>
    <xf numFmtId="0" fontId="33" fillId="0" borderId="23" xfId="20" applyNumberFormat="1" applyFont="1" applyBorder="1" applyAlignment="1">
      <alignment horizontal="center" vertical="center"/>
    </xf>
    <xf numFmtId="190" fontId="33" fillId="0" borderId="2" xfId="20" applyFont="1" applyBorder="1" applyAlignment="1">
      <alignment horizontal="left" vertical="center" wrapText="1" indent="2"/>
    </xf>
    <xf numFmtId="0" fontId="33" fillId="0" borderId="23" xfId="20" applyNumberFormat="1" applyFont="1" applyBorder="1" applyAlignment="1">
      <alignment horizontal="right" vertical="center"/>
    </xf>
    <xf numFmtId="190" fontId="33" fillId="0" borderId="2" xfId="20" applyFont="1" applyBorder="1" applyAlignment="1">
      <alignment horizontal="left" vertical="center" wrapText="1" indent="3"/>
    </xf>
    <xf numFmtId="0" fontId="33" fillId="0" borderId="55" xfId="20" applyNumberFormat="1" applyFont="1" applyBorder="1" applyAlignment="1">
      <alignment horizontal="right" vertical="center"/>
    </xf>
    <xf numFmtId="190" fontId="33" fillId="0" borderId="19" xfId="20" applyFont="1" applyBorder="1" applyAlignment="1">
      <alignment horizontal="left" vertical="center" wrapText="1" indent="3"/>
    </xf>
    <xf numFmtId="1" fontId="33" fillId="0" borderId="19" xfId="20" applyNumberFormat="1" applyFont="1" applyBorder="1" applyAlignment="1">
      <alignment horizontal="center" vertical="center"/>
    </xf>
    <xf numFmtId="1" fontId="33" fillId="0" borderId="69" xfId="20" applyNumberFormat="1" applyFont="1" applyBorder="1" applyAlignment="1">
      <alignment horizontal="center" vertical="center"/>
    </xf>
    <xf numFmtId="1" fontId="33" fillId="0" borderId="99" xfId="20" applyNumberFormat="1" applyFont="1" applyBorder="1" applyAlignment="1">
      <alignment horizontal="center" vertical="center"/>
    </xf>
    <xf numFmtId="190" fontId="31" fillId="0" borderId="86" xfId="20" applyFont="1" applyBorder="1" applyAlignment="1">
      <alignment horizontal="left" vertical="center" wrapText="1"/>
    </xf>
    <xf numFmtId="0" fontId="33" fillId="0" borderId="0" xfId="20" applyNumberFormat="1" applyFont="1" applyAlignment="1">
      <alignment horizontal="center" vertical="center"/>
    </xf>
    <xf numFmtId="190" fontId="33" fillId="0" borderId="0" xfId="20" applyFont="1" applyAlignment="1">
      <alignment horizontal="left" vertical="center" wrapText="1"/>
    </xf>
    <xf numFmtId="0" fontId="34" fillId="0" borderId="100" xfId="22" applyNumberFormat="1" applyFont="1" applyBorder="1" applyAlignment="1">
      <alignment horizontal="center" vertical="center"/>
    </xf>
    <xf numFmtId="1" fontId="34" fillId="0" borderId="100" xfId="22" applyNumberFormat="1" applyFont="1" applyBorder="1" applyAlignment="1">
      <alignment horizontal="center" vertical="center"/>
    </xf>
    <xf numFmtId="0" fontId="33" fillId="12" borderId="0" xfId="20" applyNumberFormat="1" applyFont="1" applyFill="1" applyAlignment="1">
      <alignment horizontal="center" vertical="center"/>
    </xf>
    <xf numFmtId="190" fontId="43" fillId="0" borderId="47" xfId="23" applyFont="1" applyBorder="1" applyAlignment="1">
      <alignment horizontal="left" vertical="center" wrapText="1"/>
    </xf>
    <xf numFmtId="0" fontId="128" fillId="0" borderId="21" xfId="20" applyNumberFormat="1" applyFont="1" applyBorder="1" applyAlignment="1">
      <alignment horizontal="center"/>
    </xf>
    <xf numFmtId="0" fontId="128" fillId="0" borderId="22" xfId="20" applyNumberFormat="1" applyFont="1" applyBorder="1" applyAlignment="1">
      <alignment horizontal="center"/>
    </xf>
    <xf numFmtId="0" fontId="128" fillId="0" borderId="96" xfId="20" applyNumberFormat="1" applyFont="1" applyBorder="1" applyAlignment="1">
      <alignment horizontal="center"/>
    </xf>
    <xf numFmtId="190" fontId="43" fillId="0" borderId="8" xfId="23" applyFont="1" applyBorder="1" applyAlignment="1">
      <alignment horizontal="left" vertical="center" wrapText="1" indent="2"/>
    </xf>
    <xf numFmtId="190" fontId="43" fillId="0" borderId="8" xfId="23" applyFont="1" applyBorder="1" applyAlignment="1">
      <alignment horizontal="left" vertical="center" wrapText="1"/>
    </xf>
    <xf numFmtId="0" fontId="18" fillId="0" borderId="2" xfId="20" applyNumberFormat="1" applyFont="1" applyBorder="1" applyAlignment="1">
      <alignment horizontal="center"/>
    </xf>
    <xf numFmtId="0" fontId="18" fillId="0" borderId="24" xfId="20" applyNumberFormat="1" applyFont="1" applyBorder="1" applyAlignment="1">
      <alignment horizontal="center"/>
    </xf>
    <xf numFmtId="0" fontId="18" fillId="0" borderId="92" xfId="20" applyNumberFormat="1" applyFont="1" applyBorder="1" applyAlignment="1">
      <alignment horizontal="center"/>
    </xf>
    <xf numFmtId="190" fontId="125" fillId="0" borderId="8" xfId="20" applyFont="1" applyBorder="1" applyAlignment="1">
      <alignment horizontal="left" vertical="center" wrapText="1" indent="3"/>
    </xf>
    <xf numFmtId="190" fontId="43" fillId="0" borderId="8" xfId="23" applyFont="1" applyBorder="1" applyAlignment="1">
      <alignment horizontal="left" vertical="center" wrapText="1" indent="3"/>
    </xf>
    <xf numFmtId="190" fontId="43" fillId="0" borderId="8" xfId="23" applyFont="1" applyBorder="1" applyAlignment="1">
      <alignment horizontal="left" vertical="center" wrapText="1" indent="4"/>
    </xf>
    <xf numFmtId="0" fontId="43" fillId="0" borderId="23" xfId="22" applyNumberFormat="1" applyFont="1" applyBorder="1" applyAlignment="1">
      <alignment horizontal="center" vertical="center"/>
    </xf>
    <xf numFmtId="190" fontId="43" fillId="0" borderId="8" xfId="23" applyFont="1" applyBorder="1" applyAlignment="1">
      <alignment horizontal="left" vertical="top" wrapText="1" indent="4"/>
    </xf>
    <xf numFmtId="190" fontId="43" fillId="0" borderId="8" xfId="23" applyFont="1" applyBorder="1" applyAlignment="1">
      <alignment horizontal="left" vertical="center" indent="3"/>
    </xf>
    <xf numFmtId="190" fontId="43" fillId="0" borderId="8" xfId="23" applyFont="1" applyBorder="1" applyAlignment="1">
      <alignment horizontal="left" wrapText="1" indent="3"/>
    </xf>
    <xf numFmtId="190" fontId="125" fillId="0" borderId="8" xfId="22" applyFont="1" applyBorder="1" applyAlignment="1">
      <alignment horizontal="left" vertical="center" wrapText="1" indent="3"/>
    </xf>
    <xf numFmtId="190" fontId="125" fillId="0" borderId="54" xfId="20" applyFont="1" applyBorder="1" applyAlignment="1">
      <alignment horizontal="left" vertical="center" wrapText="1" indent="3"/>
    </xf>
    <xf numFmtId="190" fontId="125" fillId="0" borderId="88" xfId="20" applyFont="1" applyBorder="1" applyAlignment="1">
      <alignment horizontal="left" vertical="center" wrapText="1"/>
    </xf>
    <xf numFmtId="0" fontId="36" fillId="0" borderId="23" xfId="20" applyNumberFormat="1" applyFont="1" applyBorder="1" applyAlignment="1">
      <alignment horizontal="center" vertical="center"/>
    </xf>
    <xf numFmtId="190" fontId="18" fillId="0" borderId="2" xfId="23" applyBorder="1" applyAlignment="1">
      <alignment horizontal="right" vertical="center" wrapText="1"/>
    </xf>
    <xf numFmtId="0" fontId="18" fillId="0" borderId="2" xfId="20" applyNumberFormat="1" applyFont="1" applyBorder="1" applyAlignment="1">
      <alignment horizontal="right" vertical="center" wrapText="1"/>
    </xf>
    <xf numFmtId="0" fontId="36" fillId="0" borderId="55" xfId="20" applyNumberFormat="1" applyFont="1" applyBorder="1" applyAlignment="1">
      <alignment horizontal="center" vertical="center"/>
    </xf>
    <xf numFmtId="0" fontId="18" fillId="0" borderId="19" xfId="20" applyNumberFormat="1" applyFont="1" applyBorder="1" applyAlignment="1">
      <alignment horizontal="right" vertical="center" wrapText="1"/>
    </xf>
    <xf numFmtId="190" fontId="67" fillId="0" borderId="86" xfId="23" applyFont="1" applyBorder="1" applyAlignment="1">
      <alignment horizontal="left" vertical="center" wrapText="1"/>
    </xf>
    <xf numFmtId="179" fontId="12" fillId="0" borderId="20" xfId="21" applyNumberFormat="1" applyBorder="1" applyAlignment="1">
      <alignment vertical="center"/>
    </xf>
    <xf numFmtId="179" fontId="12" fillId="0" borderId="23" xfId="21" applyNumberFormat="1" applyBorder="1" applyAlignment="1">
      <alignment vertical="center"/>
    </xf>
    <xf numFmtId="179" fontId="12" fillId="0" borderId="25" xfId="21" applyNumberFormat="1" applyBorder="1" applyAlignment="1">
      <alignment vertical="center"/>
    </xf>
    <xf numFmtId="0" fontId="52" fillId="10" borderId="68" xfId="21" applyFont="1" applyFill="1" applyBorder="1" applyAlignment="1">
      <alignment vertical="center" wrapText="1" readingOrder="2"/>
    </xf>
    <xf numFmtId="0" fontId="52" fillId="4" borderId="28" xfId="21" applyFont="1" applyFill="1" applyBorder="1" applyAlignment="1">
      <alignment vertical="center" wrapText="1" readingOrder="2"/>
    </xf>
    <xf numFmtId="179" fontId="34" fillId="0" borderId="0" xfId="21" applyNumberFormat="1" applyFont="1" applyAlignment="1">
      <alignment horizontal="center" vertical="center" wrapText="1" readingOrder="1"/>
    </xf>
    <xf numFmtId="0" fontId="0" fillId="0" borderId="2" xfId="0" applyBorder="1"/>
    <xf numFmtId="0" fontId="81" fillId="3" borderId="0" xfId="0" applyFont="1" applyFill="1" applyAlignment="1">
      <alignment wrapText="1"/>
    </xf>
    <xf numFmtId="0" fontId="34" fillId="3" borderId="2" xfId="5" applyFont="1" applyFill="1" applyBorder="1" applyAlignment="1">
      <alignment horizontal="center" vertical="center"/>
    </xf>
    <xf numFmtId="0" fontId="34" fillId="3" borderId="2" xfId="5" applyFont="1" applyFill="1" applyBorder="1" applyAlignment="1">
      <alignment horizontal="center"/>
    </xf>
    <xf numFmtId="0" fontId="0" fillId="0" borderId="43" xfId="0" applyBorder="1" applyAlignment="1">
      <alignment wrapText="1"/>
    </xf>
    <xf numFmtId="0" fontId="0" fillId="0" borderId="8" xfId="0" applyBorder="1" applyAlignment="1">
      <alignment wrapText="1"/>
    </xf>
    <xf numFmtId="0" fontId="0" fillId="0" borderId="8" xfId="0" applyBorder="1" applyAlignment="1">
      <alignment horizontal="right" readingOrder="2"/>
    </xf>
    <xf numFmtId="0" fontId="0" fillId="0" borderId="8" xfId="0" applyBorder="1"/>
    <xf numFmtId="0" fontId="0" fillId="0" borderId="2" xfId="0" applyBorder="1" applyAlignment="1">
      <alignment wrapText="1"/>
    </xf>
    <xf numFmtId="168" fontId="0" fillId="0" borderId="2" xfId="3" applyNumberFormat="1" applyFont="1" applyBorder="1"/>
    <xf numFmtId="169" fontId="0" fillId="0" borderId="2" xfId="3" applyNumberFormat="1" applyFont="1" applyBorder="1"/>
    <xf numFmtId="3" fontId="102" fillId="0" borderId="23" xfId="17" applyNumberFormat="1" applyFont="1" applyBorder="1" applyAlignment="1">
      <alignment horizontal="center" vertical="center" wrapText="1"/>
    </xf>
    <xf numFmtId="3" fontId="102" fillId="0" borderId="2" xfId="17" applyNumberFormat="1" applyFont="1" applyBorder="1" applyAlignment="1">
      <alignment horizontal="center" vertical="center" wrapText="1"/>
    </xf>
    <xf numFmtId="3" fontId="99" fillId="0" borderId="21" xfId="17" applyNumberFormat="1" applyFont="1" applyBorder="1" applyAlignment="1">
      <alignment horizontal="center" vertical="center" wrapText="1"/>
    </xf>
    <xf numFmtId="3" fontId="99" fillId="0" borderId="2" xfId="17" applyNumberFormat="1" applyFont="1" applyBorder="1" applyAlignment="1">
      <alignment horizontal="center" vertical="center" wrapText="1"/>
    </xf>
    <xf numFmtId="178" fontId="76" fillId="0" borderId="2" xfId="17" applyFont="1" applyBorder="1" applyAlignment="1">
      <alignment horizontal="center" vertical="center" wrapText="1"/>
    </xf>
    <xf numFmtId="3" fontId="55" fillId="0" borderId="2" xfId="17" applyNumberFormat="1" applyFont="1" applyBorder="1" applyAlignment="1">
      <alignment horizontal="center" vertical="center" wrapText="1"/>
    </xf>
    <xf numFmtId="3" fontId="55" fillId="0" borderId="26" xfId="17" applyNumberFormat="1" applyFont="1" applyBorder="1" applyAlignment="1">
      <alignment horizontal="center" vertical="center" wrapText="1"/>
    </xf>
    <xf numFmtId="3" fontId="56" fillId="0" borderId="2" xfId="17" applyNumberFormat="1" applyFont="1" applyBorder="1" applyAlignment="1">
      <alignment horizontal="center" vertical="center" wrapText="1"/>
    </xf>
    <xf numFmtId="179" fontId="56" fillId="0" borderId="2" xfId="17" applyNumberFormat="1" applyFont="1" applyBorder="1" applyAlignment="1">
      <alignment horizontal="center" vertical="center" wrapText="1"/>
    </xf>
    <xf numFmtId="178" fontId="55" fillId="0" borderId="26" xfId="17" applyFont="1" applyBorder="1" applyAlignment="1">
      <alignment horizontal="center" vertical="center" wrapText="1"/>
    </xf>
    <xf numFmtId="3" fontId="56" fillId="0" borderId="19" xfId="17" applyNumberFormat="1" applyFont="1" applyBorder="1" applyAlignment="1">
      <alignment horizontal="center" vertical="center" wrapText="1"/>
    </xf>
    <xf numFmtId="178" fontId="56" fillId="0" borderId="2" xfId="17" applyFont="1" applyBorder="1" applyAlignment="1">
      <alignment horizontal="center" vertical="center" wrapText="1"/>
    </xf>
    <xf numFmtId="178" fontId="18" fillId="0" borderId="0" xfId="10" applyAlignment="1">
      <alignment horizontal="center" vertical="top"/>
    </xf>
    <xf numFmtId="178" fontId="74" fillId="0" borderId="0" xfId="10" applyFont="1" applyAlignment="1">
      <alignment vertical="center" wrapText="1"/>
    </xf>
    <xf numFmtId="165" fontId="74" fillId="0" borderId="0" xfId="10" applyNumberFormat="1" applyFont="1" applyAlignment="1">
      <alignment vertical="center" wrapText="1"/>
    </xf>
    <xf numFmtId="178" fontId="55" fillId="0" borderId="0" xfId="17" applyFont="1"/>
    <xf numFmtId="178" fontId="80" fillId="0" borderId="0" xfId="10" applyFont="1" applyAlignment="1">
      <alignment vertical="center" wrapText="1"/>
    </xf>
    <xf numFmtId="178" fontId="81" fillId="0" borderId="0" xfId="17" applyFont="1"/>
    <xf numFmtId="178" fontId="79" fillId="0" borderId="0" xfId="10" applyFont="1" applyAlignment="1">
      <alignment horizontal="right" vertical="center" wrapText="1"/>
    </xf>
    <xf numFmtId="178" fontId="82" fillId="0" borderId="0" xfId="10" applyFont="1" applyAlignment="1">
      <alignment vertical="center"/>
    </xf>
    <xf numFmtId="178" fontId="83" fillId="0" borderId="0" xfId="10" quotePrefix="1" applyFont="1" applyAlignment="1">
      <alignment vertical="top"/>
    </xf>
    <xf numFmtId="178" fontId="84" fillId="0" borderId="36" xfId="17" applyFont="1" applyBorder="1" applyAlignment="1">
      <alignment vertical="top" wrapText="1" readingOrder="2"/>
    </xf>
    <xf numFmtId="178" fontId="85" fillId="0" borderId="33" xfId="10" applyFont="1" applyBorder="1" applyAlignment="1">
      <alignment vertical="center" wrapText="1"/>
    </xf>
    <xf numFmtId="178" fontId="18" fillId="0" borderId="0" xfId="10" quotePrefix="1"/>
    <xf numFmtId="178" fontId="83" fillId="0" borderId="0" xfId="10" quotePrefix="1" applyFont="1"/>
    <xf numFmtId="49" fontId="18" fillId="0" borderId="33" xfId="10" applyNumberFormat="1" applyBorder="1" applyAlignment="1">
      <alignment horizontal="center" vertical="center"/>
    </xf>
    <xf numFmtId="49" fontId="18" fillId="0" borderId="0" xfId="10" applyNumberFormat="1" applyAlignment="1">
      <alignment horizontal="center" vertical="center"/>
    </xf>
    <xf numFmtId="15" fontId="18" fillId="0" borderId="0" xfId="10" applyNumberFormat="1" applyAlignment="1">
      <alignment vertical="center"/>
    </xf>
    <xf numFmtId="178" fontId="42" fillId="0" borderId="0" xfId="10" applyFont="1" applyAlignment="1">
      <alignment horizontal="center" vertical="center"/>
    </xf>
    <xf numFmtId="178" fontId="73" fillId="0" borderId="28" xfId="10" applyFont="1" applyBorder="1" applyAlignment="1">
      <alignment vertical="center" wrapText="1"/>
    </xf>
    <xf numFmtId="178" fontId="73" fillId="0" borderId="29" xfId="10" applyFont="1" applyBorder="1" applyAlignment="1">
      <alignment vertical="center" wrapText="1"/>
    </xf>
    <xf numFmtId="178" fontId="74" fillId="0" borderId="29" xfId="10" applyFont="1" applyBorder="1" applyAlignment="1">
      <alignment vertical="center" wrapText="1"/>
    </xf>
    <xf numFmtId="178" fontId="74" fillId="0" borderId="32" xfId="10" applyFont="1" applyBorder="1" applyAlignment="1">
      <alignment vertical="center" wrapText="1"/>
    </xf>
    <xf numFmtId="178" fontId="86" fillId="0" borderId="0" xfId="10" applyFont="1" applyAlignment="1">
      <alignment vertical="center" wrapText="1"/>
    </xf>
    <xf numFmtId="178" fontId="87" fillId="0" borderId="0" xfId="17" applyFont="1"/>
    <xf numFmtId="178" fontId="85" fillId="0" borderId="36" xfId="10" applyFont="1" applyBorder="1" applyAlignment="1">
      <alignment horizontal="left" vertical="center"/>
    </xf>
    <xf numFmtId="178" fontId="88" fillId="0" borderId="0" xfId="10" applyFont="1" applyAlignment="1">
      <alignment vertical="center" wrapText="1"/>
    </xf>
    <xf numFmtId="178" fontId="89" fillId="0" borderId="0" xfId="10" applyFont="1"/>
    <xf numFmtId="178" fontId="90" fillId="0" borderId="0" xfId="10" applyFont="1"/>
    <xf numFmtId="179" fontId="85" fillId="0" borderId="36" xfId="10" applyNumberFormat="1" applyFont="1" applyBorder="1" applyAlignment="1">
      <alignment horizontal="left"/>
    </xf>
    <xf numFmtId="178" fontId="90" fillId="0" borderId="0" xfId="10" applyFont="1" applyAlignment="1">
      <alignment horizontal="right" vertical="top" wrapText="1"/>
    </xf>
    <xf numFmtId="178" fontId="24" fillId="0" borderId="0" xfId="17" applyFont="1"/>
    <xf numFmtId="178" fontId="24" fillId="0" borderId="0" xfId="17" applyFont="1" applyAlignment="1">
      <alignment readingOrder="2"/>
    </xf>
    <xf numFmtId="178" fontId="89" fillId="0" borderId="0" xfId="10" applyFont="1" applyAlignment="1">
      <alignment vertical="center"/>
    </xf>
    <xf numFmtId="178" fontId="89" fillId="0" borderId="0" xfId="10" applyFont="1" applyAlignment="1">
      <alignment horizontal="center" vertical="center"/>
    </xf>
    <xf numFmtId="179" fontId="74" fillId="0" borderId="36" xfId="10" applyNumberFormat="1" applyFont="1" applyBorder="1" applyAlignment="1">
      <alignment horizontal="left" vertical="center" wrapText="1"/>
    </xf>
    <xf numFmtId="4" fontId="90" fillId="0" borderId="0" xfId="10" applyNumberFormat="1" applyFont="1" applyAlignment="1">
      <alignment vertical="center"/>
    </xf>
    <xf numFmtId="180" fontId="91" fillId="0" borderId="0" xfId="17" applyNumberFormat="1" applyFont="1"/>
    <xf numFmtId="10" fontId="92" fillId="0" borderId="0" xfId="10" applyNumberFormat="1" applyFont="1" applyAlignment="1">
      <alignment vertical="center"/>
    </xf>
    <xf numFmtId="182" fontId="91" fillId="0" borderId="0" xfId="17" applyNumberFormat="1" applyFont="1"/>
    <xf numFmtId="0" fontId="24" fillId="0" borderId="0" xfId="17" applyNumberFormat="1" applyFont="1" applyAlignment="1">
      <alignment vertical="top" wrapText="1"/>
    </xf>
    <xf numFmtId="179" fontId="85" fillId="0" borderId="36" xfId="10" applyNumberFormat="1" applyFont="1" applyBorder="1" applyAlignment="1">
      <alignment horizontal="left" readingOrder="2"/>
    </xf>
    <xf numFmtId="0" fontId="24" fillId="0" borderId="0" xfId="17" applyNumberFormat="1" applyFont="1" applyAlignment="1">
      <alignment vertical="top"/>
    </xf>
    <xf numFmtId="178" fontId="85" fillId="0" borderId="36" xfId="10" applyFont="1" applyBorder="1" applyAlignment="1">
      <alignment horizontal="left"/>
    </xf>
    <xf numFmtId="178" fontId="93" fillId="0" borderId="0" xfId="10" applyFont="1" applyAlignment="1">
      <alignment vertical="center" wrapText="1"/>
    </xf>
    <xf numFmtId="178" fontId="67" fillId="0" borderId="0" xfId="10" applyFont="1"/>
    <xf numFmtId="180" fontId="90" fillId="0" borderId="0" xfId="10" applyNumberFormat="1" applyFont="1" applyAlignment="1">
      <alignment vertical="center"/>
    </xf>
    <xf numFmtId="178" fontId="85" fillId="0" borderId="0" xfId="10" applyFont="1"/>
    <xf numFmtId="178" fontId="18" fillId="0" borderId="0" xfId="10" applyAlignment="1">
      <alignment readingOrder="2"/>
    </xf>
    <xf numFmtId="178" fontId="67" fillId="0" borderId="33" xfId="10" applyFont="1" applyBorder="1" applyAlignment="1">
      <alignment vertical="center"/>
    </xf>
    <xf numFmtId="178" fontId="67" fillId="0" borderId="0" xfId="10" applyFont="1" applyAlignment="1">
      <alignment vertical="center" wrapText="1"/>
    </xf>
    <xf numFmtId="178" fontId="67" fillId="0" borderId="0" xfId="10" applyFont="1" applyAlignment="1">
      <alignment vertical="center"/>
    </xf>
    <xf numFmtId="178" fontId="67" fillId="0" borderId="36" xfId="10" applyFont="1" applyBorder="1" applyAlignment="1">
      <alignment vertical="center" wrapText="1"/>
    </xf>
    <xf numFmtId="178" fontId="95" fillId="0" borderId="0" xfId="17" applyFont="1" applyAlignment="1">
      <alignment vertical="center"/>
    </xf>
    <xf numFmtId="178" fontId="82" fillId="0" borderId="65" xfId="10" applyFont="1" applyBorder="1" applyAlignment="1">
      <alignment horizontal="center" vertical="center"/>
    </xf>
    <xf numFmtId="49" fontId="82" fillId="0" borderId="0" xfId="10" applyNumberFormat="1" applyFont="1" applyAlignment="1">
      <alignment vertical="center"/>
    </xf>
    <xf numFmtId="178" fontId="82" fillId="0" borderId="24" xfId="10" applyFont="1" applyBorder="1" applyAlignment="1">
      <alignment horizontal="center" vertical="center"/>
    </xf>
    <xf numFmtId="178" fontId="18" fillId="0" borderId="27" xfId="10" applyBorder="1"/>
    <xf numFmtId="0" fontId="24" fillId="0" borderId="64" xfId="17" applyNumberFormat="1" applyFont="1" applyBorder="1" applyAlignment="1">
      <alignment horizontal="center" vertical="center" wrapText="1"/>
    </xf>
    <xf numFmtId="183" fontId="24" fillId="0" borderId="2" xfId="17" applyNumberFormat="1" applyFont="1" applyBorder="1" applyAlignment="1">
      <alignment horizontal="center" vertical="center"/>
    </xf>
    <xf numFmtId="4" fontId="24" fillId="0" borderId="2" xfId="17" applyNumberFormat="1" applyFont="1" applyBorder="1" applyAlignment="1">
      <alignment horizontal="center" vertical="center"/>
    </xf>
    <xf numFmtId="4" fontId="24" fillId="0" borderId="2" xfId="17" applyNumberFormat="1" applyFont="1" applyBorder="1" applyAlignment="1">
      <alignment horizontal="center"/>
    </xf>
    <xf numFmtId="180" fontId="24" fillId="0" borderId="2" xfId="17" applyNumberFormat="1" applyFont="1" applyBorder="1" applyAlignment="1">
      <alignment horizontal="center"/>
    </xf>
    <xf numFmtId="183" fontId="24" fillId="0" borderId="26" xfId="17" applyNumberFormat="1" applyFont="1" applyBorder="1" applyAlignment="1">
      <alignment horizontal="center"/>
    </xf>
    <xf numFmtId="183" fontId="24" fillId="0" borderId="0" xfId="17" applyNumberFormat="1" applyFont="1"/>
    <xf numFmtId="3" fontId="108" fillId="0" borderId="42" xfId="14" applyNumberFormat="1" applyFont="1" applyBorder="1" applyAlignment="1">
      <alignment horizontal="center" vertical="center" wrapText="1"/>
    </xf>
    <xf numFmtId="178" fontId="99" fillId="0" borderId="64" xfId="17" applyFont="1" applyBorder="1" applyAlignment="1">
      <alignment horizontal="center" vertical="center" wrapText="1"/>
    </xf>
    <xf numFmtId="3" fontId="99" fillId="0" borderId="64" xfId="17" applyNumberFormat="1" applyFont="1" applyBorder="1" applyAlignment="1">
      <alignment horizontal="center" vertical="center" wrapText="1"/>
    </xf>
    <xf numFmtId="0" fontId="99" fillId="0" borderId="65" xfId="17" applyNumberFormat="1" applyFont="1" applyBorder="1" applyAlignment="1">
      <alignment horizontal="center" vertical="center" wrapText="1"/>
    </xf>
    <xf numFmtId="178" fontId="55" fillId="0" borderId="23" xfId="17" applyFont="1" applyBorder="1" applyAlignment="1">
      <alignment horizontal="center" wrapText="1"/>
    </xf>
    <xf numFmtId="178" fontId="55" fillId="0" borderId="10" xfId="17" applyFont="1" applyBorder="1" applyAlignment="1">
      <alignment horizontal="center" wrapText="1"/>
    </xf>
    <xf numFmtId="178" fontId="55" fillId="0" borderId="2" xfId="17" applyFont="1" applyBorder="1" applyAlignment="1">
      <alignment horizontal="center" vertical="center" wrapText="1"/>
    </xf>
    <xf numFmtId="0" fontId="55" fillId="0" borderId="24" xfId="17" applyNumberFormat="1" applyFont="1" applyBorder="1" applyAlignment="1">
      <alignment horizontal="center" vertical="center" wrapText="1"/>
    </xf>
    <xf numFmtId="3" fontId="55" fillId="0" borderId="23" xfId="17" applyNumberFormat="1" applyFont="1" applyBorder="1" applyAlignment="1">
      <alignment horizontal="center" vertical="center" wrapText="1"/>
    </xf>
    <xf numFmtId="3" fontId="55" fillId="0" borderId="10" xfId="17" applyNumberFormat="1" applyFont="1" applyBorder="1" applyAlignment="1">
      <alignment horizontal="center" vertical="center" wrapText="1"/>
    </xf>
    <xf numFmtId="165" fontId="55" fillId="0" borderId="2" xfId="17" applyNumberFormat="1" applyFont="1" applyBorder="1" applyAlignment="1">
      <alignment horizontal="center" vertical="center" wrapText="1"/>
    </xf>
    <xf numFmtId="165" fontId="12" fillId="0" borderId="2" xfId="17" applyNumberFormat="1" applyBorder="1" applyAlignment="1">
      <alignment horizontal="center" vertical="center" wrapText="1"/>
    </xf>
    <xf numFmtId="179" fontId="56" fillId="0" borderId="24" xfId="17" applyNumberFormat="1" applyFont="1" applyBorder="1" applyAlignment="1">
      <alignment horizontal="center" vertical="center" wrapText="1"/>
    </xf>
    <xf numFmtId="178" fontId="99" fillId="0" borderId="2" xfId="17" applyFont="1" applyBorder="1" applyAlignment="1">
      <alignment horizontal="center" vertical="center" wrapText="1"/>
    </xf>
    <xf numFmtId="165" fontId="56" fillId="0" borderId="2" xfId="17" applyNumberFormat="1" applyFont="1" applyBorder="1" applyAlignment="1">
      <alignment horizontal="center" vertical="center" wrapText="1"/>
    </xf>
    <xf numFmtId="178" fontId="12" fillId="0" borderId="2" xfId="17" applyBorder="1" applyAlignment="1">
      <alignment horizontal="center" vertical="center" wrapText="1"/>
    </xf>
    <xf numFmtId="3" fontId="55" fillId="0" borderId="55" xfId="17" applyNumberFormat="1" applyFont="1" applyBorder="1" applyAlignment="1">
      <alignment horizontal="center" vertical="center" wrapText="1"/>
    </xf>
    <xf numFmtId="178" fontId="12" fillId="0" borderId="19" xfId="17" applyBorder="1" applyAlignment="1">
      <alignment horizontal="center" vertical="center" wrapText="1"/>
    </xf>
    <xf numFmtId="178" fontId="12" fillId="0" borderId="2" xfId="17" applyBorder="1" applyAlignment="1">
      <alignment horizontal="center" vertical="center"/>
    </xf>
    <xf numFmtId="189" fontId="8" fillId="0" borderId="0" xfId="17" applyNumberFormat="1" applyFont="1"/>
    <xf numFmtId="3" fontId="55" fillId="0" borderId="85" xfId="17" applyNumberFormat="1" applyFont="1" applyBorder="1" applyAlignment="1">
      <alignment horizontal="center" vertical="center" wrapText="1"/>
    </xf>
    <xf numFmtId="178" fontId="12" fillId="0" borderId="86" xfId="17" applyBorder="1" applyAlignment="1">
      <alignment horizontal="center" vertical="center"/>
    </xf>
    <xf numFmtId="3" fontId="12" fillId="0" borderId="86" xfId="17" applyNumberFormat="1" applyBorder="1" applyAlignment="1">
      <alignment horizontal="center" vertical="center"/>
    </xf>
    <xf numFmtId="0" fontId="12" fillId="0" borderId="87" xfId="17" applyNumberFormat="1" applyBorder="1" applyAlignment="1">
      <alignment horizontal="center" vertical="center"/>
    </xf>
    <xf numFmtId="178" fontId="18" fillId="0" borderId="0" xfId="10" applyAlignment="1">
      <alignment wrapText="1"/>
    </xf>
    <xf numFmtId="3" fontId="12" fillId="0" borderId="0" xfId="17" applyNumberFormat="1" applyAlignment="1">
      <alignment horizontal="center" vertical="center"/>
    </xf>
    <xf numFmtId="0" fontId="12" fillId="0" borderId="0" xfId="17" applyNumberFormat="1" applyAlignment="1">
      <alignment horizontal="center" vertical="center"/>
    </xf>
    <xf numFmtId="178" fontId="99" fillId="0" borderId="85" xfId="17" applyFont="1" applyBorder="1" applyAlignment="1">
      <alignment horizontal="center" vertical="center" wrapText="1"/>
    </xf>
    <xf numFmtId="178" fontId="99" fillId="0" borderId="86" xfId="17" applyFont="1" applyBorder="1" applyAlignment="1">
      <alignment horizontal="center" vertical="center" wrapText="1"/>
    </xf>
    <xf numFmtId="3" fontId="99" fillId="0" borderId="86" xfId="17" applyNumberFormat="1" applyFont="1" applyBorder="1" applyAlignment="1">
      <alignment horizontal="center" vertical="center" wrapText="1"/>
    </xf>
    <xf numFmtId="1" fontId="99" fillId="0" borderId="87" xfId="17" applyNumberFormat="1" applyFont="1" applyBorder="1" applyAlignment="1">
      <alignment horizontal="center" vertical="center" wrapText="1"/>
    </xf>
    <xf numFmtId="178" fontId="55" fillId="0" borderId="63" xfId="17" applyFont="1" applyBorder="1" applyAlignment="1">
      <alignment horizontal="center" wrapText="1"/>
    </xf>
    <xf numFmtId="178" fontId="55" fillId="0" borderId="72" xfId="17" applyFont="1" applyBorder="1" applyAlignment="1">
      <alignment horizontal="center" wrapText="1"/>
    </xf>
    <xf numFmtId="178" fontId="55" fillId="0" borderId="64" xfId="17" applyFont="1" applyBorder="1" applyAlignment="1">
      <alignment horizontal="center" vertical="center" wrapText="1"/>
    </xf>
    <xf numFmtId="1" fontId="55" fillId="0" borderId="65" xfId="17" applyNumberFormat="1" applyFont="1" applyBorder="1" applyAlignment="1">
      <alignment horizontal="center" vertical="center" wrapText="1"/>
    </xf>
    <xf numFmtId="165" fontId="101" fillId="0" borderId="2" xfId="17" applyNumberFormat="1" applyFont="1" applyBorder="1" applyAlignment="1">
      <alignment horizontal="center" vertical="center"/>
    </xf>
    <xf numFmtId="1" fontId="56" fillId="0" borderId="24" xfId="17" applyNumberFormat="1" applyFont="1" applyBorder="1" applyAlignment="1">
      <alignment horizontal="center" vertical="center" wrapText="1"/>
    </xf>
    <xf numFmtId="1" fontId="55" fillId="0" borderId="24" xfId="17" applyNumberFormat="1" applyFont="1" applyBorder="1" applyAlignment="1">
      <alignment horizontal="center" vertical="center" wrapText="1"/>
    </xf>
    <xf numFmtId="178" fontId="12" fillId="0" borderId="23" xfId="17" applyBorder="1"/>
    <xf numFmtId="1" fontId="56" fillId="0" borderId="24" xfId="17" applyNumberFormat="1" applyFont="1" applyBorder="1" applyAlignment="1">
      <alignment horizontal="center" vertical="center" wrapText="1" readingOrder="2"/>
    </xf>
    <xf numFmtId="3" fontId="55" fillId="0" borderId="25" xfId="17" applyNumberFormat="1" applyFont="1" applyBorder="1" applyAlignment="1">
      <alignment horizontal="center" vertical="center" wrapText="1"/>
    </xf>
    <xf numFmtId="178" fontId="8" fillId="0" borderId="26" xfId="17" applyFont="1" applyBorder="1" applyAlignment="1">
      <alignment horizontal="center" vertical="center"/>
    </xf>
    <xf numFmtId="3" fontId="8" fillId="0" borderId="26" xfId="17" applyNumberFormat="1" applyFont="1" applyBorder="1" applyAlignment="1">
      <alignment horizontal="center" vertical="center"/>
    </xf>
    <xf numFmtId="1" fontId="8" fillId="0" borderId="27" xfId="17" applyNumberFormat="1" applyFont="1" applyBorder="1" applyAlignment="1">
      <alignment horizontal="center" vertical="center"/>
    </xf>
    <xf numFmtId="1" fontId="12" fillId="0" borderId="0" xfId="17" applyNumberFormat="1" applyAlignment="1">
      <alignment horizontal="center" vertical="center"/>
    </xf>
    <xf numFmtId="178" fontId="102" fillId="0" borderId="23" xfId="17" applyFont="1" applyBorder="1" applyAlignment="1">
      <alignment horizontal="center" vertical="top" wrapText="1"/>
    </xf>
    <xf numFmtId="178" fontId="102" fillId="0" borderId="2" xfId="17" applyFont="1" applyBorder="1" applyAlignment="1">
      <alignment horizontal="center" vertical="center" wrapText="1"/>
    </xf>
    <xf numFmtId="178" fontId="102" fillId="0" borderId="24" xfId="17" applyFont="1" applyBorder="1" applyAlignment="1">
      <alignment horizontal="center" vertical="center" wrapText="1"/>
    </xf>
    <xf numFmtId="178" fontId="8" fillId="0" borderId="2" xfId="17" applyFont="1" applyBorder="1" applyAlignment="1">
      <alignment horizontal="center" vertical="center" wrapText="1"/>
    </xf>
    <xf numFmtId="0" fontId="85" fillId="0" borderId="24" xfId="17" applyNumberFormat="1" applyFont="1" applyBorder="1" applyAlignment="1">
      <alignment horizontal="center" vertical="center" wrapText="1"/>
    </xf>
    <xf numFmtId="165" fontId="8" fillId="0" borderId="0" xfId="17" applyNumberFormat="1" applyFont="1"/>
    <xf numFmtId="178" fontId="101" fillId="0" borderId="2" xfId="17" applyFont="1" applyBorder="1" applyAlignment="1">
      <alignment horizontal="center" vertical="center" wrapText="1" readingOrder="2"/>
    </xf>
    <xf numFmtId="3" fontId="85" fillId="0" borderId="55" xfId="17" applyNumberFormat="1" applyFont="1" applyBorder="1" applyAlignment="1">
      <alignment horizontal="center" vertical="center" wrapText="1"/>
    </xf>
    <xf numFmtId="3" fontId="85" fillId="0" borderId="19" xfId="17" applyNumberFormat="1" applyFont="1" applyBorder="1" applyAlignment="1">
      <alignment horizontal="center" vertical="center" wrapText="1"/>
    </xf>
    <xf numFmtId="3" fontId="85" fillId="0" borderId="85" xfId="17" applyNumberFormat="1" applyFont="1" applyBorder="1" applyAlignment="1">
      <alignment horizontal="center" vertical="center" wrapText="1"/>
    </xf>
    <xf numFmtId="178" fontId="8" fillId="0" borderId="86" xfId="17" applyFont="1" applyBorder="1" applyAlignment="1">
      <alignment horizontal="center" vertical="center"/>
    </xf>
    <xf numFmtId="3" fontId="8" fillId="0" borderId="86" xfId="17" applyNumberFormat="1" applyFont="1" applyBorder="1" applyAlignment="1">
      <alignment horizontal="center" vertical="center"/>
    </xf>
    <xf numFmtId="178" fontId="8" fillId="0" borderId="87" xfId="17" applyFont="1" applyBorder="1" applyAlignment="1">
      <alignment horizontal="center" vertical="center"/>
    </xf>
    <xf numFmtId="178" fontId="8" fillId="0" borderId="0" xfId="17" applyFont="1" applyAlignment="1">
      <alignment horizontal="center" vertical="center"/>
    </xf>
    <xf numFmtId="3" fontId="8" fillId="0" borderId="0" xfId="17" applyNumberFormat="1" applyFont="1" applyAlignment="1">
      <alignment horizontal="center" vertical="center"/>
    </xf>
    <xf numFmtId="178" fontId="99" fillId="0" borderId="20" xfId="17" applyFont="1" applyBorder="1" applyAlignment="1">
      <alignment horizontal="center" vertical="top" wrapText="1"/>
    </xf>
    <xf numFmtId="178" fontId="99" fillId="0" borderId="21" xfId="17" applyFont="1" applyBorder="1" applyAlignment="1">
      <alignment horizontal="center" vertical="center" wrapText="1"/>
    </xf>
    <xf numFmtId="178" fontId="99" fillId="0" borderId="22" xfId="17" applyFont="1" applyBorder="1" applyAlignment="1">
      <alignment horizontal="center" vertical="center" wrapText="1"/>
    </xf>
    <xf numFmtId="178" fontId="56" fillId="0" borderId="8" xfId="17" applyFont="1" applyBorder="1" applyAlignment="1">
      <alignment horizontal="right" vertical="top" wrapText="1"/>
    </xf>
    <xf numFmtId="178" fontId="56" fillId="0" borderId="10" xfId="17" applyFont="1" applyBorder="1" applyAlignment="1">
      <alignment horizontal="right" vertical="top" wrapText="1"/>
    </xf>
    <xf numFmtId="178" fontId="12" fillId="0" borderId="19" xfId="17" applyBorder="1" applyAlignment="1">
      <alignment horizontal="center" vertical="center"/>
    </xf>
    <xf numFmtId="0" fontId="8" fillId="0" borderId="87" xfId="17" applyNumberFormat="1" applyFont="1" applyBorder="1" applyAlignment="1">
      <alignment horizontal="center" vertical="center"/>
    </xf>
    <xf numFmtId="178" fontId="99" fillId="0" borderId="23" xfId="17" applyFont="1" applyBorder="1" applyAlignment="1">
      <alignment horizontal="center" vertical="top" wrapText="1"/>
    </xf>
    <xf numFmtId="178" fontId="99" fillId="0" borderId="24" xfId="17" applyFont="1" applyBorder="1" applyAlignment="1">
      <alignment horizontal="center" vertical="center" wrapText="1"/>
    </xf>
    <xf numFmtId="178" fontId="55" fillId="0" borderId="8" xfId="17" applyFont="1" applyBorder="1" applyAlignment="1">
      <alignment horizontal="center" vertical="center" wrapText="1"/>
    </xf>
    <xf numFmtId="178" fontId="56" fillId="0" borderId="10" xfId="17" applyFont="1" applyBorder="1" applyAlignment="1">
      <alignment horizontal="right" vertical="center" wrapText="1"/>
    </xf>
    <xf numFmtId="178" fontId="56" fillId="0" borderId="8" xfId="17" applyFont="1" applyBorder="1" applyAlignment="1">
      <alignment horizontal="center" vertical="center" wrapText="1"/>
    </xf>
    <xf numFmtId="178" fontId="12" fillId="0" borderId="8" xfId="17" applyBorder="1" applyAlignment="1">
      <alignment horizontal="center" vertical="center" wrapText="1"/>
    </xf>
    <xf numFmtId="178" fontId="56" fillId="0" borderId="10" xfId="17" applyFont="1" applyBorder="1" applyAlignment="1">
      <alignment horizontal="right" vertical="top" wrapText="1" readingOrder="2"/>
    </xf>
    <xf numFmtId="178" fontId="12" fillId="0" borderId="54" xfId="17" applyBorder="1" applyAlignment="1">
      <alignment horizontal="center" vertical="center" wrapText="1"/>
    </xf>
    <xf numFmtId="178" fontId="12" fillId="0" borderId="56" xfId="17" applyBorder="1" applyAlignment="1">
      <alignment horizontal="center" vertical="center" wrapText="1"/>
    </xf>
    <xf numFmtId="178" fontId="56" fillId="0" borderId="57" xfId="17" applyFont="1" applyBorder="1" applyAlignment="1">
      <alignment horizontal="right" vertical="top" wrapText="1"/>
    </xf>
    <xf numFmtId="0" fontId="56" fillId="0" borderId="27" xfId="17" applyNumberFormat="1" applyFont="1" applyBorder="1" applyAlignment="1">
      <alignment horizontal="center" vertical="center" wrapText="1"/>
    </xf>
    <xf numFmtId="185" fontId="101" fillId="0" borderId="2" xfId="17" applyNumberFormat="1" applyFont="1" applyBorder="1" applyAlignment="1">
      <alignment horizontal="center" vertical="center"/>
    </xf>
    <xf numFmtId="178" fontId="101" fillId="0" borderId="2" xfId="17" applyFont="1" applyBorder="1" applyAlignment="1">
      <alignment vertical="center" wrapText="1"/>
    </xf>
    <xf numFmtId="178" fontId="101" fillId="0" borderId="2" xfId="17" applyFont="1" applyBorder="1" applyAlignment="1">
      <alignment horizontal="center" vertical="center"/>
    </xf>
    <xf numFmtId="3" fontId="101" fillId="0" borderId="2" xfId="17" applyNumberFormat="1" applyFont="1" applyBorder="1" applyAlignment="1">
      <alignment horizontal="center" vertical="center"/>
    </xf>
    <xf numFmtId="178" fontId="99" fillId="0" borderId="20" xfId="17" applyFont="1" applyBorder="1" applyAlignment="1">
      <alignment horizontal="center" vertical="center" wrapText="1"/>
    </xf>
    <xf numFmtId="179" fontId="55" fillId="0" borderId="23" xfId="17" applyNumberFormat="1" applyFont="1" applyBorder="1" applyAlignment="1">
      <alignment horizontal="center" wrapText="1"/>
    </xf>
    <xf numFmtId="179" fontId="55" fillId="0" borderId="2" xfId="17" applyNumberFormat="1" applyFont="1" applyBorder="1" applyAlignment="1">
      <alignment horizontal="center" wrapText="1"/>
    </xf>
    <xf numFmtId="178" fontId="55" fillId="0" borderId="2" xfId="17" applyFont="1" applyBorder="1" applyAlignment="1">
      <alignment vertical="center" wrapText="1"/>
    </xf>
    <xf numFmtId="185" fontId="101" fillId="0" borderId="24" xfId="17" applyNumberFormat="1" applyFont="1" applyBorder="1" applyAlignment="1">
      <alignment horizontal="center" vertical="center"/>
    </xf>
    <xf numFmtId="0" fontId="101" fillId="0" borderId="24" xfId="17" applyNumberFormat="1" applyFont="1" applyBorder="1" applyAlignment="1">
      <alignment horizontal="center" vertical="center"/>
    </xf>
    <xf numFmtId="179" fontId="12" fillId="0" borderId="0" xfId="17" applyNumberFormat="1"/>
    <xf numFmtId="179" fontId="55" fillId="0" borderId="2" xfId="17" applyNumberFormat="1" applyFont="1" applyBorder="1" applyAlignment="1">
      <alignment wrapText="1"/>
    </xf>
    <xf numFmtId="0" fontId="101" fillId="0" borderId="25" xfId="17" applyNumberFormat="1" applyFont="1" applyBorder="1" applyAlignment="1">
      <alignment vertical="center" wrapText="1"/>
    </xf>
    <xf numFmtId="179" fontId="101" fillId="0" borderId="26" xfId="17" applyNumberFormat="1" applyFont="1" applyBorder="1" applyAlignment="1">
      <alignment vertical="center" wrapText="1"/>
    </xf>
    <xf numFmtId="0" fontId="101" fillId="0" borderId="26" xfId="17" applyNumberFormat="1" applyFont="1" applyBorder="1" applyAlignment="1">
      <alignment vertical="center" wrapText="1"/>
    </xf>
    <xf numFmtId="179" fontId="55" fillId="0" borderId="26" xfId="17" applyNumberFormat="1" applyFont="1" applyBorder="1" applyAlignment="1">
      <alignment wrapText="1"/>
    </xf>
    <xf numFmtId="178" fontId="55" fillId="0" borderId="26" xfId="17" applyFont="1" applyBorder="1" applyAlignment="1">
      <alignment vertical="center" wrapText="1"/>
    </xf>
    <xf numFmtId="185" fontId="101" fillId="0" borderId="27" xfId="17" applyNumberFormat="1" applyFont="1" applyBorder="1" applyAlignment="1">
      <alignment horizontal="center" vertical="center"/>
    </xf>
    <xf numFmtId="179" fontId="55" fillId="0" borderId="24" xfId="17" applyNumberFormat="1" applyFont="1" applyBorder="1" applyAlignment="1">
      <alignment horizontal="center" vertical="center" wrapText="1"/>
    </xf>
    <xf numFmtId="179" fontId="55" fillId="0" borderId="65" xfId="17" applyNumberFormat="1" applyFont="1" applyBorder="1" applyAlignment="1">
      <alignment horizontal="center" vertical="center" wrapText="1"/>
    </xf>
    <xf numFmtId="184" fontId="12" fillId="0" borderId="0" xfId="17" applyNumberFormat="1"/>
    <xf numFmtId="0" fontId="101" fillId="0" borderId="2" xfId="17" applyNumberFormat="1" applyFont="1" applyBorder="1" applyAlignment="1">
      <alignment horizontal="center" vertical="center"/>
    </xf>
    <xf numFmtId="3" fontId="55" fillId="0" borderId="45" xfId="17" applyNumberFormat="1" applyFont="1" applyBorder="1" applyAlignment="1">
      <alignment horizontal="center" vertical="center" wrapText="1"/>
    </xf>
    <xf numFmtId="178" fontId="12" fillId="0" borderId="44" xfId="17" applyBorder="1" applyAlignment="1">
      <alignment horizontal="center" vertical="center"/>
    </xf>
    <xf numFmtId="3" fontId="12" fillId="0" borderId="44" xfId="17" applyNumberFormat="1" applyBorder="1" applyAlignment="1">
      <alignment horizontal="center" vertical="center"/>
    </xf>
    <xf numFmtId="178" fontId="12" fillId="0" borderId="46" xfId="17" applyBorder="1" applyAlignment="1">
      <alignment horizontal="center" vertical="center"/>
    </xf>
    <xf numFmtId="165" fontId="99" fillId="0" borderId="20" xfId="17" applyNumberFormat="1" applyFont="1" applyBorder="1" applyAlignment="1">
      <alignment horizontal="center" vertical="top" wrapText="1"/>
    </xf>
    <xf numFmtId="165" fontId="99" fillId="0" borderId="21" xfId="17" applyNumberFormat="1" applyFont="1" applyBorder="1" applyAlignment="1">
      <alignment horizontal="center" vertical="center" wrapText="1"/>
    </xf>
    <xf numFmtId="165" fontId="99" fillId="0" borderId="22" xfId="17" applyNumberFormat="1" applyFont="1" applyBorder="1" applyAlignment="1">
      <alignment horizontal="center" vertical="center" wrapText="1"/>
    </xf>
    <xf numFmtId="165" fontId="55" fillId="0" borderId="23" xfId="17" applyNumberFormat="1" applyFont="1" applyBorder="1" applyAlignment="1">
      <alignment horizontal="center" wrapText="1"/>
    </xf>
    <xf numFmtId="165" fontId="55" fillId="0" borderId="10" xfId="17" applyNumberFormat="1" applyFont="1" applyBorder="1" applyAlignment="1">
      <alignment horizontal="center" wrapText="1"/>
    </xf>
    <xf numFmtId="165" fontId="55" fillId="0" borderId="24" xfId="17" applyNumberFormat="1" applyFont="1" applyBorder="1" applyAlignment="1">
      <alignment horizontal="center" vertical="center" wrapText="1" readingOrder="2"/>
    </xf>
    <xf numFmtId="165" fontId="55" fillId="0" borderId="23" xfId="17" applyNumberFormat="1" applyFont="1" applyBorder="1" applyAlignment="1">
      <alignment horizontal="center" vertical="center" wrapText="1"/>
    </xf>
    <xf numFmtId="165" fontId="55" fillId="0" borderId="10" xfId="17" applyNumberFormat="1" applyFont="1" applyBorder="1" applyAlignment="1">
      <alignment horizontal="center" vertical="center" wrapText="1"/>
    </xf>
    <xf numFmtId="165" fontId="99" fillId="0" borderId="2" xfId="17" applyNumberFormat="1" applyFont="1" applyBorder="1" applyAlignment="1">
      <alignment horizontal="center" vertical="center" wrapText="1"/>
    </xf>
    <xf numFmtId="165" fontId="56" fillId="0" borderId="8" xfId="17" applyNumberFormat="1" applyFont="1" applyBorder="1" applyAlignment="1">
      <alignment horizontal="right" vertical="top" wrapText="1"/>
    </xf>
    <xf numFmtId="165" fontId="56" fillId="0" borderId="10" xfId="17" applyNumberFormat="1" applyFont="1" applyBorder="1" applyAlignment="1">
      <alignment horizontal="right" vertical="top" wrapText="1"/>
    </xf>
    <xf numFmtId="165" fontId="55" fillId="0" borderId="19" xfId="17" applyNumberFormat="1" applyFont="1" applyBorder="1" applyAlignment="1">
      <alignment horizontal="center" vertical="center" wrapText="1"/>
    </xf>
    <xf numFmtId="165" fontId="12" fillId="0" borderId="2" xfId="17" applyNumberFormat="1" applyBorder="1" applyAlignment="1">
      <alignment horizontal="center" vertical="center"/>
    </xf>
    <xf numFmtId="178" fontId="8" fillId="0" borderId="87" xfId="17" applyFont="1" applyBorder="1" applyAlignment="1">
      <alignment horizontal="center" vertical="center" readingOrder="2"/>
    </xf>
    <xf numFmtId="165" fontId="18" fillId="0" borderId="0" xfId="10" applyNumberFormat="1"/>
    <xf numFmtId="3" fontId="56" fillId="0" borderId="30" xfId="17" applyNumberFormat="1" applyFont="1" applyBorder="1" applyAlignment="1">
      <alignment horizontal="left" vertical="center" wrapText="1"/>
    </xf>
    <xf numFmtId="3" fontId="56" fillId="0" borderId="8" xfId="17" applyNumberFormat="1" applyFont="1" applyBorder="1" applyAlignment="1">
      <alignment horizontal="right" vertical="center" wrapText="1"/>
    </xf>
    <xf numFmtId="3" fontId="56" fillId="0" borderId="10" xfId="17" applyNumberFormat="1" applyFont="1" applyBorder="1" applyAlignment="1">
      <alignment horizontal="left" vertical="center" wrapText="1"/>
    </xf>
    <xf numFmtId="180" fontId="18" fillId="0" borderId="0" xfId="10" applyNumberFormat="1"/>
    <xf numFmtId="178" fontId="18" fillId="0" borderId="33" xfId="13" applyBorder="1"/>
    <xf numFmtId="3" fontId="56" fillId="0" borderId="72" xfId="17" applyNumberFormat="1" applyFont="1" applyBorder="1" applyAlignment="1">
      <alignment horizontal="left" vertical="center" wrapText="1"/>
    </xf>
    <xf numFmtId="178" fontId="82" fillId="0" borderId="0" xfId="14" applyFont="1" applyAlignment="1">
      <alignment vertical="center" wrapText="1"/>
    </xf>
    <xf numFmtId="178" fontId="67" fillId="0" borderId="0" xfId="13" applyFont="1" applyAlignment="1">
      <alignment vertical="center"/>
    </xf>
    <xf numFmtId="178" fontId="18" fillId="0" borderId="36" xfId="16" applyBorder="1"/>
    <xf numFmtId="186" fontId="18" fillId="0" borderId="36" xfId="10" applyNumberFormat="1" applyBorder="1"/>
    <xf numFmtId="178" fontId="18" fillId="0" borderId="54" xfId="10" applyBorder="1"/>
    <xf numFmtId="3" fontId="56" fillId="0" borderId="52" xfId="17" applyNumberFormat="1" applyFont="1" applyBorder="1" applyAlignment="1">
      <alignment horizontal="left" vertical="center" wrapText="1"/>
    </xf>
    <xf numFmtId="178" fontId="32" fillId="0" borderId="80" xfId="15" applyFont="1" applyBorder="1" applyAlignment="1">
      <alignment vertical="center" textRotation="90"/>
    </xf>
    <xf numFmtId="3" fontId="30" fillId="0" borderId="80" xfId="14" applyNumberFormat="1" applyFont="1" applyBorder="1" applyAlignment="1">
      <alignment horizontal="right" vertical="center"/>
    </xf>
    <xf numFmtId="3" fontId="30" fillId="0" borderId="52" xfId="14" applyNumberFormat="1" applyFont="1" applyBorder="1" applyAlignment="1">
      <alignment horizontal="right" vertical="center"/>
    </xf>
    <xf numFmtId="0" fontId="85" fillId="0" borderId="69" xfId="14" applyNumberFormat="1" applyFont="1" applyBorder="1" applyAlignment="1">
      <alignment horizontal="center" vertical="center" wrapText="1"/>
    </xf>
    <xf numFmtId="3" fontId="56" fillId="0" borderId="57" xfId="17" applyNumberFormat="1" applyFont="1" applyBorder="1" applyAlignment="1">
      <alignment horizontal="left" vertical="center" wrapText="1"/>
    </xf>
    <xf numFmtId="3" fontId="56" fillId="0" borderId="39" xfId="17" applyNumberFormat="1" applyFont="1" applyBorder="1" applyAlignment="1">
      <alignment horizontal="center" vertical="center" wrapText="1"/>
    </xf>
    <xf numFmtId="1" fontId="18" fillId="0" borderId="36" xfId="13" applyNumberFormat="1" applyBorder="1" applyAlignment="1">
      <alignment vertical="center"/>
    </xf>
    <xf numFmtId="2" fontId="18" fillId="0" borderId="36" xfId="13" applyNumberFormat="1" applyBorder="1" applyAlignment="1">
      <alignment vertical="center"/>
    </xf>
    <xf numFmtId="3" fontId="18" fillId="0" borderId="0" xfId="10" applyNumberFormat="1" applyAlignment="1">
      <alignment horizontal="left"/>
    </xf>
    <xf numFmtId="178" fontId="32" fillId="0" borderId="0" xfId="15" applyFont="1" applyAlignment="1">
      <alignment vertical="center" textRotation="90"/>
    </xf>
    <xf numFmtId="3" fontId="30" fillId="0" borderId="0" xfId="14" applyNumberFormat="1" applyFont="1" applyAlignment="1">
      <alignment horizontal="right" vertical="center"/>
    </xf>
    <xf numFmtId="178" fontId="85" fillId="0" borderId="0" xfId="14" applyFont="1" applyAlignment="1">
      <alignment horizontal="center" vertical="center" wrapText="1"/>
    </xf>
    <xf numFmtId="1" fontId="67" fillId="0" borderId="0" xfId="10" applyNumberFormat="1" applyFont="1" applyAlignment="1">
      <alignment vertical="center" wrapText="1"/>
    </xf>
    <xf numFmtId="1" fontId="67" fillId="0" borderId="0" xfId="16" applyNumberFormat="1" applyFont="1" applyAlignment="1">
      <alignment vertical="center"/>
    </xf>
    <xf numFmtId="1" fontId="67" fillId="0" borderId="0" xfId="16" applyNumberFormat="1" applyFont="1" applyAlignment="1">
      <alignment horizontal="right" vertical="center"/>
    </xf>
    <xf numFmtId="1" fontId="18" fillId="0" borderId="0" xfId="10" applyNumberFormat="1"/>
    <xf numFmtId="1" fontId="105" fillId="0" borderId="0" xfId="10" applyNumberFormat="1" applyFont="1" applyAlignment="1">
      <alignment vertical="center" wrapText="1"/>
    </xf>
    <xf numFmtId="178" fontId="18" fillId="0" borderId="38" xfId="13" applyBorder="1"/>
    <xf numFmtId="178" fontId="18" fillId="0" borderId="41" xfId="13" applyBorder="1"/>
    <xf numFmtId="178" fontId="99" fillId="0" borderId="85" xfId="17" applyFont="1" applyBorder="1" applyAlignment="1">
      <alignment horizontal="center" vertical="top" wrapText="1"/>
    </xf>
    <xf numFmtId="178" fontId="99" fillId="0" borderId="87" xfId="17" applyFont="1" applyBorder="1" applyAlignment="1">
      <alignment horizontal="center" vertical="center" wrapText="1"/>
    </xf>
    <xf numFmtId="3" fontId="55" fillId="0" borderId="75" xfId="17" applyNumberFormat="1" applyFont="1" applyBorder="1" applyAlignment="1">
      <alignment horizontal="center" vertical="center" wrapText="1"/>
    </xf>
    <xf numFmtId="178" fontId="12" fillId="0" borderId="42" xfId="17" applyBorder="1" applyAlignment="1">
      <alignment horizontal="center" vertical="center"/>
    </xf>
    <xf numFmtId="3" fontId="12" fillId="0" borderId="42" xfId="17" applyNumberFormat="1" applyBorder="1" applyAlignment="1">
      <alignment horizontal="center" vertical="center"/>
    </xf>
    <xf numFmtId="178" fontId="12" fillId="0" borderId="84" xfId="17" applyBorder="1" applyAlignment="1">
      <alignment horizontal="center" vertical="center"/>
    </xf>
    <xf numFmtId="3" fontId="55" fillId="0" borderId="8" xfId="17" applyNumberFormat="1" applyFont="1" applyBorder="1" applyAlignment="1">
      <alignment horizontal="center" vertical="center" wrapText="1"/>
    </xf>
    <xf numFmtId="3" fontId="55" fillId="0" borderId="9" xfId="17" applyNumberFormat="1" applyFont="1" applyBorder="1" applyAlignment="1">
      <alignment horizontal="center" vertical="center" wrapText="1"/>
    </xf>
    <xf numFmtId="178" fontId="12" fillId="0" borderId="9" xfId="17" applyBorder="1" applyAlignment="1">
      <alignment horizontal="center" vertical="center"/>
    </xf>
    <xf numFmtId="3" fontId="12" fillId="0" borderId="9" xfId="17" applyNumberFormat="1" applyBorder="1" applyAlignment="1">
      <alignment horizontal="center" vertical="center"/>
    </xf>
    <xf numFmtId="178" fontId="56" fillId="0" borderId="9" xfId="17" applyFont="1" applyBorder="1" applyAlignment="1">
      <alignment horizontal="right" vertical="center" wrapText="1"/>
    </xf>
    <xf numFmtId="178" fontId="12" fillId="0" borderId="10" xfId="17" applyBorder="1" applyAlignment="1">
      <alignment horizontal="center" vertical="center"/>
    </xf>
    <xf numFmtId="49" fontId="12" fillId="0" borderId="0" xfId="17" applyNumberFormat="1"/>
    <xf numFmtId="179" fontId="55" fillId="0" borderId="21" xfId="17" applyNumberFormat="1" applyFont="1" applyBorder="1" applyAlignment="1">
      <alignment horizontal="center" wrapText="1"/>
    </xf>
    <xf numFmtId="178" fontId="55" fillId="0" borderId="21" xfId="17" applyFont="1" applyBorder="1" applyAlignment="1">
      <alignment vertical="center" wrapText="1"/>
    </xf>
    <xf numFmtId="185" fontId="101" fillId="0" borderId="22" xfId="17" applyNumberFormat="1" applyFont="1" applyBorder="1" applyAlignment="1">
      <alignment horizontal="center" vertical="center"/>
    </xf>
    <xf numFmtId="4" fontId="12" fillId="0" borderId="0" xfId="17" applyNumberFormat="1"/>
    <xf numFmtId="2" fontId="108" fillId="0" borderId="42" xfId="14" applyNumberFormat="1" applyFont="1" applyBorder="1" applyAlignment="1">
      <alignment horizontal="center" vertical="center" wrapText="1"/>
    </xf>
    <xf numFmtId="187" fontId="108" fillId="0" borderId="42" xfId="6" applyNumberFormat="1" applyFont="1" applyFill="1" applyBorder="1" applyAlignment="1">
      <alignment horizontal="center" vertical="center" wrapText="1" readingOrder="2"/>
    </xf>
    <xf numFmtId="178" fontId="108" fillId="0" borderId="42" xfId="17" applyFont="1" applyBorder="1" applyAlignment="1">
      <alignment horizontal="center" vertical="center" wrapText="1" readingOrder="2"/>
    </xf>
    <xf numFmtId="187" fontId="109" fillId="0" borderId="48" xfId="6" applyNumberFormat="1" applyFont="1" applyFill="1" applyBorder="1" applyAlignment="1">
      <alignment horizontal="center" vertical="center"/>
    </xf>
    <xf numFmtId="182" fontId="12" fillId="0" borderId="0" xfId="17" applyNumberFormat="1" applyAlignment="1">
      <alignment horizontal="center" vertical="center"/>
    </xf>
    <xf numFmtId="165" fontId="12" fillId="0" borderId="0" xfId="17" applyNumberFormat="1" applyAlignment="1">
      <alignment horizontal="center" vertical="center"/>
    </xf>
    <xf numFmtId="187" fontId="12" fillId="0" borderId="0" xfId="6" applyNumberFormat="1" applyFont="1" applyFill="1" applyAlignment="1">
      <alignment horizontal="center" vertical="center"/>
    </xf>
    <xf numFmtId="2" fontId="12" fillId="0" borderId="0" xfId="17" applyNumberFormat="1" applyAlignment="1">
      <alignment horizontal="center" vertical="center"/>
    </xf>
    <xf numFmtId="3" fontId="102" fillId="0" borderId="10" xfId="17" applyNumberFormat="1" applyFont="1" applyBorder="1" applyAlignment="1">
      <alignment horizontal="center" vertical="center" wrapText="1"/>
    </xf>
    <xf numFmtId="3" fontId="52" fillId="0" borderId="10" xfId="17" applyNumberFormat="1" applyFont="1" applyBorder="1" applyAlignment="1">
      <alignment horizontal="center" vertical="center" wrapText="1"/>
    </xf>
    <xf numFmtId="189" fontId="52" fillId="0" borderId="24" xfId="17" applyNumberFormat="1" applyFont="1" applyBorder="1" applyAlignment="1">
      <alignment horizontal="center" vertical="center" wrapText="1"/>
    </xf>
    <xf numFmtId="178" fontId="12" fillId="0" borderId="0" xfId="17" applyAlignment="1">
      <alignment horizontal="right"/>
    </xf>
    <xf numFmtId="189" fontId="52" fillId="0" borderId="2" xfId="17" applyNumberFormat="1" applyFont="1" applyBorder="1" applyAlignment="1">
      <alignment horizontal="center" vertical="center" wrapText="1"/>
    </xf>
    <xf numFmtId="181" fontId="12" fillId="0" borderId="2" xfId="17" applyNumberFormat="1" applyBorder="1" applyAlignment="1">
      <alignment horizontal="center"/>
    </xf>
    <xf numFmtId="172" fontId="30" fillId="0" borderId="0" xfId="18" applyNumberFormat="1" applyFont="1" applyAlignment="1">
      <alignment horizontal="center" vertical="center"/>
    </xf>
    <xf numFmtId="189" fontId="87" fillId="0" borderId="24" xfId="17" applyNumberFormat="1" applyFont="1" applyBorder="1" applyAlignment="1">
      <alignment horizontal="center" vertical="center" wrapText="1"/>
    </xf>
    <xf numFmtId="3" fontId="52" fillId="0" borderId="2" xfId="17" quotePrefix="1" applyNumberFormat="1" applyFont="1" applyBorder="1" applyAlignment="1">
      <alignment horizontal="center" vertical="center" wrapText="1"/>
    </xf>
    <xf numFmtId="49" fontId="113" fillId="0" borderId="0" xfId="17" applyNumberFormat="1" applyFont="1"/>
    <xf numFmtId="0" fontId="12" fillId="0" borderId="0" xfId="27"/>
    <xf numFmtId="177" fontId="12" fillId="0" borderId="0" xfId="27" applyNumberFormat="1"/>
    <xf numFmtId="178" fontId="67" fillId="0" borderId="19" xfId="17" applyFont="1" applyBorder="1" applyAlignment="1">
      <alignment horizontal="right" vertical="top"/>
    </xf>
    <xf numFmtId="178" fontId="67" fillId="0" borderId="26" xfId="17" applyFont="1" applyBorder="1" applyAlignment="1">
      <alignment horizontal="center" vertical="center"/>
    </xf>
    <xf numFmtId="178" fontId="67" fillId="0" borderId="56" xfId="17" applyFont="1" applyBorder="1" applyAlignment="1">
      <alignment horizontal="right" vertical="center"/>
    </xf>
    <xf numFmtId="49" fontId="67" fillId="0" borderId="57" xfId="17" applyNumberFormat="1" applyFont="1" applyBorder="1" applyAlignment="1">
      <alignment vertical="center"/>
    </xf>
    <xf numFmtId="178" fontId="67" fillId="0" borderId="26" xfId="17" applyFont="1" applyBorder="1" applyAlignment="1">
      <alignment vertical="center"/>
    </xf>
    <xf numFmtId="178" fontId="3" fillId="0" borderId="33" xfId="17" applyFont="1" applyBorder="1"/>
    <xf numFmtId="178" fontId="3" fillId="0" borderId="0" xfId="17" applyFont="1"/>
    <xf numFmtId="178" fontId="3" fillId="0" borderId="86" xfId="17" applyFont="1" applyBorder="1"/>
    <xf numFmtId="172" fontId="32" fillId="0" borderId="88" xfId="18" applyNumberFormat="1" applyFont="1" applyBorder="1" applyAlignment="1">
      <alignment vertical="center"/>
    </xf>
    <xf numFmtId="178" fontId="67" fillId="0" borderId="70" xfId="17" applyFont="1" applyBorder="1" applyAlignment="1">
      <alignment horizontal="right" vertical="center"/>
    </xf>
    <xf numFmtId="49" fontId="67" fillId="0" borderId="70" xfId="17" applyNumberFormat="1" applyFont="1" applyBorder="1" applyAlignment="1">
      <alignment vertical="center"/>
    </xf>
    <xf numFmtId="178" fontId="32" fillId="0" borderId="89" xfId="17" applyFont="1" applyBorder="1" applyAlignment="1">
      <alignment horizontal="right" vertical="top"/>
    </xf>
    <xf numFmtId="178" fontId="44" fillId="0" borderId="0" xfId="17" applyFont="1" applyAlignment="1">
      <alignment horizontal="center" vertical="top" wrapText="1"/>
    </xf>
    <xf numFmtId="178" fontId="12" fillId="0" borderId="64" xfId="17" applyBorder="1" applyAlignment="1">
      <alignment horizontal="center" vertical="center"/>
    </xf>
    <xf numFmtId="178" fontId="12" fillId="0" borderId="10" xfId="17" applyBorder="1"/>
    <xf numFmtId="3" fontId="52" fillId="0" borderId="48" xfId="17" applyNumberFormat="1" applyFont="1" applyBorder="1" applyAlignment="1">
      <alignment horizontal="center" vertical="center" wrapText="1"/>
    </xf>
    <xf numFmtId="1" fontId="52" fillId="0" borderId="21" xfId="17" applyNumberFormat="1" applyFont="1" applyBorder="1" applyAlignment="1">
      <alignment horizontal="center" vertical="center" wrapText="1"/>
    </xf>
    <xf numFmtId="3" fontId="131" fillId="0" borderId="21" xfId="17" applyNumberFormat="1" applyFont="1" applyBorder="1" applyAlignment="1">
      <alignment horizontal="center" vertical="center" wrapText="1"/>
    </xf>
    <xf numFmtId="1" fontId="52" fillId="0" borderId="22" xfId="17" applyNumberFormat="1" applyFont="1" applyBorder="1" applyAlignment="1">
      <alignment horizontal="center" vertical="center" wrapText="1"/>
    </xf>
    <xf numFmtId="1" fontId="52" fillId="0" borderId="2" xfId="17" applyNumberFormat="1" applyFont="1" applyBorder="1" applyAlignment="1">
      <alignment horizontal="center" vertical="center" wrapText="1"/>
    </xf>
    <xf numFmtId="3" fontId="131" fillId="0" borderId="2" xfId="17" applyNumberFormat="1" applyFont="1" applyBorder="1" applyAlignment="1">
      <alignment horizontal="center" vertical="center" wrapText="1"/>
    </xf>
    <xf numFmtId="1" fontId="52" fillId="0" borderId="24" xfId="17" applyNumberFormat="1" applyFont="1" applyBorder="1" applyAlignment="1">
      <alignment horizontal="center" vertical="center" wrapText="1"/>
    </xf>
    <xf numFmtId="3" fontId="131" fillId="0" borderId="8" xfId="17" applyNumberFormat="1" applyFont="1" applyBorder="1" applyAlignment="1">
      <alignment horizontal="center" vertical="center" wrapText="1"/>
    </xf>
    <xf numFmtId="3" fontId="52" fillId="0" borderId="10" xfId="17" applyNumberFormat="1" applyFont="1" applyBorder="1" applyAlignment="1">
      <alignment horizontal="right" vertical="center" wrapText="1" readingOrder="2"/>
    </xf>
    <xf numFmtId="0" fontId="132" fillId="0" borderId="101" xfId="27" applyFont="1" applyBorder="1" applyAlignment="1">
      <alignment horizontal="center" vertical="center"/>
    </xf>
    <xf numFmtId="3" fontId="52" fillId="0" borderId="19" xfId="17" applyNumberFormat="1" applyFont="1" applyBorder="1" applyAlignment="1">
      <alignment horizontal="center" vertical="center" wrapText="1"/>
    </xf>
    <xf numFmtId="1" fontId="52" fillId="0" borderId="69" xfId="17" applyNumberFormat="1" applyFont="1" applyBorder="1" applyAlignment="1">
      <alignment horizontal="center" vertical="center" wrapText="1"/>
    </xf>
    <xf numFmtId="1" fontId="52" fillId="0" borderId="26" xfId="17" applyNumberFormat="1" applyFont="1" applyBorder="1" applyAlignment="1">
      <alignment horizontal="center" vertical="center" wrapText="1"/>
    </xf>
    <xf numFmtId="3" fontId="131" fillId="0" borderId="26" xfId="17" applyNumberFormat="1" applyFont="1" applyBorder="1" applyAlignment="1">
      <alignment horizontal="center" vertical="center" wrapText="1"/>
    </xf>
    <xf numFmtId="1" fontId="52" fillId="0" borderId="27" xfId="17" applyNumberFormat="1" applyFont="1" applyBorder="1" applyAlignment="1">
      <alignment horizontal="center" vertical="center" wrapText="1"/>
    </xf>
    <xf numFmtId="178" fontId="84" fillId="0" borderId="0" xfId="17" applyFont="1" applyAlignment="1">
      <alignment vertical="top" wrapText="1" readingOrder="2"/>
    </xf>
    <xf numFmtId="178" fontId="8" fillId="0" borderId="0" xfId="17" applyFont="1" applyAlignment="1">
      <alignment horizontal="right" vertical="center"/>
    </xf>
    <xf numFmtId="0" fontId="44" fillId="0" borderId="2" xfId="19" applyFont="1" applyBorder="1" applyAlignment="1">
      <alignment horizontal="center" vertical="top" wrapText="1"/>
    </xf>
    <xf numFmtId="0" fontId="34" fillId="0" borderId="43" xfId="19" applyFont="1" applyBorder="1" applyAlignment="1">
      <alignment horizontal="left" vertical="center" wrapText="1" readingOrder="1"/>
    </xf>
    <xf numFmtId="0" fontId="34" fillId="0" borderId="0" xfId="19" applyFont="1" applyAlignment="1">
      <alignment horizontal="justify" wrapText="1" readingOrder="1"/>
    </xf>
    <xf numFmtId="178" fontId="71" fillId="0" borderId="86" xfId="17" applyFont="1" applyBorder="1" applyAlignment="1">
      <alignment horizontal="center" vertical="top" wrapText="1"/>
    </xf>
    <xf numFmtId="3" fontId="52" fillId="0" borderId="57" xfId="17" applyNumberFormat="1" applyFont="1" applyBorder="1" applyAlignment="1">
      <alignment horizontal="center" vertical="center" wrapText="1"/>
    </xf>
    <xf numFmtId="3" fontId="52" fillId="0" borderId="10" xfId="14" applyNumberFormat="1" applyFont="1" applyBorder="1" applyAlignment="1">
      <alignment horizontal="center" vertical="center" wrapText="1"/>
    </xf>
    <xf numFmtId="3" fontId="52" fillId="0" borderId="57" xfId="14" applyNumberFormat="1" applyFont="1" applyBorder="1" applyAlignment="1">
      <alignment horizontal="center" vertical="center" wrapText="1"/>
    </xf>
    <xf numFmtId="178" fontId="104" fillId="0" borderId="0" xfId="10" applyFont="1" applyAlignment="1">
      <alignment vertical="center"/>
    </xf>
    <xf numFmtId="178" fontId="85" fillId="0" borderId="0" xfId="13" applyFont="1"/>
    <xf numFmtId="164" fontId="55" fillId="0" borderId="0" xfId="17" applyNumberFormat="1" applyFont="1" applyAlignment="1">
      <alignment vertical="center" wrapText="1"/>
    </xf>
    <xf numFmtId="178" fontId="18" fillId="0" borderId="0" xfId="13" applyAlignment="1">
      <alignment readingOrder="2"/>
    </xf>
    <xf numFmtId="1" fontId="67" fillId="0" borderId="0" xfId="13" applyNumberFormat="1" applyFont="1" applyAlignment="1">
      <alignment horizontal="center"/>
    </xf>
    <xf numFmtId="3" fontId="18" fillId="0" borderId="0" xfId="14" applyNumberFormat="1" applyAlignment="1">
      <alignment horizontal="center" vertical="center"/>
    </xf>
    <xf numFmtId="1" fontId="67" fillId="0" borderId="0" xfId="10" applyNumberFormat="1" applyFont="1"/>
    <xf numFmtId="1" fontId="67" fillId="0" borderId="0" xfId="13" applyNumberFormat="1" applyFont="1"/>
    <xf numFmtId="178" fontId="18" fillId="0" borderId="36" xfId="13" applyBorder="1"/>
    <xf numFmtId="178" fontId="18" fillId="0" borderId="37" xfId="13" applyBorder="1"/>
    <xf numFmtId="178" fontId="85" fillId="0" borderId="0" xfId="13" applyFont="1" applyAlignment="1">
      <alignment vertical="top" wrapText="1"/>
    </xf>
    <xf numFmtId="178" fontId="85" fillId="0" borderId="36" xfId="13" applyFont="1" applyBorder="1"/>
    <xf numFmtId="3" fontId="85" fillId="0" borderId="23" xfId="13" applyNumberFormat="1" applyFont="1" applyBorder="1" applyAlignment="1">
      <alignment horizontal="right" vertical="center" wrapText="1"/>
    </xf>
    <xf numFmtId="178" fontId="18" fillId="0" borderId="36" xfId="13" applyBorder="1" applyAlignment="1">
      <alignment readingOrder="2"/>
    </xf>
    <xf numFmtId="3" fontId="85" fillId="0" borderId="25" xfId="13" applyNumberFormat="1" applyFont="1" applyBorder="1" applyAlignment="1">
      <alignment horizontal="right" vertical="center" wrapText="1"/>
    </xf>
    <xf numFmtId="178" fontId="85" fillId="0" borderId="38" xfId="13" applyFont="1" applyBorder="1"/>
    <xf numFmtId="165" fontId="55" fillId="0" borderId="0" xfId="17" applyNumberFormat="1" applyFont="1" applyAlignment="1">
      <alignment vertical="center" wrapText="1"/>
    </xf>
    <xf numFmtId="164" fontId="55" fillId="0" borderId="0" xfId="17" applyNumberFormat="1" applyFont="1" applyAlignment="1">
      <alignment horizontal="center" vertical="center" wrapText="1"/>
    </xf>
    <xf numFmtId="178" fontId="85" fillId="0" borderId="0" xfId="13" applyFont="1" applyAlignment="1">
      <alignment horizontal="center"/>
    </xf>
    <xf numFmtId="178" fontId="85" fillId="0" borderId="0" xfId="13" applyFont="1" applyAlignment="1">
      <alignment horizontal="right" wrapText="1"/>
    </xf>
    <xf numFmtId="165" fontId="104" fillId="0" borderId="0" xfId="10" applyNumberFormat="1" applyFont="1" applyAlignment="1">
      <alignment vertical="center"/>
    </xf>
    <xf numFmtId="0" fontId="56" fillId="0" borderId="2" xfId="17" applyNumberFormat="1" applyFont="1" applyBorder="1" applyAlignment="1">
      <alignment horizontal="center" vertical="center" wrapText="1"/>
    </xf>
    <xf numFmtId="0" fontId="56" fillId="0" borderId="0" xfId="17" applyNumberFormat="1" applyFont="1" applyAlignment="1">
      <alignment horizontal="center" vertical="center" wrapText="1"/>
    </xf>
    <xf numFmtId="0" fontId="18" fillId="0" borderId="0" xfId="10" applyNumberFormat="1"/>
    <xf numFmtId="0" fontId="117" fillId="0" borderId="2" xfId="17" applyNumberFormat="1" applyFont="1" applyBorder="1" applyAlignment="1">
      <alignment horizontal="center" vertical="center" wrapText="1"/>
    </xf>
    <xf numFmtId="179" fontId="56" fillId="0" borderId="19" xfId="17" applyNumberFormat="1" applyFont="1" applyBorder="1" applyAlignment="1">
      <alignment horizontal="center" vertical="center" wrapText="1"/>
    </xf>
    <xf numFmtId="0" fontId="56" fillId="0" borderId="19" xfId="17" applyNumberFormat="1" applyFont="1" applyBorder="1" applyAlignment="1">
      <alignment horizontal="center" vertical="center" wrapText="1"/>
    </xf>
    <xf numFmtId="0" fontId="55" fillId="0" borderId="87" xfId="17" applyNumberFormat="1" applyFont="1" applyBorder="1" applyAlignment="1">
      <alignment horizontal="center" vertical="center" wrapText="1"/>
    </xf>
    <xf numFmtId="178" fontId="55" fillId="0" borderId="21" xfId="17" applyFont="1" applyBorder="1" applyAlignment="1">
      <alignment horizontal="center" vertical="center" wrapText="1"/>
    </xf>
    <xf numFmtId="179" fontId="55" fillId="0" borderId="22" xfId="17" applyNumberFormat="1" applyFont="1" applyBorder="1" applyAlignment="1">
      <alignment horizontal="center" vertical="center" wrapText="1"/>
    </xf>
    <xf numFmtId="179" fontId="55" fillId="0" borderId="2" xfId="17" applyNumberFormat="1" applyFont="1" applyBorder="1" applyAlignment="1">
      <alignment horizontal="center" vertical="center" wrapText="1"/>
    </xf>
    <xf numFmtId="179" fontId="55" fillId="0" borderId="26" xfId="17" applyNumberFormat="1" applyFont="1" applyBorder="1" applyAlignment="1">
      <alignment horizontal="center" vertical="center" wrapText="1"/>
    </xf>
    <xf numFmtId="179" fontId="55" fillId="0" borderId="27" xfId="17" applyNumberFormat="1" applyFont="1" applyBorder="1" applyAlignment="1">
      <alignment horizontal="center" vertical="center" wrapText="1"/>
    </xf>
    <xf numFmtId="1" fontId="67" fillId="0" borderId="0" xfId="13" applyNumberFormat="1" applyFont="1" applyAlignment="1">
      <alignment wrapText="1"/>
    </xf>
    <xf numFmtId="178" fontId="104" fillId="0" borderId="0" xfId="10" applyFont="1" applyAlignment="1">
      <alignment vertical="center" wrapText="1"/>
    </xf>
    <xf numFmtId="178" fontId="56" fillId="0" borderId="65" xfId="17" applyFont="1" applyBorder="1" applyAlignment="1">
      <alignment horizontal="center" vertical="center" wrapText="1"/>
    </xf>
    <xf numFmtId="178" fontId="56" fillId="0" borderId="0" xfId="17" applyFont="1" applyAlignment="1">
      <alignment horizontal="center" vertical="center" wrapText="1" readingOrder="2"/>
    </xf>
    <xf numFmtId="178" fontId="56" fillId="0" borderId="21" xfId="17" applyFont="1" applyBorder="1" applyAlignment="1">
      <alignment horizontal="center" vertical="center" wrapText="1"/>
    </xf>
    <xf numFmtId="3" fontId="56" fillId="0" borderId="21" xfId="17" applyNumberFormat="1" applyFont="1" applyBorder="1" applyAlignment="1">
      <alignment horizontal="center" vertical="center" wrapText="1"/>
    </xf>
    <xf numFmtId="178" fontId="56" fillId="0" borderId="22" xfId="17" applyFont="1" applyBorder="1" applyAlignment="1">
      <alignment horizontal="center" vertical="center" wrapText="1"/>
    </xf>
    <xf numFmtId="178" fontId="55" fillId="0" borderId="0" xfId="17" applyFont="1" applyAlignment="1">
      <alignment horizontal="right" vertical="center" wrapText="1"/>
    </xf>
    <xf numFmtId="178" fontId="56" fillId="0" borderId="0" xfId="17" applyFont="1" applyAlignment="1">
      <alignment horizontal="center"/>
    </xf>
    <xf numFmtId="3" fontId="13" fillId="0" borderId="21" xfId="17" applyNumberFormat="1" applyFont="1" applyBorder="1" applyAlignment="1">
      <alignment horizontal="center" vertical="center" wrapText="1"/>
    </xf>
    <xf numFmtId="178" fontId="13" fillId="0" borderId="21" xfId="17" applyFont="1" applyBorder="1" applyAlignment="1">
      <alignment horizontal="center" vertical="center" wrapText="1"/>
    </xf>
    <xf numFmtId="178" fontId="56" fillId="0" borderId="23" xfId="17" applyFont="1" applyBorder="1" applyAlignment="1">
      <alignment horizontal="center" vertical="center" wrapText="1"/>
    </xf>
    <xf numFmtId="178" fontId="12" fillId="0" borderId="25" xfId="17" applyBorder="1"/>
    <xf numFmtId="178" fontId="18" fillId="0" borderId="71" xfId="10" applyBorder="1" applyAlignment="1">
      <alignment vertical="center"/>
    </xf>
    <xf numFmtId="178" fontId="18" fillId="0" borderId="14" xfId="13" applyBorder="1"/>
    <xf numFmtId="3" fontId="18" fillId="0" borderId="2" xfId="14" applyNumberFormat="1" applyBorder="1" applyAlignment="1">
      <alignment horizontal="center" vertical="center"/>
    </xf>
    <xf numFmtId="178" fontId="18" fillId="0" borderId="50" xfId="10" applyBorder="1" applyAlignment="1">
      <alignment vertical="center"/>
    </xf>
    <xf numFmtId="178" fontId="18" fillId="0" borderId="9" xfId="13" applyBorder="1"/>
    <xf numFmtId="186" fontId="18" fillId="0" borderId="2" xfId="10" applyNumberFormat="1" applyBorder="1"/>
    <xf numFmtId="186" fontId="18" fillId="0" borderId="24" xfId="10" applyNumberFormat="1" applyBorder="1"/>
    <xf numFmtId="1" fontId="18" fillId="0" borderId="2" xfId="10" applyNumberFormat="1" applyBorder="1"/>
    <xf numFmtId="1" fontId="18" fillId="0" borderId="24" xfId="10" applyNumberFormat="1" applyBorder="1"/>
    <xf numFmtId="1" fontId="18" fillId="0" borderId="2" xfId="13" applyNumberFormat="1" applyBorder="1" applyAlignment="1">
      <alignment vertical="center"/>
    </xf>
    <xf numFmtId="1" fontId="18" fillId="0" borderId="24" xfId="13" applyNumberFormat="1" applyBorder="1" applyAlignment="1">
      <alignment vertical="center"/>
    </xf>
    <xf numFmtId="2" fontId="18" fillId="0" borderId="2" xfId="13" applyNumberFormat="1" applyBorder="1" applyAlignment="1">
      <alignment vertical="center"/>
    </xf>
    <xf numFmtId="2" fontId="18" fillId="0" borderId="24" xfId="13" applyNumberFormat="1" applyBorder="1" applyAlignment="1">
      <alignment vertical="center"/>
    </xf>
    <xf numFmtId="178" fontId="18" fillId="0" borderId="59" xfId="10" applyBorder="1" applyAlignment="1">
      <alignment vertical="center"/>
    </xf>
    <xf numFmtId="178" fontId="18" fillId="0" borderId="70" xfId="13" applyBorder="1"/>
    <xf numFmtId="3" fontId="18" fillId="0" borderId="26" xfId="14" applyNumberFormat="1" applyBorder="1" applyAlignment="1">
      <alignment horizontal="center" vertical="center"/>
    </xf>
    <xf numFmtId="1" fontId="67" fillId="0" borderId="0" xfId="13" applyNumberFormat="1" applyFont="1" applyAlignment="1">
      <alignment vertical="center"/>
    </xf>
    <xf numFmtId="178" fontId="67" fillId="0" borderId="38" xfId="13" applyFont="1" applyBorder="1"/>
    <xf numFmtId="4" fontId="18" fillId="0" borderId="21" xfId="14" applyNumberFormat="1" applyBorder="1" applyAlignment="1">
      <alignment horizontal="center" vertical="center"/>
    </xf>
    <xf numFmtId="178" fontId="18" fillId="0" borderId="2" xfId="13" applyBorder="1" applyAlignment="1">
      <alignment horizontal="center" vertical="center"/>
    </xf>
    <xf numFmtId="3" fontId="18" fillId="0" borderId="21" xfId="14" applyNumberFormat="1" applyBorder="1" applyAlignment="1">
      <alignment horizontal="center" vertical="center"/>
    </xf>
    <xf numFmtId="1" fontId="18" fillId="0" borderId="21" xfId="14" applyNumberFormat="1" applyBorder="1" applyAlignment="1">
      <alignment horizontal="center" vertical="center"/>
    </xf>
    <xf numFmtId="1" fontId="18" fillId="0" borderId="64" xfId="14" applyNumberFormat="1" applyBorder="1" applyAlignment="1">
      <alignment horizontal="center" vertical="center"/>
    </xf>
    <xf numFmtId="1" fontId="18" fillId="0" borderId="22" xfId="14" applyNumberFormat="1" applyBorder="1" applyAlignment="1">
      <alignment horizontal="center" vertical="center"/>
    </xf>
    <xf numFmtId="2" fontId="119" fillId="0" borderId="0" xfId="13" applyNumberFormat="1" applyFont="1"/>
    <xf numFmtId="1" fontId="18" fillId="0" borderId="0" xfId="13" applyNumberFormat="1"/>
    <xf numFmtId="2" fontId="18" fillId="0" borderId="0" xfId="13" applyNumberFormat="1"/>
    <xf numFmtId="2" fontId="18" fillId="0" borderId="0" xfId="13" applyNumberFormat="1" applyAlignment="1">
      <alignment horizontal="center" vertical="center"/>
    </xf>
    <xf numFmtId="1" fontId="18" fillId="0" borderId="0" xfId="13" applyNumberFormat="1" applyAlignment="1">
      <alignment horizontal="center" vertical="center"/>
    </xf>
    <xf numFmtId="186" fontId="18" fillId="0" borderId="64" xfId="14" applyNumberFormat="1" applyBorder="1" applyAlignment="1">
      <alignment horizontal="center" vertical="center"/>
    </xf>
    <xf numFmtId="178" fontId="18" fillId="0" borderId="0" xfId="13" applyAlignment="1">
      <alignment horizontal="center" vertical="center"/>
    </xf>
    <xf numFmtId="3" fontId="30" fillId="0" borderId="0" xfId="14" applyNumberFormat="1" applyFont="1" applyAlignment="1">
      <alignment vertical="center"/>
    </xf>
    <xf numFmtId="178" fontId="18" fillId="0" borderId="0" xfId="13" applyAlignment="1">
      <alignment vertical="center"/>
    </xf>
    <xf numFmtId="178" fontId="67" fillId="0" borderId="85" xfId="13" applyFont="1" applyBorder="1" applyAlignment="1">
      <alignment vertical="center" textRotation="90"/>
    </xf>
    <xf numFmtId="178" fontId="67" fillId="0" borderId="26" xfId="13" applyFont="1" applyBorder="1" applyAlignment="1">
      <alignment horizontal="center" vertical="center"/>
    </xf>
    <xf numFmtId="178" fontId="67" fillId="0" borderId="26" xfId="13" applyFont="1" applyBorder="1" applyAlignment="1">
      <alignment horizontal="center" vertical="center" textRotation="90"/>
    </xf>
    <xf numFmtId="178" fontId="67" fillId="0" borderId="27" xfId="13" applyFont="1" applyBorder="1" applyAlignment="1">
      <alignment horizontal="center" vertical="center" textRotation="90"/>
    </xf>
    <xf numFmtId="178" fontId="18" fillId="0" borderId="33" xfId="13" applyBorder="1" applyAlignment="1">
      <alignment vertical="center"/>
    </xf>
    <xf numFmtId="178" fontId="106" fillId="0" borderId="0" xfId="13" applyFont="1" applyAlignment="1">
      <alignment vertical="center"/>
    </xf>
    <xf numFmtId="3" fontId="18" fillId="0" borderId="9" xfId="14" applyNumberFormat="1" applyBorder="1" applyAlignment="1">
      <alignment horizontal="center" vertical="center"/>
    </xf>
    <xf numFmtId="178" fontId="18" fillId="0" borderId="38" xfId="10" applyBorder="1" applyAlignment="1">
      <alignment vertical="center"/>
    </xf>
    <xf numFmtId="3" fontId="18" fillId="0" borderId="38" xfId="14" applyNumberFormat="1" applyBorder="1" applyAlignment="1">
      <alignment horizontal="center" vertical="center"/>
    </xf>
    <xf numFmtId="1" fontId="18" fillId="0" borderId="0" xfId="10" applyNumberFormat="1" applyAlignment="1">
      <alignment vertical="center"/>
    </xf>
    <xf numFmtId="1" fontId="67" fillId="0" borderId="0" xfId="10" applyNumberFormat="1" applyFont="1" applyAlignment="1">
      <alignment vertical="center"/>
    </xf>
    <xf numFmtId="179" fontId="104" fillId="0" borderId="0" xfId="10" applyNumberFormat="1" applyFont="1" applyAlignment="1">
      <alignment vertical="center"/>
    </xf>
    <xf numFmtId="179" fontId="18" fillId="0" borderId="64" xfId="14" applyNumberFormat="1" applyBorder="1" applyAlignment="1">
      <alignment horizontal="center" vertical="center"/>
    </xf>
    <xf numFmtId="179" fontId="18" fillId="0" borderId="64" xfId="13" applyNumberFormat="1" applyBorder="1"/>
    <xf numFmtId="179" fontId="18" fillId="0" borderId="65" xfId="13" applyNumberFormat="1" applyBorder="1"/>
    <xf numFmtId="179" fontId="18" fillId="0" borderId="2" xfId="14" applyNumberFormat="1" applyBorder="1" applyAlignment="1">
      <alignment horizontal="center" vertical="center"/>
    </xf>
    <xf numFmtId="179" fontId="18" fillId="0" borderId="24" xfId="14" applyNumberFormat="1" applyBorder="1" applyAlignment="1">
      <alignment horizontal="center" vertical="center"/>
    </xf>
    <xf numFmtId="179" fontId="18" fillId="0" borderId="26" xfId="14" applyNumberFormat="1" applyBorder="1" applyAlignment="1">
      <alignment horizontal="center" vertical="center"/>
    </xf>
    <xf numFmtId="179" fontId="18" fillId="0" borderId="27" xfId="14" applyNumberFormat="1" applyBorder="1" applyAlignment="1">
      <alignment horizontal="center" vertical="center"/>
    </xf>
    <xf numFmtId="178" fontId="18" fillId="0" borderId="0" xfId="13" applyAlignment="1">
      <alignment horizontal="right" wrapText="1"/>
    </xf>
    <xf numFmtId="178" fontId="67" fillId="0" borderId="0" xfId="13" applyFont="1"/>
    <xf numFmtId="179" fontId="32" fillId="0" borderId="0" xfId="15" applyNumberFormat="1" applyFont="1" applyAlignment="1">
      <alignment vertical="center" textRotation="90"/>
    </xf>
    <xf numFmtId="179" fontId="32" fillId="0" borderId="0" xfId="15" applyNumberFormat="1" applyFont="1" applyAlignment="1">
      <alignment horizontal="center" vertical="center" textRotation="90"/>
    </xf>
    <xf numFmtId="179" fontId="18" fillId="0" borderId="33" xfId="13" applyNumberFormat="1" applyBorder="1"/>
    <xf numFmtId="179" fontId="82" fillId="0" borderId="0" xfId="14" applyNumberFormat="1" applyFont="1" applyAlignment="1">
      <alignment horizontal="center" vertical="center" wrapText="1"/>
    </xf>
    <xf numFmtId="179" fontId="18" fillId="0" borderId="0" xfId="14" applyNumberFormat="1" applyAlignment="1">
      <alignment horizontal="center" vertical="center"/>
    </xf>
    <xf numFmtId="179" fontId="18" fillId="0" borderId="64" xfId="13" applyNumberFormat="1" applyBorder="1" applyAlignment="1">
      <alignment horizontal="center" vertical="center"/>
    </xf>
    <xf numFmtId="179" fontId="18" fillId="0" borderId="65" xfId="14" applyNumberFormat="1" applyBorder="1" applyAlignment="1">
      <alignment horizontal="center" vertical="center"/>
    </xf>
    <xf numFmtId="179" fontId="18" fillId="0" borderId="21" xfId="14" applyNumberFormat="1" applyBorder="1" applyAlignment="1">
      <alignment horizontal="center" vertical="center"/>
    </xf>
    <xf numFmtId="179" fontId="12" fillId="0" borderId="2" xfId="17" applyNumberFormat="1" applyBorder="1" applyAlignment="1">
      <alignment horizontal="center"/>
    </xf>
    <xf numFmtId="179" fontId="3" fillId="0" borderId="2" xfId="17" applyNumberFormat="1" applyFont="1" applyBorder="1" applyAlignment="1">
      <alignment horizontal="center"/>
    </xf>
    <xf numFmtId="179" fontId="18" fillId="0" borderId="0" xfId="16" applyNumberFormat="1"/>
    <xf numFmtId="179" fontId="3" fillId="0" borderId="2" xfId="17" applyNumberFormat="1" applyFont="1" applyBorder="1" applyAlignment="1">
      <alignment horizontal="left"/>
    </xf>
    <xf numFmtId="179" fontId="18" fillId="0" borderId="0" xfId="10" applyNumberFormat="1" applyAlignment="1">
      <alignment vertical="center"/>
    </xf>
    <xf numFmtId="179" fontId="67" fillId="0" borderId="0" xfId="13" applyNumberFormat="1" applyFont="1" applyAlignment="1">
      <alignment vertical="center"/>
    </xf>
    <xf numFmtId="179" fontId="85" fillId="0" borderId="0" xfId="14" applyNumberFormat="1" applyFont="1" applyAlignment="1">
      <alignment horizontal="right" vertical="center"/>
    </xf>
    <xf numFmtId="179" fontId="18" fillId="0" borderId="0" xfId="13" applyNumberFormat="1" applyAlignment="1">
      <alignment vertical="center"/>
    </xf>
    <xf numFmtId="179" fontId="67" fillId="0" borderId="0" xfId="10" applyNumberFormat="1" applyFont="1"/>
    <xf numFmtId="179" fontId="105" fillId="0" borderId="0" xfId="10" applyNumberFormat="1" applyFont="1" applyAlignment="1">
      <alignment vertical="center" wrapText="1"/>
    </xf>
    <xf numFmtId="179" fontId="67" fillId="0" borderId="0" xfId="13" applyNumberFormat="1" applyFont="1"/>
    <xf numFmtId="179" fontId="67" fillId="0" borderId="0" xfId="13" applyNumberFormat="1" applyFont="1" applyAlignment="1">
      <alignment wrapText="1"/>
    </xf>
    <xf numFmtId="179" fontId="18" fillId="0" borderId="38" xfId="13" applyNumberFormat="1" applyBorder="1"/>
    <xf numFmtId="178" fontId="32" fillId="0" borderId="32" xfId="15" applyFont="1" applyBorder="1" applyAlignment="1">
      <alignment vertical="center"/>
    </xf>
    <xf numFmtId="178" fontId="18" fillId="0" borderId="24" xfId="10" applyBorder="1"/>
    <xf numFmtId="3" fontId="18" fillId="0" borderId="27" xfId="14" applyNumberFormat="1" applyBorder="1" applyAlignment="1">
      <alignment horizontal="center" vertical="center"/>
    </xf>
    <xf numFmtId="4" fontId="85" fillId="0" borderId="0" xfId="17" applyNumberFormat="1" applyFont="1" applyAlignment="1">
      <alignment horizontal="center" vertical="center" wrapText="1"/>
    </xf>
    <xf numFmtId="179" fontId="18" fillId="0" borderId="0" xfId="10" applyNumberFormat="1" applyAlignment="1">
      <alignment vertical="center" wrapText="1"/>
    </xf>
    <xf numFmtId="179" fontId="18" fillId="0" borderId="0" xfId="14" applyNumberFormat="1" applyAlignment="1">
      <alignment vertical="center"/>
    </xf>
    <xf numFmtId="179" fontId="18" fillId="0" borderId="0" xfId="10" applyNumberFormat="1" applyAlignment="1">
      <alignment vertical="center" readingOrder="2"/>
    </xf>
    <xf numFmtId="179" fontId="14" fillId="0" borderId="0" xfId="10" applyNumberFormat="1" applyFont="1"/>
    <xf numFmtId="178" fontId="120" fillId="0" borderId="0" xfId="17" applyFont="1" applyAlignment="1">
      <alignment vertical="center" wrapText="1" readingOrder="2"/>
    </xf>
    <xf numFmtId="178" fontId="55" fillId="0" borderId="0" xfId="17" applyFont="1" applyAlignment="1">
      <alignment vertical="center" readingOrder="2"/>
    </xf>
    <xf numFmtId="179" fontId="18" fillId="0" borderId="0" xfId="13" applyNumberFormat="1" applyAlignment="1">
      <alignment vertical="center" wrapText="1"/>
    </xf>
    <xf numFmtId="179" fontId="67" fillId="0" borderId="0" xfId="10" applyNumberFormat="1" applyFont="1" applyAlignment="1">
      <alignment vertical="center" wrapText="1"/>
    </xf>
    <xf numFmtId="179" fontId="67" fillId="0" borderId="0" xfId="16" applyNumberFormat="1" applyFont="1" applyAlignment="1">
      <alignment vertical="center"/>
    </xf>
    <xf numFmtId="179" fontId="18" fillId="0" borderId="0" xfId="13" applyNumberFormat="1" applyAlignment="1">
      <alignment horizontal="right" wrapText="1"/>
    </xf>
    <xf numFmtId="179" fontId="67" fillId="0" borderId="0" xfId="16" applyNumberFormat="1" applyFont="1" applyAlignment="1">
      <alignment horizontal="right" vertical="center"/>
    </xf>
    <xf numFmtId="0" fontId="0" fillId="0" borderId="102" xfId="0" applyBorder="1" applyAlignment="1">
      <alignment horizontal="right" vertical="top" wrapText="1" readingOrder="2"/>
    </xf>
    <xf numFmtId="0" fontId="0" fillId="0" borderId="103" xfId="0" applyBorder="1" applyAlignment="1">
      <alignment horizontal="right" vertical="top" wrapText="1" readingOrder="2"/>
    </xf>
    <xf numFmtId="3" fontId="37" fillId="3" borderId="2" xfId="0" applyNumberFormat="1" applyFont="1" applyFill="1" applyBorder="1" applyAlignment="1">
      <alignment horizontal="center" vertical="center"/>
    </xf>
    <xf numFmtId="191" fontId="12" fillId="3" borderId="2" xfId="6" applyNumberFormat="1" applyFont="1" applyFill="1" applyBorder="1" applyAlignment="1">
      <alignment horizontal="center" vertical="center"/>
    </xf>
    <xf numFmtId="191" fontId="33" fillId="3" borderId="2" xfId="6" applyNumberFormat="1" applyFont="1" applyFill="1" applyBorder="1" applyAlignment="1">
      <alignment horizontal="center" vertical="center"/>
    </xf>
    <xf numFmtId="3" fontId="37" fillId="3" borderId="19" xfId="0" applyNumberFormat="1" applyFont="1" applyFill="1" applyBorder="1" applyAlignment="1">
      <alignment horizontal="center" vertical="center"/>
    </xf>
    <xf numFmtId="172" fontId="30" fillId="0" borderId="74" xfId="8" applyNumberFormat="1" applyFont="1" applyBorder="1" applyAlignment="1">
      <alignment horizontal="center" vertical="center"/>
    </xf>
    <xf numFmtId="0" fontId="12" fillId="0" borderId="23" xfId="5" quotePrefix="1" applyFont="1" applyBorder="1" applyAlignment="1">
      <alignment horizontal="right" vertical="center"/>
    </xf>
    <xf numFmtId="187" fontId="0" fillId="0" borderId="0" xfId="25" applyNumberFormat="1" applyFont="1" applyFill="1"/>
    <xf numFmtId="172" fontId="30" fillId="3" borderId="9" xfId="8" applyNumberFormat="1" applyFont="1" applyFill="1" applyBorder="1" applyAlignment="1">
      <alignment horizontal="center" vertical="center"/>
    </xf>
    <xf numFmtId="191" fontId="12" fillId="0" borderId="0" xfId="6" applyNumberFormat="1" applyFont="1" applyFill="1" applyBorder="1" applyAlignment="1">
      <alignment horizontal="center" vertical="center"/>
    </xf>
    <xf numFmtId="191" fontId="0" fillId="0" borderId="0" xfId="0" applyNumberFormat="1"/>
    <xf numFmtId="172" fontId="30" fillId="3" borderId="0" xfId="8" applyNumberFormat="1" applyFont="1" applyFill="1" applyAlignment="1">
      <alignment horizontal="center" vertical="center"/>
    </xf>
    <xf numFmtId="172" fontId="30" fillId="3" borderId="10" xfId="8" applyNumberFormat="1" applyFont="1" applyFill="1" applyBorder="1" applyAlignment="1">
      <alignment horizontal="center" vertical="center"/>
    </xf>
    <xf numFmtId="187" fontId="0" fillId="0" borderId="0" xfId="0" applyNumberFormat="1"/>
    <xf numFmtId="192" fontId="0" fillId="0" borderId="0" xfId="0" applyNumberFormat="1"/>
    <xf numFmtId="179" fontId="12" fillId="3" borderId="20" xfId="21" applyNumberFormat="1" applyFill="1" applyBorder="1" applyAlignment="1">
      <alignment vertical="center"/>
    </xf>
    <xf numFmtId="179" fontId="12" fillId="3" borderId="23" xfId="21" applyNumberFormat="1" applyFill="1" applyBorder="1" applyAlignment="1">
      <alignment vertical="center"/>
    </xf>
    <xf numFmtId="179" fontId="12" fillId="3" borderId="55" xfId="21" applyNumberFormat="1" applyFill="1" applyBorder="1" applyAlignment="1">
      <alignment vertical="center"/>
    </xf>
    <xf numFmtId="179" fontId="12" fillId="3" borderId="25" xfId="21" applyNumberFormat="1" applyFill="1" applyBorder="1" applyAlignment="1">
      <alignment vertical="center"/>
    </xf>
    <xf numFmtId="0" fontId="20" fillId="0" borderId="98" xfId="0" applyFont="1" applyBorder="1" applyAlignment="1">
      <alignment horizontal="center" vertical="center" wrapText="1" readingOrder="2"/>
    </xf>
    <xf numFmtId="0" fontId="20" fillId="0" borderId="37" xfId="0" applyFont="1" applyBorder="1" applyAlignment="1">
      <alignment horizontal="right" vertical="center" wrapText="1" readingOrder="2"/>
    </xf>
    <xf numFmtId="0" fontId="69" fillId="0" borderId="37" xfId="0" applyFont="1" applyBorder="1" applyAlignment="1">
      <alignment horizontal="center" vertical="center" wrapText="1"/>
    </xf>
    <xf numFmtId="0" fontId="22" fillId="0" borderId="37" xfId="0" applyFont="1" applyBorder="1" applyAlignment="1">
      <alignment horizontal="center" vertical="center" wrapText="1"/>
    </xf>
    <xf numFmtId="3" fontId="22" fillId="0" borderId="37" xfId="0" applyNumberFormat="1" applyFont="1" applyBorder="1" applyAlignment="1">
      <alignment horizontal="center" vertical="center" wrapText="1"/>
    </xf>
    <xf numFmtId="0" fontId="135" fillId="0" borderId="83" xfId="0" applyFont="1" applyBorder="1" applyAlignment="1">
      <alignment horizontal="center" vertical="center" wrapText="1" readingOrder="2"/>
    </xf>
    <xf numFmtId="0" fontId="20" fillId="0" borderId="83" xfId="0" applyFont="1" applyBorder="1" applyAlignment="1">
      <alignment horizontal="center" vertical="center" wrapText="1" readingOrder="2"/>
    </xf>
    <xf numFmtId="0" fontId="121" fillId="0" borderId="0" xfId="20" applyNumberFormat="1"/>
    <xf numFmtId="177" fontId="121" fillId="0" borderId="0" xfId="20" applyNumberFormat="1"/>
    <xf numFmtId="3" fontId="134" fillId="0" borderId="83" xfId="0" applyNumberFormat="1" applyFont="1" applyBorder="1" applyAlignment="1">
      <alignment horizontal="center" vertical="center" wrapText="1"/>
    </xf>
    <xf numFmtId="3" fontId="22" fillId="0" borderId="83" xfId="0" applyNumberFormat="1" applyFont="1" applyBorder="1" applyAlignment="1">
      <alignment horizontal="center" vertical="center" wrapText="1"/>
    </xf>
    <xf numFmtId="0" fontId="52" fillId="0" borderId="0" xfId="21" applyFont="1" applyAlignment="1">
      <alignment horizontal="center" vertical="center" wrapText="1" readingOrder="2"/>
    </xf>
    <xf numFmtId="179" fontId="12" fillId="8" borderId="25" xfId="21" applyNumberFormat="1" applyFill="1" applyBorder="1" applyAlignment="1">
      <alignment vertical="center"/>
    </xf>
    <xf numFmtId="0" fontId="0" fillId="2" borderId="5" xfId="0" applyFill="1" applyBorder="1" applyAlignment="1">
      <alignment horizontal="right" vertical="top" wrapText="1" readingOrder="2"/>
    </xf>
    <xf numFmtId="3" fontId="18" fillId="3" borderId="2" xfId="5" applyNumberFormat="1" applyFill="1" applyBorder="1" applyAlignment="1">
      <alignment horizontal="center" vertical="center"/>
    </xf>
    <xf numFmtId="3" fontId="22" fillId="0" borderId="100" xfId="0" applyNumberFormat="1" applyFont="1" applyBorder="1" applyAlignment="1">
      <alignment horizontal="center" vertical="center" wrapText="1"/>
    </xf>
    <xf numFmtId="3" fontId="22" fillId="0" borderId="60" xfId="0" applyNumberFormat="1" applyFont="1" applyBorder="1" applyAlignment="1">
      <alignment horizontal="center" vertical="center" wrapText="1"/>
    </xf>
    <xf numFmtId="0" fontId="22" fillId="0" borderId="0" xfId="0" applyFont="1" applyAlignment="1">
      <alignment horizontal="center" vertical="center" wrapText="1"/>
    </xf>
    <xf numFmtId="3" fontId="22" fillId="0" borderId="0" xfId="0" applyNumberFormat="1" applyFont="1" applyAlignment="1">
      <alignment horizontal="center" vertical="center" wrapText="1"/>
    </xf>
    <xf numFmtId="3" fontId="134" fillId="0" borderId="0" xfId="0" applyNumberFormat="1" applyFont="1" applyAlignment="1">
      <alignment horizontal="center" vertical="center" wrapText="1"/>
    </xf>
    <xf numFmtId="3" fontId="18" fillId="3" borderId="2" xfId="7" applyNumberFormat="1" applyFill="1" applyBorder="1" applyAlignment="1">
      <alignment horizontal="center" vertical="center"/>
    </xf>
    <xf numFmtId="0" fontId="21" fillId="0" borderId="100" xfId="0" applyFont="1" applyBorder="1" applyAlignment="1">
      <alignment horizontal="right" wrapText="1" readingOrder="2"/>
    </xf>
    <xf numFmtId="3" fontId="24" fillId="0" borderId="10" xfId="0" applyNumberFormat="1" applyFont="1" applyBorder="1" applyAlignment="1">
      <alignment horizontal="center" wrapText="1" readingOrder="1"/>
    </xf>
    <xf numFmtId="0" fontId="21" fillId="0" borderId="64" xfId="0" applyFont="1" applyBorder="1" applyAlignment="1">
      <alignment horizontal="right" wrapText="1" readingOrder="2"/>
    </xf>
    <xf numFmtId="184" fontId="8" fillId="0" borderId="0" xfId="17" applyNumberFormat="1" applyFont="1"/>
    <xf numFmtId="183" fontId="18" fillId="0" borderId="0" xfId="10" applyNumberFormat="1"/>
    <xf numFmtId="172" fontId="32" fillId="0" borderId="23" xfId="8" applyNumberFormat="1" applyFont="1" applyBorder="1" applyAlignment="1">
      <alignment horizontal="center" vertical="center"/>
    </xf>
    <xf numFmtId="172" fontId="32" fillId="0" borderId="10" xfId="8" applyNumberFormat="1" applyFont="1" applyBorder="1" applyAlignment="1">
      <alignment horizontal="center" vertical="center"/>
    </xf>
    <xf numFmtId="0" fontId="0" fillId="0" borderId="2" xfId="0" applyBorder="1" applyAlignment="1">
      <alignment horizontal="center"/>
    </xf>
    <xf numFmtId="0" fontId="32" fillId="0" borderId="61" xfId="8" applyFont="1" applyBorder="1" applyAlignment="1">
      <alignment horizontal="center" vertical="center"/>
    </xf>
    <xf numFmtId="0" fontId="32" fillId="0" borderId="62" xfId="8" applyFont="1" applyBorder="1" applyAlignment="1">
      <alignment horizontal="center" vertical="center"/>
    </xf>
    <xf numFmtId="3" fontId="52" fillId="0" borderId="2" xfId="0" applyNumberFormat="1" applyFont="1" applyBorder="1" applyAlignment="1">
      <alignment horizontal="right" vertical="center" wrapText="1" readingOrder="2"/>
    </xf>
    <xf numFmtId="9" fontId="0" fillId="0" borderId="0" xfId="4" applyFont="1"/>
    <xf numFmtId="9" fontId="0" fillId="0" borderId="2" xfId="4" applyFont="1" applyBorder="1"/>
    <xf numFmtId="0" fontId="0" fillId="0" borderId="0" xfId="0" applyAlignment="1">
      <alignment horizontal="center" vertical="top" wrapText="1" readingOrder="2"/>
    </xf>
    <xf numFmtId="0" fontId="0" fillId="0" borderId="0" xfId="0" applyAlignment="1">
      <alignment horizontal="right" vertical="top" wrapText="1" readingOrder="2"/>
    </xf>
    <xf numFmtId="0" fontId="6" fillId="0" borderId="0" xfId="0" applyFont="1" applyAlignment="1">
      <alignment horizontal="right" vertical="center" wrapText="1" readingOrder="2"/>
    </xf>
    <xf numFmtId="3" fontId="29" fillId="8" borderId="2" xfId="0" applyNumberFormat="1" applyFont="1" applyFill="1" applyBorder="1" applyAlignment="1">
      <alignment horizontal="center" wrapText="1" readingOrder="2"/>
    </xf>
    <xf numFmtId="3" fontId="24" fillId="8" borderId="2" xfId="0" applyNumberFormat="1" applyFont="1" applyFill="1" applyBorder="1" applyAlignment="1">
      <alignment horizontal="center" wrapText="1" readingOrder="1"/>
    </xf>
    <xf numFmtId="0" fontId="32" fillId="0" borderId="0" xfId="8" applyFont="1" applyAlignment="1">
      <alignment vertical="center"/>
    </xf>
    <xf numFmtId="172" fontId="32" fillId="0" borderId="25" xfId="8" applyNumberFormat="1" applyFont="1" applyBorder="1" applyAlignment="1">
      <alignment vertical="center"/>
    </xf>
    <xf numFmtId="0" fontId="69" fillId="0" borderId="41" xfId="0" applyFont="1" applyBorder="1" applyAlignment="1">
      <alignment horizontal="right" vertical="center" wrapText="1" readingOrder="2"/>
    </xf>
    <xf numFmtId="0" fontId="7" fillId="0" borderId="64" xfId="0" applyFont="1" applyBorder="1" applyAlignment="1">
      <alignment horizontal="center" vertical="center"/>
    </xf>
    <xf numFmtId="0" fontId="19" fillId="0" borderId="0" xfId="0" applyFont="1" applyAlignment="1">
      <alignment readingOrder="1"/>
    </xf>
    <xf numFmtId="0" fontId="20" fillId="0" borderId="20" xfId="0" applyFont="1" applyBorder="1" applyAlignment="1">
      <alignment horizontal="center" wrapText="1" readingOrder="2"/>
    </xf>
    <xf numFmtId="0" fontId="20" fillId="0" borderId="21" xfId="0" applyFont="1" applyBorder="1" applyAlignment="1">
      <alignment horizontal="center" wrapText="1" readingOrder="2"/>
    </xf>
    <xf numFmtId="0" fontId="20" fillId="0" borderId="22" xfId="0" applyFont="1" applyBorder="1" applyAlignment="1">
      <alignment horizontal="center" wrapText="1" readingOrder="2"/>
    </xf>
    <xf numFmtId="172" fontId="30" fillId="0" borderId="20" xfId="8" applyNumberFormat="1" applyFont="1" applyBorder="1" applyAlignment="1">
      <alignment vertical="center"/>
    </xf>
    <xf numFmtId="0" fontId="32" fillId="0" borderId="0" xfId="8" applyFont="1" applyAlignment="1">
      <alignment horizontal="center" vertical="center"/>
    </xf>
    <xf numFmtId="172" fontId="30" fillId="0" borderId="85" xfId="8" applyNumberFormat="1" applyFont="1" applyBorder="1" applyAlignment="1">
      <alignment horizontal="center" vertical="center"/>
    </xf>
    <xf numFmtId="3" fontId="50" fillId="0" borderId="8" xfId="0" applyNumberFormat="1" applyFont="1" applyBorder="1" applyAlignment="1">
      <alignment horizontal="right" vertical="center" wrapText="1" readingOrder="2"/>
    </xf>
    <xf numFmtId="3" fontId="50" fillId="0" borderId="8" xfId="0" applyNumberFormat="1" applyFont="1" applyBorder="1" applyAlignment="1">
      <alignment horizontal="right" vertical="top" wrapText="1" readingOrder="2"/>
    </xf>
    <xf numFmtId="3" fontId="50" fillId="0" borderId="56" xfId="0" applyNumberFormat="1" applyFont="1" applyBorder="1" applyAlignment="1">
      <alignment horizontal="right" vertical="center" wrapText="1" readingOrder="2"/>
    </xf>
    <xf numFmtId="0" fontId="69" fillId="0" borderId="2" xfId="0" applyFont="1" applyBorder="1" applyAlignment="1">
      <alignment horizontal="right" vertical="center" wrapText="1" readingOrder="2"/>
    </xf>
    <xf numFmtId="0" fontId="41" fillId="0" borderId="0" xfId="0" applyFont="1" applyAlignment="1">
      <alignment horizontal="center"/>
    </xf>
    <xf numFmtId="0" fontId="34" fillId="0" borderId="25" xfId="0" applyFont="1" applyBorder="1" applyAlignment="1">
      <alignment horizontal="center" vertical="center"/>
    </xf>
    <xf numFmtId="0" fontId="18" fillId="0" borderId="26" xfId="0" applyFont="1" applyBorder="1" applyAlignment="1">
      <alignment vertical="center" wrapText="1"/>
    </xf>
    <xf numFmtId="0" fontId="34" fillId="0" borderId="26" xfId="0" applyFont="1" applyBorder="1" applyAlignment="1">
      <alignment horizontal="center" vertical="center"/>
    </xf>
    <xf numFmtId="0" fontId="18" fillId="0" borderId="26" xfId="0" applyFont="1" applyBorder="1" applyAlignment="1">
      <alignment horizontal="center" vertical="center"/>
    </xf>
    <xf numFmtId="172" fontId="30" fillId="0" borderId="38" xfId="8" applyNumberFormat="1" applyFont="1" applyBorder="1" applyAlignment="1">
      <alignment horizontal="center" vertical="center"/>
    </xf>
    <xf numFmtId="3" fontId="37" fillId="0" borderId="26" xfId="0" applyNumberFormat="1" applyFont="1" applyBorder="1" applyAlignment="1">
      <alignment horizontal="center" vertical="center"/>
    </xf>
    <xf numFmtId="195" fontId="30" fillId="0" borderId="0" xfId="8" applyNumberFormat="1" applyFont="1" applyAlignment="1">
      <alignment horizontal="center" vertical="center"/>
    </xf>
    <xf numFmtId="3" fontId="34" fillId="3" borderId="2" xfId="5" applyNumberFormat="1" applyFont="1" applyFill="1" applyBorder="1" applyAlignment="1">
      <alignment horizontal="center" vertical="center"/>
    </xf>
    <xf numFmtId="0" fontId="0" fillId="0" borderId="10" xfId="0" applyBorder="1"/>
    <xf numFmtId="187" fontId="0" fillId="0" borderId="2" xfId="25" applyNumberFormat="1" applyFont="1" applyBorder="1" applyAlignment="1">
      <alignment horizontal="center"/>
    </xf>
    <xf numFmtId="170" fontId="0" fillId="0" borderId="2" xfId="4" applyNumberFormat="1" applyFont="1" applyBorder="1"/>
    <xf numFmtId="0" fontId="32" fillId="0" borderId="76" xfId="8" applyFont="1" applyBorder="1" applyAlignment="1">
      <alignment horizontal="center" vertical="center"/>
    </xf>
    <xf numFmtId="187" fontId="109" fillId="3" borderId="2" xfId="6" applyNumberFormat="1" applyFont="1" applyFill="1" applyBorder="1" applyAlignment="1">
      <alignment horizontal="center" vertical="center"/>
    </xf>
    <xf numFmtId="172" fontId="30" fillId="4" borderId="2" xfId="8" applyNumberFormat="1" applyFont="1" applyFill="1" applyBorder="1" applyAlignment="1">
      <alignment horizontal="center" vertical="center"/>
    </xf>
    <xf numFmtId="172" fontId="30" fillId="3" borderId="8" xfId="8" applyNumberFormat="1" applyFont="1" applyFill="1" applyBorder="1" applyAlignment="1">
      <alignment horizontal="center" vertical="center"/>
    </xf>
    <xf numFmtId="0" fontId="34" fillId="0" borderId="2" xfId="5" applyFont="1" applyBorder="1" applyAlignment="1">
      <alignment horizontal="justify" readingOrder="1"/>
    </xf>
    <xf numFmtId="0" fontId="20" fillId="0" borderId="2" xfId="0" applyFont="1" applyBorder="1" applyAlignment="1">
      <alignment horizontal="right" wrapText="1" readingOrder="2"/>
    </xf>
    <xf numFmtId="177" fontId="0" fillId="0" borderId="2" xfId="0" applyNumberFormat="1" applyBorder="1"/>
    <xf numFmtId="0" fontId="3" fillId="0" borderId="104" xfId="2" applyBorder="1"/>
    <xf numFmtId="168" fontId="3" fillId="0" borderId="104" xfId="2" applyNumberFormat="1" applyBorder="1"/>
    <xf numFmtId="194" fontId="3" fillId="0" borderId="104" xfId="2" applyNumberFormat="1" applyBorder="1"/>
    <xf numFmtId="170" fontId="3" fillId="0" borderId="104" xfId="2" applyNumberFormat="1" applyBorder="1"/>
    <xf numFmtId="0" fontId="0" fillId="0" borderId="0" xfId="0" applyAlignment="1">
      <alignment vertical="center" wrapText="1"/>
    </xf>
    <xf numFmtId="0" fontId="0" fillId="0" borderId="35" xfId="0" applyBorder="1"/>
    <xf numFmtId="168" fontId="0" fillId="0" borderId="0" xfId="3" applyNumberFormat="1" applyFont="1" applyBorder="1"/>
    <xf numFmtId="169" fontId="0" fillId="0" borderId="0" xfId="3" applyNumberFormat="1" applyFont="1" applyBorder="1"/>
    <xf numFmtId="170" fontId="0" fillId="0" borderId="0" xfId="4" applyNumberFormat="1" applyFont="1" applyBorder="1"/>
    <xf numFmtId="194" fontId="0" fillId="0" borderId="0" xfId="3" applyNumberFormat="1" applyFont="1" applyBorder="1"/>
    <xf numFmtId="194" fontId="0" fillId="0" borderId="2" xfId="3" applyNumberFormat="1" applyFont="1" applyBorder="1"/>
    <xf numFmtId="170" fontId="3" fillId="0" borderId="0" xfId="2" applyNumberFormat="1" applyBorder="1"/>
    <xf numFmtId="0" fontId="25" fillId="0" borderId="41" xfId="0" applyFont="1" applyBorder="1" applyAlignment="1">
      <alignment horizontal="right" wrapText="1" readingOrder="2"/>
    </xf>
    <xf numFmtId="168" fontId="3" fillId="0" borderId="2" xfId="2" applyNumberFormat="1" applyBorder="1"/>
    <xf numFmtId="0" fontId="67" fillId="3" borderId="2" xfId="5" applyFont="1" applyFill="1" applyBorder="1" applyAlignment="1">
      <alignment horizontal="center" vertical="center"/>
    </xf>
    <xf numFmtId="0" fontId="18" fillId="3" borderId="2" xfId="5" applyFill="1" applyBorder="1" applyAlignment="1">
      <alignment horizontal="center" vertical="center"/>
    </xf>
    <xf numFmtId="172" fontId="30" fillId="3" borderId="21" xfId="8" applyNumberFormat="1" applyFont="1" applyFill="1" applyBorder="1" applyAlignment="1">
      <alignment horizontal="center" vertical="center"/>
    </xf>
    <xf numFmtId="172" fontId="40" fillId="3" borderId="2" xfId="8" applyNumberFormat="1" applyFont="1" applyFill="1" applyBorder="1" applyAlignment="1">
      <alignment horizontal="center" vertical="center"/>
    </xf>
    <xf numFmtId="3" fontId="22" fillId="3" borderId="24" xfId="0" applyNumberFormat="1" applyFont="1" applyFill="1" applyBorder="1" applyAlignment="1">
      <alignment horizontal="center" wrapText="1" readingOrder="1"/>
    </xf>
    <xf numFmtId="187" fontId="18" fillId="0" borderId="2" xfId="25" applyNumberFormat="1" applyFont="1" applyFill="1" applyBorder="1" applyAlignment="1">
      <alignment horizontal="center" vertical="center"/>
    </xf>
    <xf numFmtId="187" fontId="0" fillId="0" borderId="0" xfId="25" applyNumberFormat="1" applyFont="1"/>
    <xf numFmtId="172" fontId="30" fillId="4" borderId="0" xfId="8" applyNumberFormat="1" applyFont="1" applyFill="1" applyAlignment="1">
      <alignment vertical="center"/>
    </xf>
    <xf numFmtId="168" fontId="0" fillId="0" borderId="0" xfId="0" applyNumberFormat="1"/>
    <xf numFmtId="10" fontId="0" fillId="0" borderId="0" xfId="4" applyNumberFormat="1" applyFont="1"/>
    <xf numFmtId="166" fontId="0" fillId="0" borderId="0" xfId="0" applyNumberFormat="1"/>
    <xf numFmtId="3" fontId="18" fillId="0" borderId="0" xfId="8" applyNumberFormat="1" applyAlignment="1">
      <alignment horizontal="center" vertical="center"/>
    </xf>
    <xf numFmtId="3" fontId="18" fillId="3" borderId="2" xfId="8" applyNumberFormat="1" applyFill="1" applyBorder="1" applyAlignment="1">
      <alignment horizontal="center" vertical="center"/>
    </xf>
    <xf numFmtId="187" fontId="18" fillId="3" borderId="2" xfId="25" applyNumberFormat="1" applyFont="1" applyFill="1" applyBorder="1" applyAlignment="1">
      <alignment horizontal="center" vertical="center"/>
    </xf>
    <xf numFmtId="196" fontId="0" fillId="0" borderId="0" xfId="0" applyNumberFormat="1"/>
    <xf numFmtId="0" fontId="0" fillId="0" borderId="43" xfId="0" applyBorder="1"/>
    <xf numFmtId="197" fontId="0" fillId="0" borderId="2" xfId="0" applyNumberFormat="1" applyBorder="1" applyAlignment="1">
      <alignment horizontal="center"/>
    </xf>
    <xf numFmtId="1" fontId="0" fillId="0" borderId="0" xfId="0" applyNumberFormat="1"/>
    <xf numFmtId="187" fontId="0" fillId="0" borderId="2" xfId="25" applyNumberFormat="1" applyFont="1" applyBorder="1"/>
    <xf numFmtId="49" fontId="0" fillId="2" borderId="2" xfId="0" applyNumberFormat="1" applyFill="1" applyBorder="1" applyAlignment="1">
      <alignment horizontal="center" vertical="center"/>
    </xf>
    <xf numFmtId="194" fontId="0" fillId="0" borderId="2" xfId="0" applyNumberFormat="1" applyBorder="1"/>
    <xf numFmtId="178" fontId="94" fillId="0" borderId="0" xfId="17" applyFont="1" applyAlignment="1">
      <alignment horizontal="right"/>
    </xf>
    <xf numFmtId="179" fontId="67" fillId="0" borderId="0" xfId="13" applyNumberFormat="1" applyFont="1" applyAlignment="1">
      <alignment horizontal="center"/>
    </xf>
    <xf numFmtId="179" fontId="67" fillId="0" borderId="0" xfId="13" applyNumberFormat="1" applyFont="1" applyAlignment="1">
      <alignment vertical="center" wrapText="1"/>
    </xf>
    <xf numFmtId="179" fontId="32" fillId="0" borderId="0" xfId="13" applyNumberFormat="1" applyFont="1" applyAlignment="1">
      <alignment vertical="center"/>
    </xf>
    <xf numFmtId="179" fontId="67" fillId="0" borderId="37" xfId="13" applyNumberFormat="1" applyFont="1" applyBorder="1" applyAlignment="1">
      <alignment vertical="center" wrapText="1"/>
    </xf>
    <xf numFmtId="179" fontId="18" fillId="0" borderId="38" xfId="10" applyNumberFormat="1" applyBorder="1" applyAlignment="1">
      <alignment vertical="center"/>
    </xf>
    <xf numFmtId="179" fontId="67" fillId="0" borderId="38" xfId="13" applyNumberFormat="1" applyFont="1" applyBorder="1" applyAlignment="1">
      <alignment vertical="center"/>
    </xf>
    <xf numFmtId="179" fontId="18" fillId="0" borderId="38" xfId="14" applyNumberFormat="1" applyBorder="1" applyAlignment="1">
      <alignment horizontal="center" vertical="center"/>
    </xf>
    <xf numFmtId="179" fontId="18" fillId="0" borderId="38" xfId="10" applyNumberFormat="1" applyBorder="1"/>
    <xf numFmtId="0" fontId="137" fillId="13" borderId="106" xfId="0" applyFont="1" applyFill="1" applyBorder="1" applyAlignment="1">
      <alignment horizontal="center" vertical="center" readingOrder="1"/>
    </xf>
    <xf numFmtId="0" fontId="29" fillId="0" borderId="37" xfId="0" applyFont="1" applyBorder="1" applyAlignment="1">
      <alignment horizontal="right" vertical="center" readingOrder="2"/>
    </xf>
    <xf numFmtId="0" fontId="137" fillId="0" borderId="37" xfId="0" applyFont="1" applyBorder="1" applyAlignment="1">
      <alignment horizontal="center" vertical="center" readingOrder="2"/>
    </xf>
    <xf numFmtId="0" fontId="138" fillId="0" borderId="37" xfId="0" applyFont="1" applyBorder="1" applyAlignment="1">
      <alignment horizontal="right" vertical="center" readingOrder="2"/>
    </xf>
    <xf numFmtId="0" fontId="52" fillId="13" borderId="37" xfId="0" applyFont="1" applyFill="1" applyBorder="1" applyAlignment="1">
      <alignment horizontal="center" vertical="center" readingOrder="2"/>
    </xf>
    <xf numFmtId="0" fontId="139" fillId="13" borderId="37" xfId="0" applyFont="1" applyFill="1" applyBorder="1" applyAlignment="1">
      <alignment horizontal="center" vertical="center" readingOrder="2"/>
    </xf>
    <xf numFmtId="0" fontId="52" fillId="13" borderId="109" xfId="0" applyFont="1" applyFill="1" applyBorder="1" applyAlignment="1">
      <alignment horizontal="center" vertical="center" readingOrder="2"/>
    </xf>
    <xf numFmtId="0" fontId="137" fillId="13" borderId="98" xfId="0" applyFont="1" applyFill="1" applyBorder="1" applyAlignment="1">
      <alignment horizontal="center" vertical="center" readingOrder="2"/>
    </xf>
    <xf numFmtId="0" fontId="137" fillId="13" borderId="83" xfId="0" applyFont="1" applyFill="1" applyBorder="1" applyAlignment="1">
      <alignment horizontal="center" vertical="center" readingOrder="2"/>
    </xf>
    <xf numFmtId="187" fontId="81" fillId="0" borderId="83" xfId="25" applyNumberFormat="1" applyFont="1" applyBorder="1" applyAlignment="1">
      <alignment horizontal="right" vertical="center" readingOrder="2"/>
    </xf>
    <xf numFmtId="0" fontId="0" fillId="4" borderId="2" xfId="0" applyFill="1" applyBorder="1"/>
    <xf numFmtId="198" fontId="0" fillId="0" borderId="2" xfId="3" applyNumberFormat="1" applyFont="1" applyBorder="1"/>
    <xf numFmtId="0" fontId="0" fillId="0" borderId="52" xfId="0" applyBorder="1" applyAlignment="1">
      <alignment vertical="center" wrapText="1"/>
    </xf>
    <xf numFmtId="170" fontId="0" fillId="0" borderId="34" xfId="4" applyNumberFormat="1" applyFont="1" applyBorder="1"/>
    <xf numFmtId="9" fontId="0" fillId="0" borderId="34" xfId="4" applyFont="1" applyBorder="1"/>
    <xf numFmtId="170" fontId="3" fillId="0" borderId="110" xfId="2" applyNumberFormat="1" applyBorder="1"/>
    <xf numFmtId="0" fontId="0" fillId="0" borderId="54" xfId="0" applyBorder="1" applyAlignment="1">
      <alignment vertical="center"/>
    </xf>
    <xf numFmtId="0" fontId="3" fillId="0" borderId="111" xfId="2" applyBorder="1"/>
    <xf numFmtId="199" fontId="0" fillId="0" borderId="0" xfId="4" applyNumberFormat="1" applyFont="1"/>
    <xf numFmtId="183" fontId="24" fillId="0" borderId="63" xfId="17" applyNumberFormat="1" applyFont="1" applyBorder="1" applyAlignment="1">
      <alignment horizontal="center"/>
    </xf>
    <xf numFmtId="183" fontId="24" fillId="0" borderId="64" xfId="17" applyNumberFormat="1" applyFont="1" applyBorder="1" applyAlignment="1">
      <alignment horizontal="center"/>
    </xf>
    <xf numFmtId="178" fontId="81" fillId="0" borderId="64" xfId="17" applyFont="1" applyBorder="1" applyAlignment="1">
      <alignment horizontal="center"/>
    </xf>
    <xf numFmtId="183" fontId="24" fillId="0" borderId="23" xfId="17" applyNumberFormat="1" applyFont="1" applyBorder="1" applyAlignment="1">
      <alignment horizontal="center"/>
    </xf>
    <xf numFmtId="183" fontId="24" fillId="0" borderId="2" xfId="17" applyNumberFormat="1" applyFont="1" applyBorder="1" applyAlignment="1">
      <alignment horizontal="center"/>
    </xf>
    <xf numFmtId="178" fontId="81" fillId="0" borderId="2" xfId="17" applyFont="1" applyBorder="1" applyAlignment="1">
      <alignment horizontal="center"/>
    </xf>
    <xf numFmtId="178" fontId="95" fillId="0" borderId="85" xfId="17" applyFont="1" applyBorder="1" applyAlignment="1">
      <alignment horizontal="center" vertical="center"/>
    </xf>
    <xf numFmtId="178" fontId="95" fillId="0" borderId="86" xfId="17" applyFont="1" applyBorder="1" applyAlignment="1">
      <alignment horizontal="center" vertical="center"/>
    </xf>
    <xf numFmtId="178" fontId="95" fillId="0" borderId="87" xfId="17" applyFont="1" applyBorder="1" applyAlignment="1">
      <alignment horizontal="center" vertical="center"/>
    </xf>
    <xf numFmtId="178" fontId="96" fillId="0" borderId="85" xfId="17" applyFont="1" applyBorder="1" applyAlignment="1">
      <alignment horizontal="center" vertical="center"/>
    </xf>
    <xf numFmtId="178" fontId="96" fillId="0" borderId="86" xfId="17" applyFont="1" applyBorder="1" applyAlignment="1">
      <alignment horizontal="center" vertical="center"/>
    </xf>
    <xf numFmtId="0" fontId="24" fillId="0" borderId="63" xfId="17" applyNumberFormat="1" applyFont="1" applyBorder="1" applyAlignment="1">
      <alignment horizontal="center" vertical="center" wrapText="1"/>
    </xf>
    <xf numFmtId="0" fontId="24" fillId="0" borderId="64" xfId="17" applyNumberFormat="1" applyFont="1" applyBorder="1" applyAlignment="1">
      <alignment horizontal="center" vertical="center" wrapText="1"/>
    </xf>
    <xf numFmtId="183" fontId="24" fillId="0" borderId="25" xfId="17" applyNumberFormat="1" applyFont="1" applyBorder="1" applyAlignment="1">
      <alignment horizontal="center"/>
    </xf>
    <xf numFmtId="183" fontId="24" fillId="0" borderId="26" xfId="17" applyNumberFormat="1" applyFont="1" applyBorder="1" applyAlignment="1">
      <alignment horizontal="center"/>
    </xf>
    <xf numFmtId="178" fontId="81" fillId="0" borderId="26" xfId="17" applyFont="1" applyBorder="1" applyAlignment="1">
      <alignment horizontal="center"/>
    </xf>
    <xf numFmtId="183" fontId="24" fillId="0" borderId="2" xfId="17" applyNumberFormat="1" applyFont="1" applyBorder="1" applyAlignment="1">
      <alignment horizontal="center" vertical="center"/>
    </xf>
    <xf numFmtId="178" fontId="24" fillId="0" borderId="2" xfId="17" applyFont="1" applyBorder="1" applyAlignment="1">
      <alignment horizontal="center"/>
    </xf>
    <xf numFmtId="178" fontId="97" fillId="0" borderId="2" xfId="17" applyFont="1" applyBorder="1"/>
    <xf numFmtId="183" fontId="24" fillId="0" borderId="2" xfId="17" quotePrefix="1" applyNumberFormat="1" applyFont="1" applyBorder="1" applyAlignment="1">
      <alignment horizontal="center"/>
    </xf>
    <xf numFmtId="178" fontId="96" fillId="0" borderId="87" xfId="17" applyFont="1" applyBorder="1" applyAlignment="1">
      <alignment horizontal="center" vertical="center"/>
    </xf>
    <xf numFmtId="178" fontId="96" fillId="0" borderId="60" xfId="17" applyFont="1" applyBorder="1" applyAlignment="1">
      <alignment horizontal="center" vertical="center"/>
    </xf>
    <xf numFmtId="178" fontId="96" fillId="0" borderId="61" xfId="17" applyFont="1" applyBorder="1" applyAlignment="1">
      <alignment horizontal="center" vertical="center"/>
    </xf>
    <xf numFmtId="178" fontId="24" fillId="0" borderId="64" xfId="17" applyFont="1" applyBorder="1" applyAlignment="1">
      <alignment horizontal="center"/>
    </xf>
    <xf numFmtId="178" fontId="24" fillId="0" borderId="65" xfId="17" applyFont="1" applyBorder="1" applyAlignment="1">
      <alignment horizontal="center"/>
    </xf>
    <xf numFmtId="183" fontId="24" fillId="0" borderId="81" xfId="17" applyNumberFormat="1" applyFont="1" applyBorder="1" applyAlignment="1">
      <alignment horizontal="center"/>
    </xf>
    <xf numFmtId="183" fontId="24" fillId="0" borderId="76" xfId="17" applyNumberFormat="1" applyFont="1" applyBorder="1" applyAlignment="1">
      <alignment horizontal="center"/>
    </xf>
    <xf numFmtId="183" fontId="24" fillId="0" borderId="48" xfId="17" applyNumberFormat="1" applyFont="1" applyBorder="1" applyAlignment="1">
      <alignment horizontal="center"/>
    </xf>
    <xf numFmtId="178" fontId="24" fillId="0" borderId="21" xfId="17" applyFont="1" applyBorder="1" applyAlignment="1">
      <alignment horizontal="center"/>
    </xf>
    <xf numFmtId="178" fontId="24" fillId="0" borderId="26" xfId="17" applyFont="1" applyBorder="1" applyAlignment="1">
      <alignment horizontal="center"/>
    </xf>
    <xf numFmtId="178" fontId="24" fillId="0" borderId="24" xfId="17" applyFont="1" applyBorder="1" applyAlignment="1">
      <alignment horizontal="center"/>
    </xf>
    <xf numFmtId="183" fontId="24" fillId="0" borderId="59" xfId="17" applyNumberFormat="1" applyFont="1" applyBorder="1" applyAlignment="1">
      <alignment horizontal="center"/>
    </xf>
    <xf numFmtId="183" fontId="24" fillId="0" borderId="70" xfId="17" applyNumberFormat="1" applyFont="1" applyBorder="1" applyAlignment="1">
      <alignment horizontal="center"/>
    </xf>
    <xf numFmtId="183" fontId="24" fillId="0" borderId="57" xfId="17" applyNumberFormat="1" applyFont="1" applyBorder="1" applyAlignment="1">
      <alignment horizontal="center"/>
    </xf>
    <xf numFmtId="183" fontId="24" fillId="0" borderId="50" xfId="17" applyNumberFormat="1" applyFont="1" applyBorder="1" applyAlignment="1">
      <alignment horizontal="center"/>
    </xf>
    <xf numFmtId="183" fontId="24" fillId="0" borderId="9" xfId="17" applyNumberFormat="1" applyFont="1" applyBorder="1" applyAlignment="1">
      <alignment horizontal="center"/>
    </xf>
    <xf numFmtId="183" fontId="24" fillId="0" borderId="10" xfId="17" applyNumberFormat="1" applyFont="1" applyBorder="1" applyAlignment="1">
      <alignment horizontal="center"/>
    </xf>
    <xf numFmtId="178" fontId="24" fillId="0" borderId="27" xfId="17" applyFont="1" applyBorder="1" applyAlignment="1">
      <alignment horizontal="center"/>
    </xf>
    <xf numFmtId="183" fontId="24" fillId="0" borderId="28" xfId="17" applyNumberFormat="1" applyFont="1" applyBorder="1" applyAlignment="1">
      <alignment horizontal="center" wrapText="1" readingOrder="2"/>
    </xf>
    <xf numFmtId="183" fontId="24" fillId="0" borderId="29" xfId="17" applyNumberFormat="1" applyFont="1" applyBorder="1" applyAlignment="1">
      <alignment horizontal="center" wrapText="1" readingOrder="2"/>
    </xf>
    <xf numFmtId="183" fontId="24" fillId="0" borderId="30" xfId="17" applyNumberFormat="1" applyFont="1" applyBorder="1" applyAlignment="1">
      <alignment horizontal="center" wrapText="1" readingOrder="2"/>
    </xf>
    <xf numFmtId="183" fontId="24" fillId="0" borderId="71" xfId="17" applyNumberFormat="1" applyFont="1" applyBorder="1" applyAlignment="1">
      <alignment horizontal="center" wrapText="1" readingOrder="2"/>
    </xf>
    <xf numFmtId="183" fontId="24" fillId="0" borderId="14" xfId="17" applyNumberFormat="1" applyFont="1" applyBorder="1" applyAlignment="1">
      <alignment horizontal="center" wrapText="1" readingOrder="2"/>
    </xf>
    <xf numFmtId="183" fontId="24" fillId="0" borderId="72" xfId="17" applyNumberFormat="1" applyFont="1" applyBorder="1" applyAlignment="1">
      <alignment horizontal="center" wrapText="1" readingOrder="2"/>
    </xf>
    <xf numFmtId="178" fontId="24" fillId="0" borderId="31" xfId="17" applyFont="1" applyBorder="1" applyAlignment="1">
      <alignment horizontal="center" wrapText="1"/>
    </xf>
    <xf numFmtId="178" fontId="24" fillId="0" borderId="29" xfId="17" applyFont="1" applyBorder="1" applyAlignment="1">
      <alignment horizontal="center" wrapText="1"/>
    </xf>
    <xf numFmtId="178" fontId="24" fillId="0" borderId="66" xfId="17" applyFont="1" applyBorder="1" applyAlignment="1">
      <alignment horizontal="center" wrapText="1"/>
    </xf>
    <xf numFmtId="178" fontId="24" fillId="0" borderId="14" xfId="17" applyFont="1" applyBorder="1" applyAlignment="1">
      <alignment horizontal="center" wrapText="1"/>
    </xf>
    <xf numFmtId="0" fontId="137" fillId="13" borderId="105" xfId="0" applyFont="1" applyFill="1" applyBorder="1" applyAlignment="1">
      <alignment horizontal="center" vertical="center" textRotation="90" readingOrder="2"/>
    </xf>
    <xf numFmtId="0" fontId="137" fillId="13" borderId="106" xfId="0" applyFont="1" applyFill="1" applyBorder="1" applyAlignment="1">
      <alignment horizontal="center" vertical="center" textRotation="90" readingOrder="2"/>
    </xf>
    <xf numFmtId="0" fontId="137" fillId="13" borderId="107" xfId="0" applyFont="1" applyFill="1" applyBorder="1" applyAlignment="1">
      <alignment horizontal="center" vertical="center" readingOrder="2"/>
    </xf>
    <xf numFmtId="0" fontId="137" fillId="13" borderId="108" xfId="0" applyFont="1" applyFill="1" applyBorder="1" applyAlignment="1">
      <alignment horizontal="center" vertical="center" readingOrder="2"/>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2" xfId="0" applyBorder="1" applyAlignment="1">
      <alignment horizontal="center"/>
    </xf>
    <xf numFmtId="0" fontId="0" fillId="0" borderId="11" xfId="0" applyBorder="1" applyAlignment="1">
      <alignment horizontal="right" vertical="top" wrapText="1" readingOrder="2"/>
    </xf>
    <xf numFmtId="0" fontId="0" fillId="0" borderId="15" xfId="0" applyBorder="1" applyAlignment="1">
      <alignment horizontal="right" vertical="top" wrapText="1" readingOrder="2"/>
    </xf>
    <xf numFmtId="0" fontId="0" fillId="0" borderId="17" xfId="0" applyBorder="1" applyAlignment="1">
      <alignment horizontal="right" vertical="top" wrapText="1" readingOrder="2"/>
    </xf>
    <xf numFmtId="0" fontId="2" fillId="0" borderId="8" xfId="1" applyBorder="1" applyAlignment="1">
      <alignment horizontal="center" wrapText="1" readingOrder="2"/>
    </xf>
    <xf numFmtId="0" fontId="2" fillId="0" borderId="9" xfId="1" applyBorder="1" applyAlignment="1">
      <alignment horizontal="center" wrapText="1" readingOrder="2"/>
    </xf>
    <xf numFmtId="0" fontId="2" fillId="0" borderId="10" xfId="1" applyBorder="1" applyAlignment="1">
      <alignment horizontal="center" wrapText="1" readingOrder="2"/>
    </xf>
    <xf numFmtId="0" fontId="0" fillId="2" borderId="16" xfId="0" applyFill="1" applyBorder="1" applyAlignment="1">
      <alignment horizontal="center" vertical="top" wrapText="1" readingOrder="2"/>
    </xf>
    <xf numFmtId="0" fontId="0" fillId="2" borderId="15" xfId="0" applyFill="1" applyBorder="1" applyAlignment="1">
      <alignment horizontal="center" vertical="top" wrapText="1" readingOrder="2"/>
    </xf>
    <xf numFmtId="0" fontId="0" fillId="2" borderId="7" xfId="0" applyFill="1" applyBorder="1" applyAlignment="1">
      <alignment horizontal="center" vertical="top" wrapText="1" readingOrder="2"/>
    </xf>
    <xf numFmtId="0" fontId="0" fillId="0" borderId="11" xfId="0" applyBorder="1" applyAlignment="1">
      <alignment horizontal="center" vertical="top" wrapText="1" readingOrder="2"/>
    </xf>
    <xf numFmtId="0" fontId="0" fillId="0" borderId="15" xfId="0" applyBorder="1" applyAlignment="1">
      <alignment horizontal="center" vertical="top" wrapText="1" readingOrder="2"/>
    </xf>
    <xf numFmtId="0" fontId="0" fillId="0" borderId="7" xfId="0" applyBorder="1" applyAlignment="1">
      <alignment horizontal="center" vertical="top" wrapText="1" readingOrder="2"/>
    </xf>
    <xf numFmtId="0" fontId="0" fillId="0" borderId="17" xfId="0" applyBorder="1" applyAlignment="1">
      <alignment horizontal="center" vertical="top" wrapText="1" readingOrder="2"/>
    </xf>
    <xf numFmtId="0" fontId="0" fillId="0" borderId="7" xfId="0" applyBorder="1" applyAlignment="1">
      <alignment horizontal="right" vertical="top" wrapText="1" readingOrder="2"/>
    </xf>
    <xf numFmtId="0" fontId="0" fillId="2" borderId="11" xfId="0" applyFill="1" applyBorder="1" applyAlignment="1">
      <alignment horizontal="right" vertical="top" wrapText="1" readingOrder="2"/>
    </xf>
    <xf numFmtId="0" fontId="0" fillId="2" borderId="15" xfId="0" applyFill="1" applyBorder="1" applyAlignment="1">
      <alignment vertical="top" wrapText="1"/>
    </xf>
    <xf numFmtId="0" fontId="0" fillId="2" borderId="7" xfId="0" applyFill="1" applyBorder="1" applyAlignment="1">
      <alignment vertical="top" wrapText="1"/>
    </xf>
    <xf numFmtId="0" fontId="0" fillId="2" borderId="11" xfId="0" applyFill="1" applyBorder="1" applyAlignment="1">
      <alignment horizontal="center" vertical="top" wrapText="1" readingOrder="2"/>
    </xf>
    <xf numFmtId="190" fontId="104" fillId="0" borderId="60" xfId="20" applyFont="1" applyBorder="1" applyAlignment="1">
      <alignment horizontal="center" vertical="center"/>
    </xf>
    <xf numFmtId="190" fontId="104" fillId="0" borderId="61" xfId="20" applyFont="1" applyBorder="1" applyAlignment="1">
      <alignment horizontal="center" vertical="center"/>
    </xf>
    <xf numFmtId="190" fontId="104" fillId="0" borderId="62" xfId="20" applyFont="1" applyBorder="1" applyAlignment="1">
      <alignment horizontal="center" vertical="center"/>
    </xf>
    <xf numFmtId="10" fontId="122" fillId="4" borderId="0" xfId="21" applyNumberFormat="1" applyFont="1" applyFill="1" applyAlignment="1">
      <alignment horizontal="center"/>
    </xf>
    <xf numFmtId="190" fontId="70" fillId="0" borderId="29" xfId="20" applyFont="1" applyBorder="1" applyAlignment="1">
      <alignment horizontal="center" vertical="center" wrapText="1"/>
    </xf>
    <xf numFmtId="190" fontId="70" fillId="0" borderId="29" xfId="20" applyFont="1" applyBorder="1" applyAlignment="1">
      <alignment horizontal="center" vertical="center"/>
    </xf>
    <xf numFmtId="190" fontId="70" fillId="0" borderId="0" xfId="20" applyFont="1" applyAlignment="1">
      <alignment horizontal="center" vertical="center"/>
    </xf>
    <xf numFmtId="190" fontId="70" fillId="0" borderId="38" xfId="20" applyFont="1" applyBorder="1" applyAlignment="1">
      <alignment horizontal="center" vertical="center"/>
    </xf>
    <xf numFmtId="0" fontId="52" fillId="10" borderId="20" xfId="21" applyFont="1" applyFill="1" applyBorder="1" applyAlignment="1">
      <alignment horizontal="center" vertical="center" wrapText="1" readingOrder="2"/>
    </xf>
    <xf numFmtId="0" fontId="52" fillId="10" borderId="25" xfId="21" applyFont="1" applyFill="1" applyBorder="1" applyAlignment="1">
      <alignment horizontal="center" vertical="center" wrapText="1" readingOrder="2"/>
    </xf>
    <xf numFmtId="0" fontId="52" fillId="10" borderId="21" xfId="21" applyFont="1" applyFill="1" applyBorder="1" applyAlignment="1">
      <alignment horizontal="center" vertical="center" wrapText="1" readingOrder="2"/>
    </xf>
    <xf numFmtId="0" fontId="52" fillId="10" borderId="22" xfId="21" applyFont="1" applyFill="1" applyBorder="1" applyAlignment="1">
      <alignment horizontal="center" vertical="center" wrapText="1" readingOrder="2"/>
    </xf>
    <xf numFmtId="0" fontId="52" fillId="10" borderId="27" xfId="21" applyFont="1" applyFill="1" applyBorder="1" applyAlignment="1">
      <alignment horizontal="center" vertical="center" wrapText="1" readingOrder="2"/>
    </xf>
    <xf numFmtId="190" fontId="45" fillId="0" borderId="48" xfId="20" applyFont="1" applyBorder="1" applyAlignment="1">
      <alignment horizontal="center" vertical="center"/>
    </xf>
    <xf numFmtId="190" fontId="45" fillId="0" borderId="21" xfId="20" applyFont="1" applyBorder="1" applyAlignment="1">
      <alignment horizontal="center" vertical="center"/>
    </xf>
    <xf numFmtId="190" fontId="121" fillId="0" borderId="0" xfId="20" applyAlignment="1">
      <alignment horizontal="center"/>
    </xf>
    <xf numFmtId="190" fontId="121" fillId="0" borderId="33" xfId="20" applyBorder="1" applyAlignment="1">
      <alignment horizontal="center"/>
    </xf>
    <xf numFmtId="190" fontId="121" fillId="0" borderId="33" xfId="20" applyBorder="1"/>
    <xf numFmtId="0" fontId="52" fillId="0" borderId="0" xfId="21" applyFont="1" applyAlignment="1">
      <alignment horizontal="center" vertical="center" wrapText="1" readingOrder="2"/>
    </xf>
    <xf numFmtId="0" fontId="67" fillId="0" borderId="22" xfId="20" applyNumberFormat="1" applyFont="1" applyBorder="1" applyAlignment="1">
      <alignment horizontal="center" vertical="center" wrapText="1"/>
    </xf>
    <xf numFmtId="0" fontId="67" fillId="0" borderId="27" xfId="20" applyNumberFormat="1" applyFont="1" applyBorder="1" applyAlignment="1">
      <alignment horizontal="center" vertical="center" wrapText="1"/>
    </xf>
    <xf numFmtId="0" fontId="52" fillId="10" borderId="54" xfId="21" applyFont="1" applyFill="1" applyBorder="1" applyAlignment="1">
      <alignment horizontal="center" vertical="center" wrapText="1" readingOrder="2"/>
    </xf>
    <xf numFmtId="0" fontId="52" fillId="10" borderId="90" xfId="21" applyFont="1" applyFill="1" applyBorder="1" applyAlignment="1">
      <alignment horizontal="center" vertical="center" wrapText="1" readingOrder="2"/>
    </xf>
    <xf numFmtId="0" fontId="102" fillId="0" borderId="21" xfId="21" applyFont="1" applyBorder="1" applyAlignment="1">
      <alignment horizontal="right" vertical="center" wrapText="1" readingOrder="2"/>
    </xf>
    <xf numFmtId="0" fontId="102" fillId="0" borderId="22" xfId="21" applyFont="1" applyBorder="1" applyAlignment="1">
      <alignment horizontal="right" vertical="center" wrapText="1" readingOrder="2"/>
    </xf>
    <xf numFmtId="10" fontId="122" fillId="9" borderId="81" xfId="21" applyNumberFormat="1" applyFont="1" applyFill="1" applyBorder="1" applyAlignment="1">
      <alignment horizontal="center"/>
    </xf>
    <xf numFmtId="10" fontId="122" fillId="9" borderId="76" xfId="21" applyNumberFormat="1" applyFont="1" applyFill="1" applyBorder="1" applyAlignment="1">
      <alignment horizontal="center"/>
    </xf>
    <xf numFmtId="10" fontId="122" fillId="9" borderId="77" xfId="21" applyNumberFormat="1" applyFont="1" applyFill="1" applyBorder="1" applyAlignment="1">
      <alignment horizontal="center"/>
    </xf>
    <xf numFmtId="0" fontId="101" fillId="0" borderId="8" xfId="21" applyFont="1" applyBorder="1" applyAlignment="1">
      <alignment horizontal="right" vertical="center" wrapText="1" readingOrder="2"/>
    </xf>
    <xf numFmtId="0" fontId="101" fillId="0" borderId="74" xfId="21" applyFont="1" applyBorder="1" applyAlignment="1">
      <alignment horizontal="right" vertical="center" wrapText="1" readingOrder="2"/>
    </xf>
    <xf numFmtId="0" fontId="85" fillId="0" borderId="8" xfId="21" applyFont="1" applyBorder="1" applyAlignment="1">
      <alignment horizontal="right" vertical="center" wrapText="1" readingOrder="2"/>
    </xf>
    <xf numFmtId="0" fontId="85" fillId="0" borderId="74" xfId="21" applyFont="1" applyBorder="1" applyAlignment="1">
      <alignment horizontal="right" vertical="center" wrapText="1" readingOrder="2"/>
    </xf>
    <xf numFmtId="0" fontId="85" fillId="0" borderId="2" xfId="21" applyFont="1" applyBorder="1" applyAlignment="1">
      <alignment horizontal="right" vertical="center" wrapText="1" readingOrder="2"/>
    </xf>
    <xf numFmtId="0" fontId="85" fillId="0" borderId="24" xfId="21" applyFont="1" applyBorder="1" applyAlignment="1">
      <alignment horizontal="right" vertical="center" wrapText="1" readingOrder="2"/>
    </xf>
    <xf numFmtId="0" fontId="101" fillId="0" borderId="2" xfId="21" applyFont="1" applyBorder="1" applyAlignment="1">
      <alignment horizontal="right" vertical="center" wrapText="1" readingOrder="2"/>
    </xf>
    <xf numFmtId="0" fontId="101" fillId="0" borderId="24" xfId="21" applyFont="1" applyBorder="1" applyAlignment="1">
      <alignment horizontal="right" vertical="center" wrapText="1" readingOrder="2"/>
    </xf>
    <xf numFmtId="0" fontId="20" fillId="0" borderId="98" xfId="0" applyFont="1" applyBorder="1" applyAlignment="1">
      <alignment horizontal="center" vertical="center" wrapText="1" readingOrder="2"/>
    </xf>
    <xf numFmtId="0" fontId="20" fillId="0" borderId="83" xfId="0" applyFont="1" applyBorder="1" applyAlignment="1">
      <alignment horizontal="center" vertical="center" wrapText="1" readingOrder="2"/>
    </xf>
    <xf numFmtId="0" fontId="69" fillId="0" borderId="60" xfId="0" applyFont="1" applyBorder="1" applyAlignment="1">
      <alignment horizontal="center" vertical="center" wrapText="1"/>
    </xf>
    <xf numFmtId="0" fontId="69" fillId="0" borderId="61" xfId="0" applyFont="1" applyBorder="1" applyAlignment="1">
      <alignment horizontal="center" vertical="center" wrapText="1"/>
    </xf>
    <xf numFmtId="0" fontId="69" fillId="0" borderId="62" xfId="0" applyFont="1" applyBorder="1" applyAlignment="1">
      <alignment horizontal="center" vertical="center" wrapText="1"/>
    </xf>
    <xf numFmtId="0" fontId="20" fillId="0" borderId="94" xfId="0" applyFont="1" applyBorder="1" applyAlignment="1">
      <alignment horizontal="center" vertical="center" wrapText="1" readingOrder="2"/>
    </xf>
    <xf numFmtId="0" fontId="85" fillId="0" borderId="56" xfId="21" applyFont="1" applyBorder="1" applyAlignment="1">
      <alignment horizontal="right" vertical="center" wrapText="1" readingOrder="2"/>
    </xf>
    <xf numFmtId="0" fontId="85" fillId="0" borderId="73" xfId="21" applyFont="1" applyBorder="1" applyAlignment="1">
      <alignment horizontal="right" vertical="center" wrapText="1" readingOrder="2"/>
    </xf>
    <xf numFmtId="0" fontId="85" fillId="0" borderId="47" xfId="21" applyFont="1" applyBorder="1" applyAlignment="1">
      <alignment horizontal="right" vertical="center" wrapText="1" readingOrder="2"/>
    </xf>
    <xf numFmtId="0" fontId="85" fillId="0" borderId="77" xfId="21" applyFont="1" applyBorder="1" applyAlignment="1">
      <alignment horizontal="right" vertical="center" wrapText="1" readingOrder="2"/>
    </xf>
    <xf numFmtId="0" fontId="52" fillId="4" borderId="88" xfId="21" applyFont="1" applyFill="1" applyBorder="1" applyAlignment="1">
      <alignment horizontal="center" vertical="center" wrapText="1" readingOrder="2"/>
    </xf>
    <xf numFmtId="0" fontId="52" fillId="4" borderId="62" xfId="21" applyFont="1" applyFill="1" applyBorder="1" applyAlignment="1">
      <alignment horizontal="center" vertical="center" wrapText="1" readingOrder="2"/>
    </xf>
    <xf numFmtId="0" fontId="19" fillId="0" borderId="2" xfId="0" applyFont="1" applyBorder="1" applyAlignment="1">
      <alignment horizontal="center" readingOrder="1"/>
    </xf>
    <xf numFmtId="0" fontId="19" fillId="0" borderId="20" xfId="0" applyFont="1" applyBorder="1" applyAlignment="1">
      <alignment horizontal="center" readingOrder="1"/>
    </xf>
    <xf numFmtId="0" fontId="19" fillId="0" borderId="21" xfId="0" applyFont="1" applyBorder="1" applyAlignment="1">
      <alignment horizontal="center" readingOrder="1"/>
    </xf>
    <xf numFmtId="0" fontId="19" fillId="0" borderId="22" xfId="0" applyFont="1" applyBorder="1" applyAlignment="1">
      <alignment horizontal="center" readingOrder="1"/>
    </xf>
    <xf numFmtId="0" fontId="19" fillId="0" borderId="2" xfId="0" applyFont="1" applyBorder="1" applyAlignment="1">
      <alignment horizontal="center" vertical="center" readingOrder="1"/>
    </xf>
    <xf numFmtId="0" fontId="82" fillId="0" borderId="0" xfId="10" applyNumberFormat="1" applyFont="1" applyAlignment="1">
      <alignment horizontal="right" vertical="top" wrapText="1"/>
    </xf>
    <xf numFmtId="178" fontId="79" fillId="0" borderId="0" xfId="10" applyFont="1" applyAlignment="1">
      <alignment horizontal="right" vertical="center" wrapText="1"/>
    </xf>
    <xf numFmtId="178" fontId="18" fillId="0" borderId="0" xfId="10" applyAlignment="1">
      <alignment horizontal="right" readingOrder="2"/>
    </xf>
    <xf numFmtId="178" fontId="90" fillId="0" borderId="0" xfId="10" applyFont="1" applyAlignment="1">
      <alignment horizontal="right" vertical="top" wrapText="1"/>
    </xf>
    <xf numFmtId="178" fontId="24" fillId="0" borderId="0" xfId="17" applyFont="1" applyAlignment="1">
      <alignment horizontal="right"/>
    </xf>
    <xf numFmtId="178" fontId="56" fillId="0" borderId="8" xfId="17" applyFont="1" applyBorder="1" applyAlignment="1">
      <alignment horizontal="right" vertical="center" wrapText="1"/>
    </xf>
    <xf numFmtId="178" fontId="12" fillId="0" borderId="10" xfId="17" applyBorder="1"/>
    <xf numFmtId="178" fontId="84" fillId="0" borderId="81" xfId="17" applyFont="1" applyBorder="1" applyAlignment="1">
      <alignment horizontal="right" vertical="top" wrapText="1" readingOrder="2"/>
    </xf>
    <xf numFmtId="178" fontId="84" fillId="0" borderId="76" xfId="17" applyFont="1" applyBorder="1" applyAlignment="1">
      <alignment horizontal="right" vertical="top" wrapText="1" readingOrder="2"/>
    </xf>
    <xf numFmtId="178" fontId="84" fillId="0" borderId="77" xfId="17" applyFont="1" applyBorder="1" applyAlignment="1">
      <alignment horizontal="right" vertical="top" wrapText="1" readingOrder="2"/>
    </xf>
    <xf numFmtId="165" fontId="56" fillId="0" borderId="8" xfId="17" applyNumberFormat="1" applyFont="1" applyBorder="1" applyAlignment="1">
      <alignment horizontal="right" vertical="center" wrapText="1"/>
    </xf>
    <xf numFmtId="165" fontId="56" fillId="0" borderId="10" xfId="17" applyNumberFormat="1" applyFont="1" applyBorder="1" applyAlignment="1">
      <alignment horizontal="right" vertical="center" wrapText="1"/>
    </xf>
    <xf numFmtId="178" fontId="56" fillId="0" borderId="8" xfId="17" applyFont="1" applyBorder="1" applyAlignment="1">
      <alignment horizontal="right" vertical="top" wrapText="1" readingOrder="2"/>
    </xf>
    <xf numFmtId="178" fontId="56" fillId="0" borderId="8" xfId="17" applyFont="1" applyBorder="1" applyAlignment="1">
      <alignment horizontal="right" vertical="top" wrapText="1"/>
    </xf>
    <xf numFmtId="178" fontId="56" fillId="0" borderId="88" xfId="17" applyFont="1" applyBorder="1" applyAlignment="1">
      <alignment horizontal="right" vertical="center" wrapText="1"/>
    </xf>
    <xf numFmtId="178" fontId="56" fillId="0" borderId="89" xfId="17" applyFont="1" applyBorder="1" applyAlignment="1">
      <alignment horizontal="right" vertical="center" wrapText="1"/>
    </xf>
    <xf numFmtId="178" fontId="56" fillId="0" borderId="10" xfId="17" applyFont="1" applyBorder="1" applyAlignment="1">
      <alignment horizontal="right" vertical="top" wrapText="1"/>
    </xf>
    <xf numFmtId="178" fontId="56" fillId="0" borderId="56" xfId="17" applyFont="1" applyBorder="1" applyAlignment="1">
      <alignment horizontal="right" vertical="top" wrapText="1"/>
    </xf>
    <xf numFmtId="178" fontId="12" fillId="0" borderId="57" xfId="17" applyBorder="1"/>
    <xf numFmtId="178" fontId="84" fillId="0" borderId="28" xfId="17" applyFont="1" applyBorder="1" applyAlignment="1">
      <alignment horizontal="right" vertical="top" wrapText="1" readingOrder="2"/>
    </xf>
    <xf numFmtId="178" fontId="84" fillId="0" borderId="29" xfId="17" applyFont="1" applyBorder="1" applyAlignment="1">
      <alignment horizontal="right" vertical="top" wrapText="1" readingOrder="2"/>
    </xf>
    <xf numFmtId="178" fontId="84" fillId="0" borderId="32" xfId="17" applyFont="1" applyBorder="1" applyAlignment="1">
      <alignment horizontal="right" vertical="top" wrapText="1" readingOrder="2"/>
    </xf>
    <xf numFmtId="178" fontId="56" fillId="0" borderId="2" xfId="17" applyFont="1" applyBorder="1" applyAlignment="1">
      <alignment horizontal="right" vertical="center" wrapText="1"/>
    </xf>
    <xf numFmtId="178" fontId="99" fillId="0" borderId="86" xfId="17" applyFont="1" applyBorder="1" applyAlignment="1">
      <alignment horizontal="center" vertical="center" wrapText="1"/>
    </xf>
    <xf numFmtId="178" fontId="56" fillId="0" borderId="64" xfId="17" applyFont="1" applyBorder="1" applyAlignment="1">
      <alignment horizontal="right" vertical="center" wrapText="1"/>
    </xf>
    <xf numFmtId="178" fontId="56" fillId="0" borderId="2" xfId="17" applyFont="1" applyBorder="1" applyAlignment="1">
      <alignment horizontal="right" vertical="top" wrapText="1"/>
    </xf>
    <xf numFmtId="178" fontId="56" fillId="0" borderId="2" xfId="17" applyFont="1" applyBorder="1" applyAlignment="1">
      <alignment horizontal="right" vertical="top" wrapText="1" readingOrder="2"/>
    </xf>
    <xf numFmtId="178" fontId="8" fillId="0" borderId="26" xfId="17" applyFont="1" applyBorder="1" applyAlignment="1">
      <alignment horizontal="right" vertical="center"/>
    </xf>
    <xf numFmtId="178" fontId="56" fillId="0" borderId="2" xfId="17" applyFont="1" applyBorder="1" applyAlignment="1">
      <alignment vertical="top" wrapText="1"/>
    </xf>
    <xf numFmtId="178" fontId="101" fillId="0" borderId="8" xfId="17" applyFont="1" applyBorder="1" applyAlignment="1">
      <alignment horizontal="right" vertical="center" wrapText="1" readingOrder="2"/>
    </xf>
    <xf numFmtId="178" fontId="101" fillId="0" borderId="10" xfId="17" applyFont="1" applyBorder="1" applyAlignment="1">
      <alignment horizontal="right" vertical="center" wrapText="1" readingOrder="2"/>
    </xf>
    <xf numFmtId="178" fontId="102" fillId="0" borderId="8" xfId="17" applyFont="1" applyBorder="1" applyAlignment="1">
      <alignment horizontal="right" vertical="center" wrapText="1"/>
    </xf>
    <xf numFmtId="178" fontId="102" fillId="0" borderId="10" xfId="17" applyFont="1" applyBorder="1" applyAlignment="1">
      <alignment horizontal="right" vertical="center" wrapText="1"/>
    </xf>
    <xf numFmtId="178" fontId="56" fillId="0" borderId="10" xfId="17" applyFont="1" applyBorder="1" applyAlignment="1">
      <alignment horizontal="right" vertical="center" wrapText="1"/>
    </xf>
    <xf numFmtId="178" fontId="56" fillId="0" borderId="56" xfId="17" applyFont="1" applyBorder="1" applyAlignment="1">
      <alignment horizontal="right" vertical="center" wrapText="1"/>
    </xf>
    <xf numFmtId="178" fontId="56" fillId="0" borderId="57" xfId="17" applyFont="1" applyBorder="1" applyAlignment="1">
      <alignment horizontal="right" vertical="center" wrapText="1"/>
    </xf>
    <xf numFmtId="178" fontId="8" fillId="0" borderId="88" xfId="17" applyFont="1" applyBorder="1" applyAlignment="1">
      <alignment horizontal="right" vertical="center"/>
    </xf>
    <xf numFmtId="178" fontId="8" fillId="0" borderId="89" xfId="17" applyFont="1" applyBorder="1" applyAlignment="1">
      <alignment horizontal="right" vertical="center"/>
    </xf>
    <xf numFmtId="178" fontId="99" fillId="0" borderId="47" xfId="17" applyFont="1" applyBorder="1" applyAlignment="1">
      <alignment horizontal="right" vertical="center" wrapText="1"/>
    </xf>
    <xf numFmtId="178" fontId="99" fillId="0" borderId="48" xfId="17" applyFont="1" applyBorder="1" applyAlignment="1">
      <alignment horizontal="right" vertical="center" wrapText="1"/>
    </xf>
    <xf numFmtId="178" fontId="56" fillId="0" borderId="8" xfId="17" applyFont="1" applyBorder="1" applyAlignment="1">
      <alignment horizontal="right" wrapText="1"/>
    </xf>
    <xf numFmtId="178" fontId="56" fillId="0" borderId="10" xfId="17" applyFont="1" applyBorder="1" applyAlignment="1">
      <alignment horizontal="right" wrapText="1"/>
    </xf>
    <xf numFmtId="178" fontId="56" fillId="0" borderId="10" xfId="17" applyFont="1" applyBorder="1" applyAlignment="1">
      <alignment horizontal="right" vertical="top" wrapText="1" readingOrder="2"/>
    </xf>
    <xf numFmtId="178" fontId="8" fillId="0" borderId="88" xfId="17" applyFont="1" applyBorder="1" applyAlignment="1">
      <alignment horizontal="center" vertical="center"/>
    </xf>
    <xf numFmtId="178" fontId="8" fillId="0" borderId="89" xfId="17" applyFont="1" applyBorder="1" applyAlignment="1">
      <alignment horizontal="center" vertical="center"/>
    </xf>
    <xf numFmtId="178" fontId="56" fillId="0" borderId="54" xfId="17" applyFont="1" applyBorder="1" applyAlignment="1">
      <alignment horizontal="right" vertical="top" wrapText="1"/>
    </xf>
    <xf numFmtId="178" fontId="56" fillId="0" borderId="52" xfId="17" applyFont="1" applyBorder="1" applyAlignment="1">
      <alignment horizontal="right" vertical="top" wrapText="1"/>
    </xf>
    <xf numFmtId="178" fontId="99" fillId="0" borderId="8" xfId="17" applyFont="1" applyBorder="1" applyAlignment="1">
      <alignment horizontal="right" vertical="center" wrapText="1"/>
    </xf>
    <xf numFmtId="178" fontId="99" fillId="0" borderId="10" xfId="17" applyFont="1" applyBorder="1" applyAlignment="1">
      <alignment horizontal="right" vertical="center" wrapText="1"/>
    </xf>
    <xf numFmtId="178" fontId="56" fillId="0" borderId="8" xfId="17" applyFont="1" applyBorder="1" applyAlignment="1">
      <alignment horizontal="center" vertical="center" wrapText="1"/>
    </xf>
    <xf numFmtId="178" fontId="56" fillId="0" borderId="10" xfId="17" applyFont="1" applyBorder="1" applyAlignment="1">
      <alignment horizontal="center" vertical="center" wrapText="1"/>
    </xf>
    <xf numFmtId="179" fontId="55" fillId="0" borderId="55" xfId="17" applyNumberFormat="1" applyFont="1" applyBorder="1" applyAlignment="1">
      <alignment horizontal="center" vertical="center" wrapText="1" readingOrder="2"/>
    </xf>
    <xf numFmtId="179" fontId="55" fillId="0" borderId="78" xfId="17" applyNumberFormat="1" applyFont="1" applyBorder="1" applyAlignment="1">
      <alignment horizontal="center" vertical="center" wrapText="1" readingOrder="2"/>
    </xf>
    <xf numFmtId="179" fontId="55" fillId="0" borderId="63" xfId="17" applyNumberFormat="1" applyFont="1" applyBorder="1" applyAlignment="1">
      <alignment horizontal="center" vertical="center" wrapText="1" readingOrder="2"/>
    </xf>
    <xf numFmtId="179" fontId="18" fillId="0" borderId="2" xfId="13" applyNumberFormat="1" applyBorder="1" applyAlignment="1">
      <alignment horizontal="right" vertical="center"/>
    </xf>
    <xf numFmtId="179" fontId="55" fillId="0" borderId="19" xfId="17" applyNumberFormat="1" applyFont="1" applyBorder="1" applyAlignment="1">
      <alignment horizontal="center" vertical="center" wrapText="1"/>
    </xf>
    <xf numFmtId="179" fontId="55" fillId="0" borderId="64" xfId="17" applyNumberFormat="1" applyFont="1" applyBorder="1" applyAlignment="1">
      <alignment horizontal="center" vertical="center" wrapText="1"/>
    </xf>
    <xf numFmtId="178" fontId="99" fillId="0" borderId="47" xfId="17" applyFont="1" applyBorder="1" applyAlignment="1">
      <alignment horizontal="center" vertical="center" wrapText="1"/>
    </xf>
    <xf numFmtId="178" fontId="99" fillId="0" borderId="48" xfId="17" applyFont="1" applyBorder="1" applyAlignment="1">
      <alignment horizontal="center" vertical="center" wrapText="1"/>
    </xf>
    <xf numFmtId="0" fontId="101" fillId="0" borderId="2" xfId="17" applyNumberFormat="1" applyFont="1" applyBorder="1" applyAlignment="1">
      <alignment horizontal="right" vertical="center" wrapText="1"/>
    </xf>
    <xf numFmtId="179" fontId="18" fillId="0" borderId="26" xfId="13" applyNumberFormat="1" applyBorder="1" applyAlignment="1">
      <alignment horizontal="right" vertical="center"/>
    </xf>
    <xf numFmtId="178" fontId="99" fillId="0" borderId="2" xfId="17" applyFont="1" applyBorder="1" applyAlignment="1">
      <alignment horizontal="center" vertical="top" wrapText="1"/>
    </xf>
    <xf numFmtId="178" fontId="56" fillId="0" borderId="2" xfId="17" applyFont="1" applyBorder="1" applyAlignment="1">
      <alignment horizontal="right" vertical="center" wrapText="1" readingOrder="2"/>
    </xf>
    <xf numFmtId="178" fontId="56" fillId="0" borderId="66" xfId="17" applyFont="1" applyBorder="1" applyAlignment="1">
      <alignment horizontal="right" vertical="center" wrapText="1"/>
    </xf>
    <xf numFmtId="178" fontId="56" fillId="0" borderId="72" xfId="17" applyFont="1" applyBorder="1" applyAlignment="1">
      <alignment horizontal="right" vertical="center" wrapText="1"/>
    </xf>
    <xf numFmtId="0" fontId="101" fillId="0" borderId="8" xfId="17" applyNumberFormat="1" applyFont="1" applyBorder="1" applyAlignment="1">
      <alignment horizontal="right" vertical="center" wrapText="1"/>
    </xf>
    <xf numFmtId="0" fontId="101" fillId="0" borderId="10" xfId="17" applyNumberFormat="1" applyFont="1" applyBorder="1" applyAlignment="1">
      <alignment horizontal="right" vertical="center" wrapText="1"/>
    </xf>
    <xf numFmtId="178" fontId="56" fillId="0" borderId="44" xfId="17" applyFont="1" applyBorder="1" applyAlignment="1">
      <alignment horizontal="right" vertical="center" wrapText="1"/>
    </xf>
    <xf numFmtId="165" fontId="56" fillId="0" borderId="8" xfId="17" applyNumberFormat="1" applyFont="1" applyBorder="1" applyAlignment="1">
      <alignment horizontal="right" vertical="top" wrapText="1"/>
    </xf>
    <xf numFmtId="165" fontId="56" fillId="0" borderId="10" xfId="17" applyNumberFormat="1" applyFont="1" applyBorder="1" applyAlignment="1">
      <alignment horizontal="right" vertical="top" wrapText="1"/>
    </xf>
    <xf numFmtId="165" fontId="84" fillId="0" borderId="81" xfId="17" applyNumberFormat="1" applyFont="1" applyBorder="1" applyAlignment="1">
      <alignment horizontal="right" vertical="top" wrapText="1" readingOrder="2"/>
    </xf>
    <xf numFmtId="165" fontId="84" fillId="0" borderId="76" xfId="17" applyNumberFormat="1" applyFont="1" applyBorder="1" applyAlignment="1">
      <alignment horizontal="right" vertical="top" wrapText="1" readingOrder="2"/>
    </xf>
    <xf numFmtId="165" fontId="84" fillId="0" borderId="77" xfId="17" applyNumberFormat="1" applyFont="1" applyBorder="1" applyAlignment="1">
      <alignment horizontal="right" vertical="top" wrapText="1" readingOrder="2"/>
    </xf>
    <xf numFmtId="165" fontId="99" fillId="0" borderId="47" xfId="17" applyNumberFormat="1" applyFont="1" applyBorder="1" applyAlignment="1">
      <alignment horizontal="right" vertical="center" wrapText="1"/>
    </xf>
    <xf numFmtId="165" fontId="99" fillId="0" borderId="48" xfId="17" applyNumberFormat="1" applyFont="1" applyBorder="1" applyAlignment="1">
      <alignment horizontal="right" vertical="center" wrapText="1"/>
    </xf>
    <xf numFmtId="165" fontId="56" fillId="0" borderId="8" xfId="17" applyNumberFormat="1" applyFont="1" applyBorder="1" applyAlignment="1">
      <alignment horizontal="right" wrapText="1"/>
    </xf>
    <xf numFmtId="165" fontId="56" fillId="0" borderId="10" xfId="17" applyNumberFormat="1" applyFont="1" applyBorder="1" applyAlignment="1">
      <alignment horizontal="right" wrapText="1"/>
    </xf>
    <xf numFmtId="165" fontId="56" fillId="0" borderId="8" xfId="17" applyNumberFormat="1" applyFont="1" applyBorder="1" applyAlignment="1">
      <alignment horizontal="right" vertical="top" wrapText="1" readingOrder="2"/>
    </xf>
    <xf numFmtId="165" fontId="56" fillId="0" borderId="10" xfId="17" applyNumberFormat="1" applyFont="1" applyBorder="1" applyAlignment="1">
      <alignment horizontal="right" vertical="top" wrapText="1" readingOrder="2"/>
    </xf>
    <xf numFmtId="165" fontId="56" fillId="0" borderId="2" xfId="17" applyNumberFormat="1" applyFont="1" applyBorder="1" applyAlignment="1">
      <alignment horizontal="right" vertical="top" wrapText="1"/>
    </xf>
    <xf numFmtId="165" fontId="56" fillId="0" borderId="8" xfId="17" applyNumberFormat="1" applyFont="1" applyBorder="1" applyAlignment="1">
      <alignment horizontal="right" vertical="center" wrapText="1" readingOrder="2"/>
    </xf>
    <xf numFmtId="165" fontId="56" fillId="0" borderId="10" xfId="17" applyNumberFormat="1" applyFont="1" applyBorder="1" applyAlignment="1">
      <alignment horizontal="right" vertical="center" wrapText="1" readingOrder="2"/>
    </xf>
    <xf numFmtId="3" fontId="56" fillId="0" borderId="50" xfId="17" applyNumberFormat="1" applyFont="1" applyBorder="1" applyAlignment="1">
      <alignment horizontal="center" vertical="center" wrapText="1"/>
    </xf>
    <xf numFmtId="3" fontId="56" fillId="0" borderId="10" xfId="17" applyNumberFormat="1" applyFont="1" applyBorder="1" applyAlignment="1">
      <alignment horizontal="center" vertical="center" wrapText="1"/>
    </xf>
    <xf numFmtId="178" fontId="84" fillId="0" borderId="60" xfId="17" applyFont="1" applyBorder="1" applyAlignment="1">
      <alignment horizontal="center" vertical="top" wrapText="1" readingOrder="2"/>
    </xf>
    <xf numFmtId="178" fontId="84" fillId="0" borderId="61" xfId="17" applyFont="1" applyBorder="1" applyAlignment="1">
      <alignment horizontal="center" vertical="top" wrapText="1" readingOrder="2"/>
    </xf>
    <xf numFmtId="178" fontId="84" fillId="0" borderId="62" xfId="17" applyFont="1" applyBorder="1" applyAlignment="1">
      <alignment horizontal="center" vertical="top" wrapText="1" readingOrder="2"/>
    </xf>
    <xf numFmtId="3" fontId="56" fillId="0" borderId="81" xfId="17" applyNumberFormat="1" applyFont="1" applyBorder="1" applyAlignment="1">
      <alignment horizontal="center" vertical="center" wrapText="1"/>
    </xf>
    <xf numFmtId="3" fontId="56" fillId="0" borderId="76" xfId="17" applyNumberFormat="1" applyFont="1" applyBorder="1" applyAlignment="1">
      <alignment horizontal="center" vertical="center" wrapText="1"/>
    </xf>
    <xf numFmtId="3" fontId="56" fillId="0" borderId="9" xfId="17" applyNumberFormat="1" applyFont="1" applyBorder="1" applyAlignment="1">
      <alignment horizontal="center" vertical="center" wrapText="1"/>
    </xf>
    <xf numFmtId="3" fontId="56" fillId="0" borderId="59" xfId="17" applyNumberFormat="1" applyFont="1" applyBorder="1" applyAlignment="1">
      <alignment horizontal="center" vertical="center" wrapText="1"/>
    </xf>
    <xf numFmtId="3" fontId="56" fillId="0" borderId="57" xfId="17" applyNumberFormat="1" applyFont="1" applyBorder="1" applyAlignment="1">
      <alignment horizontal="center" vertical="center" wrapText="1"/>
    </xf>
    <xf numFmtId="3" fontId="56" fillId="0" borderId="37" xfId="17" applyNumberFormat="1" applyFont="1" applyBorder="1" applyAlignment="1">
      <alignment horizontal="center" vertical="center" wrapText="1"/>
    </xf>
    <xf numFmtId="3" fontId="56" fillId="0" borderId="39" xfId="17" applyNumberFormat="1" applyFont="1" applyBorder="1" applyAlignment="1">
      <alignment horizontal="center" vertical="center" wrapText="1"/>
    </xf>
    <xf numFmtId="178" fontId="82" fillId="0" borderId="0" xfId="13" applyFont="1" applyAlignment="1">
      <alignment horizontal="right" wrapText="1"/>
    </xf>
    <xf numFmtId="178" fontId="84" fillId="0" borderId="33" xfId="17" applyFont="1" applyBorder="1" applyAlignment="1">
      <alignment horizontal="right" vertical="top" wrapText="1" readingOrder="2"/>
    </xf>
    <xf numFmtId="178" fontId="84" fillId="0" borderId="0" xfId="17" applyFont="1" applyAlignment="1">
      <alignment horizontal="right" vertical="top" wrapText="1" readingOrder="2"/>
    </xf>
    <xf numFmtId="178" fontId="84" fillId="0" borderId="36" xfId="17" applyFont="1" applyBorder="1" applyAlignment="1">
      <alignment horizontal="right" vertical="top" wrapText="1" readingOrder="2"/>
    </xf>
    <xf numFmtId="0" fontId="101" fillId="0" borderId="23" xfId="17" applyNumberFormat="1" applyFont="1" applyBorder="1" applyAlignment="1">
      <alignment horizontal="center" vertical="center" wrapText="1"/>
    </xf>
    <xf numFmtId="0" fontId="101" fillId="0" borderId="10" xfId="17" applyNumberFormat="1" applyFont="1" applyBorder="1" applyAlignment="1">
      <alignment horizontal="center" vertical="center" wrapText="1"/>
    </xf>
    <xf numFmtId="0" fontId="101" fillId="0" borderId="2" xfId="17" applyNumberFormat="1" applyFont="1" applyBorder="1" applyAlignment="1">
      <alignment horizontal="center" vertical="center" wrapText="1"/>
    </xf>
    <xf numFmtId="178" fontId="99" fillId="0" borderId="88" xfId="17" applyFont="1" applyBorder="1" applyAlignment="1">
      <alignment horizontal="center" vertical="top" wrapText="1"/>
    </xf>
    <xf numFmtId="178" fontId="99" fillId="0" borderId="89" xfId="17" applyFont="1" applyBorder="1" applyAlignment="1">
      <alignment horizontal="center" vertical="top" wrapText="1"/>
    </xf>
    <xf numFmtId="178" fontId="56" fillId="0" borderId="42" xfId="17" applyFont="1" applyBorder="1" applyAlignment="1">
      <alignment horizontal="right" vertical="center" wrapText="1"/>
    </xf>
    <xf numFmtId="178" fontId="99" fillId="0" borderId="85" xfId="17" applyFont="1" applyBorder="1" applyAlignment="1">
      <alignment horizontal="center" vertical="center" wrapText="1"/>
    </xf>
    <xf numFmtId="178" fontId="99" fillId="0" borderId="89" xfId="17" applyFont="1" applyBorder="1" applyAlignment="1">
      <alignment horizontal="center" vertical="center" wrapText="1"/>
    </xf>
    <xf numFmtId="178" fontId="99" fillId="0" borderId="88" xfId="17" applyFont="1" applyBorder="1" applyAlignment="1">
      <alignment horizontal="center" vertical="center" wrapText="1"/>
    </xf>
    <xf numFmtId="0" fontId="101" fillId="0" borderId="20" xfId="17" applyNumberFormat="1" applyFont="1" applyBorder="1" applyAlignment="1">
      <alignment horizontal="center" vertical="center" wrapText="1"/>
    </xf>
    <xf numFmtId="0" fontId="101" fillId="0" borderId="48" xfId="17" applyNumberFormat="1" applyFont="1" applyBorder="1" applyAlignment="1">
      <alignment horizontal="center" vertical="center" wrapText="1"/>
    </xf>
    <xf numFmtId="0" fontId="101" fillId="0" borderId="21" xfId="17" applyNumberFormat="1" applyFont="1" applyBorder="1" applyAlignment="1">
      <alignment horizontal="center" vertical="center" wrapText="1"/>
    </xf>
    <xf numFmtId="0" fontId="101" fillId="0" borderId="21" xfId="17" applyNumberFormat="1" applyFont="1" applyBorder="1" applyAlignment="1">
      <alignment horizontal="right" vertical="center" wrapText="1"/>
    </xf>
    <xf numFmtId="179" fontId="55" fillId="0" borderId="23" xfId="17" applyNumberFormat="1" applyFont="1" applyBorder="1" applyAlignment="1">
      <alignment horizontal="center" vertical="center" wrapText="1"/>
    </xf>
    <xf numFmtId="179" fontId="55" fillId="0" borderId="10" xfId="17" applyNumberFormat="1" applyFont="1" applyBorder="1" applyAlignment="1">
      <alignment horizontal="center" vertical="center" wrapText="1"/>
    </xf>
    <xf numFmtId="179" fontId="55" fillId="0" borderId="2" xfId="17" applyNumberFormat="1" applyFont="1" applyBorder="1" applyAlignment="1">
      <alignment horizontal="center" vertical="center" wrapText="1"/>
    </xf>
    <xf numFmtId="0" fontId="101" fillId="0" borderId="25" xfId="17" applyNumberFormat="1" applyFont="1" applyBorder="1" applyAlignment="1">
      <alignment horizontal="center" vertical="center" wrapText="1"/>
    </xf>
    <xf numFmtId="0" fontId="101" fillId="0" borderId="57" xfId="17" applyNumberFormat="1" applyFont="1" applyBorder="1" applyAlignment="1">
      <alignment horizontal="center" vertical="center" wrapText="1"/>
    </xf>
    <xf numFmtId="0" fontId="101" fillId="0" borderId="26" xfId="17" applyNumberFormat="1" applyFont="1" applyBorder="1" applyAlignment="1">
      <alignment horizontal="center" vertical="center" wrapText="1"/>
    </xf>
    <xf numFmtId="0" fontId="101" fillId="0" borderId="26" xfId="17" applyNumberFormat="1" applyFont="1" applyBorder="1" applyAlignment="1">
      <alignment horizontal="right" vertical="center" wrapText="1"/>
    </xf>
    <xf numFmtId="178" fontId="107" fillId="0" borderId="40" xfId="17" applyFont="1" applyBorder="1" applyAlignment="1">
      <alignment horizontal="right" vertical="top" wrapText="1" readingOrder="2"/>
    </xf>
    <xf numFmtId="178" fontId="107" fillId="0" borderId="38" xfId="17" applyFont="1" applyBorder="1" applyAlignment="1">
      <alignment horizontal="right" vertical="top" wrapText="1" readingOrder="2"/>
    </xf>
    <xf numFmtId="178" fontId="107" fillId="0" borderId="39" xfId="17" applyFont="1" applyBorder="1" applyAlignment="1">
      <alignment horizontal="right" vertical="top" wrapText="1" readingOrder="2"/>
    </xf>
    <xf numFmtId="178" fontId="76" fillId="0" borderId="21" xfId="17" applyFont="1" applyBorder="1" applyAlignment="1">
      <alignment horizontal="center" vertical="center"/>
    </xf>
    <xf numFmtId="178" fontId="76" fillId="0" borderId="2" xfId="17" applyFont="1" applyBorder="1" applyAlignment="1">
      <alignment horizontal="center" vertical="center"/>
    </xf>
    <xf numFmtId="178" fontId="76" fillId="0" borderId="22" xfId="17" applyFont="1" applyBorder="1" applyAlignment="1">
      <alignment horizontal="center" vertical="center"/>
    </xf>
    <xf numFmtId="178" fontId="76" fillId="0" borderId="24" xfId="17" applyFont="1" applyBorder="1" applyAlignment="1">
      <alignment horizontal="center" vertical="center"/>
    </xf>
    <xf numFmtId="178" fontId="76" fillId="0" borderId="19" xfId="17" applyFont="1" applyBorder="1" applyAlignment="1">
      <alignment horizontal="center" vertical="center" wrapText="1"/>
    </xf>
    <xf numFmtId="178" fontId="76" fillId="0" borderId="43" xfId="17" applyFont="1" applyBorder="1" applyAlignment="1">
      <alignment horizontal="center" vertical="center" wrapText="1"/>
    </xf>
    <xf numFmtId="178" fontId="76" fillId="0" borderId="64" xfId="17" applyFont="1" applyBorder="1" applyAlignment="1">
      <alignment horizontal="center" vertical="center" wrapText="1"/>
    </xf>
    <xf numFmtId="178" fontId="84" fillId="0" borderId="60" xfId="17" applyFont="1" applyBorder="1" applyAlignment="1">
      <alignment horizontal="right" vertical="top" wrapText="1" readingOrder="2"/>
    </xf>
    <xf numFmtId="178" fontId="84" fillId="0" borderId="61" xfId="17" applyFont="1" applyBorder="1" applyAlignment="1">
      <alignment horizontal="right" vertical="top" wrapText="1" readingOrder="2"/>
    </xf>
    <xf numFmtId="178" fontId="84" fillId="0" borderId="62" xfId="17" applyFont="1" applyBorder="1" applyAlignment="1">
      <alignment horizontal="right" vertical="top" wrapText="1" readingOrder="2"/>
    </xf>
    <xf numFmtId="3" fontId="102" fillId="0" borderId="20" xfId="17" applyNumberFormat="1" applyFont="1" applyBorder="1" applyAlignment="1">
      <alignment horizontal="center" vertical="center" wrapText="1"/>
    </xf>
    <xf numFmtId="3" fontId="102" fillId="0" borderId="23" xfId="17" applyNumberFormat="1" applyFont="1" applyBorder="1" applyAlignment="1">
      <alignment horizontal="center" vertical="center" wrapText="1"/>
    </xf>
    <xf numFmtId="3" fontId="102" fillId="0" borderId="42" xfId="14" applyNumberFormat="1" applyFont="1" applyBorder="1" applyAlignment="1">
      <alignment horizontal="center" vertical="center" wrapText="1"/>
    </xf>
    <xf numFmtId="3" fontId="102" fillId="0" borderId="43" xfId="14" applyNumberFormat="1" applyFont="1" applyBorder="1" applyAlignment="1">
      <alignment horizontal="center" vertical="center" wrapText="1"/>
    </xf>
    <xf numFmtId="3" fontId="102" fillId="0" borderId="64" xfId="14" applyNumberFormat="1" applyFont="1" applyBorder="1" applyAlignment="1">
      <alignment horizontal="center" vertical="center" wrapText="1"/>
    </xf>
    <xf numFmtId="3" fontId="102" fillId="0" borderId="21" xfId="17" applyNumberFormat="1" applyFont="1" applyBorder="1" applyAlignment="1">
      <alignment horizontal="center" vertical="center" wrapText="1"/>
    </xf>
    <xf numFmtId="3" fontId="102" fillId="0" borderId="2" xfId="17" applyNumberFormat="1" applyFont="1" applyBorder="1" applyAlignment="1">
      <alignment horizontal="center" vertical="center" wrapText="1"/>
    </xf>
    <xf numFmtId="178" fontId="76" fillId="0" borderId="21" xfId="17" applyFont="1" applyBorder="1" applyAlignment="1">
      <alignment horizontal="center" vertical="center" wrapText="1"/>
    </xf>
    <xf numFmtId="178" fontId="76" fillId="0" borderId="2" xfId="17" applyFont="1" applyBorder="1" applyAlignment="1">
      <alignment horizontal="center" vertical="center" wrapText="1"/>
    </xf>
    <xf numFmtId="3" fontId="50" fillId="0" borderId="8" xfId="17" applyNumberFormat="1" applyFont="1" applyBorder="1" applyAlignment="1">
      <alignment horizontal="right" vertical="center" wrapText="1" readingOrder="2"/>
    </xf>
    <xf numFmtId="3" fontId="52" fillId="0" borderId="10" xfId="17" applyNumberFormat="1" applyFont="1" applyBorder="1" applyAlignment="1">
      <alignment horizontal="right" vertical="center" wrapText="1" readingOrder="2"/>
    </xf>
    <xf numFmtId="3" fontId="99" fillId="0" borderId="63" xfId="17" applyNumberFormat="1" applyFont="1" applyBorder="1" applyAlignment="1">
      <alignment horizontal="center" vertical="center" wrapText="1"/>
    </xf>
    <xf numFmtId="3" fontId="99" fillId="0" borderId="23" xfId="17" applyNumberFormat="1" applyFont="1" applyBorder="1" applyAlignment="1">
      <alignment horizontal="center" vertical="center" wrapText="1"/>
    </xf>
    <xf numFmtId="3" fontId="99" fillId="0" borderId="25" xfId="17" applyNumberFormat="1" applyFont="1" applyBorder="1" applyAlignment="1">
      <alignment horizontal="center" vertical="center" wrapText="1"/>
    </xf>
    <xf numFmtId="3" fontId="99" fillId="0" borderId="64" xfId="17" applyNumberFormat="1" applyFont="1" applyBorder="1" applyAlignment="1">
      <alignment horizontal="center" vertical="center" wrapText="1"/>
    </xf>
    <xf numFmtId="3" fontId="99" fillId="0" borderId="2" xfId="17" applyNumberFormat="1" applyFont="1" applyBorder="1" applyAlignment="1">
      <alignment horizontal="center" vertical="center" wrapText="1"/>
    </xf>
    <xf numFmtId="3" fontId="99" fillId="0" borderId="26" xfId="17" applyNumberFormat="1" applyFont="1" applyBorder="1" applyAlignment="1">
      <alignment horizontal="center" vertical="center" wrapText="1"/>
    </xf>
    <xf numFmtId="1" fontId="99" fillId="0" borderId="64" xfId="17" applyNumberFormat="1" applyFont="1" applyBorder="1" applyAlignment="1">
      <alignment horizontal="center" vertical="center" wrapText="1"/>
    </xf>
    <xf numFmtId="1" fontId="99" fillId="0" borderId="2" xfId="17" applyNumberFormat="1" applyFont="1" applyBorder="1" applyAlignment="1">
      <alignment horizontal="center" vertical="center" wrapText="1"/>
    </xf>
    <xf numFmtId="1" fontId="99" fillId="0" borderId="26" xfId="17" applyNumberFormat="1" applyFont="1" applyBorder="1" applyAlignment="1">
      <alignment horizontal="center" vertical="center" wrapText="1"/>
    </xf>
    <xf numFmtId="3" fontId="52" fillId="0" borderId="31" xfId="17" applyNumberFormat="1" applyFont="1" applyBorder="1" applyAlignment="1">
      <alignment horizontal="right" vertical="center" wrapText="1"/>
    </xf>
    <xf numFmtId="3" fontId="52" fillId="0" borderId="30" xfId="17" applyNumberFormat="1" applyFont="1" applyBorder="1" applyAlignment="1">
      <alignment horizontal="right" vertical="center" wrapText="1"/>
    </xf>
    <xf numFmtId="3" fontId="52" fillId="0" borderId="35" xfId="17" applyNumberFormat="1" applyFont="1" applyBorder="1" applyAlignment="1">
      <alignment horizontal="right" vertical="center" wrapText="1"/>
    </xf>
    <xf numFmtId="3" fontId="52" fillId="0" borderId="34" xfId="17" applyNumberFormat="1" applyFont="1" applyBorder="1" applyAlignment="1">
      <alignment horizontal="right" vertical="center" wrapText="1"/>
    </xf>
    <xf numFmtId="3" fontId="52" fillId="0" borderId="40" xfId="17" applyNumberFormat="1" applyFont="1" applyBorder="1" applyAlignment="1">
      <alignment horizontal="right" vertical="center" wrapText="1"/>
    </xf>
    <xf numFmtId="3" fontId="52" fillId="0" borderId="39" xfId="17" applyNumberFormat="1" applyFont="1" applyBorder="1" applyAlignment="1">
      <alignment horizontal="right" vertical="center" wrapText="1"/>
    </xf>
    <xf numFmtId="3" fontId="99" fillId="0" borderId="65" xfId="17" applyNumberFormat="1" applyFont="1" applyBorder="1" applyAlignment="1">
      <alignment horizontal="center" vertical="center" wrapText="1"/>
    </xf>
    <xf numFmtId="3" fontId="99" fillId="0" borderId="24" xfId="17" applyNumberFormat="1" applyFont="1" applyBorder="1" applyAlignment="1">
      <alignment horizontal="center" vertical="center" wrapText="1"/>
    </xf>
    <xf numFmtId="3" fontId="99" fillId="0" borderId="27" xfId="17" applyNumberFormat="1" applyFont="1" applyBorder="1" applyAlignment="1">
      <alignment horizontal="center" vertical="center" wrapText="1"/>
    </xf>
    <xf numFmtId="3" fontId="50" fillId="0" borderId="47" xfId="17" applyNumberFormat="1" applyFont="1" applyBorder="1" applyAlignment="1">
      <alignment horizontal="right" vertical="center" wrapText="1" readingOrder="2"/>
    </xf>
    <xf numFmtId="3" fontId="52" fillId="0" borderId="48" xfId="17" applyNumberFormat="1" applyFont="1" applyBorder="1" applyAlignment="1">
      <alignment horizontal="right" vertical="center" wrapText="1" readingOrder="2"/>
    </xf>
    <xf numFmtId="3" fontId="50" fillId="0" borderId="10" xfId="17" applyNumberFormat="1" applyFont="1" applyBorder="1" applyAlignment="1">
      <alignment horizontal="right" vertical="center" wrapText="1" readingOrder="2"/>
    </xf>
    <xf numFmtId="3" fontId="52" fillId="0" borderId="40" xfId="17" applyNumberFormat="1" applyFont="1" applyBorder="1" applyAlignment="1">
      <alignment horizontal="right" vertical="center" wrapText="1" readingOrder="2"/>
    </xf>
    <xf numFmtId="3" fontId="52" fillId="0" borderId="39" xfId="17" applyNumberFormat="1" applyFont="1" applyBorder="1" applyAlignment="1">
      <alignment horizontal="right" vertical="center" wrapText="1" readingOrder="2"/>
    </xf>
    <xf numFmtId="3" fontId="50" fillId="0" borderId="8" xfId="17" applyNumberFormat="1" applyFont="1" applyBorder="1" applyAlignment="1">
      <alignment horizontal="center" wrapText="1" readingOrder="2"/>
    </xf>
    <xf numFmtId="3" fontId="50" fillId="0" borderId="10" xfId="17" applyNumberFormat="1" applyFont="1" applyBorder="1" applyAlignment="1">
      <alignment horizontal="center" wrapText="1" readingOrder="2"/>
    </xf>
    <xf numFmtId="3" fontId="50" fillId="0" borderId="8" xfId="17" applyNumberFormat="1" applyFont="1" applyBorder="1" applyAlignment="1">
      <alignment horizontal="right" vertical="top" wrapText="1" readingOrder="2"/>
    </xf>
    <xf numFmtId="3" fontId="50" fillId="0" borderId="10" xfId="17" applyNumberFormat="1" applyFont="1" applyBorder="1" applyAlignment="1">
      <alignment horizontal="right" vertical="top" wrapText="1" readingOrder="2"/>
    </xf>
    <xf numFmtId="3" fontId="99" fillId="0" borderId="20" xfId="17" applyNumberFormat="1" applyFont="1" applyBorder="1" applyAlignment="1">
      <alignment horizontal="center" vertical="center" wrapText="1"/>
    </xf>
    <xf numFmtId="3" fontId="99" fillId="0" borderId="21" xfId="17" applyNumberFormat="1" applyFont="1" applyBorder="1" applyAlignment="1">
      <alignment horizontal="center" vertical="center" wrapText="1"/>
    </xf>
    <xf numFmtId="178" fontId="76" fillId="0" borderId="21" xfId="14" applyFont="1" applyBorder="1" applyAlignment="1">
      <alignment horizontal="right" vertical="center"/>
    </xf>
    <xf numFmtId="178" fontId="76" fillId="0" borderId="2" xfId="14" applyFont="1" applyBorder="1" applyAlignment="1">
      <alignment horizontal="right" vertical="center"/>
    </xf>
    <xf numFmtId="178" fontId="76" fillId="0" borderId="22" xfId="14" applyFont="1" applyBorder="1" applyAlignment="1">
      <alignment horizontal="center" vertical="center"/>
    </xf>
    <xf numFmtId="178" fontId="76" fillId="0" borderId="24" xfId="14" applyFont="1" applyBorder="1" applyAlignment="1">
      <alignment horizontal="center" vertical="center"/>
    </xf>
    <xf numFmtId="3" fontId="102" fillId="0" borderId="20" xfId="14" applyNumberFormat="1" applyFont="1" applyBorder="1" applyAlignment="1">
      <alignment horizontal="center" vertical="center" wrapText="1"/>
    </xf>
    <xf numFmtId="3" fontId="102" fillId="0" borderId="23" xfId="14" applyNumberFormat="1" applyFont="1" applyBorder="1" applyAlignment="1">
      <alignment horizontal="center" vertical="center" wrapText="1"/>
    </xf>
    <xf numFmtId="3" fontId="102" fillId="0" borderId="21" xfId="14" applyNumberFormat="1" applyFont="1" applyBorder="1" applyAlignment="1">
      <alignment horizontal="center" vertical="center" wrapText="1"/>
    </xf>
    <xf numFmtId="3" fontId="102" fillId="0" borderId="2" xfId="14" applyNumberFormat="1" applyFont="1" applyBorder="1" applyAlignment="1">
      <alignment horizontal="center" vertical="center" wrapText="1"/>
    </xf>
    <xf numFmtId="178" fontId="76" fillId="0" borderId="21" xfId="14" applyFont="1" applyBorder="1" applyAlignment="1">
      <alignment horizontal="center" vertical="center" wrapText="1"/>
    </xf>
    <xf numFmtId="178" fontId="76" fillId="0" borderId="2" xfId="14" applyFont="1" applyBorder="1" applyAlignment="1">
      <alignment horizontal="center" vertical="center" wrapText="1"/>
    </xf>
    <xf numFmtId="164" fontId="55" fillId="0" borderId="23" xfId="17" applyNumberFormat="1" applyFont="1" applyBorder="1" applyAlignment="1">
      <alignment horizontal="center" vertical="center" wrapText="1"/>
    </xf>
    <xf numFmtId="164" fontId="55" fillId="0" borderId="2" xfId="17" applyNumberFormat="1" applyFont="1" applyBorder="1" applyAlignment="1">
      <alignment horizontal="center" vertical="center" wrapText="1"/>
    </xf>
    <xf numFmtId="3" fontId="55" fillId="0" borderId="2" xfId="17" applyNumberFormat="1" applyFont="1" applyBorder="1" applyAlignment="1">
      <alignment horizontal="center" vertical="center" wrapText="1"/>
    </xf>
    <xf numFmtId="178" fontId="85" fillId="0" borderId="2" xfId="13" applyFont="1" applyBorder="1" applyAlignment="1">
      <alignment horizontal="center"/>
    </xf>
    <xf numFmtId="178" fontId="85" fillId="0" borderId="24" xfId="13" applyFont="1" applyBorder="1" applyAlignment="1">
      <alignment horizontal="center"/>
    </xf>
    <xf numFmtId="178" fontId="85" fillId="0" borderId="81" xfId="13" applyFont="1" applyBorder="1" applyAlignment="1">
      <alignment horizontal="center" vertical="center"/>
    </xf>
    <xf numFmtId="178" fontId="85" fillId="0" borderId="76" xfId="13" applyFont="1" applyBorder="1" applyAlignment="1">
      <alignment horizontal="center" vertical="center"/>
    </xf>
    <xf numFmtId="178" fontId="85" fillId="0" borderId="77" xfId="13" applyFont="1" applyBorder="1" applyAlignment="1">
      <alignment horizontal="center" vertical="center"/>
    </xf>
    <xf numFmtId="164" fontId="55" fillId="0" borderId="25" xfId="17" applyNumberFormat="1" applyFont="1" applyBorder="1" applyAlignment="1">
      <alignment horizontal="center" vertical="center" wrapText="1"/>
    </xf>
    <xf numFmtId="164" fontId="55" fillId="0" borderId="26" xfId="17" applyNumberFormat="1" applyFont="1" applyBorder="1" applyAlignment="1">
      <alignment horizontal="center" vertical="center" wrapText="1"/>
    </xf>
    <xf numFmtId="3" fontId="55" fillId="0" borderId="26" xfId="17" applyNumberFormat="1" applyFont="1" applyBorder="1" applyAlignment="1">
      <alignment horizontal="center" vertical="center" wrapText="1"/>
    </xf>
    <xf numFmtId="178" fontId="85" fillId="0" borderId="26" xfId="13" applyFont="1" applyBorder="1" applyAlignment="1">
      <alignment horizontal="center"/>
    </xf>
    <xf numFmtId="178" fontId="85" fillId="0" borderId="27" xfId="13" applyFont="1" applyBorder="1" applyAlignment="1">
      <alignment horizontal="center"/>
    </xf>
    <xf numFmtId="178" fontId="85" fillId="0" borderId="0" xfId="13" applyFont="1" applyAlignment="1">
      <alignment horizontal="right" vertical="top" wrapText="1"/>
    </xf>
    <xf numFmtId="178" fontId="85" fillId="0" borderId="20" xfId="13" applyFont="1" applyBorder="1" applyAlignment="1">
      <alignment horizontal="center" vertical="center"/>
    </xf>
    <xf numFmtId="178" fontId="85" fillId="0" borderId="21" xfId="13" applyFont="1" applyBorder="1" applyAlignment="1">
      <alignment horizontal="center" vertical="center"/>
    </xf>
    <xf numFmtId="178" fontId="85" fillId="0" borderId="22" xfId="13" applyFont="1" applyBorder="1" applyAlignment="1">
      <alignment horizontal="center" vertical="center"/>
    </xf>
    <xf numFmtId="178" fontId="55" fillId="0" borderId="23" xfId="17" applyFont="1" applyBorder="1" applyAlignment="1">
      <alignment horizontal="center" vertical="center" wrapText="1"/>
    </xf>
    <xf numFmtId="178" fontId="55" fillId="0" borderId="2" xfId="17" applyFont="1" applyBorder="1" applyAlignment="1">
      <alignment horizontal="center" vertical="center" wrapText="1"/>
    </xf>
    <xf numFmtId="178" fontId="18" fillId="0" borderId="2" xfId="13" applyBorder="1" applyAlignment="1">
      <alignment horizontal="center"/>
    </xf>
    <xf numFmtId="178" fontId="18" fillId="0" borderId="24" xfId="13" applyBorder="1" applyAlignment="1">
      <alignment horizontal="center"/>
    </xf>
    <xf numFmtId="178" fontId="55" fillId="0" borderId="25" xfId="17" applyFont="1" applyBorder="1" applyAlignment="1">
      <alignment horizontal="center" vertical="center" wrapText="1"/>
    </xf>
    <xf numFmtId="178" fontId="55" fillId="0" borderId="26" xfId="17" applyFont="1" applyBorder="1" applyAlignment="1">
      <alignment horizontal="center" vertical="center" wrapText="1"/>
    </xf>
    <xf numFmtId="164" fontId="55" fillId="3" borderId="25" xfId="17" applyNumberFormat="1" applyFont="1" applyFill="1" applyBorder="1" applyAlignment="1">
      <alignment horizontal="center" vertical="center" wrapText="1"/>
    </xf>
    <xf numFmtId="164" fontId="55" fillId="3" borderId="26" xfId="17" applyNumberFormat="1" applyFont="1" applyFill="1" applyBorder="1" applyAlignment="1">
      <alignment horizontal="center" vertical="center" wrapText="1"/>
    </xf>
    <xf numFmtId="3" fontId="55" fillId="0" borderId="2" xfId="17" quotePrefix="1" applyNumberFormat="1" applyFont="1" applyBorder="1" applyAlignment="1">
      <alignment horizontal="center" vertical="center" wrapText="1"/>
    </xf>
    <xf numFmtId="178" fontId="104" fillId="0" borderId="0" xfId="10" applyFont="1" applyAlignment="1">
      <alignment horizontal="right" vertical="center" wrapText="1"/>
    </xf>
    <xf numFmtId="165" fontId="104" fillId="0" borderId="0" xfId="10" applyNumberFormat="1" applyFont="1" applyAlignment="1">
      <alignment horizontal="right" vertical="center" wrapText="1"/>
    </xf>
    <xf numFmtId="178" fontId="104" fillId="0" borderId="60" xfId="10" applyFont="1" applyBorder="1" applyAlignment="1">
      <alignment horizontal="center" vertical="center" wrapText="1"/>
    </xf>
    <xf numFmtId="178" fontId="104" fillId="0" borderId="61" xfId="10" applyFont="1" applyBorder="1" applyAlignment="1">
      <alignment horizontal="center" vertical="center"/>
    </xf>
    <xf numFmtId="165" fontId="104" fillId="0" borderId="61" xfId="10" applyNumberFormat="1" applyFont="1" applyBorder="1" applyAlignment="1">
      <alignment horizontal="center" vertical="center"/>
    </xf>
    <xf numFmtId="165" fontId="104" fillId="0" borderId="62" xfId="10" applyNumberFormat="1" applyFont="1" applyBorder="1" applyAlignment="1">
      <alignment horizontal="center" vertical="center"/>
    </xf>
    <xf numFmtId="164" fontId="52" fillId="0" borderId="21" xfId="17" applyNumberFormat="1" applyFont="1" applyBorder="1" applyAlignment="1">
      <alignment horizontal="center" vertical="center" wrapText="1"/>
    </xf>
    <xf numFmtId="178" fontId="93" fillId="0" borderId="21" xfId="13" applyFont="1" applyBorder="1" applyAlignment="1">
      <alignment horizontal="center" vertical="center"/>
    </xf>
    <xf numFmtId="178" fontId="93" fillId="0" borderId="22" xfId="13" applyFont="1" applyBorder="1" applyAlignment="1">
      <alignment horizontal="center" vertical="center"/>
    </xf>
    <xf numFmtId="179" fontId="55" fillId="0" borderId="2" xfId="17" applyNumberFormat="1" applyFont="1" applyBorder="1" applyAlignment="1">
      <alignment horizontal="right" vertical="center" wrapText="1"/>
    </xf>
    <xf numFmtId="178" fontId="85" fillId="0" borderId="2" xfId="13" applyFont="1" applyBorder="1" applyAlignment="1">
      <alignment horizontal="right" vertical="center" wrapText="1"/>
    </xf>
    <xf numFmtId="178" fontId="85" fillId="0" borderId="24" xfId="13" applyFont="1" applyBorder="1" applyAlignment="1">
      <alignment horizontal="right" vertical="center" wrapText="1"/>
    </xf>
    <xf numFmtId="178" fontId="85" fillId="0" borderId="8" xfId="13" applyFont="1" applyBorder="1" applyAlignment="1">
      <alignment horizontal="right" vertical="center" wrapText="1"/>
    </xf>
    <xf numFmtId="178" fontId="85" fillId="0" borderId="9" xfId="13" applyFont="1" applyBorder="1" applyAlignment="1">
      <alignment horizontal="right" vertical="center" wrapText="1"/>
    </xf>
    <xf numFmtId="178" fontId="85" fillId="0" borderId="74" xfId="13" applyFont="1" applyBorder="1" applyAlignment="1">
      <alignment horizontal="right" vertical="center" wrapText="1"/>
    </xf>
    <xf numFmtId="49" fontId="55" fillId="0" borderId="2" xfId="17" applyNumberFormat="1" applyFont="1" applyBorder="1" applyAlignment="1">
      <alignment horizontal="right" vertical="center" wrapText="1"/>
    </xf>
    <xf numFmtId="3" fontId="85" fillId="0" borderId="26" xfId="13" applyNumberFormat="1" applyFont="1" applyBorder="1" applyAlignment="1">
      <alignment horizontal="right" vertical="center" wrapText="1"/>
    </xf>
    <xf numFmtId="178" fontId="85" fillId="0" borderId="26" xfId="13" applyFont="1" applyBorder="1" applyAlignment="1">
      <alignment horizontal="right" vertical="center" wrapText="1"/>
    </xf>
    <xf numFmtId="178" fontId="85" fillId="0" borderId="27" xfId="13" applyFont="1" applyBorder="1" applyAlignment="1">
      <alignment horizontal="right" vertical="center" wrapText="1"/>
    </xf>
    <xf numFmtId="164" fontId="55" fillId="0" borderId="0" xfId="17" applyNumberFormat="1" applyFont="1" applyAlignment="1">
      <alignment horizontal="center" vertical="center" wrapText="1"/>
    </xf>
    <xf numFmtId="3" fontId="55" fillId="0" borderId="0" xfId="17" applyNumberFormat="1" applyFont="1" applyAlignment="1">
      <alignment horizontal="center" vertical="center" wrapText="1"/>
    </xf>
    <xf numFmtId="178" fontId="87" fillId="0" borderId="85" xfId="17" applyFont="1" applyBorder="1" applyAlignment="1">
      <alignment horizontal="center" vertical="center" wrapText="1"/>
    </xf>
    <xf numFmtId="178" fontId="87" fillId="0" borderId="86" xfId="17" applyFont="1" applyBorder="1" applyAlignment="1">
      <alignment horizontal="center" vertical="center" wrapText="1"/>
    </xf>
    <xf numFmtId="178" fontId="87" fillId="0" borderId="87" xfId="17" applyFont="1" applyBorder="1" applyAlignment="1">
      <alignment horizontal="center" vertical="center" wrapText="1"/>
    </xf>
    <xf numFmtId="3" fontId="99" fillId="0" borderId="81" xfId="17" applyNumberFormat="1" applyFont="1" applyBorder="1" applyAlignment="1">
      <alignment horizontal="center" vertical="center" wrapText="1"/>
    </xf>
    <xf numFmtId="3" fontId="99" fillId="0" borderId="76" xfId="17" applyNumberFormat="1" applyFont="1" applyBorder="1" applyAlignment="1">
      <alignment horizontal="center" vertical="center" wrapText="1"/>
    </xf>
    <xf numFmtId="3" fontId="99" fillId="0" borderId="48" xfId="17" applyNumberFormat="1" applyFont="1" applyBorder="1" applyAlignment="1">
      <alignment horizontal="center" vertical="center" wrapText="1"/>
    </xf>
    <xf numFmtId="178" fontId="99" fillId="0" borderId="76" xfId="17" applyFont="1" applyBorder="1" applyAlignment="1">
      <alignment horizontal="center" vertical="center" wrapText="1"/>
    </xf>
    <xf numFmtId="3" fontId="56" fillId="0" borderId="23" xfId="17" applyNumberFormat="1" applyFont="1" applyBorder="1" applyAlignment="1">
      <alignment horizontal="center" vertical="center" wrapText="1"/>
    </xf>
    <xf numFmtId="3" fontId="56" fillId="0" borderId="2" xfId="17" applyNumberFormat="1" applyFont="1" applyBorder="1" applyAlignment="1">
      <alignment horizontal="center" vertical="center" wrapText="1"/>
    </xf>
    <xf numFmtId="3" fontId="56" fillId="0" borderId="8" xfId="17" applyNumberFormat="1" applyFont="1" applyBorder="1" applyAlignment="1">
      <alignment horizontal="center" vertical="center" wrapText="1"/>
    </xf>
    <xf numFmtId="0" fontId="55" fillId="0" borderId="2" xfId="17" applyNumberFormat="1" applyFont="1" applyBorder="1" applyAlignment="1">
      <alignment horizontal="right" vertical="center" wrapText="1"/>
    </xf>
    <xf numFmtId="3" fontId="55" fillId="0" borderId="85" xfId="17" applyNumberFormat="1" applyFont="1" applyBorder="1" applyAlignment="1">
      <alignment horizontal="center" vertical="center" wrapText="1"/>
    </xf>
    <xf numFmtId="3" fontId="55" fillId="0" borderId="86" xfId="17" applyNumberFormat="1" applyFont="1" applyBorder="1" applyAlignment="1">
      <alignment horizontal="center" vertical="center" wrapText="1"/>
    </xf>
    <xf numFmtId="0" fontId="30" fillId="0" borderId="88" xfId="13" applyNumberFormat="1" applyFont="1" applyBorder="1" applyAlignment="1">
      <alignment horizontal="right"/>
    </xf>
    <xf numFmtId="0" fontId="30" fillId="0" borderId="61" xfId="13" applyNumberFormat="1" applyFont="1" applyBorder="1" applyAlignment="1">
      <alignment horizontal="right"/>
    </xf>
    <xf numFmtId="0" fontId="30" fillId="0" borderId="89" xfId="13" applyNumberFormat="1" applyFont="1" applyBorder="1" applyAlignment="1">
      <alignment horizontal="right"/>
    </xf>
    <xf numFmtId="178" fontId="118" fillId="0" borderId="60" xfId="17" applyFont="1" applyBorder="1" applyAlignment="1">
      <alignment horizontal="center" vertical="center" wrapText="1"/>
    </xf>
    <xf numFmtId="178" fontId="118" fillId="0" borderId="61" xfId="17" applyFont="1" applyBorder="1" applyAlignment="1">
      <alignment horizontal="center" vertical="center" wrapText="1"/>
    </xf>
    <xf numFmtId="178" fontId="118" fillId="0" borderId="62" xfId="17" applyFont="1" applyBorder="1" applyAlignment="1">
      <alignment horizontal="center" vertical="center" wrapText="1"/>
    </xf>
    <xf numFmtId="178" fontId="55" fillId="0" borderId="20" xfId="17" applyFont="1" applyBorder="1" applyAlignment="1">
      <alignment horizontal="center" vertical="center" wrapText="1"/>
    </xf>
    <xf numFmtId="178" fontId="55" fillId="0" borderId="21" xfId="17" applyFont="1" applyBorder="1" applyAlignment="1">
      <alignment horizontal="center" vertical="center" wrapText="1"/>
    </xf>
    <xf numFmtId="3" fontId="56" fillId="0" borderId="55" xfId="17" applyNumberFormat="1" applyFont="1" applyBorder="1" applyAlignment="1">
      <alignment horizontal="center" vertical="center" wrapText="1"/>
    </xf>
    <xf numFmtId="3" fontId="56" fillId="0" borderId="19" xfId="17" applyNumberFormat="1" applyFont="1" applyBorder="1" applyAlignment="1">
      <alignment horizontal="center" vertical="center" wrapText="1"/>
    </xf>
    <xf numFmtId="0" fontId="55" fillId="0" borderId="19" xfId="17" applyNumberFormat="1" applyFont="1" applyBorder="1" applyAlignment="1">
      <alignment horizontal="right" vertical="center" wrapText="1"/>
    </xf>
    <xf numFmtId="179" fontId="55" fillId="0" borderId="25" xfId="17" applyNumberFormat="1" applyFont="1" applyBorder="1" applyAlignment="1">
      <alignment horizontal="center" vertical="center" wrapText="1"/>
    </xf>
    <xf numFmtId="179" fontId="55" fillId="0" borderId="26" xfId="17" applyNumberFormat="1" applyFont="1" applyBorder="1" applyAlignment="1">
      <alignment horizontal="center" vertical="center" wrapText="1"/>
    </xf>
    <xf numFmtId="178" fontId="30" fillId="0" borderId="88" xfId="13" applyFont="1" applyBorder="1" applyAlignment="1">
      <alignment horizontal="right"/>
    </xf>
    <xf numFmtId="178" fontId="30" fillId="0" borderId="61" xfId="13" applyFont="1" applyBorder="1" applyAlignment="1">
      <alignment horizontal="right"/>
    </xf>
    <xf numFmtId="178" fontId="30" fillId="0" borderId="89" xfId="13" applyFont="1" applyBorder="1" applyAlignment="1">
      <alignment horizontal="right"/>
    </xf>
    <xf numFmtId="178" fontId="55" fillId="0" borderId="2" xfId="17" applyFont="1" applyBorder="1" applyAlignment="1">
      <alignment horizontal="right" vertical="center" wrapText="1"/>
    </xf>
    <xf numFmtId="178" fontId="55" fillId="0" borderId="26" xfId="17" applyFont="1" applyBorder="1" applyAlignment="1">
      <alignment horizontal="right" vertical="center" wrapText="1"/>
    </xf>
    <xf numFmtId="0" fontId="56" fillId="0" borderId="2" xfId="17" applyNumberFormat="1" applyFont="1" applyBorder="1" applyAlignment="1">
      <alignment horizontal="center" vertical="center" wrapText="1" readingOrder="2"/>
    </xf>
    <xf numFmtId="178" fontId="56" fillId="0" borderId="2" xfId="17" applyFont="1" applyBorder="1" applyAlignment="1">
      <alignment horizontal="center" vertical="center" wrapText="1"/>
    </xf>
    <xf numFmtId="165" fontId="87" fillId="0" borderId="86" xfId="17" applyNumberFormat="1" applyFont="1" applyBorder="1" applyAlignment="1">
      <alignment horizontal="center" vertical="center" wrapText="1"/>
    </xf>
    <xf numFmtId="3" fontId="56" fillId="0" borderId="63" xfId="17" applyNumberFormat="1" applyFont="1" applyBorder="1" applyAlignment="1">
      <alignment horizontal="center" vertical="center" wrapText="1"/>
    </xf>
    <xf numFmtId="3" fontId="56" fillId="0" borderId="64" xfId="17" applyNumberFormat="1" applyFont="1" applyBorder="1" applyAlignment="1">
      <alignment horizontal="center" vertical="center" wrapText="1"/>
    </xf>
    <xf numFmtId="178" fontId="56" fillId="0" borderId="64" xfId="17" applyFont="1" applyBorder="1" applyAlignment="1">
      <alignment horizontal="center" vertical="center" wrapText="1" readingOrder="2"/>
    </xf>
    <xf numFmtId="178" fontId="56" fillId="0" borderId="64" xfId="17" applyFont="1" applyBorder="1" applyAlignment="1">
      <alignment horizontal="center" vertical="center" wrapText="1"/>
    </xf>
    <xf numFmtId="178" fontId="55" fillId="0" borderId="64" xfId="17" applyFont="1" applyBorder="1" applyAlignment="1">
      <alignment horizontal="right" vertical="center" wrapText="1"/>
    </xf>
    <xf numFmtId="3" fontId="56" fillId="0" borderId="85" xfId="17" applyNumberFormat="1" applyFont="1" applyBorder="1" applyAlignment="1">
      <alignment horizontal="center" vertical="center" wrapText="1"/>
    </xf>
    <xf numFmtId="3" fontId="56" fillId="0" borderId="86" xfId="17" applyNumberFormat="1" applyFont="1" applyBorder="1" applyAlignment="1">
      <alignment horizontal="center" vertical="center" wrapText="1"/>
    </xf>
    <xf numFmtId="0" fontId="56" fillId="0" borderId="86" xfId="17" applyNumberFormat="1" applyFont="1" applyBorder="1" applyAlignment="1">
      <alignment horizontal="center" vertical="center" wrapText="1" readingOrder="2"/>
    </xf>
    <xf numFmtId="178" fontId="56" fillId="0" borderId="86" xfId="17" applyFont="1" applyBorder="1" applyAlignment="1">
      <alignment horizontal="center" vertical="center" wrapText="1"/>
    </xf>
    <xf numFmtId="178" fontId="55" fillId="0" borderId="86" xfId="17" applyFont="1" applyBorder="1" applyAlignment="1">
      <alignment horizontal="right" vertical="center" wrapText="1"/>
    </xf>
    <xf numFmtId="0" fontId="56" fillId="0" borderId="19" xfId="17" applyNumberFormat="1" applyFont="1" applyBorder="1" applyAlignment="1">
      <alignment horizontal="center" vertical="center" wrapText="1" readingOrder="2"/>
    </xf>
    <xf numFmtId="178" fontId="56" fillId="0" borderId="19" xfId="17" applyFont="1" applyBorder="1" applyAlignment="1">
      <alignment horizontal="center" vertical="center" wrapText="1"/>
    </xf>
    <xf numFmtId="178" fontId="55" fillId="0" borderId="19" xfId="17" applyFont="1" applyBorder="1" applyAlignment="1">
      <alignment horizontal="right" vertical="center" wrapText="1"/>
    </xf>
    <xf numFmtId="3" fontId="56" fillId="0" borderId="20" xfId="17" applyNumberFormat="1" applyFont="1" applyBorder="1" applyAlignment="1">
      <alignment horizontal="center" vertical="center" wrapText="1"/>
    </xf>
    <xf numFmtId="3" fontId="56" fillId="0" borderId="21" xfId="17" applyNumberFormat="1" applyFont="1" applyBorder="1" applyAlignment="1">
      <alignment horizontal="center" vertical="center" wrapText="1"/>
    </xf>
    <xf numFmtId="178" fontId="56" fillId="0" borderId="21" xfId="17" applyFont="1" applyBorder="1" applyAlignment="1">
      <alignment horizontal="center" vertical="center" wrapText="1"/>
    </xf>
    <xf numFmtId="178" fontId="55" fillId="0" borderId="21" xfId="17" applyFont="1" applyBorder="1" applyAlignment="1">
      <alignment horizontal="right" vertical="center" wrapText="1"/>
    </xf>
    <xf numFmtId="3" fontId="56" fillId="0" borderId="25" xfId="17" applyNumberFormat="1" applyFont="1" applyBorder="1" applyAlignment="1">
      <alignment horizontal="center" vertical="center" wrapText="1"/>
    </xf>
    <xf numFmtId="3" fontId="56" fillId="0" borderId="26" xfId="17" applyNumberFormat="1" applyFont="1" applyBorder="1" applyAlignment="1">
      <alignment horizontal="center" vertical="center" wrapText="1"/>
    </xf>
    <xf numFmtId="3" fontId="56" fillId="0" borderId="26" xfId="17" applyNumberFormat="1" applyFont="1" applyBorder="1" applyAlignment="1">
      <alignment horizontal="center" vertical="center"/>
    </xf>
    <xf numFmtId="178" fontId="87" fillId="0" borderId="75" xfId="17" applyFont="1" applyBorder="1" applyAlignment="1">
      <alignment horizontal="center" vertical="center" wrapText="1"/>
    </xf>
    <xf numFmtId="178" fontId="87" fillId="0" borderId="42" xfId="17" applyFont="1" applyBorder="1" applyAlignment="1">
      <alignment horizontal="center" vertical="center" wrapText="1"/>
    </xf>
    <xf numFmtId="178" fontId="87" fillId="0" borderId="84" xfId="17" applyFont="1" applyBorder="1" applyAlignment="1">
      <alignment horizontal="center" vertical="center" wrapText="1"/>
    </xf>
    <xf numFmtId="179" fontId="56" fillId="0" borderId="2" xfId="17" applyNumberFormat="1" applyFont="1" applyBorder="1" applyAlignment="1">
      <alignment horizontal="center" vertical="center" wrapText="1"/>
    </xf>
    <xf numFmtId="3" fontId="55" fillId="0" borderId="2" xfId="17" applyNumberFormat="1" applyFont="1" applyBorder="1" applyAlignment="1">
      <alignment horizontal="right" vertical="center" wrapText="1"/>
    </xf>
    <xf numFmtId="179" fontId="56" fillId="0" borderId="26" xfId="17" applyNumberFormat="1" applyFont="1" applyBorder="1" applyAlignment="1">
      <alignment horizontal="center" vertical="center" wrapText="1"/>
    </xf>
    <xf numFmtId="3" fontId="55" fillId="0" borderId="26" xfId="17" applyNumberFormat="1" applyFont="1" applyBorder="1" applyAlignment="1">
      <alignment horizontal="right" vertical="center" wrapText="1"/>
    </xf>
    <xf numFmtId="3" fontId="55" fillId="0" borderId="86" xfId="17" applyNumberFormat="1" applyFont="1" applyBorder="1" applyAlignment="1">
      <alignment horizontal="right" vertical="center" wrapText="1"/>
    </xf>
    <xf numFmtId="178" fontId="32" fillId="0" borderId="21" xfId="15" applyFont="1" applyBorder="1" applyAlignment="1">
      <alignment horizontal="center" vertical="center" textRotation="90"/>
    </xf>
    <xf numFmtId="178" fontId="32" fillId="0" borderId="2" xfId="15" applyFont="1" applyBorder="1" applyAlignment="1">
      <alignment horizontal="center" vertical="center" textRotation="90"/>
    </xf>
    <xf numFmtId="178" fontId="32" fillId="0" borderId="22" xfId="15" applyFont="1" applyBorder="1" applyAlignment="1">
      <alignment horizontal="center" vertical="center" textRotation="90"/>
    </xf>
    <xf numFmtId="178" fontId="32" fillId="0" borderId="24" xfId="15" applyFont="1" applyBorder="1" applyAlignment="1">
      <alignment horizontal="center" vertical="center" textRotation="90"/>
    </xf>
    <xf numFmtId="178" fontId="82" fillId="0" borderId="20" xfId="14" applyFont="1" applyBorder="1" applyAlignment="1">
      <alignment horizontal="center" vertical="center" wrapText="1"/>
    </xf>
    <xf numFmtId="178" fontId="82" fillId="0" borderId="21" xfId="14" applyFont="1" applyBorder="1" applyAlignment="1">
      <alignment horizontal="center" vertical="center" wrapText="1"/>
    </xf>
    <xf numFmtId="178" fontId="82" fillId="0" borderId="47" xfId="14" applyFont="1" applyBorder="1" applyAlignment="1">
      <alignment horizontal="center" vertical="center" wrapText="1"/>
    </xf>
    <xf numFmtId="178" fontId="82" fillId="0" borderId="25" xfId="14" applyFont="1" applyBorder="1" applyAlignment="1">
      <alignment horizontal="center" vertical="center" wrapText="1"/>
    </xf>
    <xf numFmtId="178" fontId="82" fillId="0" borderId="26" xfId="14" applyFont="1" applyBorder="1" applyAlignment="1">
      <alignment horizontal="center" vertical="center" wrapText="1"/>
    </xf>
    <xf numFmtId="178" fontId="82" fillId="0" borderId="56" xfId="14" applyFont="1" applyBorder="1" applyAlignment="1">
      <alignment horizontal="center" vertical="center" wrapText="1"/>
    </xf>
    <xf numFmtId="178" fontId="82" fillId="0" borderId="2" xfId="14" applyFont="1" applyBorder="1" applyAlignment="1">
      <alignment horizontal="center" vertical="center" wrapText="1"/>
    </xf>
    <xf numFmtId="178" fontId="32" fillId="0" borderId="48" xfId="15" applyFont="1" applyBorder="1" applyAlignment="1">
      <alignment horizontal="center" vertical="center" textRotation="90"/>
    </xf>
    <xf numFmtId="178" fontId="32" fillId="0" borderId="10" xfId="15" applyFont="1" applyBorder="1" applyAlignment="1">
      <alignment horizontal="center" vertical="center" textRotation="90"/>
    </xf>
    <xf numFmtId="178" fontId="82" fillId="0" borderId="24" xfId="14" applyFont="1" applyBorder="1" applyAlignment="1">
      <alignment horizontal="center" vertical="center" wrapText="1"/>
    </xf>
    <xf numFmtId="178" fontId="104" fillId="0" borderId="75" xfId="10" applyFont="1" applyBorder="1" applyAlignment="1">
      <alignment horizontal="center" vertical="center"/>
    </xf>
    <xf numFmtId="178" fontId="104" fillId="0" borderId="42" xfId="10" applyFont="1" applyBorder="1" applyAlignment="1">
      <alignment horizontal="center" vertical="center"/>
    </xf>
    <xf numFmtId="178" fontId="104" fillId="0" borderId="31" xfId="10" applyFont="1" applyBorder="1" applyAlignment="1">
      <alignment horizontal="center" vertical="center"/>
    </xf>
    <xf numFmtId="178" fontId="104" fillId="0" borderId="20" xfId="10" applyFont="1" applyBorder="1" applyAlignment="1">
      <alignment horizontal="center" vertical="center"/>
    </xf>
    <xf numFmtId="178" fontId="104" fillId="0" borderId="21" xfId="10" applyFont="1" applyBorder="1" applyAlignment="1">
      <alignment horizontal="center" vertical="center"/>
    </xf>
    <xf numFmtId="178" fontId="104" fillId="0" borderId="47" xfId="10" applyFont="1" applyBorder="1" applyAlignment="1">
      <alignment horizontal="center" vertical="center"/>
    </xf>
    <xf numFmtId="178" fontId="104" fillId="0" borderId="81" xfId="10" applyFont="1" applyBorder="1" applyAlignment="1">
      <alignment horizontal="center" vertical="center"/>
    </xf>
    <xf numFmtId="178" fontId="104" fillId="0" borderId="76" xfId="10" applyFont="1" applyBorder="1" applyAlignment="1">
      <alignment horizontal="center" vertical="center"/>
    </xf>
    <xf numFmtId="178" fontId="104" fillId="0" borderId="77" xfId="10" applyFont="1" applyBorder="1" applyAlignment="1">
      <alignment horizontal="center" vertical="center"/>
    </xf>
    <xf numFmtId="43" fontId="32" fillId="0" borderId="24" xfId="6" applyFont="1" applyFill="1" applyBorder="1" applyAlignment="1">
      <alignment horizontal="center" vertical="center" textRotation="90"/>
    </xf>
    <xf numFmtId="43" fontId="32" fillId="0" borderId="8" xfId="6" applyFont="1" applyFill="1" applyBorder="1" applyAlignment="1">
      <alignment horizontal="center" vertical="center" textRotation="90"/>
    </xf>
    <xf numFmtId="178" fontId="32" fillId="0" borderId="23" xfId="15" applyFont="1" applyBorder="1" applyAlignment="1">
      <alignment horizontal="center" vertical="center" textRotation="90" wrapText="1"/>
    </xf>
    <xf numFmtId="178" fontId="32" fillId="0" borderId="23" xfId="15" applyFont="1" applyBorder="1" applyAlignment="1">
      <alignment horizontal="center" vertical="center" textRotation="90"/>
    </xf>
    <xf numFmtId="178" fontId="82" fillId="0" borderId="69" xfId="14" applyFont="1" applyBorder="1" applyAlignment="1">
      <alignment horizontal="center" vertical="center" wrapText="1"/>
    </xf>
    <xf numFmtId="178" fontId="82" fillId="0" borderId="10" xfId="14" applyFont="1" applyBorder="1" applyAlignment="1">
      <alignment horizontal="center" vertical="center" wrapText="1"/>
    </xf>
    <xf numFmtId="178" fontId="82" fillId="0" borderId="52" xfId="14" applyFont="1" applyBorder="1" applyAlignment="1">
      <alignment horizontal="center" vertical="center" wrapText="1"/>
    </xf>
    <xf numFmtId="178" fontId="82" fillId="0" borderId="19" xfId="14" applyFont="1" applyBorder="1" applyAlignment="1">
      <alignment horizontal="center" vertical="center" wrapText="1"/>
    </xf>
    <xf numFmtId="3" fontId="30" fillId="0" borderId="23" xfId="14" applyNumberFormat="1" applyFont="1" applyBorder="1" applyAlignment="1">
      <alignment horizontal="center" vertical="center" wrapText="1"/>
    </xf>
    <xf numFmtId="3" fontId="30" fillId="0" borderId="2" xfId="14" applyNumberFormat="1" applyFont="1" applyBorder="1" applyAlignment="1">
      <alignment horizontal="center" vertical="center" wrapText="1"/>
    </xf>
    <xf numFmtId="178" fontId="82" fillId="0" borderId="69" xfId="14" applyFont="1" applyBorder="1" applyAlignment="1">
      <alignment horizontal="center" wrapText="1"/>
    </xf>
    <xf numFmtId="178" fontId="82" fillId="0" borderId="46" xfId="14" applyFont="1" applyBorder="1" applyAlignment="1">
      <alignment horizontal="center" wrapText="1"/>
    </xf>
    <xf numFmtId="3" fontId="30" fillId="0" borderId="20" xfId="14" applyNumberFormat="1" applyFont="1" applyBorder="1" applyAlignment="1">
      <alignment horizontal="center" vertical="center" wrapText="1"/>
    </xf>
    <xf numFmtId="3" fontId="30" fillId="0" borderId="21" xfId="14" applyNumberFormat="1" applyFont="1" applyBorder="1" applyAlignment="1">
      <alignment horizontal="center" vertical="center" wrapText="1"/>
    </xf>
    <xf numFmtId="178" fontId="82" fillId="0" borderId="8" xfId="14" applyFont="1" applyBorder="1" applyAlignment="1">
      <alignment horizontal="center" vertical="center" wrapText="1"/>
    </xf>
    <xf numFmtId="178" fontId="82" fillId="0" borderId="54" xfId="14" applyFont="1" applyBorder="1" applyAlignment="1">
      <alignment horizontal="center" vertical="center" wrapText="1"/>
    </xf>
    <xf numFmtId="178" fontId="82" fillId="0" borderId="55" xfId="14" applyFont="1" applyBorder="1" applyAlignment="1">
      <alignment horizontal="center" vertical="center" wrapText="1"/>
    </xf>
    <xf numFmtId="178" fontId="82" fillId="0" borderId="45" xfId="14" applyFont="1" applyBorder="1" applyAlignment="1">
      <alignment horizontal="center" vertical="center" wrapText="1"/>
    </xf>
    <xf numFmtId="178" fontId="82" fillId="0" borderId="44" xfId="14" applyFont="1" applyBorder="1" applyAlignment="1">
      <alignment horizontal="center" vertical="center" wrapText="1"/>
    </xf>
    <xf numFmtId="178" fontId="18" fillId="0" borderId="20" xfId="13" applyBorder="1" applyAlignment="1">
      <alignment horizontal="center" vertical="center"/>
    </xf>
    <xf numFmtId="178" fontId="18" fillId="0" borderId="21" xfId="13" applyBorder="1" applyAlignment="1">
      <alignment horizontal="center" vertical="center"/>
    </xf>
    <xf numFmtId="178" fontId="18" fillId="0" borderId="23" xfId="13" applyBorder="1" applyAlignment="1">
      <alignment horizontal="center" vertical="center"/>
    </xf>
    <xf numFmtId="178" fontId="18" fillId="0" borderId="2" xfId="13" applyBorder="1" applyAlignment="1">
      <alignment horizontal="center" vertical="center"/>
    </xf>
    <xf numFmtId="178" fontId="18" fillId="0" borderId="55" xfId="13" applyBorder="1" applyAlignment="1">
      <alignment horizontal="center" vertical="center"/>
    </xf>
    <xf numFmtId="178" fontId="18" fillId="0" borderId="19" xfId="13" applyBorder="1" applyAlignment="1">
      <alignment horizontal="center" vertical="center"/>
    </xf>
    <xf numFmtId="3" fontId="30" fillId="0" borderId="25" xfId="14" applyNumberFormat="1" applyFont="1" applyBorder="1" applyAlignment="1">
      <alignment horizontal="center" vertical="center" wrapText="1"/>
    </xf>
    <xf numFmtId="3" fontId="30" fillId="0" borderId="26" xfId="14" applyNumberFormat="1" applyFont="1" applyBorder="1" applyAlignment="1">
      <alignment horizontal="center" vertical="center" wrapText="1"/>
    </xf>
    <xf numFmtId="178" fontId="32" fillId="0" borderId="8" xfId="15" applyFont="1" applyBorder="1" applyAlignment="1">
      <alignment horizontal="center" vertical="center" textRotation="90"/>
    </xf>
    <xf numFmtId="43" fontId="32" fillId="0" borderId="23" xfId="6" applyFont="1" applyFill="1" applyBorder="1" applyAlignment="1">
      <alignment horizontal="center" vertical="center" textRotation="90"/>
    </xf>
    <xf numFmtId="43" fontId="32" fillId="0" borderId="2" xfId="6" applyFont="1" applyFill="1" applyBorder="1" applyAlignment="1">
      <alignment horizontal="center" vertical="center" textRotation="90"/>
    </xf>
    <xf numFmtId="178" fontId="82" fillId="0" borderId="23" xfId="14" applyFont="1" applyBorder="1" applyAlignment="1">
      <alignment horizontal="center" vertical="center" wrapText="1"/>
    </xf>
    <xf numFmtId="178" fontId="82" fillId="0" borderId="27" xfId="14" applyFont="1" applyBorder="1" applyAlignment="1">
      <alignment horizontal="center" vertical="center" wrapText="1"/>
    </xf>
    <xf numFmtId="178" fontId="18" fillId="0" borderId="25" xfId="13" applyBorder="1" applyAlignment="1">
      <alignment horizontal="center" vertical="center"/>
    </xf>
    <xf numFmtId="178" fontId="18" fillId="0" borderId="26" xfId="13" applyBorder="1" applyAlignment="1">
      <alignment horizontal="center" vertical="center"/>
    </xf>
    <xf numFmtId="178" fontId="104" fillId="0" borderId="0" xfId="10" applyFont="1" applyAlignment="1">
      <alignment horizontal="right" vertical="center"/>
    </xf>
    <xf numFmtId="165" fontId="104" fillId="0" borderId="0" xfId="10" applyNumberFormat="1" applyFont="1" applyAlignment="1">
      <alignment horizontal="right" vertical="center"/>
    </xf>
    <xf numFmtId="178" fontId="67" fillId="0" borderId="22" xfId="13" applyFont="1" applyBorder="1" applyAlignment="1">
      <alignment horizontal="center" vertical="center" textRotation="90"/>
    </xf>
    <xf numFmtId="178" fontId="67" fillId="0" borderId="69" xfId="13" applyFont="1" applyBorder="1" applyAlignment="1">
      <alignment horizontal="center" vertical="center" textRotation="90"/>
    </xf>
    <xf numFmtId="3" fontId="32" fillId="0" borderId="86" xfId="14" applyNumberFormat="1" applyFont="1" applyBorder="1" applyAlignment="1">
      <alignment horizontal="center" vertical="center"/>
    </xf>
    <xf numFmtId="178" fontId="67" fillId="0" borderId="20" xfId="13" applyFont="1" applyBorder="1" applyAlignment="1">
      <alignment horizontal="center" vertical="center" textRotation="90"/>
    </xf>
    <xf numFmtId="178" fontId="67" fillId="0" borderId="55" xfId="13" applyFont="1" applyBorder="1" applyAlignment="1">
      <alignment horizontal="center" vertical="center" textRotation="90"/>
    </xf>
    <xf numFmtId="178" fontId="67" fillId="0" borderId="42" xfId="13" applyFont="1" applyBorder="1" applyAlignment="1">
      <alignment horizontal="center" vertical="center" textRotation="90"/>
    </xf>
    <xf numFmtId="178" fontId="67" fillId="0" borderId="43" xfId="13" applyFont="1" applyBorder="1" applyAlignment="1">
      <alignment horizontal="center" vertical="center" textRotation="90"/>
    </xf>
    <xf numFmtId="3" fontId="30" fillId="0" borderId="8" xfId="14" applyNumberFormat="1" applyFont="1" applyBorder="1" applyAlignment="1">
      <alignment horizontal="right" vertical="center" wrapText="1"/>
    </xf>
    <xf numFmtId="3" fontId="30" fillId="0" borderId="9" xfId="14" applyNumberFormat="1" applyFont="1" applyBorder="1" applyAlignment="1">
      <alignment horizontal="right" vertical="center" wrapText="1"/>
    </xf>
    <xf numFmtId="3" fontId="30" fillId="0" borderId="10" xfId="14" applyNumberFormat="1" applyFont="1" applyBorder="1" applyAlignment="1">
      <alignment horizontal="right" vertical="center" wrapText="1"/>
    </xf>
    <xf numFmtId="178" fontId="67" fillId="0" borderId="42" xfId="13" applyFont="1" applyBorder="1" applyAlignment="1">
      <alignment horizontal="center" vertical="center" textRotation="90" wrapText="1"/>
    </xf>
    <xf numFmtId="178" fontId="67" fillId="0" borderId="43" xfId="13" applyFont="1" applyBorder="1" applyAlignment="1">
      <alignment horizontal="center" vertical="center" textRotation="90" wrapText="1"/>
    </xf>
    <xf numFmtId="3" fontId="30" fillId="0" borderId="47" xfId="14" applyNumberFormat="1" applyFont="1" applyBorder="1" applyAlignment="1">
      <alignment horizontal="right" vertical="center" wrapText="1"/>
    </xf>
    <xf numFmtId="3" fontId="30" fillId="0" borderId="76" xfId="14" applyNumberFormat="1" applyFont="1" applyBorder="1" applyAlignment="1">
      <alignment horizontal="right" vertical="center" wrapText="1"/>
    </xf>
    <xf numFmtId="3" fontId="30" fillId="0" borderId="48" xfId="14" applyNumberFormat="1" applyFont="1" applyBorder="1" applyAlignment="1">
      <alignment horizontal="right" vertical="center" wrapText="1"/>
    </xf>
    <xf numFmtId="3" fontId="30" fillId="0" borderId="56" xfId="14" applyNumberFormat="1" applyFont="1" applyBorder="1" applyAlignment="1">
      <alignment horizontal="right" vertical="center" wrapText="1"/>
    </xf>
    <xf numFmtId="3" fontId="30" fillId="0" borderId="70" xfId="14" applyNumberFormat="1" applyFont="1" applyBorder="1" applyAlignment="1">
      <alignment horizontal="right" vertical="center" wrapText="1"/>
    </xf>
    <xf numFmtId="3" fontId="30" fillId="0" borderId="57" xfId="14" applyNumberFormat="1" applyFont="1" applyBorder="1" applyAlignment="1">
      <alignment horizontal="right" vertical="center" wrapText="1"/>
    </xf>
    <xf numFmtId="178" fontId="82" fillId="0" borderId="9" xfId="14" applyFont="1" applyBorder="1" applyAlignment="1">
      <alignment horizontal="right" vertical="center" wrapText="1"/>
    </xf>
    <xf numFmtId="178" fontId="82" fillId="0" borderId="10" xfId="14" applyFont="1" applyBorder="1" applyAlignment="1">
      <alignment horizontal="right" vertical="center" wrapText="1"/>
    </xf>
    <xf numFmtId="179" fontId="82" fillId="0" borderId="64" xfId="14" applyNumberFormat="1" applyFont="1" applyBorder="1" applyAlignment="1">
      <alignment horizontal="center" vertical="center" wrapText="1"/>
    </xf>
    <xf numFmtId="179" fontId="82" fillId="0" borderId="26" xfId="14" applyNumberFormat="1" applyFont="1" applyBorder="1" applyAlignment="1">
      <alignment horizontal="center" vertical="center" wrapText="1"/>
    </xf>
    <xf numFmtId="179" fontId="32" fillId="0" borderId="20" xfId="15" applyNumberFormat="1" applyFont="1" applyBorder="1" applyAlignment="1">
      <alignment horizontal="center" vertical="center" textRotation="90"/>
    </xf>
    <xf numFmtId="179" fontId="32" fillId="0" borderId="23" xfId="15" applyNumberFormat="1" applyFont="1" applyBorder="1" applyAlignment="1">
      <alignment horizontal="center" vertical="center" textRotation="90"/>
    </xf>
    <xf numFmtId="179" fontId="32" fillId="0" borderId="21" xfId="15" applyNumberFormat="1" applyFont="1" applyBorder="1" applyAlignment="1">
      <alignment horizontal="center" vertical="center" textRotation="90"/>
    </xf>
    <xf numFmtId="179" fontId="32" fillId="0" borderId="2" xfId="15" applyNumberFormat="1" applyFont="1" applyBorder="1" applyAlignment="1">
      <alignment horizontal="center" vertical="center" textRotation="90"/>
    </xf>
    <xf numFmtId="179" fontId="82" fillId="0" borderId="63" xfId="14" applyNumberFormat="1" applyFont="1" applyBorder="1" applyAlignment="1">
      <alignment horizontal="center" vertical="center" wrapText="1"/>
    </xf>
    <xf numFmtId="179" fontId="82" fillId="0" borderId="25" xfId="14" applyNumberFormat="1" applyFont="1" applyBorder="1" applyAlignment="1">
      <alignment horizontal="center" vertical="center" wrapText="1"/>
    </xf>
    <xf numFmtId="179" fontId="32" fillId="0" borderId="21" xfId="15" applyNumberFormat="1" applyFont="1" applyBorder="1" applyAlignment="1">
      <alignment horizontal="center" vertical="center" textRotation="90" wrapText="1"/>
    </xf>
    <xf numFmtId="179" fontId="32" fillId="0" borderId="2" xfId="15" applyNumberFormat="1" applyFont="1" applyBorder="1" applyAlignment="1">
      <alignment horizontal="center" vertical="center" textRotation="90" wrapText="1"/>
    </xf>
    <xf numFmtId="179" fontId="32" fillId="0" borderId="22" xfId="15" applyNumberFormat="1" applyFont="1" applyBorder="1" applyAlignment="1">
      <alignment horizontal="center" vertical="center" textRotation="90"/>
    </xf>
    <xf numFmtId="179" fontId="32" fillId="0" borderId="24" xfId="15" applyNumberFormat="1" applyFont="1" applyBorder="1" applyAlignment="1">
      <alignment horizontal="center" vertical="center" textRotation="90"/>
    </xf>
    <xf numFmtId="179" fontId="18" fillId="0" borderId="50" xfId="10" applyNumberFormat="1" applyBorder="1" applyAlignment="1">
      <alignment horizontal="right" vertical="center" wrapText="1"/>
    </xf>
    <xf numFmtId="179" fontId="18" fillId="0" borderId="9" xfId="10" applyNumberFormat="1" applyBorder="1" applyAlignment="1">
      <alignment horizontal="right" vertical="center" wrapText="1"/>
    </xf>
    <xf numFmtId="179" fontId="18" fillId="0" borderId="10" xfId="10" applyNumberFormat="1" applyBorder="1" applyAlignment="1">
      <alignment horizontal="right" vertical="center" wrapText="1"/>
    </xf>
    <xf numFmtId="179" fontId="82" fillId="0" borderId="65" xfId="14" applyNumberFormat="1" applyFont="1" applyBorder="1" applyAlignment="1">
      <alignment horizontal="center" vertical="center" wrapText="1"/>
    </xf>
    <xf numFmtId="179" fontId="82" fillId="0" borderId="27" xfId="14" applyNumberFormat="1" applyFont="1" applyBorder="1" applyAlignment="1">
      <alignment horizontal="center" vertical="center" wrapText="1"/>
    </xf>
    <xf numFmtId="179" fontId="18" fillId="0" borderId="63" xfId="10" applyNumberFormat="1" applyBorder="1" applyAlignment="1">
      <alignment horizontal="left" vertical="center" wrapText="1"/>
    </xf>
    <xf numFmtId="179" fontId="18" fillId="0" borderId="64" xfId="10" applyNumberFormat="1" applyBorder="1" applyAlignment="1">
      <alignment horizontal="left" vertical="center" wrapText="1"/>
    </xf>
    <xf numFmtId="179" fontId="18" fillId="0" borderId="23" xfId="10" applyNumberFormat="1" applyBorder="1" applyAlignment="1">
      <alignment horizontal="left" vertical="center" wrapText="1"/>
    </xf>
    <xf numFmtId="179" fontId="18" fillId="0" borderId="2" xfId="10" applyNumberFormat="1" applyBorder="1" applyAlignment="1">
      <alignment horizontal="left" vertical="center" wrapText="1"/>
    </xf>
    <xf numFmtId="179" fontId="82" fillId="0" borderId="28" xfId="14" applyNumberFormat="1" applyFont="1" applyBorder="1" applyAlignment="1">
      <alignment horizontal="center" vertical="center" wrapText="1"/>
    </xf>
    <xf numFmtId="179" fontId="82" fillId="0" borderId="29" xfId="14" applyNumberFormat="1" applyFont="1" applyBorder="1" applyAlignment="1">
      <alignment horizontal="center" vertical="center" wrapText="1"/>
    </xf>
    <xf numFmtId="179" fontId="82" fillId="0" borderId="37" xfId="14" applyNumberFormat="1" applyFont="1" applyBorder="1" applyAlignment="1">
      <alignment horizontal="center" vertical="center" wrapText="1"/>
    </xf>
    <xf numFmtId="179" fontId="82" fillId="0" borderId="38" xfId="14" applyNumberFormat="1" applyFont="1" applyBorder="1" applyAlignment="1">
      <alignment horizontal="center" vertical="center" wrapText="1"/>
    </xf>
    <xf numFmtId="179" fontId="18" fillId="0" borderId="50" xfId="10" applyNumberFormat="1" applyBorder="1" applyAlignment="1">
      <alignment horizontal="center" vertical="center" wrapText="1"/>
    </xf>
    <xf numFmtId="179" fontId="18" fillId="0" borderId="9" xfId="10" applyNumberFormat="1" applyBorder="1" applyAlignment="1">
      <alignment horizontal="center" vertical="center" wrapText="1"/>
    </xf>
    <xf numFmtId="179" fontId="18" fillId="0" borderId="10" xfId="10" applyNumberFormat="1" applyBorder="1" applyAlignment="1">
      <alignment horizontal="center" vertical="center" wrapText="1"/>
    </xf>
    <xf numFmtId="179" fontId="18" fillId="0" borderId="23" xfId="10" applyNumberFormat="1" applyBorder="1" applyAlignment="1">
      <alignment horizontal="center" vertical="center" wrapText="1"/>
    </xf>
    <xf numFmtId="179" fontId="18" fillId="0" borderId="2" xfId="10" applyNumberFormat="1" applyBorder="1" applyAlignment="1">
      <alignment horizontal="center" vertical="center" wrapText="1"/>
    </xf>
    <xf numFmtId="179" fontId="18" fillId="0" borderId="23" xfId="13" applyNumberFormat="1" applyBorder="1" applyAlignment="1">
      <alignment horizontal="right" vertical="center" wrapText="1"/>
    </xf>
    <xf numFmtId="179" fontId="18" fillId="0" borderId="2" xfId="13" applyNumberFormat="1" applyBorder="1" applyAlignment="1">
      <alignment horizontal="right" vertical="center" wrapText="1"/>
    </xf>
    <xf numFmtId="179" fontId="18" fillId="0" borderId="59" xfId="10" applyNumberFormat="1" applyBorder="1" applyAlignment="1">
      <alignment horizontal="center" vertical="center"/>
    </xf>
    <xf numFmtId="179" fontId="18" fillId="0" borderId="70" xfId="10" applyNumberFormat="1" applyBorder="1" applyAlignment="1">
      <alignment horizontal="center" vertical="center"/>
    </xf>
    <xf numFmtId="179" fontId="18" fillId="0" borderId="57" xfId="10" applyNumberFormat="1" applyBorder="1" applyAlignment="1">
      <alignment horizontal="center" vertical="center"/>
    </xf>
    <xf numFmtId="179" fontId="18" fillId="0" borderId="23" xfId="10" applyNumberFormat="1" applyBorder="1" applyAlignment="1">
      <alignment horizontal="right" vertical="center" wrapText="1"/>
    </xf>
    <xf numFmtId="179" fontId="18" fillId="0" borderId="2" xfId="10" applyNumberFormat="1" applyBorder="1" applyAlignment="1">
      <alignment horizontal="right" vertical="center" wrapText="1"/>
    </xf>
    <xf numFmtId="179" fontId="18" fillId="0" borderId="23" xfId="13" applyNumberFormat="1" applyBorder="1" applyAlignment="1">
      <alignment horizontal="right" wrapText="1"/>
    </xf>
    <xf numFmtId="179" fontId="18" fillId="0" borderId="2" xfId="13" applyNumberFormat="1" applyBorder="1" applyAlignment="1">
      <alignment horizontal="right" wrapText="1"/>
    </xf>
    <xf numFmtId="179" fontId="104" fillId="0" borderId="0" xfId="10" applyNumberFormat="1" applyFont="1" applyAlignment="1">
      <alignment horizontal="center" vertical="center"/>
    </xf>
    <xf numFmtId="165" fontId="104" fillId="0" borderId="0" xfId="10" applyNumberFormat="1" applyFont="1" applyAlignment="1">
      <alignment horizontal="center" vertical="center"/>
    </xf>
    <xf numFmtId="179" fontId="32" fillId="0" borderId="75" xfId="15" applyNumberFormat="1" applyFont="1" applyBorder="1" applyAlignment="1">
      <alignment horizontal="center" vertical="center"/>
    </xf>
    <xf numFmtId="179" fontId="32" fillId="0" borderId="42" xfId="15" applyNumberFormat="1" applyFont="1" applyBorder="1" applyAlignment="1">
      <alignment horizontal="center" vertical="center"/>
    </xf>
    <xf numFmtId="179" fontId="32" fillId="0" borderId="84" xfId="15" applyNumberFormat="1" applyFont="1" applyBorder="1" applyAlignment="1">
      <alignment horizontal="center" vertical="center"/>
    </xf>
    <xf numFmtId="179" fontId="18" fillId="0" borderId="0" xfId="13" applyNumberFormat="1" applyAlignment="1">
      <alignment horizontal="center"/>
    </xf>
    <xf numFmtId="179" fontId="18" fillId="0" borderId="23" xfId="13" applyNumberFormat="1" applyBorder="1" applyAlignment="1">
      <alignment horizontal="center" vertical="center"/>
    </xf>
    <xf numFmtId="179" fontId="18" fillId="0" borderId="2" xfId="13" applyNumberFormat="1" applyBorder="1" applyAlignment="1">
      <alignment horizontal="center" vertical="center"/>
    </xf>
    <xf numFmtId="179" fontId="82" fillId="0" borderId="19" xfId="14" applyNumberFormat="1" applyFont="1" applyBorder="1" applyAlignment="1">
      <alignment horizontal="center" vertical="center" wrapText="1"/>
    </xf>
    <xf numFmtId="179" fontId="82" fillId="0" borderId="44" xfId="14" applyNumberFormat="1" applyFont="1" applyBorder="1" applyAlignment="1">
      <alignment horizontal="center" vertical="center" wrapText="1"/>
    </xf>
    <xf numFmtId="179" fontId="82" fillId="0" borderId="33" xfId="14" applyNumberFormat="1" applyFont="1" applyBorder="1" applyAlignment="1">
      <alignment horizontal="center" vertical="center" wrapText="1"/>
    </xf>
    <xf numFmtId="179" fontId="82" fillId="0" borderId="0" xfId="14" applyNumberFormat="1" applyFont="1" applyAlignment="1">
      <alignment horizontal="center" vertical="center" wrapText="1"/>
    </xf>
    <xf numFmtId="179" fontId="82" fillId="0" borderId="2" xfId="14" applyNumberFormat="1" applyFont="1" applyBorder="1" applyAlignment="1">
      <alignment horizontal="center" vertical="center" wrapText="1"/>
    </xf>
    <xf numFmtId="179" fontId="82" fillId="0" borderId="24" xfId="14" applyNumberFormat="1" applyFont="1" applyBorder="1" applyAlignment="1">
      <alignment horizontal="center" vertical="center" wrapText="1"/>
    </xf>
    <xf numFmtId="179" fontId="18" fillId="0" borderId="20" xfId="13" applyNumberFormat="1" applyBorder="1" applyAlignment="1">
      <alignment horizontal="center" vertical="center"/>
    </xf>
    <xf numFmtId="179" fontId="18" fillId="0" borderId="21" xfId="13" applyNumberFormat="1" applyBorder="1" applyAlignment="1">
      <alignment horizontal="center" vertical="center"/>
    </xf>
    <xf numFmtId="179" fontId="18" fillId="0" borderId="25" xfId="10" applyNumberFormat="1" applyBorder="1" applyAlignment="1">
      <alignment horizontal="center" vertical="center"/>
    </xf>
    <xf numFmtId="179" fontId="18" fillId="0" borderId="26" xfId="10" applyNumberFormat="1" applyBorder="1" applyAlignment="1">
      <alignment horizontal="center" vertical="center"/>
    </xf>
    <xf numFmtId="178" fontId="18" fillId="0" borderId="50" xfId="13" applyBorder="1" applyAlignment="1">
      <alignment horizontal="center" vertical="center"/>
    </xf>
    <xf numFmtId="178" fontId="18" fillId="0" borderId="9" xfId="13" applyBorder="1" applyAlignment="1">
      <alignment horizontal="center" vertical="center"/>
    </xf>
    <xf numFmtId="178" fontId="18" fillId="0" borderId="10" xfId="13" applyBorder="1" applyAlignment="1">
      <alignment horizontal="center" vertical="center"/>
    </xf>
    <xf numFmtId="178" fontId="32" fillId="0" borderId="20" xfId="15" applyFont="1" applyBorder="1" applyAlignment="1">
      <alignment horizontal="center" vertical="center" textRotation="90"/>
    </xf>
    <xf numFmtId="178" fontId="82" fillId="0" borderId="28" xfId="14" applyFont="1" applyBorder="1" applyAlignment="1">
      <alignment horizontal="center" vertical="center" wrapText="1"/>
    </xf>
    <xf numFmtId="178" fontId="82" fillId="0" borderId="29" xfId="14" applyFont="1" applyBorder="1" applyAlignment="1">
      <alignment horizontal="center" vertical="center" wrapText="1"/>
    </xf>
    <xf numFmtId="178" fontId="82" fillId="0" borderId="37" xfId="14" applyFont="1" applyBorder="1" applyAlignment="1">
      <alignment horizontal="center" vertical="center" wrapText="1"/>
    </xf>
    <xf numFmtId="178" fontId="82" fillId="0" borderId="38" xfId="14" applyFont="1" applyBorder="1" applyAlignment="1">
      <alignment horizontal="center" vertical="center" wrapText="1"/>
    </xf>
    <xf numFmtId="178" fontId="82" fillId="0" borderId="64" xfId="14" applyFont="1" applyBorder="1" applyAlignment="1">
      <alignment horizontal="center" vertical="center" wrapText="1"/>
    </xf>
    <xf numFmtId="178" fontId="82" fillId="0" borderId="65" xfId="14" applyFont="1" applyBorder="1" applyAlignment="1">
      <alignment horizontal="center" vertical="center" wrapText="1"/>
    </xf>
    <xf numFmtId="178" fontId="18" fillId="0" borderId="59" xfId="10" applyBorder="1" applyAlignment="1">
      <alignment horizontal="center" vertical="center"/>
    </xf>
    <xf numFmtId="178" fontId="18" fillId="0" borderId="70" xfId="10" applyBorder="1" applyAlignment="1">
      <alignment horizontal="center" vertical="center"/>
    </xf>
    <xf numFmtId="178" fontId="18" fillId="0" borderId="57" xfId="10" applyBorder="1" applyAlignment="1">
      <alignment horizontal="center" vertical="center"/>
    </xf>
    <xf numFmtId="43" fontId="18" fillId="0" borderId="50" xfId="6" applyFont="1" applyFill="1" applyBorder="1" applyAlignment="1">
      <alignment horizontal="center" vertical="center" wrapText="1"/>
    </xf>
    <xf numFmtId="43" fontId="18" fillId="0" borderId="9" xfId="6" applyFont="1" applyFill="1" applyBorder="1" applyAlignment="1">
      <alignment horizontal="center" vertical="center" wrapText="1"/>
    </xf>
    <xf numFmtId="43" fontId="18" fillId="0" borderId="10" xfId="6" applyFont="1" applyFill="1" applyBorder="1" applyAlignment="1">
      <alignment horizontal="center" vertical="center" wrapText="1"/>
    </xf>
    <xf numFmtId="179" fontId="32" fillId="0" borderId="55" xfId="15" applyNumberFormat="1" applyFont="1" applyBorder="1" applyAlignment="1">
      <alignment horizontal="center" vertical="center" textRotation="90"/>
    </xf>
    <xf numFmtId="179" fontId="32" fillId="0" borderId="19" xfId="15" applyNumberFormat="1" applyFont="1" applyBorder="1" applyAlignment="1">
      <alignment horizontal="center" vertical="center" textRotation="90"/>
    </xf>
    <xf numFmtId="43" fontId="32" fillId="0" borderId="22" xfId="6" applyFont="1" applyFill="1" applyBorder="1" applyAlignment="1">
      <alignment horizontal="center" vertical="center" textRotation="90"/>
    </xf>
    <xf numFmtId="43" fontId="32" fillId="0" borderId="69" xfId="6" applyFont="1" applyFill="1" applyBorder="1" applyAlignment="1">
      <alignment horizontal="center" vertical="center" textRotation="90"/>
    </xf>
    <xf numFmtId="179" fontId="82" fillId="0" borderId="20" xfId="14" applyNumberFormat="1" applyFont="1" applyBorder="1" applyAlignment="1">
      <alignment horizontal="center" vertical="center" wrapText="1"/>
    </xf>
    <xf numFmtId="179" fontId="82" fillId="0" borderId="21" xfId="14" applyNumberFormat="1" applyFont="1" applyBorder="1" applyAlignment="1">
      <alignment horizontal="center" vertical="center" wrapText="1"/>
    </xf>
    <xf numFmtId="179" fontId="82" fillId="0" borderId="55" xfId="14" applyNumberFormat="1" applyFont="1" applyBorder="1" applyAlignment="1">
      <alignment horizontal="center" vertical="center" wrapText="1"/>
    </xf>
    <xf numFmtId="179" fontId="18" fillId="0" borderId="20" xfId="10" applyNumberFormat="1" applyBorder="1" applyAlignment="1">
      <alignment horizontal="right" vertical="center" wrapText="1"/>
    </xf>
    <xf numFmtId="179" fontId="18" fillId="0" borderId="21" xfId="10" applyNumberFormat="1" applyBorder="1" applyAlignment="1">
      <alignment horizontal="right" vertical="center" wrapText="1"/>
    </xf>
    <xf numFmtId="179" fontId="30" fillId="0" borderId="2" xfId="14" applyNumberFormat="1" applyFont="1" applyBorder="1" applyAlignment="1">
      <alignment horizontal="center" vertical="center" textRotation="90" wrapText="1"/>
    </xf>
    <xf numFmtId="178" fontId="113" fillId="0" borderId="2" xfId="17" applyFont="1" applyBorder="1" applyAlignment="1">
      <alignment horizontal="center" vertical="center" textRotation="90" wrapText="1"/>
    </xf>
    <xf numFmtId="178" fontId="18" fillId="0" borderId="23" xfId="10" applyBorder="1" applyAlignment="1">
      <alignment horizontal="right" vertical="center" wrapText="1"/>
    </xf>
    <xf numFmtId="178" fontId="18" fillId="0" borderId="2" xfId="10" applyBorder="1" applyAlignment="1">
      <alignment horizontal="right" vertical="center" wrapText="1"/>
    </xf>
    <xf numFmtId="172" fontId="30" fillId="0" borderId="0" xfId="8" applyNumberFormat="1" applyFont="1" applyAlignment="1">
      <alignment horizontal="center" vertical="center"/>
    </xf>
    <xf numFmtId="2" fontId="30" fillId="0" borderId="0" xfId="8" applyNumberFormat="1" applyFont="1" applyAlignment="1">
      <alignment horizontal="center" vertical="center"/>
    </xf>
    <xf numFmtId="0" fontId="19" fillId="0" borderId="60" xfId="0" applyFont="1" applyBorder="1" applyAlignment="1">
      <alignment horizontal="center" wrapText="1" readingOrder="1"/>
    </xf>
    <xf numFmtId="0" fontId="19" fillId="0" borderId="61" xfId="0" applyFont="1" applyBorder="1" applyAlignment="1">
      <alignment horizontal="center" wrapText="1" readingOrder="1"/>
    </xf>
    <xf numFmtId="0" fontId="19" fillId="0" borderId="62" xfId="0" applyFont="1" applyBorder="1" applyAlignment="1">
      <alignment horizontal="center" wrapText="1" readingOrder="1"/>
    </xf>
    <xf numFmtId="0" fontId="31" fillId="0" borderId="28" xfId="0" applyFont="1" applyBorder="1" applyAlignment="1">
      <alignment horizontal="center" vertical="center"/>
    </xf>
    <xf numFmtId="0" fontId="31" fillId="0" borderId="33" xfId="0" applyFont="1" applyBorder="1" applyAlignment="1">
      <alignment horizontal="center" vertical="center"/>
    </xf>
    <xf numFmtId="0" fontId="31" fillId="0" borderId="37" xfId="0" applyFont="1" applyBorder="1" applyAlignment="1">
      <alignment horizontal="center" vertical="center"/>
    </xf>
    <xf numFmtId="0" fontId="31" fillId="0" borderId="31" xfId="0" applyFont="1" applyBorder="1" applyAlignment="1">
      <alignment horizontal="center" vertical="center"/>
    </xf>
    <xf numFmtId="0" fontId="31" fillId="0" borderId="30" xfId="0" applyFont="1" applyBorder="1" applyAlignment="1">
      <alignment horizontal="center" vertical="center"/>
    </xf>
    <xf numFmtId="0" fontId="31" fillId="0" borderId="35" xfId="0" applyFont="1" applyBorder="1" applyAlignment="1">
      <alignment horizontal="center" vertical="center"/>
    </xf>
    <xf numFmtId="0" fontId="31" fillId="0" borderId="34" xfId="0" applyFont="1" applyBorder="1" applyAlignment="1">
      <alignment horizontal="center" vertical="center"/>
    </xf>
    <xf numFmtId="0" fontId="31" fillId="0" borderId="40" xfId="0" applyFont="1" applyBorder="1" applyAlignment="1">
      <alignment horizontal="center" vertical="center"/>
    </xf>
    <xf numFmtId="0" fontId="31" fillId="0" borderId="39" xfId="0" applyFont="1" applyBorder="1" applyAlignment="1">
      <alignment horizontal="center" vertical="center"/>
    </xf>
    <xf numFmtId="0" fontId="31" fillId="0" borderId="21" xfId="0" applyFont="1" applyBorder="1" applyAlignment="1">
      <alignment horizontal="center" vertical="center"/>
    </xf>
    <xf numFmtId="0" fontId="31" fillId="0" borderId="26" xfId="0" applyFont="1" applyBorder="1" applyAlignment="1">
      <alignment horizontal="center" vertical="center"/>
    </xf>
    <xf numFmtId="0" fontId="31" fillId="0" borderId="42" xfId="0" applyFont="1" applyBorder="1" applyAlignment="1">
      <alignment horizontal="center" vertical="center" wrapText="1"/>
    </xf>
    <xf numFmtId="0" fontId="31" fillId="0" borderId="43" xfId="0" applyFont="1" applyBorder="1" applyAlignment="1">
      <alignment horizontal="center" vertical="center" wrapText="1"/>
    </xf>
    <xf numFmtId="0" fontId="31" fillId="0" borderId="44" xfId="0" applyFont="1" applyBorder="1" applyAlignment="1">
      <alignment horizontal="center" vertical="center" wrapText="1"/>
    </xf>
    <xf numFmtId="172" fontId="32" fillId="0" borderId="68" xfId="8" applyNumberFormat="1" applyFont="1" applyBorder="1" applyAlignment="1">
      <alignment horizontal="center" vertical="center"/>
    </xf>
    <xf numFmtId="172" fontId="32" fillId="0" borderId="52" xfId="8" applyNumberFormat="1" applyFont="1" applyBorder="1" applyAlignment="1">
      <alignment horizontal="center" vertical="center"/>
    </xf>
    <xf numFmtId="172" fontId="32" fillId="0" borderId="54" xfId="8" applyNumberFormat="1" applyFont="1" applyBorder="1" applyAlignment="1">
      <alignment horizontal="center" vertical="center"/>
    </xf>
    <xf numFmtId="0" fontId="31" fillId="0" borderId="31" xfId="0" applyFont="1" applyBorder="1" applyAlignment="1">
      <alignment horizontal="center" vertical="center" wrapText="1"/>
    </xf>
    <xf numFmtId="0" fontId="31" fillId="0" borderId="35" xfId="0" applyFont="1" applyBorder="1" applyAlignment="1">
      <alignment horizontal="center" vertical="center" wrapText="1"/>
    </xf>
    <xf numFmtId="0" fontId="31" fillId="0" borderId="40" xfId="0" applyFont="1" applyBorder="1" applyAlignment="1">
      <alignment horizontal="center" vertical="center" wrapText="1"/>
    </xf>
    <xf numFmtId="0" fontId="32" fillId="0" borderId="20" xfId="8" applyFont="1" applyBorder="1" applyAlignment="1">
      <alignment horizontal="center" vertical="center"/>
    </xf>
    <xf numFmtId="0" fontId="32" fillId="0" borderId="48" xfId="8" applyFont="1" applyBorder="1" applyAlignment="1">
      <alignment horizontal="center" vertical="center"/>
    </xf>
    <xf numFmtId="0" fontId="32" fillId="0" borderId="21" xfId="8" applyFont="1" applyBorder="1" applyAlignment="1">
      <alignment horizontal="center" vertical="center"/>
    </xf>
    <xf numFmtId="0" fontId="32" fillId="0" borderId="22" xfId="8" applyFont="1" applyBorder="1" applyAlignment="1">
      <alignment horizontal="center" vertical="center"/>
    </xf>
    <xf numFmtId="172" fontId="32" fillId="0" borderId="23" xfId="8" applyNumberFormat="1" applyFont="1" applyBorder="1" applyAlignment="1">
      <alignment horizontal="center" vertical="center"/>
    </xf>
    <xf numFmtId="172" fontId="32" fillId="0" borderId="10" xfId="8" applyNumberFormat="1" applyFont="1" applyBorder="1" applyAlignment="1">
      <alignment horizontal="center" vertical="center"/>
    </xf>
    <xf numFmtId="172" fontId="32" fillId="0" borderId="2" xfId="8" applyNumberFormat="1" applyFont="1" applyBorder="1" applyAlignment="1">
      <alignment horizontal="center" vertical="center"/>
    </xf>
    <xf numFmtId="172" fontId="32" fillId="0" borderId="26" xfId="8" applyNumberFormat="1" applyFont="1" applyBorder="1" applyAlignment="1">
      <alignment horizontal="center" vertical="center"/>
    </xf>
    <xf numFmtId="172" fontId="32" fillId="0" borderId="60" xfId="8" applyNumberFormat="1" applyFont="1" applyBorder="1" applyAlignment="1">
      <alignment horizontal="center" vertical="center"/>
    </xf>
    <xf numFmtId="172" fontId="32" fillId="0" borderId="61" xfId="8" applyNumberFormat="1" applyFont="1" applyBorder="1" applyAlignment="1">
      <alignment horizontal="center" vertical="center"/>
    </xf>
    <xf numFmtId="172" fontId="32" fillId="0" borderId="62" xfId="8" applyNumberFormat="1" applyFont="1" applyBorder="1" applyAlignment="1">
      <alignment horizontal="center" vertical="center"/>
    </xf>
    <xf numFmtId="172" fontId="32" fillId="0" borderId="59" xfId="8" applyNumberFormat="1" applyFont="1" applyBorder="1" applyAlignment="1">
      <alignment horizontal="center" vertical="center"/>
    </xf>
    <xf numFmtId="172" fontId="32" fillId="0" borderId="57" xfId="8" applyNumberFormat="1" applyFont="1" applyBorder="1" applyAlignment="1">
      <alignment horizontal="center" vertical="center"/>
    </xf>
    <xf numFmtId="0" fontId="0" fillId="0" borderId="75" xfId="0" applyBorder="1" applyAlignment="1">
      <alignment horizontal="center" vertical="center"/>
    </xf>
    <xf numFmtId="0" fontId="0" fillId="0" borderId="78" xfId="0" applyBorder="1" applyAlignment="1">
      <alignment horizontal="center" vertical="center"/>
    </xf>
    <xf numFmtId="0" fontId="0" fillId="0" borderId="63" xfId="0"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64"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48" xfId="0" applyFont="1" applyBorder="1" applyAlignment="1">
      <alignment horizontal="center" vertical="center" wrapText="1"/>
    </xf>
    <xf numFmtId="0" fontId="32" fillId="0" borderId="47" xfId="8" applyFont="1" applyBorder="1" applyAlignment="1">
      <alignment horizontal="center" vertical="center"/>
    </xf>
    <xf numFmtId="0" fontId="32" fillId="0" borderId="76" xfId="8" applyFont="1" applyBorder="1" applyAlignment="1">
      <alignment horizontal="center" vertical="center"/>
    </xf>
    <xf numFmtId="0" fontId="32" fillId="0" borderId="77" xfId="8" applyFont="1" applyBorder="1" applyAlignment="1">
      <alignment horizontal="center" vertical="center"/>
    </xf>
    <xf numFmtId="0" fontId="4" fillId="0" borderId="19" xfId="0" applyFont="1" applyBorder="1" applyAlignment="1">
      <alignment horizontal="center" vertical="center" wrapText="1"/>
    </xf>
    <xf numFmtId="172" fontId="32" fillId="0" borderId="8" xfId="8" applyNumberFormat="1" applyFont="1" applyBorder="1" applyAlignment="1">
      <alignment horizontal="center" vertical="center"/>
    </xf>
    <xf numFmtId="0" fontId="32" fillId="0" borderId="64" xfId="8" applyFont="1" applyBorder="1" applyAlignment="1">
      <alignment horizontal="center" vertical="center"/>
    </xf>
    <xf numFmtId="0" fontId="32" fillId="0" borderId="66" xfId="8" applyFont="1" applyBorder="1" applyAlignment="1">
      <alignment horizontal="center" vertical="center"/>
    </xf>
    <xf numFmtId="0" fontId="7" fillId="0" borderId="63" xfId="0" applyFont="1" applyBorder="1" applyAlignment="1">
      <alignment horizontal="center" vertical="center"/>
    </xf>
    <xf numFmtId="0" fontId="7" fillId="0" borderId="25" xfId="0" applyFont="1" applyBorder="1" applyAlignment="1">
      <alignment horizontal="center" vertical="center"/>
    </xf>
    <xf numFmtId="0" fontId="7" fillId="0" borderId="64" xfId="0" applyFont="1" applyBorder="1" applyAlignment="1">
      <alignment horizontal="center" vertical="center"/>
    </xf>
    <xf numFmtId="0" fontId="7" fillId="0" borderId="26" xfId="0" applyFont="1" applyBorder="1" applyAlignment="1">
      <alignment horizontal="center" vertical="center"/>
    </xf>
    <xf numFmtId="172" fontId="32" fillId="0" borderId="56" xfId="8" applyNumberFormat="1" applyFont="1" applyBorder="1" applyAlignment="1">
      <alignment horizontal="center" vertical="center"/>
    </xf>
    <xf numFmtId="0" fontId="21" fillId="0" borderId="98" xfId="0" applyFont="1" applyBorder="1" applyAlignment="1">
      <alignment horizontal="center" vertical="center" wrapText="1" readingOrder="2"/>
    </xf>
    <xf numFmtId="0" fontId="21" fillId="0" borderId="83" xfId="0" applyFont="1" applyBorder="1" applyAlignment="1">
      <alignment horizontal="center" vertical="center" wrapText="1" readingOrder="2"/>
    </xf>
    <xf numFmtId="0" fontId="19" fillId="0" borderId="60" xfId="0" applyFont="1" applyBorder="1" applyAlignment="1">
      <alignment horizontal="center" readingOrder="1"/>
    </xf>
    <xf numFmtId="0" fontId="19" fillId="0" borderId="61" xfId="0" applyFont="1" applyBorder="1" applyAlignment="1">
      <alignment horizontal="center" readingOrder="1"/>
    </xf>
    <xf numFmtId="0" fontId="19" fillId="0" borderId="82" xfId="0" applyFont="1" applyBorder="1" applyAlignment="1">
      <alignment horizontal="center" readingOrder="1"/>
    </xf>
    <xf numFmtId="49" fontId="45" fillId="0" borderId="63" xfId="0" applyNumberFormat="1" applyFont="1" applyBorder="1" applyAlignment="1">
      <alignment horizontal="center" vertical="center"/>
    </xf>
    <xf numFmtId="49" fontId="45" fillId="0" borderId="23" xfId="0" applyNumberFormat="1" applyFont="1" applyBorder="1" applyAlignment="1">
      <alignment horizontal="center" vertical="center"/>
    </xf>
    <xf numFmtId="49" fontId="45" fillId="0" borderId="25" xfId="0" applyNumberFormat="1" applyFont="1" applyBorder="1" applyAlignment="1">
      <alignment horizontal="center" vertical="center"/>
    </xf>
    <xf numFmtId="0" fontId="45" fillId="0" borderId="64" xfId="0" applyFont="1" applyBorder="1" applyAlignment="1">
      <alignment horizontal="center" vertical="center"/>
    </xf>
    <xf numFmtId="0" fontId="45" fillId="0" borderId="2" xfId="0" applyFont="1" applyBorder="1" applyAlignment="1">
      <alignment horizontal="center" vertical="center"/>
    </xf>
    <xf numFmtId="0" fontId="45" fillId="0" borderId="26" xfId="0" applyFont="1" applyBorder="1" applyAlignment="1">
      <alignment horizontal="center" vertical="center"/>
    </xf>
    <xf numFmtId="49" fontId="45" fillId="0" borderId="64" xfId="0" applyNumberFormat="1" applyFont="1" applyBorder="1" applyAlignment="1">
      <alignment horizontal="center" vertical="center"/>
    </xf>
    <xf numFmtId="49" fontId="45" fillId="0" borderId="2" xfId="0" applyNumberFormat="1" applyFont="1" applyBorder="1" applyAlignment="1">
      <alignment horizontal="center" vertical="center"/>
    </xf>
    <xf numFmtId="49" fontId="45" fillId="0" borderId="26" xfId="0" applyNumberFormat="1" applyFont="1" applyBorder="1" applyAlignment="1">
      <alignment horizontal="center" vertical="center"/>
    </xf>
    <xf numFmtId="0" fontId="0" fillId="0" borderId="64" xfId="0" applyBorder="1" applyAlignment="1">
      <alignment horizontal="center"/>
    </xf>
    <xf numFmtId="0" fontId="45" fillId="0" borderId="2" xfId="0" applyFont="1" applyBorder="1" applyAlignment="1">
      <alignment horizontal="center" vertical="center" wrapText="1" shrinkToFit="1"/>
    </xf>
    <xf numFmtId="0" fontId="45" fillId="0" borderId="26" xfId="0" applyFont="1" applyBorder="1" applyAlignment="1">
      <alignment horizontal="center" vertical="center" shrinkToFit="1"/>
    </xf>
    <xf numFmtId="0" fontId="45" fillId="0" borderId="2" xfId="0" applyFont="1" applyBorder="1" applyAlignment="1">
      <alignment horizontal="center" vertical="center" wrapText="1"/>
    </xf>
    <xf numFmtId="0" fontId="45" fillId="0" borderId="26" xfId="0" applyFont="1" applyBorder="1" applyAlignment="1">
      <alignment horizontal="center" vertical="center" wrapText="1"/>
    </xf>
    <xf numFmtId="0" fontId="46" fillId="0" borderId="60" xfId="8" applyFont="1" applyBorder="1" applyAlignment="1">
      <alignment horizontal="center" vertical="center"/>
    </xf>
    <xf numFmtId="0" fontId="46" fillId="0" borderId="61" xfId="8" applyFont="1" applyBorder="1" applyAlignment="1">
      <alignment horizontal="center" vertical="center"/>
    </xf>
    <xf numFmtId="0" fontId="46" fillId="0" borderId="62" xfId="8" applyFont="1" applyBorder="1" applyAlignment="1">
      <alignment horizontal="center" vertical="center"/>
    </xf>
    <xf numFmtId="172" fontId="40" fillId="0" borderId="8" xfId="8" applyNumberFormat="1" applyFont="1" applyBorder="1" applyAlignment="1">
      <alignment vertical="center"/>
    </xf>
    <xf numFmtId="172" fontId="40" fillId="0" borderId="10" xfId="8" applyNumberFormat="1" applyFont="1" applyBorder="1" applyAlignment="1">
      <alignment vertical="center"/>
    </xf>
    <xf numFmtId="172" fontId="40" fillId="0" borderId="2" xfId="8" applyNumberFormat="1" applyFont="1" applyBorder="1" applyAlignment="1">
      <alignment vertical="center"/>
    </xf>
    <xf numFmtId="0" fontId="46" fillId="0" borderId="43" xfId="8" applyFont="1" applyBorder="1" applyAlignment="1">
      <alignment horizontal="center" vertical="center" wrapText="1"/>
    </xf>
    <xf numFmtId="0" fontId="46" fillId="0" borderId="64" xfId="8" applyFont="1" applyBorder="1" applyAlignment="1">
      <alignment horizontal="center" vertical="center" wrapText="1"/>
    </xf>
    <xf numFmtId="0" fontId="46" fillId="0" borderId="66" xfId="8" applyFont="1" applyBorder="1" applyAlignment="1">
      <alignment horizontal="center" vertical="center"/>
    </xf>
    <xf numFmtId="0" fontId="46" fillId="0" borderId="67" xfId="8" applyFont="1" applyBorder="1" applyAlignment="1">
      <alignment horizontal="center" vertical="center"/>
    </xf>
    <xf numFmtId="0" fontId="45" fillId="0" borderId="2" xfId="0" applyFont="1" applyBorder="1" applyAlignment="1">
      <alignment horizontal="center" vertical="center" shrinkToFit="1"/>
    </xf>
    <xf numFmtId="0" fontId="46" fillId="0" borderId="23" xfId="0" applyFont="1" applyBorder="1" applyAlignment="1">
      <alignment horizontal="center" vertical="center"/>
    </xf>
    <xf numFmtId="0" fontId="46" fillId="0" borderId="2" xfId="0" applyFont="1" applyBorder="1" applyAlignment="1">
      <alignment horizontal="center" vertical="center"/>
    </xf>
    <xf numFmtId="0" fontId="46" fillId="0" borderId="2" xfId="0" applyFont="1" applyBorder="1" applyAlignment="1">
      <alignment horizontal="center" vertical="center" wrapText="1"/>
    </xf>
    <xf numFmtId="0" fontId="32" fillId="0" borderId="2" xfId="8" applyFont="1" applyBorder="1" applyAlignment="1">
      <alignment horizontal="center" vertical="center" wrapText="1"/>
    </xf>
    <xf numFmtId="0" fontId="32" fillId="0" borderId="2" xfId="8" applyFont="1" applyBorder="1" applyAlignment="1">
      <alignment horizontal="center" vertical="center"/>
    </xf>
    <xf numFmtId="0" fontId="32" fillId="0" borderId="24" xfId="8" applyFont="1" applyBorder="1" applyAlignment="1">
      <alignment horizontal="center" vertical="center"/>
    </xf>
    <xf numFmtId="172" fontId="30" fillId="0" borderId="8" xfId="8" applyNumberFormat="1" applyFont="1" applyBorder="1" applyAlignment="1">
      <alignment vertical="center"/>
    </xf>
    <xf numFmtId="172" fontId="30" fillId="0" borderId="10" xfId="8" applyNumberFormat="1" applyFont="1" applyBorder="1" applyAlignment="1">
      <alignment vertical="center"/>
    </xf>
    <xf numFmtId="172" fontId="32" fillId="0" borderId="74" xfId="8" applyNumberFormat="1" applyFont="1" applyBorder="1" applyAlignment="1">
      <alignment horizontal="center" vertical="center"/>
    </xf>
    <xf numFmtId="0" fontId="32" fillId="0" borderId="67" xfId="8" applyFont="1" applyBorder="1" applyAlignment="1">
      <alignment horizontal="center" vertical="center"/>
    </xf>
    <xf numFmtId="172" fontId="30" fillId="0" borderId="2" xfId="8" applyNumberFormat="1" applyFont="1" applyBorder="1" applyAlignment="1">
      <alignment horizontal="center" vertical="center"/>
    </xf>
    <xf numFmtId="172" fontId="30" fillId="0" borderId="24" xfId="8" applyNumberFormat="1" applyFont="1" applyBorder="1" applyAlignment="1">
      <alignment horizontal="center" vertical="center"/>
    </xf>
    <xf numFmtId="0" fontId="32" fillId="0" borderId="28" xfId="8" applyFont="1" applyBorder="1" applyAlignment="1">
      <alignment horizontal="right" vertical="center"/>
    </xf>
    <xf numFmtId="0" fontId="32" fillId="0" borderId="30" xfId="8" applyFont="1" applyBorder="1" applyAlignment="1">
      <alignment horizontal="right" vertical="center"/>
    </xf>
    <xf numFmtId="0" fontId="32" fillId="0" borderId="37" xfId="8" applyFont="1" applyBorder="1" applyAlignment="1">
      <alignment horizontal="right" vertical="center"/>
    </xf>
    <xf numFmtId="0" fontId="32" fillId="0" borderId="39" xfId="8" applyFont="1" applyBorder="1" applyAlignment="1">
      <alignment horizontal="right" vertical="center"/>
    </xf>
    <xf numFmtId="172" fontId="30" fillId="0" borderId="21" xfId="8" applyNumberFormat="1" applyFont="1" applyBorder="1" applyAlignment="1">
      <alignment horizontal="center" vertical="center" wrapText="1"/>
    </xf>
    <xf numFmtId="172" fontId="30" fillId="0" borderId="22" xfId="8" applyNumberFormat="1" applyFont="1" applyBorder="1" applyAlignment="1">
      <alignment horizontal="center" vertical="center" wrapText="1"/>
    </xf>
    <xf numFmtId="172" fontId="30" fillId="0" borderId="19" xfId="8" applyNumberFormat="1" applyFont="1" applyBorder="1" applyAlignment="1">
      <alignment horizontal="center" vertical="center"/>
    </xf>
    <xf numFmtId="172" fontId="30" fillId="0" borderId="69" xfId="8" applyNumberFormat="1" applyFont="1" applyBorder="1" applyAlignment="1">
      <alignment horizontal="center" vertical="center"/>
    </xf>
    <xf numFmtId="0" fontId="32" fillId="0" borderId="20" xfId="8" applyFont="1" applyBorder="1" applyAlignment="1">
      <alignment horizontal="right" vertical="center"/>
    </xf>
    <xf numFmtId="0" fontId="32" fillId="0" borderId="21" xfId="8" applyFont="1" applyBorder="1" applyAlignment="1">
      <alignment horizontal="right" vertical="center"/>
    </xf>
    <xf numFmtId="0" fontId="32" fillId="0" borderId="25" xfId="8" applyFont="1" applyBorder="1" applyAlignment="1">
      <alignment horizontal="right" vertical="center"/>
    </xf>
    <xf numFmtId="0" fontId="32" fillId="0" borderId="26" xfId="8" applyFont="1" applyBorder="1" applyAlignment="1">
      <alignment horizontal="right" vertical="center"/>
    </xf>
    <xf numFmtId="172" fontId="30" fillId="0" borderId="21" xfId="8" applyNumberFormat="1" applyFont="1" applyBorder="1" applyAlignment="1">
      <alignment horizontal="center" vertical="center"/>
    </xf>
    <xf numFmtId="172" fontId="30" fillId="0" borderId="22" xfId="8" applyNumberFormat="1" applyFont="1" applyBorder="1" applyAlignment="1">
      <alignment horizontal="center" vertical="center"/>
    </xf>
    <xf numFmtId="172" fontId="30" fillId="0" borderId="26" xfId="8" applyNumberFormat="1" applyFont="1" applyBorder="1" applyAlignment="1">
      <alignment horizontal="center" vertical="center"/>
    </xf>
    <xf numFmtId="172" fontId="30" fillId="0" borderId="27" xfId="8" applyNumberFormat="1" applyFont="1" applyBorder="1" applyAlignment="1">
      <alignment horizontal="center" vertical="center"/>
    </xf>
    <xf numFmtId="190" fontId="72" fillId="0" borderId="76" xfId="20" applyFont="1" applyBorder="1" applyAlignment="1">
      <alignment horizontal="center" vertical="center" wrapText="1"/>
    </xf>
    <xf numFmtId="190" fontId="126" fillId="0" borderId="68" xfId="20" applyFont="1" applyBorder="1" applyAlignment="1">
      <alignment horizontal="left" vertical="center"/>
    </xf>
    <xf numFmtId="190" fontId="126" fillId="0" borderId="80" xfId="20" applyFont="1" applyBorder="1" applyAlignment="1">
      <alignment horizontal="left" vertical="center"/>
    </xf>
    <xf numFmtId="190" fontId="126" fillId="0" borderId="90" xfId="20" applyFont="1" applyBorder="1" applyAlignment="1">
      <alignment horizontal="left" vertical="center"/>
    </xf>
    <xf numFmtId="190" fontId="45" fillId="0" borderId="20" xfId="20" applyFont="1" applyBorder="1" applyAlignment="1">
      <alignment horizontal="center" vertical="center"/>
    </xf>
    <xf numFmtId="190" fontId="45" fillId="0" borderId="22" xfId="20" applyFont="1" applyBorder="1" applyAlignment="1">
      <alignment horizontal="center" vertical="center"/>
    </xf>
    <xf numFmtId="190" fontId="127" fillId="0" borderId="61" xfId="20" applyFont="1" applyBorder="1" applyAlignment="1">
      <alignment horizontal="center" vertical="center" wrapText="1"/>
    </xf>
    <xf numFmtId="190" fontId="72" fillId="0" borderId="61" xfId="20" applyFont="1" applyBorder="1" applyAlignment="1">
      <alignment horizontal="center" vertical="center" wrapText="1"/>
    </xf>
    <xf numFmtId="190" fontId="72" fillId="0" borderId="62" xfId="20" applyFont="1" applyBorder="1" applyAlignment="1">
      <alignment horizontal="center" vertical="center" wrapText="1"/>
    </xf>
    <xf numFmtId="190" fontId="126" fillId="0" borderId="60" xfId="20" applyFont="1" applyBorder="1" applyAlignment="1">
      <alignment horizontal="center" vertical="center"/>
    </xf>
    <xf numFmtId="190" fontId="126" fillId="0" borderId="61" xfId="20" applyFont="1" applyBorder="1" applyAlignment="1">
      <alignment horizontal="center" vertical="center"/>
    </xf>
    <xf numFmtId="190" fontId="126" fillId="0" borderId="62" xfId="20" applyFont="1" applyBorder="1" applyAlignment="1">
      <alignment horizontal="center" vertical="center"/>
    </xf>
    <xf numFmtId="0" fontId="67" fillId="0" borderId="98" xfId="20" applyNumberFormat="1" applyFont="1" applyBorder="1" applyAlignment="1">
      <alignment horizontal="center" vertical="center"/>
    </xf>
    <xf numFmtId="0" fontId="67" fillId="0" borderId="94" xfId="20" applyNumberFormat="1" applyFont="1" applyBorder="1" applyAlignment="1">
      <alignment horizontal="center" vertical="center"/>
    </xf>
    <xf numFmtId="190" fontId="67" fillId="0" borderId="98" xfId="20" applyFont="1" applyBorder="1" applyAlignment="1">
      <alignment horizontal="center" vertical="center"/>
    </xf>
    <xf numFmtId="190" fontId="67" fillId="0" borderId="94" xfId="20" applyFont="1" applyBorder="1" applyAlignment="1">
      <alignment horizontal="center" vertical="center"/>
    </xf>
    <xf numFmtId="0" fontId="67" fillId="0" borderId="98" xfId="20" applyNumberFormat="1" applyFont="1" applyBorder="1" applyAlignment="1">
      <alignment horizontal="center" vertical="center" wrapText="1"/>
    </xf>
    <xf numFmtId="0" fontId="67" fillId="0" borderId="83" xfId="20" applyNumberFormat="1" applyFont="1" applyBorder="1" applyAlignment="1">
      <alignment horizontal="center" vertical="center" wrapText="1"/>
    </xf>
    <xf numFmtId="0" fontId="67" fillId="0" borderId="83" xfId="20" applyNumberFormat="1" applyFont="1" applyBorder="1" applyAlignment="1">
      <alignment horizontal="center" vertical="center"/>
    </xf>
    <xf numFmtId="190" fontId="67" fillId="0" borderId="83" xfId="20" applyFont="1" applyBorder="1" applyAlignment="1">
      <alignment horizontal="center" vertical="center"/>
    </xf>
    <xf numFmtId="190" fontId="127" fillId="0" borderId="60" xfId="20" applyFont="1" applyBorder="1" applyAlignment="1">
      <alignment horizontal="center" vertical="center" wrapText="1"/>
    </xf>
    <xf numFmtId="190" fontId="127" fillId="0" borderId="62" xfId="20" applyFont="1" applyBorder="1" applyAlignment="1">
      <alignment horizontal="center" vertical="center" wrapText="1"/>
    </xf>
    <xf numFmtId="0" fontId="45" fillId="0" borderId="98" xfId="20" applyNumberFormat="1" applyFont="1" applyBorder="1" applyAlignment="1">
      <alignment horizontal="center" vertical="center"/>
    </xf>
    <xf numFmtId="0" fontId="45" fillId="0" borderId="83" xfId="20" applyNumberFormat="1" applyFont="1" applyBorder="1" applyAlignment="1">
      <alignment horizontal="center" vertical="center"/>
    </xf>
    <xf numFmtId="190" fontId="45" fillId="0" borderId="98" xfId="20" applyFont="1" applyBorder="1" applyAlignment="1">
      <alignment horizontal="center" vertical="center"/>
    </xf>
    <xf numFmtId="190" fontId="45" fillId="0" borderId="83" xfId="20" applyFont="1" applyBorder="1" applyAlignment="1">
      <alignment horizontal="center" vertical="center"/>
    </xf>
    <xf numFmtId="0" fontId="45" fillId="0" borderId="98" xfId="20" applyNumberFormat="1" applyFont="1" applyBorder="1" applyAlignment="1">
      <alignment horizontal="center" vertical="center" wrapText="1"/>
    </xf>
    <xf numFmtId="0" fontId="45" fillId="0" borderId="83" xfId="20" applyNumberFormat="1" applyFont="1" applyBorder="1" applyAlignment="1">
      <alignment horizontal="center" vertical="center" wrapText="1"/>
    </xf>
    <xf numFmtId="190" fontId="67" fillId="0" borderId="28" xfId="20" applyFont="1" applyBorder="1" applyAlignment="1">
      <alignment horizontal="center" vertical="center"/>
    </xf>
    <xf numFmtId="190" fontId="67" fillId="0" borderId="37" xfId="20" applyFont="1" applyBorder="1" applyAlignment="1">
      <alignment horizontal="center" vertical="center"/>
    </xf>
    <xf numFmtId="176" fontId="14" fillId="14" borderId="7" xfId="0" applyNumberFormat="1" applyFont="1" applyFill="1" applyBorder="1" applyAlignment="1">
      <alignment horizontal="center" wrapText="1"/>
    </xf>
    <xf numFmtId="176" fontId="14" fillId="14" borderId="0" xfId="0" applyNumberFormat="1" applyFont="1" applyFill="1" applyAlignment="1">
      <alignment horizontal="center" wrapText="1"/>
    </xf>
    <xf numFmtId="168" fontId="13" fillId="2" borderId="3" xfId="0" applyNumberFormat="1" applyFont="1" applyFill="1" applyBorder="1" applyAlignment="1">
      <alignment horizontal="center" vertical="center" wrapText="1"/>
    </xf>
    <xf numFmtId="0" fontId="9" fillId="0" borderId="2" xfId="1" applyFont="1" applyBorder="1" applyAlignment="1">
      <alignment horizontal="center" vertical="center" wrapText="1"/>
    </xf>
    <xf numFmtId="168" fontId="13" fillId="2" borderId="7" xfId="0" applyNumberFormat="1" applyFont="1" applyFill="1" applyBorder="1" applyAlignment="1">
      <alignment horizontal="center" vertical="center" wrapText="1"/>
    </xf>
    <xf numFmtId="168" fontId="14" fillId="14" borderId="3" xfId="0" applyNumberFormat="1" applyFont="1" applyFill="1" applyBorder="1" applyAlignment="1">
      <alignment horizontal="center" vertical="center" wrapText="1"/>
    </xf>
    <xf numFmtId="168" fontId="13" fillId="0" borderId="18" xfId="0" applyNumberFormat="1" applyFont="1" applyBorder="1" applyAlignment="1">
      <alignment horizontal="center" vertical="center" wrapText="1"/>
    </xf>
    <xf numFmtId="168" fontId="13" fillId="2" borderId="2" xfId="0" applyNumberFormat="1" applyFont="1" applyFill="1" applyBorder="1" applyAlignment="1">
      <alignment horizontal="center" vertical="center" wrapText="1"/>
    </xf>
    <xf numFmtId="168" fontId="13" fillId="0" borderId="2" xfId="0" applyNumberFormat="1" applyFont="1" applyBorder="1" applyAlignment="1">
      <alignment horizontal="center" vertical="center" wrapText="1"/>
    </xf>
    <xf numFmtId="168" fontId="15" fillId="0" borderId="2" xfId="0" applyNumberFormat="1" applyFont="1" applyBorder="1" applyAlignment="1">
      <alignment horizontal="left" vertical="center" wrapText="1"/>
    </xf>
    <xf numFmtId="168" fontId="17" fillId="2" borderId="2" xfId="2" applyNumberFormat="1" applyFont="1" applyFill="1" applyBorder="1" applyAlignment="1">
      <alignment horizontal="center" vertical="center" wrapText="1"/>
    </xf>
    <xf numFmtId="193" fontId="10" fillId="0" borderId="0" xfId="0" applyNumberFormat="1" applyFont="1" applyAlignment="1">
      <alignment horizontal="center" vertical="center"/>
    </xf>
    <xf numFmtId="0" fontId="10" fillId="0" borderId="0" xfId="0" applyFont="1" applyAlignment="1">
      <alignment horizontal="center" vertical="center"/>
    </xf>
    <xf numFmtId="178" fontId="99" fillId="0" borderId="8" xfId="17" applyFont="1" applyBorder="1" applyAlignment="1">
      <alignment horizontal="center" vertical="center" wrapText="1"/>
    </xf>
    <xf numFmtId="178" fontId="12" fillId="0" borderId="10" xfId="17" applyBorder="1" applyAlignment="1">
      <alignment vertical="center"/>
    </xf>
    <xf numFmtId="178" fontId="99" fillId="0" borderId="63" xfId="17" applyFont="1" applyBorder="1" applyAlignment="1">
      <alignment horizontal="center" vertical="center" wrapText="1"/>
    </xf>
  </cellXfs>
  <cellStyles count="28">
    <cellStyle name="Comma" xfId="25" builtinId="3"/>
    <cellStyle name="Comma 2" xfId="6" xr:uid="{00000000-0005-0000-0000-000001000000}"/>
    <cellStyle name="Currency" xfId="3" builtinId="4"/>
    <cellStyle name="Heading 4" xfId="1" builtinId="19"/>
    <cellStyle name="Normal" xfId="0" builtinId="0"/>
    <cellStyle name="Normal 10 2 2 2" xfId="22" xr:uid="{00000000-0005-0000-0000-000005000000}"/>
    <cellStyle name="Normal 19" xfId="21" xr:uid="{00000000-0005-0000-0000-000006000000}"/>
    <cellStyle name="Normal 2" xfId="5" xr:uid="{00000000-0005-0000-0000-000007000000}"/>
    <cellStyle name="Normal 2 2" xfId="7" xr:uid="{00000000-0005-0000-0000-000008000000}"/>
    <cellStyle name="Normal 2 2 2" xfId="14" xr:uid="{00000000-0005-0000-0000-000009000000}"/>
    <cellStyle name="Normal 2 3" xfId="12" xr:uid="{00000000-0005-0000-0000-00000A000000}"/>
    <cellStyle name="Normal 2 3 2" xfId="17" xr:uid="{00000000-0005-0000-0000-00000B000000}"/>
    <cellStyle name="Normal 2 4" xfId="19" xr:uid="{00000000-0005-0000-0000-00000C000000}"/>
    <cellStyle name="Normal 20" xfId="24" xr:uid="{00000000-0005-0000-0000-00000D000000}"/>
    <cellStyle name="Normal 3" xfId="11" xr:uid="{00000000-0005-0000-0000-00000E000000}"/>
    <cellStyle name="Normal 4" xfId="20" xr:uid="{00000000-0005-0000-0000-00000F000000}"/>
    <cellStyle name="Normal 5" xfId="26" xr:uid="{00000000-0005-0000-0000-000010000000}"/>
    <cellStyle name="Normal 61 2" xfId="27" xr:uid="{00000000-0005-0000-0000-000011000000}"/>
    <cellStyle name="Normal_Detail  KERMANSHA R.1" xfId="10" xr:uid="{00000000-0005-0000-0000-000012000000}"/>
    <cellStyle name="Normal_Detail  KERMANSHA R.1 2" xfId="13" xr:uid="{00000000-0005-0000-0000-000013000000}"/>
    <cellStyle name="Normal_Detail  KERMANSHA R.1 2 2" xfId="16" xr:uid="{00000000-0005-0000-0000-000014000000}"/>
    <cellStyle name="Normal_mto" xfId="8" xr:uid="{00000000-0005-0000-0000-000015000000}"/>
    <cellStyle name="Normal_mto 2" xfId="18" xr:uid="{00000000-0005-0000-0000-000016000000}"/>
    <cellStyle name="Normal_MTO FINAL" xfId="9" xr:uid="{00000000-0005-0000-0000-000017000000}"/>
    <cellStyle name="Normal_Sheet1 2 2" xfId="23" xr:uid="{00000000-0005-0000-0000-000018000000}"/>
    <cellStyle name="Normale_1° Foglio_1_CIVIL &amp; STRUCTURE MTO" xfId="15" xr:uid="{00000000-0005-0000-0000-000019000000}"/>
    <cellStyle name="Percent" xfId="4" builtinId="5"/>
    <cellStyle name="Total" xfId="2" builtinId="25"/>
  </cellStyles>
  <dxfs count="470">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u val="none"/>
        <color theme="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u val="none"/>
        <color theme="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u val="none"/>
        <color theme="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u val="none"/>
        <color theme="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u val="none"/>
        <color theme="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u val="none"/>
        <color theme="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u val="none"/>
        <color theme="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u val="none"/>
        <color theme="1"/>
      </font>
      <fill>
        <gradientFill type="path">
          <stop position="0">
            <color theme="0"/>
          </stop>
          <stop position="1">
            <color theme="5" tint="0.40000610370189521"/>
          </stop>
        </gradientFill>
      </fill>
    </dxf>
    <dxf>
      <font>
        <b/>
        <i val="0"/>
        <u val="none"/>
        <color theme="1"/>
      </font>
      <fill>
        <gradientFill type="path">
          <stop position="0">
            <color theme="0"/>
          </stop>
          <stop position="1">
            <color theme="5" tint="0.40000610370189521"/>
          </stop>
        </gradientFill>
      </fill>
    </dxf>
    <dxf>
      <font>
        <b/>
        <i val="0"/>
        <u val="none"/>
        <color theme="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
      <font>
        <b/>
        <i val="0"/>
        <color theme="1" tint="0.14996795556505021"/>
      </font>
      <fill>
        <gradientFill type="path">
          <stop position="0">
            <color theme="0"/>
          </stop>
          <stop position="1">
            <color theme="5" tint="0.40000610370189521"/>
          </stop>
        </gradient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drawing1.xml><?xml version="1.0" encoding="utf-8"?>
<xdr:wsDr xmlns:xdr="http://schemas.openxmlformats.org/drawingml/2006/spreadsheetDrawing" xmlns:a="http://schemas.openxmlformats.org/drawingml/2006/main">
  <xdr:twoCellAnchor>
    <xdr:from>
      <xdr:col>3</xdr:col>
      <xdr:colOff>28575</xdr:colOff>
      <xdr:row>118</xdr:row>
      <xdr:rowOff>0</xdr:rowOff>
    </xdr:from>
    <xdr:to>
      <xdr:col>4</xdr:col>
      <xdr:colOff>0</xdr:colOff>
      <xdr:row>118</xdr:row>
      <xdr:rowOff>0</xdr:rowOff>
    </xdr:to>
    <xdr:sp macro="" textlink="">
      <xdr:nvSpPr>
        <xdr:cNvPr id="2" name="Line 3">
          <a:extLst>
            <a:ext uri="{FF2B5EF4-FFF2-40B4-BE49-F238E27FC236}">
              <a16:creationId xmlns:a16="http://schemas.microsoft.com/office/drawing/2014/main" id="{00000000-0008-0000-2500-000002000000}"/>
            </a:ext>
          </a:extLst>
        </xdr:cNvPr>
        <xdr:cNvSpPr>
          <a:spLocks noChangeShapeType="1"/>
        </xdr:cNvSpPr>
      </xdr:nvSpPr>
      <xdr:spPr bwMode="auto">
        <a:xfrm flipH="1">
          <a:off x="10300106400" y="38538150"/>
          <a:ext cx="600075" cy="0"/>
        </a:xfrm>
        <a:prstGeom prst="line">
          <a:avLst/>
        </a:prstGeom>
        <a:noFill/>
        <a:ln w="9525">
          <a:solidFill>
            <a:srgbClr val="000000"/>
          </a:solidFill>
          <a:round/>
          <a:headEnd/>
          <a:tailEnd/>
        </a:ln>
      </xdr:spPr>
    </xdr:sp>
    <xdr:clientData/>
  </xdr:twoCellAnchor>
  <xdr:twoCellAnchor>
    <xdr:from>
      <xdr:col>3</xdr:col>
      <xdr:colOff>28575</xdr:colOff>
      <xdr:row>121</xdr:row>
      <xdr:rowOff>0</xdr:rowOff>
    </xdr:from>
    <xdr:to>
      <xdr:col>4</xdr:col>
      <xdr:colOff>0</xdr:colOff>
      <xdr:row>121</xdr:row>
      <xdr:rowOff>0</xdr:rowOff>
    </xdr:to>
    <xdr:sp macro="" textlink="">
      <xdr:nvSpPr>
        <xdr:cNvPr id="5" name="Line 3">
          <a:extLst>
            <a:ext uri="{FF2B5EF4-FFF2-40B4-BE49-F238E27FC236}">
              <a16:creationId xmlns:a16="http://schemas.microsoft.com/office/drawing/2014/main" id="{00000000-0008-0000-2500-000005000000}"/>
            </a:ext>
          </a:extLst>
        </xdr:cNvPr>
        <xdr:cNvSpPr>
          <a:spLocks noChangeShapeType="1"/>
        </xdr:cNvSpPr>
      </xdr:nvSpPr>
      <xdr:spPr bwMode="auto">
        <a:xfrm flipH="1">
          <a:off x="10300106400" y="41643300"/>
          <a:ext cx="600075" cy="0"/>
        </a:xfrm>
        <a:prstGeom prst="line">
          <a:avLst/>
        </a:prstGeom>
        <a:noFill/>
        <a:ln w="9525">
          <a:solidFill>
            <a:srgbClr val="000000"/>
          </a:solidFill>
          <a:round/>
          <a:headEnd/>
          <a:tailEnd/>
        </a:ln>
      </xdr:spPr>
    </xdr:sp>
    <xdr:clientData/>
  </xdr:twoCellAnchor>
  <xdr:twoCellAnchor>
    <xdr:from>
      <xdr:col>3</xdr:col>
      <xdr:colOff>28575</xdr:colOff>
      <xdr:row>118</xdr:row>
      <xdr:rowOff>0</xdr:rowOff>
    </xdr:from>
    <xdr:to>
      <xdr:col>4</xdr:col>
      <xdr:colOff>0</xdr:colOff>
      <xdr:row>118</xdr:row>
      <xdr:rowOff>0</xdr:rowOff>
    </xdr:to>
    <xdr:sp macro="" textlink="">
      <xdr:nvSpPr>
        <xdr:cNvPr id="16" name="Line 3">
          <a:extLst>
            <a:ext uri="{FF2B5EF4-FFF2-40B4-BE49-F238E27FC236}">
              <a16:creationId xmlns:a16="http://schemas.microsoft.com/office/drawing/2014/main" id="{00000000-0008-0000-2500-000010000000}"/>
            </a:ext>
          </a:extLst>
        </xdr:cNvPr>
        <xdr:cNvSpPr>
          <a:spLocks noChangeShapeType="1"/>
        </xdr:cNvSpPr>
      </xdr:nvSpPr>
      <xdr:spPr bwMode="auto">
        <a:xfrm flipH="1">
          <a:off x="10300106400" y="38538150"/>
          <a:ext cx="600075" cy="0"/>
        </a:xfrm>
        <a:prstGeom prst="line">
          <a:avLst/>
        </a:prstGeom>
        <a:noFill/>
        <a:ln w="9525">
          <a:solidFill>
            <a:srgbClr val="000000"/>
          </a:solidFill>
          <a:round/>
          <a:headEnd/>
          <a:tailEnd/>
        </a:ln>
      </xdr:spPr>
    </xdr:sp>
    <xdr:clientData/>
  </xdr:twoCellAnchor>
  <xdr:twoCellAnchor>
    <xdr:from>
      <xdr:col>3</xdr:col>
      <xdr:colOff>28575</xdr:colOff>
      <xdr:row>121</xdr:row>
      <xdr:rowOff>0</xdr:rowOff>
    </xdr:from>
    <xdr:to>
      <xdr:col>4</xdr:col>
      <xdr:colOff>0</xdr:colOff>
      <xdr:row>121</xdr:row>
      <xdr:rowOff>0</xdr:rowOff>
    </xdr:to>
    <xdr:sp macro="" textlink="">
      <xdr:nvSpPr>
        <xdr:cNvPr id="19" name="Line 3">
          <a:extLst>
            <a:ext uri="{FF2B5EF4-FFF2-40B4-BE49-F238E27FC236}">
              <a16:creationId xmlns:a16="http://schemas.microsoft.com/office/drawing/2014/main" id="{00000000-0008-0000-2500-000013000000}"/>
            </a:ext>
          </a:extLst>
        </xdr:cNvPr>
        <xdr:cNvSpPr>
          <a:spLocks noChangeShapeType="1"/>
        </xdr:cNvSpPr>
      </xdr:nvSpPr>
      <xdr:spPr bwMode="auto">
        <a:xfrm flipH="1">
          <a:off x="10300106400" y="41643300"/>
          <a:ext cx="600075" cy="0"/>
        </a:xfrm>
        <a:prstGeom prst="line">
          <a:avLst/>
        </a:prstGeom>
        <a:noFill/>
        <a:ln w="9525">
          <a:solidFill>
            <a:srgbClr val="000000"/>
          </a:solidFill>
          <a:round/>
          <a:headEnd/>
          <a:tailEnd/>
        </a:ln>
      </xdr:spPr>
    </xdr:sp>
    <xdr:clientData/>
  </xdr:twoCellAnchor>
  <xdr:twoCellAnchor>
    <xdr:from>
      <xdr:col>3</xdr:col>
      <xdr:colOff>28575</xdr:colOff>
      <xdr:row>118</xdr:row>
      <xdr:rowOff>0</xdr:rowOff>
    </xdr:from>
    <xdr:to>
      <xdr:col>4</xdr:col>
      <xdr:colOff>0</xdr:colOff>
      <xdr:row>118</xdr:row>
      <xdr:rowOff>0</xdr:rowOff>
    </xdr:to>
    <xdr:sp macro="" textlink="">
      <xdr:nvSpPr>
        <xdr:cNvPr id="8" name="Line 3">
          <a:extLst>
            <a:ext uri="{FF2B5EF4-FFF2-40B4-BE49-F238E27FC236}">
              <a16:creationId xmlns:a16="http://schemas.microsoft.com/office/drawing/2014/main" id="{00000000-0008-0000-2500-000008000000}"/>
            </a:ext>
          </a:extLst>
        </xdr:cNvPr>
        <xdr:cNvSpPr>
          <a:spLocks noChangeShapeType="1"/>
        </xdr:cNvSpPr>
      </xdr:nvSpPr>
      <xdr:spPr bwMode="auto">
        <a:xfrm flipH="1">
          <a:off x="10242278220" y="41064180"/>
          <a:ext cx="596265" cy="0"/>
        </a:xfrm>
        <a:prstGeom prst="line">
          <a:avLst/>
        </a:prstGeom>
        <a:noFill/>
        <a:ln w="9525">
          <a:solidFill>
            <a:srgbClr val="000000"/>
          </a:solidFill>
          <a:round/>
          <a:headEnd/>
          <a:tailEnd/>
        </a:ln>
      </xdr:spPr>
    </xdr:sp>
    <xdr:clientData/>
  </xdr:twoCellAnchor>
  <xdr:twoCellAnchor>
    <xdr:from>
      <xdr:col>3</xdr:col>
      <xdr:colOff>28575</xdr:colOff>
      <xdr:row>121</xdr:row>
      <xdr:rowOff>0</xdr:rowOff>
    </xdr:from>
    <xdr:to>
      <xdr:col>4</xdr:col>
      <xdr:colOff>0</xdr:colOff>
      <xdr:row>121</xdr:row>
      <xdr:rowOff>0</xdr:rowOff>
    </xdr:to>
    <xdr:sp macro="" textlink="">
      <xdr:nvSpPr>
        <xdr:cNvPr id="10" name="Line 3">
          <a:extLst>
            <a:ext uri="{FF2B5EF4-FFF2-40B4-BE49-F238E27FC236}">
              <a16:creationId xmlns:a16="http://schemas.microsoft.com/office/drawing/2014/main" id="{00000000-0008-0000-2500-00000A000000}"/>
            </a:ext>
          </a:extLst>
        </xdr:cNvPr>
        <xdr:cNvSpPr>
          <a:spLocks noChangeShapeType="1"/>
        </xdr:cNvSpPr>
      </xdr:nvSpPr>
      <xdr:spPr bwMode="auto">
        <a:xfrm flipH="1">
          <a:off x="10242278220" y="44173140"/>
          <a:ext cx="596265" cy="0"/>
        </a:xfrm>
        <a:prstGeom prst="line">
          <a:avLst/>
        </a:prstGeom>
        <a:noFill/>
        <a:ln w="9525">
          <a:solidFill>
            <a:srgbClr val="000000"/>
          </a:solidFill>
          <a:round/>
          <a:headEnd/>
          <a:tailEnd/>
        </a:ln>
      </xdr:spPr>
    </xdr:sp>
    <xdr:clientData/>
  </xdr:twoCellAnchor>
  <xdr:twoCellAnchor>
    <xdr:from>
      <xdr:col>3</xdr:col>
      <xdr:colOff>28575</xdr:colOff>
      <xdr:row>118</xdr:row>
      <xdr:rowOff>0</xdr:rowOff>
    </xdr:from>
    <xdr:to>
      <xdr:col>4</xdr:col>
      <xdr:colOff>0</xdr:colOff>
      <xdr:row>118</xdr:row>
      <xdr:rowOff>0</xdr:rowOff>
    </xdr:to>
    <xdr:sp macro="" textlink="">
      <xdr:nvSpPr>
        <xdr:cNvPr id="11" name="Line 3">
          <a:extLst>
            <a:ext uri="{FF2B5EF4-FFF2-40B4-BE49-F238E27FC236}">
              <a16:creationId xmlns:a16="http://schemas.microsoft.com/office/drawing/2014/main" id="{00000000-0008-0000-2500-00000B000000}"/>
            </a:ext>
          </a:extLst>
        </xdr:cNvPr>
        <xdr:cNvSpPr>
          <a:spLocks noChangeShapeType="1"/>
        </xdr:cNvSpPr>
      </xdr:nvSpPr>
      <xdr:spPr bwMode="auto">
        <a:xfrm flipH="1">
          <a:off x="10242278220" y="41064180"/>
          <a:ext cx="596265" cy="0"/>
        </a:xfrm>
        <a:prstGeom prst="line">
          <a:avLst/>
        </a:prstGeom>
        <a:noFill/>
        <a:ln w="9525">
          <a:solidFill>
            <a:srgbClr val="000000"/>
          </a:solidFill>
          <a:round/>
          <a:headEnd/>
          <a:tailEnd/>
        </a:ln>
      </xdr:spPr>
    </xdr:sp>
    <xdr:clientData/>
  </xdr:twoCellAnchor>
  <xdr:twoCellAnchor>
    <xdr:from>
      <xdr:col>3</xdr:col>
      <xdr:colOff>28575</xdr:colOff>
      <xdr:row>121</xdr:row>
      <xdr:rowOff>0</xdr:rowOff>
    </xdr:from>
    <xdr:to>
      <xdr:col>4</xdr:col>
      <xdr:colOff>0</xdr:colOff>
      <xdr:row>121</xdr:row>
      <xdr:rowOff>0</xdr:rowOff>
    </xdr:to>
    <xdr:sp macro="" textlink="">
      <xdr:nvSpPr>
        <xdr:cNvPr id="13" name="Line 3">
          <a:extLst>
            <a:ext uri="{FF2B5EF4-FFF2-40B4-BE49-F238E27FC236}">
              <a16:creationId xmlns:a16="http://schemas.microsoft.com/office/drawing/2014/main" id="{00000000-0008-0000-2500-00000D000000}"/>
            </a:ext>
          </a:extLst>
        </xdr:cNvPr>
        <xdr:cNvSpPr>
          <a:spLocks noChangeShapeType="1"/>
        </xdr:cNvSpPr>
      </xdr:nvSpPr>
      <xdr:spPr bwMode="auto">
        <a:xfrm flipH="1">
          <a:off x="10242278220" y="44173140"/>
          <a:ext cx="596265" cy="0"/>
        </a:xfrm>
        <a:prstGeom prst="line">
          <a:avLst/>
        </a:prstGeom>
        <a:no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0</xdr:colOff>
      <xdr:row>3</xdr:row>
      <xdr:rowOff>54428</xdr:rowOff>
    </xdr:from>
    <xdr:to>
      <xdr:col>12</xdr:col>
      <xdr:colOff>0</xdr:colOff>
      <xdr:row>806</xdr:row>
      <xdr:rowOff>153761</xdr:rowOff>
    </xdr:to>
    <xdr:cxnSp macro="">
      <xdr:nvCxnSpPr>
        <xdr:cNvPr id="2" name="Straight Connector 1">
          <a:extLst>
            <a:ext uri="{FF2B5EF4-FFF2-40B4-BE49-F238E27FC236}">
              <a16:creationId xmlns:a16="http://schemas.microsoft.com/office/drawing/2014/main" id="{00000000-0008-0000-2700-000002000000}"/>
            </a:ext>
          </a:extLst>
        </xdr:cNvPr>
        <xdr:cNvCxnSpPr/>
      </xdr:nvCxnSpPr>
      <xdr:spPr>
        <a:xfrm rot="5400000" flipH="1">
          <a:off x="10146734713" y="86766355"/>
          <a:ext cx="170406333"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3</xdr:row>
      <xdr:rowOff>54427</xdr:rowOff>
    </xdr:from>
    <xdr:to>
      <xdr:col>12</xdr:col>
      <xdr:colOff>0</xdr:colOff>
      <xdr:row>806</xdr:row>
      <xdr:rowOff>126548</xdr:rowOff>
    </xdr:to>
    <xdr:cxnSp macro="">
      <xdr:nvCxnSpPr>
        <xdr:cNvPr id="3" name="Straight Connector 2">
          <a:extLst>
            <a:ext uri="{FF2B5EF4-FFF2-40B4-BE49-F238E27FC236}">
              <a16:creationId xmlns:a16="http://schemas.microsoft.com/office/drawing/2014/main" id="{00000000-0008-0000-2700-000003000000}"/>
            </a:ext>
          </a:extLst>
        </xdr:cNvPr>
        <xdr:cNvCxnSpPr/>
      </xdr:nvCxnSpPr>
      <xdr:spPr>
        <a:xfrm rot="16200000">
          <a:off x="10146748319" y="86752748"/>
          <a:ext cx="17037912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xdr:row>
      <xdr:rowOff>0</xdr:rowOff>
    </xdr:from>
    <xdr:to>
      <xdr:col>13</xdr:col>
      <xdr:colOff>0</xdr:colOff>
      <xdr:row>806</xdr:row>
      <xdr:rowOff>99333</xdr:rowOff>
    </xdr:to>
    <xdr:cxnSp macro="">
      <xdr:nvCxnSpPr>
        <xdr:cNvPr id="4" name="Straight Connector 3">
          <a:extLst>
            <a:ext uri="{FF2B5EF4-FFF2-40B4-BE49-F238E27FC236}">
              <a16:creationId xmlns:a16="http://schemas.microsoft.com/office/drawing/2014/main" id="{00000000-0008-0000-2700-000004000000}"/>
            </a:ext>
          </a:extLst>
        </xdr:cNvPr>
        <xdr:cNvCxnSpPr/>
      </xdr:nvCxnSpPr>
      <xdr:spPr>
        <a:xfrm rot="5400000" flipH="1">
          <a:off x="10145888893" y="86711927"/>
          <a:ext cx="170406333"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xdr:row>
      <xdr:rowOff>190499</xdr:rowOff>
    </xdr:from>
    <xdr:to>
      <xdr:col>13</xdr:col>
      <xdr:colOff>0</xdr:colOff>
      <xdr:row>806</xdr:row>
      <xdr:rowOff>81645</xdr:rowOff>
    </xdr:to>
    <xdr:cxnSp macro="">
      <xdr:nvCxnSpPr>
        <xdr:cNvPr id="5" name="Straight Connector 4">
          <a:extLst>
            <a:ext uri="{FF2B5EF4-FFF2-40B4-BE49-F238E27FC236}">
              <a16:creationId xmlns:a16="http://schemas.microsoft.com/office/drawing/2014/main" id="{00000000-0008-0000-2700-000005000000}"/>
            </a:ext>
          </a:extLst>
        </xdr:cNvPr>
        <xdr:cNvCxnSpPr/>
      </xdr:nvCxnSpPr>
      <xdr:spPr>
        <a:xfrm rot="16200000">
          <a:off x="10145897737" y="86703082"/>
          <a:ext cx="170388646"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343</xdr:row>
      <xdr:rowOff>54428</xdr:rowOff>
    </xdr:from>
    <xdr:to>
      <xdr:col>12</xdr:col>
      <xdr:colOff>0</xdr:colOff>
      <xdr:row>1148</xdr:row>
      <xdr:rowOff>153761</xdr:rowOff>
    </xdr:to>
    <xdr:cxnSp macro="">
      <xdr:nvCxnSpPr>
        <xdr:cNvPr id="9" name="Straight Connector 8">
          <a:extLst>
            <a:ext uri="{FF2B5EF4-FFF2-40B4-BE49-F238E27FC236}">
              <a16:creationId xmlns:a16="http://schemas.microsoft.com/office/drawing/2014/main" id="{00000000-0008-0000-2700-000009000000}"/>
            </a:ext>
          </a:extLst>
        </xdr:cNvPr>
        <xdr:cNvCxnSpPr/>
      </xdr:nvCxnSpPr>
      <xdr:spPr>
        <a:xfrm rot="5400000" flipH="1">
          <a:off x="10158294253" y="160703215"/>
          <a:ext cx="147287253"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343</xdr:row>
      <xdr:rowOff>54427</xdr:rowOff>
    </xdr:from>
    <xdr:to>
      <xdr:col>12</xdr:col>
      <xdr:colOff>0</xdr:colOff>
      <xdr:row>1148</xdr:row>
      <xdr:rowOff>126548</xdr:rowOff>
    </xdr:to>
    <xdr:cxnSp macro="">
      <xdr:nvCxnSpPr>
        <xdr:cNvPr id="10" name="Straight Connector 9">
          <a:extLst>
            <a:ext uri="{FF2B5EF4-FFF2-40B4-BE49-F238E27FC236}">
              <a16:creationId xmlns:a16="http://schemas.microsoft.com/office/drawing/2014/main" id="{00000000-0008-0000-2700-00000A000000}"/>
            </a:ext>
          </a:extLst>
        </xdr:cNvPr>
        <xdr:cNvCxnSpPr/>
      </xdr:nvCxnSpPr>
      <xdr:spPr>
        <a:xfrm rot="16200000">
          <a:off x="10158307859" y="160689608"/>
          <a:ext cx="14726004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343</xdr:row>
      <xdr:rowOff>0</xdr:rowOff>
    </xdr:from>
    <xdr:to>
      <xdr:col>13</xdr:col>
      <xdr:colOff>0</xdr:colOff>
      <xdr:row>1148</xdr:row>
      <xdr:rowOff>99333</xdr:rowOff>
    </xdr:to>
    <xdr:cxnSp macro="">
      <xdr:nvCxnSpPr>
        <xdr:cNvPr id="11" name="Straight Connector 10">
          <a:extLst>
            <a:ext uri="{FF2B5EF4-FFF2-40B4-BE49-F238E27FC236}">
              <a16:creationId xmlns:a16="http://schemas.microsoft.com/office/drawing/2014/main" id="{00000000-0008-0000-2700-00000B000000}"/>
            </a:ext>
          </a:extLst>
        </xdr:cNvPr>
        <xdr:cNvCxnSpPr/>
      </xdr:nvCxnSpPr>
      <xdr:spPr>
        <a:xfrm rot="5400000" flipH="1">
          <a:off x="10157448433" y="160648787"/>
          <a:ext cx="147287253"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342</xdr:row>
      <xdr:rowOff>251459</xdr:rowOff>
    </xdr:from>
    <xdr:to>
      <xdr:col>13</xdr:col>
      <xdr:colOff>0</xdr:colOff>
      <xdr:row>1148</xdr:row>
      <xdr:rowOff>81645</xdr:rowOff>
    </xdr:to>
    <xdr:cxnSp macro="">
      <xdr:nvCxnSpPr>
        <xdr:cNvPr id="12" name="Straight Connector 11">
          <a:extLst>
            <a:ext uri="{FF2B5EF4-FFF2-40B4-BE49-F238E27FC236}">
              <a16:creationId xmlns:a16="http://schemas.microsoft.com/office/drawing/2014/main" id="{00000000-0008-0000-2700-00000C000000}"/>
            </a:ext>
          </a:extLst>
        </xdr:cNvPr>
        <xdr:cNvCxnSpPr/>
      </xdr:nvCxnSpPr>
      <xdr:spPr>
        <a:xfrm rot="16200000">
          <a:off x="10157457277" y="160639942"/>
          <a:ext cx="147269566"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rightToLeft="1" workbookViewId="0">
      <selection activeCell="B12" sqref="B12"/>
    </sheetView>
  </sheetViews>
  <sheetFormatPr defaultRowHeight="15"/>
  <cols>
    <col min="1" max="1" width="5" bestFit="1" customWidth="1"/>
    <col min="2" max="2" width="72.28515625" bestFit="1" customWidth="1"/>
    <col min="3" max="3" width="25.7109375" bestFit="1" customWidth="1"/>
    <col min="5" max="5" width="19" customWidth="1"/>
  </cols>
  <sheetData>
    <row r="1" spans="1:5" ht="17.25" thickTop="1">
      <c r="A1" s="1677" t="s">
        <v>58</v>
      </c>
      <c r="B1" s="1679" t="s">
        <v>2</v>
      </c>
      <c r="C1" s="1617" t="s">
        <v>4531</v>
      </c>
    </row>
    <row r="2" spans="1:5" ht="17.25" thickBot="1">
      <c r="A2" s="1678"/>
      <c r="B2" s="1680"/>
      <c r="C2" s="1618" t="s">
        <v>4532</v>
      </c>
    </row>
    <row r="3" spans="1:5" ht="18.75" thickBot="1">
      <c r="A3" s="1610">
        <v>1</v>
      </c>
      <c r="B3" s="1611" t="s">
        <v>4533</v>
      </c>
      <c r="C3" s="1619">
        <v>67888993</v>
      </c>
    </row>
    <row r="4" spans="1:5" ht="18.75" thickBot="1">
      <c r="A4" s="1610">
        <v>2</v>
      </c>
      <c r="B4" s="1611" t="s">
        <v>4545</v>
      </c>
      <c r="C4" s="1619">
        <v>39621943</v>
      </c>
    </row>
    <row r="5" spans="1:5" ht="18.75" thickBot="1">
      <c r="A5" s="1610">
        <v>3</v>
      </c>
      <c r="B5" s="1612" t="s">
        <v>4534</v>
      </c>
      <c r="C5" s="1619">
        <f>SUM(C3:C4)</f>
        <v>107510936</v>
      </c>
    </row>
    <row r="6" spans="1:5" ht="18.75" thickBot="1">
      <c r="A6" s="1610">
        <v>4</v>
      </c>
      <c r="B6" s="1613" t="s">
        <v>4535</v>
      </c>
      <c r="C6" s="1619">
        <f>'EPC Summary'!C15/1000</f>
        <v>51783851590</v>
      </c>
    </row>
    <row r="7" spans="1:5" ht="18.75" thickBot="1">
      <c r="A7" s="1610">
        <v>5</v>
      </c>
      <c r="B7" s="1613" t="s">
        <v>4536</v>
      </c>
      <c r="C7" s="1619">
        <f>'EPC Summary'!D12/1000</f>
        <v>23392</v>
      </c>
    </row>
    <row r="8" spans="1:5" ht="18.75" thickBot="1">
      <c r="A8" s="1610">
        <v>6</v>
      </c>
      <c r="B8" s="1613" t="s">
        <v>4550</v>
      </c>
      <c r="C8" s="1619">
        <f>'EPC Summary'!G15/1000</f>
        <v>20713540636</v>
      </c>
    </row>
    <row r="9" spans="1:5" ht="18.75" thickBot="1">
      <c r="A9" s="1610">
        <v>7</v>
      </c>
      <c r="B9" s="1613" t="s">
        <v>4537</v>
      </c>
      <c r="C9" s="1619">
        <f>'EPC Summary'!H15/1000</f>
        <v>12945962897</v>
      </c>
    </row>
    <row r="10" spans="1:5" ht="18.75" thickBot="1">
      <c r="A10" s="1610">
        <v>8</v>
      </c>
      <c r="B10" s="1613" t="s">
        <v>4538</v>
      </c>
      <c r="C10" s="1619">
        <f>'EPC Summary'!H16/1000</f>
        <v>5848</v>
      </c>
    </row>
    <row r="11" spans="1:5" ht="18.75" thickBot="1">
      <c r="A11" s="1610">
        <v>9</v>
      </c>
      <c r="B11" s="1614" t="s">
        <v>4539</v>
      </c>
      <c r="C11" s="1619">
        <f>C5+C6+C8+C9</f>
        <v>85550866059</v>
      </c>
      <c r="E11" s="1487"/>
    </row>
    <row r="12" spans="1:5" ht="18.75" thickBot="1">
      <c r="A12" s="1610">
        <v>10</v>
      </c>
      <c r="B12" s="1614" t="s">
        <v>4540</v>
      </c>
      <c r="C12" s="1619">
        <f>C7+C10</f>
        <v>29240</v>
      </c>
    </row>
    <row r="13" spans="1:5" ht="18.75" thickBot="1">
      <c r="A13" s="1610">
        <v>11</v>
      </c>
      <c r="B13" s="1615" t="s">
        <v>4541</v>
      </c>
      <c r="C13" s="1619">
        <v>268700000</v>
      </c>
    </row>
    <row r="14" spans="1:5" ht="18.75" thickBot="1">
      <c r="A14" s="1610">
        <v>12</v>
      </c>
      <c r="B14" s="1615" t="s">
        <v>4542</v>
      </c>
      <c r="C14" s="1619">
        <v>18000</v>
      </c>
    </row>
    <row r="15" spans="1:5" ht="18.75" thickBot="1">
      <c r="A15" s="1610">
        <v>13</v>
      </c>
      <c r="B15" s="1614" t="s">
        <v>4543</v>
      </c>
      <c r="C15" s="1619">
        <f>C11-C13</f>
        <v>85282166059</v>
      </c>
    </row>
    <row r="16" spans="1:5" ht="18.75" thickBot="1">
      <c r="A16" s="1610">
        <v>14</v>
      </c>
      <c r="B16" s="1616" t="s">
        <v>4544</v>
      </c>
      <c r="C16" s="1619">
        <f>C12-C14</f>
        <v>11240</v>
      </c>
    </row>
  </sheetData>
  <mergeCells count="2">
    <mergeCell ref="A1:A2"/>
    <mergeCell ref="B1:B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23"/>
  <sheetViews>
    <sheetView rightToLeft="1" view="pageLayout" zoomScale="82" zoomScaleNormal="100" zoomScaleSheetLayoutView="100" zoomScalePageLayoutView="82" workbookViewId="0">
      <selection activeCell="B17" sqref="B17:B19"/>
    </sheetView>
  </sheetViews>
  <sheetFormatPr defaultRowHeight="15"/>
  <cols>
    <col min="1" max="1" width="23.7109375" bestFit="1" customWidth="1"/>
    <col min="2" max="2" width="25.28515625" bestFit="1" customWidth="1"/>
    <col min="3" max="3" width="25.85546875" customWidth="1"/>
    <col min="4" max="4" width="16.42578125" bestFit="1" customWidth="1"/>
    <col min="5" max="5" width="24.140625" bestFit="1" customWidth="1"/>
    <col min="6" max="6" width="8.28515625" customWidth="1"/>
    <col min="7" max="7" width="26.7109375" customWidth="1"/>
    <col min="8" max="8" width="23.5703125" customWidth="1"/>
    <col min="9" max="9" width="24.140625" bestFit="1" customWidth="1"/>
    <col min="10" max="10" width="20.28515625" customWidth="1"/>
    <col min="11" max="11" width="9" customWidth="1"/>
  </cols>
  <sheetData>
    <row r="1" spans="1:11">
      <c r="A1" s="1025"/>
      <c r="B1" s="1681" t="s">
        <v>4514</v>
      </c>
      <c r="C1" s="1682"/>
      <c r="D1" s="1682"/>
      <c r="E1" s="1682"/>
      <c r="F1" s="1683"/>
      <c r="G1" s="1684" t="s">
        <v>4520</v>
      </c>
      <c r="H1" s="1684"/>
      <c r="I1" s="1684"/>
      <c r="J1" s="1684"/>
      <c r="K1" s="16"/>
    </row>
    <row r="2" spans="1:11" ht="30">
      <c r="A2" s="1626" t="s">
        <v>40</v>
      </c>
      <c r="B2" s="267"/>
      <c r="C2" s="267" t="s">
        <v>4483</v>
      </c>
      <c r="D2" s="267" t="s">
        <v>4484</v>
      </c>
      <c r="E2" s="267" t="s">
        <v>41</v>
      </c>
      <c r="F2" s="1570" t="s">
        <v>42</v>
      </c>
      <c r="G2" t="s">
        <v>4489</v>
      </c>
      <c r="H2" t="s">
        <v>4498</v>
      </c>
      <c r="I2" t="s">
        <v>45</v>
      </c>
      <c r="J2" s="1622" t="s">
        <v>42</v>
      </c>
      <c r="K2" s="15"/>
    </row>
    <row r="3" spans="1:11">
      <c r="A3" s="1571" t="s">
        <v>37</v>
      </c>
      <c r="B3" t="s">
        <v>34</v>
      </c>
      <c r="C3" s="1572">
        <f>ROUNDUP(PEP!E6,-7)</f>
        <v>994810000000</v>
      </c>
      <c r="D3" s="1573"/>
      <c r="E3" s="1572">
        <f>C3</f>
        <v>994810000000</v>
      </c>
      <c r="F3" s="1574">
        <f>E3/E$7</f>
        <v>2.0546356579797153E-2</v>
      </c>
      <c r="G3" s="1572">
        <f>ROUNDUP(C3*'basic data'!$B$3,-6)</f>
        <v>1264727000000</v>
      </c>
      <c r="H3" s="1573"/>
      <c r="I3" s="1572">
        <f>ROUNDUP(E3*'basic data'!$B$4,-6)</f>
        <v>1264727000000</v>
      </c>
      <c r="J3" s="1623">
        <f>I3/I$7</f>
        <v>2.0546358691767335E-2</v>
      </c>
      <c r="K3" s="15"/>
    </row>
    <row r="4" spans="1:11">
      <c r="A4" s="1571" t="s">
        <v>38</v>
      </c>
      <c r="B4" t="s">
        <v>35</v>
      </c>
      <c r="C4" s="1572">
        <f>ROUNDUP(PEP!E21,-7)</f>
        <v>24007580000000</v>
      </c>
      <c r="D4" s="1575">
        <f>ROUNDUP(PEP!F21,-3)</f>
        <v>23392000</v>
      </c>
      <c r="E4" s="1572">
        <f>D4*USD_Change_IRR+C4</f>
        <v>33832220000000</v>
      </c>
      <c r="F4" s="1574">
        <f>E4/E$7</f>
        <v>0.69875539651405283</v>
      </c>
      <c r="G4" s="1572">
        <f>ROUNDUP(C4*'basic data'!$B$3+D4*('basic data'!$B$3-1)*USD_Change_IRR,-6)</f>
        <v>33187108000000</v>
      </c>
      <c r="H4" s="1575">
        <f>D4</f>
        <v>23392000</v>
      </c>
      <c r="I4" s="1572">
        <f>ROUNDUP(E4*'basic data'!$B$4,-6)</f>
        <v>43011748000000</v>
      </c>
      <c r="J4" s="1623">
        <f>I4/I$7</f>
        <v>0.69875538544516436</v>
      </c>
      <c r="K4" s="15"/>
    </row>
    <row r="5" spans="1:11">
      <c r="A5" s="1571" t="s">
        <v>39</v>
      </c>
      <c r="B5" t="s">
        <v>36</v>
      </c>
      <c r="C5" s="1572">
        <f>ROUNDUP(PEP!E27,-7)</f>
        <v>13111410000000</v>
      </c>
      <c r="D5" s="1573"/>
      <c r="E5" s="1572">
        <f>D5*USD_Change_IRR+C5</f>
        <v>13111410000000</v>
      </c>
      <c r="F5" s="1574">
        <f>E5/E$7</f>
        <v>0.2707971422924158</v>
      </c>
      <c r="G5" s="1572">
        <f>ROUNDUP(C5*'basic data'!$B$3,-6)</f>
        <v>16668864000000</v>
      </c>
      <c r="H5" s="1573"/>
      <c r="I5" s="1572">
        <f>ROUNDUP(E5*'basic data'!$B$4,-6)</f>
        <v>16668864000000</v>
      </c>
      <c r="J5" s="1623">
        <f>I5/I$7</f>
        <v>0.27079714335843835</v>
      </c>
      <c r="K5" s="15"/>
    </row>
    <row r="6" spans="1:11">
      <c r="A6" s="1571" t="s">
        <v>4485</v>
      </c>
      <c r="B6" t="s">
        <v>4480</v>
      </c>
      <c r="C6" s="1572">
        <f>ROUNDUP(PEP!E28,-7)</f>
        <v>479390000000</v>
      </c>
      <c r="D6" s="1573"/>
      <c r="E6" s="1572">
        <f>C6</f>
        <v>479390000000</v>
      </c>
      <c r="F6" s="1574">
        <f>E6/E$7</f>
        <v>9.9011046137342379E-3</v>
      </c>
      <c r="G6" s="1572">
        <f>ROUNDUP(C6*'basic data'!$B$3,-6)</f>
        <v>609461000000</v>
      </c>
      <c r="H6" s="1573"/>
      <c r="I6" s="1572">
        <f>ROUNDUP(E6*'basic data'!$B$4,-6)</f>
        <v>609461000000</v>
      </c>
      <c r="J6" s="1624">
        <f>I6/I$7</f>
        <v>9.9011125046300202E-3</v>
      </c>
      <c r="K6" s="1577"/>
    </row>
    <row r="7" spans="1:11" ht="15.75" thickBot="1">
      <c r="A7" s="1627"/>
      <c r="B7" s="1566" t="s">
        <v>27</v>
      </c>
      <c r="C7" s="1567">
        <f t="shared" ref="C7:J7" si="0">SUM(C3:C6)</f>
        <v>38593190000000</v>
      </c>
      <c r="D7" s="1568">
        <f t="shared" si="0"/>
        <v>23392000</v>
      </c>
      <c r="E7" s="1567">
        <f t="shared" si="0"/>
        <v>48417830000000</v>
      </c>
      <c r="F7" s="1569">
        <f t="shared" si="0"/>
        <v>1</v>
      </c>
      <c r="G7" s="1567">
        <f t="shared" si="0"/>
        <v>51730160000000</v>
      </c>
      <c r="H7" s="1568">
        <f t="shared" si="0"/>
        <v>23392000</v>
      </c>
      <c r="I7" s="1567">
        <f t="shared" si="0"/>
        <v>61554800000000</v>
      </c>
      <c r="J7" s="1625">
        <f t="shared" si="0"/>
        <v>1</v>
      </c>
    </row>
    <row r="8" spans="1:11" ht="15.75" thickTop="1">
      <c r="C8" s="15"/>
    </row>
    <row r="10" spans="1:11">
      <c r="B10" s="1521" t="s">
        <v>4512</v>
      </c>
      <c r="C10" s="1025" t="s">
        <v>356</v>
      </c>
      <c r="D10" s="1025" t="s">
        <v>4511</v>
      </c>
      <c r="E10" s="1025" t="s">
        <v>4530</v>
      </c>
      <c r="G10" s="1595" t="s">
        <v>4522</v>
      </c>
      <c r="H10" s="1595" t="s">
        <v>4523</v>
      </c>
      <c r="I10" s="1595" t="s">
        <v>4525</v>
      </c>
      <c r="J10" s="1599" t="s">
        <v>4524</v>
      </c>
    </row>
    <row r="11" spans="1:11">
      <c r="A11" s="1628">
        <f>C11/$A$15</f>
        <v>2.139994919489312E-2</v>
      </c>
      <c r="B11" s="1025" t="s">
        <v>4339</v>
      </c>
      <c r="C11" s="1034">
        <f>I3+J11</f>
        <v>1318418590000</v>
      </c>
      <c r="D11" s="1035"/>
      <c r="E11" s="1034">
        <f>C11</f>
        <v>1318418590000</v>
      </c>
      <c r="G11" s="1588">
        <f>Irr_Adjustment*C11</f>
        <v>527367436000</v>
      </c>
      <c r="H11" s="1588">
        <f>ROUNDDOWN(0.25*C11,-3)</f>
        <v>329604647000</v>
      </c>
      <c r="I11" s="1586">
        <f>H11+G11+C11</f>
        <v>2175390673000</v>
      </c>
      <c r="J11" s="1598">
        <f>ROUND(88591123000/1.65,-3)</f>
        <v>53691590000</v>
      </c>
    </row>
    <row r="12" spans="1:11">
      <c r="A12" s="1628">
        <f>(C12+D12*USD_Change_IRR)/$A$15</f>
        <v>0.69814642251331249</v>
      </c>
      <c r="B12" s="1025" t="s">
        <v>4337</v>
      </c>
      <c r="C12" s="1034">
        <f>G4</f>
        <v>33187108000000</v>
      </c>
      <c r="D12" s="1575">
        <f>H4</f>
        <v>23392000</v>
      </c>
      <c r="E12" s="1034">
        <f>C12+D12*USD_Change_IRR</f>
        <v>43011748000000</v>
      </c>
      <c r="G12" s="1588">
        <f>Irr_Adjustment*C12</f>
        <v>13274843200000</v>
      </c>
      <c r="H12" s="1588">
        <f>0.25*C12</f>
        <v>8296777000000</v>
      </c>
      <c r="I12" s="1586">
        <f>H12+G12+C12</f>
        <v>54758728200000</v>
      </c>
      <c r="J12" s="1599" t="s">
        <v>4526</v>
      </c>
    </row>
    <row r="13" spans="1:11">
      <c r="A13" s="1628">
        <f t="shared" ref="A13:A14" si="1">C13/$A$15</f>
        <v>0.27056114457289537</v>
      </c>
      <c r="B13" s="1025" t="s">
        <v>4338</v>
      </c>
      <c r="C13" s="1034">
        <f>G5</f>
        <v>16668864000000</v>
      </c>
      <c r="D13" s="1035"/>
      <c r="E13" s="1034">
        <f>C13</f>
        <v>16668864000000</v>
      </c>
      <c r="G13" s="1594">
        <f>Irr_Adjustment*C13</f>
        <v>6667545600000</v>
      </c>
      <c r="H13" s="1594">
        <f>C13*0.25</f>
        <v>4167216000000</v>
      </c>
      <c r="I13" s="1586">
        <f>H13+G13+C13+H14+G14+C14</f>
        <v>28509236250000</v>
      </c>
      <c r="J13" s="1598">
        <v>107510936000</v>
      </c>
    </row>
    <row r="14" spans="1:11" ht="13.9" customHeight="1">
      <c r="A14" s="1628">
        <f t="shared" si="1"/>
        <v>9.8924837188989843E-3</v>
      </c>
      <c r="B14" s="1025" t="s">
        <v>4510</v>
      </c>
      <c r="C14" s="1034">
        <f>G6</f>
        <v>609461000000</v>
      </c>
      <c r="D14" s="1035"/>
      <c r="E14" s="1034">
        <f t="shared" ref="E14" si="2">C14</f>
        <v>609461000000</v>
      </c>
      <c r="G14" s="1594">
        <f>Irr_Adjustment*C14</f>
        <v>243784400000</v>
      </c>
      <c r="H14" s="1594">
        <f>0.25*C14</f>
        <v>152365250000</v>
      </c>
      <c r="I14" s="1586"/>
      <c r="J14" s="1599" t="s">
        <v>4527</v>
      </c>
    </row>
    <row r="15" spans="1:11">
      <c r="A15" s="1588">
        <f>C11+C12+C13+C14+D12*USD_Change_IRR</f>
        <v>61608491590000</v>
      </c>
      <c r="B15" s="1025" t="s">
        <v>1010</v>
      </c>
      <c r="C15" s="1034">
        <f>SUM(C11:C14)</f>
        <v>51783851590000</v>
      </c>
      <c r="D15" s="1576">
        <f>SUM(D12:D14)</f>
        <v>23392000</v>
      </c>
      <c r="E15" s="1579">
        <f>SUM(E11:E14)</f>
        <v>61608491590000</v>
      </c>
      <c r="G15" s="1588">
        <f>SUM(G11:G14)</f>
        <v>20713540636000</v>
      </c>
      <c r="H15" s="1588">
        <f>SUM(H11:H14)</f>
        <v>12945962897000</v>
      </c>
      <c r="I15" s="1487">
        <f>H15+G15+C15</f>
        <v>85443355123000</v>
      </c>
      <c r="J15" s="1598">
        <f>I16+J13</f>
        <v>85550866059000</v>
      </c>
    </row>
    <row r="16" spans="1:11">
      <c r="C16" s="1594"/>
      <c r="E16" s="1599" t="s">
        <v>4519</v>
      </c>
      <c r="H16" s="1575">
        <f>D12*0.25</f>
        <v>5848000</v>
      </c>
      <c r="I16" s="1487">
        <f>I15</f>
        <v>85443355123000</v>
      </c>
      <c r="J16" s="1600">
        <f>D12+H16</f>
        <v>29240000</v>
      </c>
    </row>
    <row r="17" spans="1:10">
      <c r="A17" s="1025" t="s">
        <v>4548</v>
      </c>
      <c r="B17" s="1034">
        <f>C14-B18-B19</f>
        <v>549461000000</v>
      </c>
      <c r="C17" s="1594"/>
      <c r="E17" s="1576">
        <f>E15/USD_Change_IRR/110000</f>
        <v>1333.5171339826838</v>
      </c>
      <c r="J17" s="1599" t="s">
        <v>4528</v>
      </c>
    </row>
    <row r="18" spans="1:10">
      <c r="A18" s="1620" t="s">
        <v>4547</v>
      </c>
      <c r="B18" s="1034">
        <v>30000000000</v>
      </c>
      <c r="C18" s="1594"/>
      <c r="G18" s="1594"/>
      <c r="H18" s="1597"/>
      <c r="J18" s="1598">
        <v>268700000000</v>
      </c>
    </row>
    <row r="19" spans="1:10">
      <c r="A19" s="1025" t="s">
        <v>4549</v>
      </c>
      <c r="B19" s="1034">
        <v>30000000000</v>
      </c>
      <c r="C19" s="1599" t="s">
        <v>4546</v>
      </c>
      <c r="H19" s="1588"/>
      <c r="J19" s="1600">
        <v>18000000</v>
      </c>
    </row>
    <row r="20" spans="1:10">
      <c r="B20" s="13"/>
      <c r="C20" s="1034">
        <f>C15</f>
        <v>51783851590000</v>
      </c>
      <c r="J20" s="1599" t="s">
        <v>4529</v>
      </c>
    </row>
    <row r="21" spans="1:10">
      <c r="B21" s="13"/>
      <c r="C21" s="1621">
        <f>ROUNDUP(D15/1.1,-3)</f>
        <v>21266000</v>
      </c>
      <c r="J21" s="1598">
        <f>J15-J18</f>
        <v>85282166059000</v>
      </c>
    </row>
    <row r="22" spans="1:10">
      <c r="A22" t="s">
        <v>4551</v>
      </c>
      <c r="B22" s="13">
        <v>100000000000</v>
      </c>
      <c r="C22" s="14"/>
      <c r="J22" s="1600">
        <f>J16-J19</f>
        <v>11240000</v>
      </c>
    </row>
    <row r="23" spans="1:10">
      <c r="A23" t="s">
        <v>4552</v>
      </c>
      <c r="B23" s="13">
        <f>B17-B22</f>
        <v>449461000000</v>
      </c>
      <c r="C23" s="14"/>
    </row>
  </sheetData>
  <mergeCells count="2">
    <mergeCell ref="B1:F1"/>
    <mergeCell ref="G1:J1"/>
  </mergeCells>
  <pageMargins left="0.70866141732283472" right="0.38373983739837397" top="1.1417322834645669" bottom="0.74803149606299213" header="0.70866141732283472" footer="0.31496062992125984"/>
  <pageSetup paperSize="9" scale="59" orientation="landscape" r:id="rId1"/>
  <headerFooter>
    <oddHeader>&amp;C&amp;12خلاصه مالي پروژه احداث نمكزدايي گچساران4
پروژه شماره 89205
زيرپروژه 002-89205</oddHeader>
  </headerFooter>
  <ignoredErrors>
    <ignoredError sqref="D15 E12" formula="1"/>
    <ignoredError sqref="J1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F30"/>
  <sheetViews>
    <sheetView rightToLeft="1" view="pageBreakPreview" zoomScale="107" zoomScaleNormal="70" zoomScaleSheetLayoutView="107" workbookViewId="0">
      <pane ySplit="1" topLeftCell="A5" activePane="bottomLeft" state="frozenSplit"/>
      <selection activeCell="F32" sqref="F32"/>
      <selection pane="bottomLeft" activeCell="I8" sqref="I8"/>
    </sheetView>
  </sheetViews>
  <sheetFormatPr defaultColWidth="9.140625" defaultRowHeight="15"/>
  <cols>
    <col min="1" max="1" width="5.140625" style="1" bestFit="1" customWidth="1"/>
    <col min="2" max="2" width="28.28515625" style="4" customWidth="1"/>
    <col min="3" max="3" width="4.140625" style="1" customWidth="1"/>
    <col min="4" max="4" width="39.7109375" style="1" customWidth="1"/>
    <col min="5" max="5" width="31.7109375" style="2369" customWidth="1"/>
    <col min="6" max="6" width="35.7109375" customWidth="1"/>
  </cols>
  <sheetData>
    <row r="1" spans="1:6" s="2" customFormat="1" ht="14.45" customHeight="1">
      <c r="A1" s="3" t="s">
        <v>28</v>
      </c>
      <c r="B1" s="1688" t="s">
        <v>2</v>
      </c>
      <c r="C1" s="1689"/>
      <c r="D1" s="1690"/>
      <c r="E1" s="2360" t="s">
        <v>1</v>
      </c>
      <c r="F1" s="17" t="s">
        <v>0</v>
      </c>
    </row>
    <row r="2" spans="1:6">
      <c r="A2" s="1691">
        <v>1</v>
      </c>
      <c r="B2" s="1691" t="s">
        <v>3</v>
      </c>
      <c r="C2" s="6" t="s">
        <v>6</v>
      </c>
      <c r="D2" s="6" t="s">
        <v>11</v>
      </c>
      <c r="E2" s="2361">
        <f>Engineering!AJ36</f>
        <v>45441000000</v>
      </c>
      <c r="F2" s="2357">
        <v>0</v>
      </c>
    </row>
    <row r="3" spans="1:6">
      <c r="A3" s="1692"/>
      <c r="B3" s="1692"/>
      <c r="C3" s="7" t="s">
        <v>9</v>
      </c>
      <c r="D3" s="7" t="s">
        <v>12</v>
      </c>
      <c r="E3" s="2359">
        <f>ROUNDUP(Engineering!AJ37,-6)</f>
        <v>748916000000</v>
      </c>
      <c r="F3" s="2357">
        <v>0</v>
      </c>
    </row>
    <row r="4" spans="1:6" ht="45">
      <c r="A4" s="1692"/>
      <c r="B4" s="1692"/>
      <c r="C4" s="7" t="s">
        <v>10</v>
      </c>
      <c r="D4" s="7" t="s">
        <v>29</v>
      </c>
      <c r="E4" s="2359">
        <f>Engineering!AJ38</f>
        <v>34650000000</v>
      </c>
      <c r="F4" s="2357">
        <v>0</v>
      </c>
    </row>
    <row r="5" spans="1:6">
      <c r="A5" s="1692"/>
      <c r="B5" s="1692"/>
      <c r="C5" s="1506" t="s">
        <v>13</v>
      </c>
      <c r="D5" s="21" t="s">
        <v>4467</v>
      </c>
      <c r="E5" s="2359">
        <f>ROUNDUP(Engineering!AJ39,-6)</f>
        <v>165802000000</v>
      </c>
      <c r="F5" s="2357"/>
    </row>
    <row r="6" spans="1:6">
      <c r="A6" s="1693"/>
      <c r="B6" s="1693"/>
      <c r="C6" s="8"/>
      <c r="D6" s="9" t="s">
        <v>4</v>
      </c>
      <c r="E6" s="19">
        <f>SUM(E2:E5)</f>
        <v>994809000000</v>
      </c>
      <c r="F6" s="2357">
        <v>0</v>
      </c>
    </row>
    <row r="7" spans="1:6" ht="16.899999999999999" customHeight="1">
      <c r="A7" s="1694">
        <v>2</v>
      </c>
      <c r="B7" s="1685" t="s">
        <v>55</v>
      </c>
      <c r="C7" s="1694" t="s">
        <v>6</v>
      </c>
      <c r="D7" s="10" t="s">
        <v>5</v>
      </c>
      <c r="E7" s="2362">
        <v>0</v>
      </c>
      <c r="F7" s="325">
        <f>Procurement!C48</f>
        <v>20672776.504152268</v>
      </c>
    </row>
    <row r="8" spans="1:6" ht="16.899999999999999" customHeight="1">
      <c r="A8" s="1695"/>
      <c r="B8" s="1686"/>
      <c r="C8" s="1696"/>
      <c r="D8" s="10" t="s">
        <v>7</v>
      </c>
      <c r="E8" s="2362">
        <v>0</v>
      </c>
      <c r="F8" s="326">
        <f>Procurement!C49</f>
        <v>2719000</v>
      </c>
    </row>
    <row r="9" spans="1:6">
      <c r="A9" s="1695"/>
      <c r="B9" s="1686"/>
      <c r="C9" s="10" t="s">
        <v>9</v>
      </c>
      <c r="D9" s="10" t="s">
        <v>17</v>
      </c>
      <c r="E9" s="2362">
        <v>0</v>
      </c>
      <c r="F9" s="18" t="s">
        <v>4553</v>
      </c>
    </row>
    <row r="10" spans="1:6" ht="26.25">
      <c r="A10" s="1695"/>
      <c r="B10" s="1686"/>
      <c r="C10" s="10" t="s">
        <v>10</v>
      </c>
      <c r="D10" s="10" t="s">
        <v>49</v>
      </c>
      <c r="E10" s="2362"/>
      <c r="F10" s="18" t="s">
        <v>54</v>
      </c>
    </row>
    <row r="11" spans="1:6" ht="30">
      <c r="A11" s="1695"/>
      <c r="B11" s="1686"/>
      <c r="C11" s="10" t="s">
        <v>13</v>
      </c>
      <c r="D11" s="10" t="s">
        <v>18</v>
      </c>
      <c r="E11" s="2363">
        <f>ROUNDUP(Procurement!D50,-6)</f>
        <v>1813192000000</v>
      </c>
      <c r="F11" s="2357">
        <v>0</v>
      </c>
    </row>
    <row r="12" spans="1:6" ht="30">
      <c r="A12" s="1695"/>
      <c r="B12" s="1686"/>
      <c r="C12" s="10" t="s">
        <v>16</v>
      </c>
      <c r="D12" s="20" t="s">
        <v>46</v>
      </c>
      <c r="E12" s="2363">
        <f>ROUNDUP(Procurement!D52,-6)</f>
        <v>512751000000</v>
      </c>
      <c r="F12" s="2357">
        <v>0</v>
      </c>
    </row>
    <row r="13" spans="1:6" ht="30">
      <c r="A13" s="1695"/>
      <c r="B13" s="1686"/>
      <c r="C13" s="10" t="s">
        <v>14</v>
      </c>
      <c r="D13" s="20" t="s">
        <v>19</v>
      </c>
      <c r="E13" s="2363">
        <f>ROUNDUP(Procurement!D54,-6)</f>
        <v>832917000000</v>
      </c>
      <c r="F13" s="2357">
        <v>0</v>
      </c>
    </row>
    <row r="14" spans="1:6">
      <c r="A14" s="1695"/>
      <c r="B14" s="1698"/>
      <c r="C14" s="10" t="s">
        <v>15</v>
      </c>
      <c r="D14" s="20" t="s">
        <v>20</v>
      </c>
      <c r="E14" s="2363">
        <f>ROUNDUP(Procurement!D53,-6)</f>
        <v>300719000000</v>
      </c>
      <c r="F14" s="2357">
        <v>0</v>
      </c>
    </row>
    <row r="15" spans="1:6" ht="16.899999999999999" customHeight="1">
      <c r="A15" s="1695"/>
      <c r="B15" s="1699" t="s">
        <v>48</v>
      </c>
      <c r="C15" s="1702" t="s">
        <v>6</v>
      </c>
      <c r="D15" s="21" t="s">
        <v>8</v>
      </c>
      <c r="E15" s="2363">
        <f>ROUNDUP(Procurement!D48,-6)</f>
        <v>19081325000000</v>
      </c>
      <c r="F15" s="2357">
        <v>0</v>
      </c>
    </row>
    <row r="16" spans="1:6" ht="16.899999999999999" customHeight="1">
      <c r="A16" s="1695"/>
      <c r="B16" s="1700"/>
      <c r="C16" s="1693"/>
      <c r="D16" s="21" t="s">
        <v>7</v>
      </c>
      <c r="E16" s="2363">
        <f>ROUNDUP(Procurement!D49,-6)</f>
        <v>1165951000000</v>
      </c>
      <c r="F16" s="2357">
        <v>0</v>
      </c>
    </row>
    <row r="17" spans="1:6">
      <c r="A17" s="1695"/>
      <c r="B17" s="1700"/>
      <c r="C17" s="7" t="s">
        <v>9</v>
      </c>
      <c r="D17" s="21" t="s">
        <v>21</v>
      </c>
      <c r="E17" s="2364" t="s">
        <v>50</v>
      </c>
      <c r="F17" s="2357">
        <v>0</v>
      </c>
    </row>
    <row r="18" spans="1:6" ht="30">
      <c r="A18" s="1695"/>
      <c r="B18" s="1700"/>
      <c r="C18" s="7" t="s">
        <v>10</v>
      </c>
      <c r="D18" s="21" t="s">
        <v>51</v>
      </c>
      <c r="E18" s="2363">
        <f>ROUNDUP(Procurement!D51,-6)</f>
        <v>300719000000</v>
      </c>
      <c r="F18" s="2357">
        <v>0</v>
      </c>
    </row>
    <row r="19" spans="1:6" ht="30">
      <c r="A19" s="1695"/>
      <c r="B19" s="1700"/>
      <c r="C19" s="7" t="s">
        <v>13</v>
      </c>
      <c r="D19" s="21" t="s">
        <v>19</v>
      </c>
      <c r="E19" s="2364" t="s">
        <v>52</v>
      </c>
      <c r="F19" s="2357">
        <v>0</v>
      </c>
    </row>
    <row r="20" spans="1:6">
      <c r="A20" s="1695"/>
      <c r="B20" s="1700"/>
      <c r="C20" s="7" t="s">
        <v>16</v>
      </c>
      <c r="D20" s="21" t="s">
        <v>22</v>
      </c>
      <c r="E20" s="2364" t="s">
        <v>53</v>
      </c>
      <c r="F20" s="2357">
        <v>0</v>
      </c>
    </row>
    <row r="21" spans="1:6">
      <c r="A21" s="1696"/>
      <c r="B21" s="1701"/>
      <c r="C21" s="8"/>
      <c r="D21" s="9" t="s">
        <v>30</v>
      </c>
      <c r="E21" s="22">
        <f>SUM(E10:E18)</f>
        <v>24007574000000</v>
      </c>
      <c r="F21" s="335">
        <f>SUM(F7:F9)</f>
        <v>23391776.504152268</v>
      </c>
    </row>
    <row r="22" spans="1:6">
      <c r="A22" s="1694">
        <v>3</v>
      </c>
      <c r="B22" s="1685" t="s">
        <v>47</v>
      </c>
      <c r="C22" s="10" t="s">
        <v>6</v>
      </c>
      <c r="D22" s="20" t="s">
        <v>23</v>
      </c>
      <c r="E22" s="2365">
        <f>ROUNDUP(Construction!F3,-6)</f>
        <v>287281000000</v>
      </c>
      <c r="F22" s="2357">
        <v>0</v>
      </c>
    </row>
    <row r="23" spans="1:6">
      <c r="A23" s="1695"/>
      <c r="B23" s="1686"/>
      <c r="C23" s="10" t="s">
        <v>9</v>
      </c>
      <c r="D23" s="20" t="s">
        <v>24</v>
      </c>
      <c r="E23" s="2365">
        <f>ROUNDUP(Construction!F4,-6)</f>
        <v>11352175000000</v>
      </c>
      <c r="F23" s="2357">
        <v>0</v>
      </c>
    </row>
    <row r="24" spans="1:6">
      <c r="A24" s="1695"/>
      <c r="B24" s="1686"/>
      <c r="C24" s="10" t="s">
        <v>10</v>
      </c>
      <c r="D24" s="20" t="s">
        <v>25</v>
      </c>
      <c r="E24" s="2365">
        <f>ROUNDUP(Construction!F5,-6)</f>
        <v>1284816000000</v>
      </c>
      <c r="F24" s="2357">
        <v>0</v>
      </c>
    </row>
    <row r="25" spans="1:6" ht="30">
      <c r="A25" s="1695"/>
      <c r="B25" s="1686"/>
      <c r="C25" s="10" t="s">
        <v>13</v>
      </c>
      <c r="D25" s="20" t="s">
        <v>26</v>
      </c>
      <c r="E25" s="2365">
        <f>ROUNDUP(Construction!F6,-6)</f>
        <v>115133000000</v>
      </c>
      <c r="F25" s="2357">
        <v>0</v>
      </c>
    </row>
    <row r="26" spans="1:6">
      <c r="A26" s="1695"/>
      <c r="B26" s="1686"/>
      <c r="C26" s="1473" t="s">
        <v>16</v>
      </c>
      <c r="D26" s="1474" t="str">
        <f>Construction!K7</f>
        <v>ه: هزینه دفتر فنی کارگاه</v>
      </c>
      <c r="E26" s="2365">
        <f>Construction!F7</f>
        <v>72000000000</v>
      </c>
      <c r="F26" s="2357"/>
    </row>
    <row r="27" spans="1:6">
      <c r="A27" s="1697"/>
      <c r="B27" s="1687"/>
      <c r="C27" s="11"/>
      <c r="D27" s="12" t="s">
        <v>31</v>
      </c>
      <c r="E27" s="2366">
        <f>SUM(E22:E26)</f>
        <v>13111405000000</v>
      </c>
      <c r="F27" s="2357">
        <v>0</v>
      </c>
    </row>
    <row r="28" spans="1:6" ht="30">
      <c r="A28" s="1527">
        <v>4</v>
      </c>
      <c r="B28" s="1528" t="s">
        <v>4481</v>
      </c>
      <c r="C28" s="1473" t="s">
        <v>6</v>
      </c>
      <c r="D28" s="1529" t="s">
        <v>4482</v>
      </c>
      <c r="E28" s="2366">
        <f>ROUNDUP((F21*USD_Change_IRR+E27+E21+E6)*1/100,-6)</f>
        <v>479384000000</v>
      </c>
      <c r="F28" s="2358"/>
    </row>
    <row r="29" spans="1:6" ht="16.5" thickBot="1">
      <c r="A29" s="5"/>
      <c r="B29" s="5"/>
      <c r="C29" s="5"/>
      <c r="D29" s="5" t="s">
        <v>4507</v>
      </c>
      <c r="E29" s="2367">
        <f>E6+E21+E27+E28</f>
        <v>38593172000000</v>
      </c>
      <c r="F29" s="327">
        <f t="shared" ref="F29" si="0">F6+F21+F27</f>
        <v>23391776.504152268</v>
      </c>
    </row>
    <row r="30" spans="1:6" ht="15.75" thickTop="1">
      <c r="E30" s="2368"/>
    </row>
  </sheetData>
  <mergeCells count="10">
    <mergeCell ref="B22:B27"/>
    <mergeCell ref="B1:D1"/>
    <mergeCell ref="A2:A6"/>
    <mergeCell ref="A7:A21"/>
    <mergeCell ref="A22:A27"/>
    <mergeCell ref="B7:B14"/>
    <mergeCell ref="B15:B21"/>
    <mergeCell ref="C15:C16"/>
    <mergeCell ref="C7:C8"/>
    <mergeCell ref="B2:B6"/>
  </mergeCells>
  <printOptions horizontalCentered="1"/>
  <pageMargins left="0.70866141732283472" right="0.70866141732283472" top="0.74803149606299213" bottom="0.74803149606299213" header="0.31496062992125984" footer="0.31496062992125984"/>
  <pageSetup paperSize="9" scale="8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Q18"/>
  <sheetViews>
    <sheetView rightToLeft="1" view="pageBreakPreview" zoomScaleNormal="100" zoomScaleSheetLayoutView="100" workbookViewId="0">
      <selection activeCell="B1" sqref="B1"/>
    </sheetView>
  </sheetViews>
  <sheetFormatPr defaultRowHeight="15"/>
  <cols>
    <col min="1" max="1" width="22.85546875" bestFit="1" customWidth="1"/>
    <col min="2" max="2" width="21.28515625" bestFit="1" customWidth="1"/>
    <col min="3" max="3" width="16.7109375" customWidth="1"/>
    <col min="13" max="13" width="48.42578125" bestFit="1" customWidth="1"/>
    <col min="16" max="16" width="11.5703125" customWidth="1"/>
  </cols>
  <sheetData>
    <row r="1" spans="1:17" ht="30">
      <c r="A1" s="1521" t="s">
        <v>32</v>
      </c>
      <c r="B1" s="1596">
        <f>447996/412907</f>
        <v>1.0849803951010761</v>
      </c>
      <c r="C1" s="1025"/>
      <c r="D1" s="1556" t="s">
        <v>4326</v>
      </c>
      <c r="E1" s="1025" t="s">
        <v>4325</v>
      </c>
      <c r="F1" s="1025" t="s">
        <v>2256</v>
      </c>
      <c r="G1" s="1025" t="s">
        <v>2260</v>
      </c>
      <c r="H1" s="1025" t="s">
        <v>2261</v>
      </c>
      <c r="I1" s="1025" t="s">
        <v>4325</v>
      </c>
      <c r="J1" s="1025" t="s">
        <v>2256</v>
      </c>
      <c r="K1" s="1025" t="s">
        <v>2260</v>
      </c>
      <c r="L1" s="1025" t="s">
        <v>2261</v>
      </c>
      <c r="M1" s="1030" t="s">
        <v>4333</v>
      </c>
      <c r="N1" s="1025" t="s">
        <v>4326</v>
      </c>
      <c r="O1" s="1033" t="s">
        <v>4334</v>
      </c>
      <c r="P1" s="1033" t="s">
        <v>4335</v>
      </c>
      <c r="Q1" s="1029" t="s">
        <v>4336</v>
      </c>
    </row>
    <row r="2" spans="1:17">
      <c r="A2" s="1521" t="s">
        <v>33</v>
      </c>
      <c r="B2" s="1557">
        <v>420000</v>
      </c>
      <c r="C2" s="1025" t="s">
        <v>1</v>
      </c>
      <c r="D2" s="1556">
        <v>94</v>
      </c>
      <c r="E2" s="1025">
        <v>-12.6</v>
      </c>
      <c r="F2" s="1025">
        <v>-0.62</v>
      </c>
      <c r="G2" s="1025">
        <v>-2.2999999999999998</v>
      </c>
      <c r="H2" s="1025">
        <v>-1.6</v>
      </c>
      <c r="I2" s="1025">
        <f>1+E2/100</f>
        <v>0.874</v>
      </c>
      <c r="J2" s="1025">
        <f t="shared" ref="J2:L8" si="0">1+F2/100</f>
        <v>0.99380000000000002</v>
      </c>
      <c r="K2" s="1025">
        <f t="shared" si="0"/>
        <v>0.97699999999999998</v>
      </c>
      <c r="L2" s="1025">
        <f t="shared" si="0"/>
        <v>0.98399999999999999</v>
      </c>
      <c r="M2" s="1031" t="s">
        <v>4327</v>
      </c>
      <c r="N2" s="1025">
        <v>1395</v>
      </c>
      <c r="O2" s="1025"/>
      <c r="P2" s="1025">
        <v>4.7</v>
      </c>
    </row>
    <row r="3" spans="1:17">
      <c r="A3" s="1521" t="s">
        <v>4508</v>
      </c>
      <c r="B3" s="1521">
        <f>Contractor_profit*Contingency_Reserve*Administration_cost</f>
        <v>1.2713249999999998</v>
      </c>
      <c r="C3" s="1025"/>
      <c r="D3" s="1556">
        <v>95</v>
      </c>
      <c r="E3" s="1025">
        <v>1.9</v>
      </c>
      <c r="F3" s="1025">
        <v>3.4</v>
      </c>
      <c r="G3" s="1025">
        <v>2.7</v>
      </c>
      <c r="H3" s="1025">
        <v>2</v>
      </c>
      <c r="I3" s="1025">
        <f t="shared" ref="I3:I12" si="1">1+E3/100</f>
        <v>1.0189999999999999</v>
      </c>
      <c r="J3" s="1025">
        <f t="shared" si="0"/>
        <v>1.034</v>
      </c>
      <c r="K3" s="1025">
        <f t="shared" si="0"/>
        <v>1.0269999999999999</v>
      </c>
      <c r="L3" s="1025">
        <f t="shared" si="0"/>
        <v>1.02</v>
      </c>
      <c r="M3" s="1031" t="s">
        <v>4328</v>
      </c>
      <c r="N3" s="1025">
        <v>1396</v>
      </c>
      <c r="O3" s="1025"/>
      <c r="P3" s="1025">
        <v>13.3</v>
      </c>
    </row>
    <row r="4" spans="1:17">
      <c r="A4" s="1521" t="s">
        <v>43</v>
      </c>
      <c r="B4" s="1521">
        <f>Contractor_profit*Contingency_Reserve*Administration_cost</f>
        <v>1.2713249999999998</v>
      </c>
      <c r="C4" s="1025"/>
      <c r="D4" s="1556">
        <v>96</v>
      </c>
      <c r="E4" s="1025">
        <v>31.8</v>
      </c>
      <c r="F4" s="1025">
        <v>6.7</v>
      </c>
      <c r="G4" s="1025">
        <v>0.8</v>
      </c>
      <c r="H4" s="1025">
        <v>11.5</v>
      </c>
      <c r="I4" s="1025">
        <f t="shared" si="1"/>
        <v>1.3180000000000001</v>
      </c>
      <c r="J4" s="1025">
        <f t="shared" si="0"/>
        <v>1.0669999999999999</v>
      </c>
      <c r="K4" s="1025">
        <f t="shared" si="0"/>
        <v>1.008</v>
      </c>
      <c r="L4" s="1025">
        <f t="shared" si="0"/>
        <v>1.115</v>
      </c>
      <c r="M4" s="1031" t="s">
        <v>4329</v>
      </c>
      <c r="N4" s="1025">
        <v>1397</v>
      </c>
      <c r="O4" s="1025"/>
      <c r="P4" s="1025">
        <v>58.6</v>
      </c>
    </row>
    <row r="5" spans="1:17">
      <c r="A5" s="1521" t="s">
        <v>44</v>
      </c>
      <c r="B5" s="1521">
        <f>Contractor_profit*Contingency_Reserve*Administration_cost</f>
        <v>1.2713249999999998</v>
      </c>
      <c r="C5" s="1025"/>
      <c r="D5" s="1556">
        <v>97</v>
      </c>
      <c r="E5" s="1025">
        <v>67.900000000000006</v>
      </c>
      <c r="F5" s="1025">
        <v>66.7</v>
      </c>
      <c r="G5" s="1025">
        <v>58.8</v>
      </c>
      <c r="H5" s="1025">
        <v>68.099999999999994</v>
      </c>
      <c r="I5" s="1025">
        <f t="shared" si="1"/>
        <v>1.679</v>
      </c>
      <c r="J5" s="1025">
        <f t="shared" si="0"/>
        <v>1.667</v>
      </c>
      <c r="K5" s="1025">
        <f t="shared" si="0"/>
        <v>1.5880000000000001</v>
      </c>
      <c r="L5" s="1025">
        <f t="shared" si="0"/>
        <v>1.681</v>
      </c>
      <c r="M5" s="1031" t="s">
        <v>4330</v>
      </c>
      <c r="N5" s="1025">
        <v>1398</v>
      </c>
      <c r="O5" s="1025">
        <v>246.2</v>
      </c>
      <c r="P5" s="1025">
        <v>37.1</v>
      </c>
    </row>
    <row r="6" spans="1:17">
      <c r="A6" s="1521" t="s">
        <v>970</v>
      </c>
      <c r="B6" s="1025" t="s">
        <v>4340</v>
      </c>
      <c r="C6" s="1025" t="s">
        <v>4341</v>
      </c>
      <c r="D6" s="1556">
        <v>98</v>
      </c>
      <c r="E6" s="1025">
        <v>32.700000000000003</v>
      </c>
      <c r="F6" s="1025">
        <v>49.2</v>
      </c>
      <c r="G6" s="1025">
        <v>43.1</v>
      </c>
      <c r="H6" s="1025">
        <v>43</v>
      </c>
      <c r="I6" s="1025">
        <f t="shared" si="1"/>
        <v>1.327</v>
      </c>
      <c r="J6" s="1025">
        <f t="shared" si="0"/>
        <v>1.492</v>
      </c>
      <c r="K6" s="1025">
        <f t="shared" si="0"/>
        <v>1.431</v>
      </c>
      <c r="L6" s="1025">
        <f t="shared" si="0"/>
        <v>1.43</v>
      </c>
      <c r="M6" s="1032"/>
      <c r="N6" s="1025">
        <v>1399</v>
      </c>
      <c r="O6" s="1025">
        <v>386.1</v>
      </c>
      <c r="P6" s="1025">
        <v>56.8</v>
      </c>
    </row>
    <row r="7" spans="1:17">
      <c r="A7" s="1025">
        <v>1392</v>
      </c>
      <c r="B7" s="1558">
        <v>0.373</v>
      </c>
      <c r="C7" s="1558">
        <v>0.02</v>
      </c>
      <c r="D7" s="1556">
        <v>99</v>
      </c>
      <c r="E7" s="1025">
        <v>105.6</v>
      </c>
      <c r="F7" s="1025">
        <v>62.9</v>
      </c>
      <c r="G7" s="1025">
        <v>37.299999999999997</v>
      </c>
      <c r="H7" s="1025">
        <v>71</v>
      </c>
      <c r="I7" s="1025">
        <f t="shared" si="1"/>
        <v>2.056</v>
      </c>
      <c r="J7" s="1025">
        <f t="shared" si="0"/>
        <v>1.629</v>
      </c>
      <c r="K7" s="1025">
        <f t="shared" si="0"/>
        <v>1.373</v>
      </c>
      <c r="L7" s="1025">
        <f t="shared" si="0"/>
        <v>1.71</v>
      </c>
      <c r="M7" s="1032"/>
      <c r="N7" s="1025">
        <v>1400</v>
      </c>
      <c r="O7" s="1025">
        <v>605</v>
      </c>
      <c r="P7" s="1025">
        <v>56.7</v>
      </c>
    </row>
    <row r="8" spans="1:17">
      <c r="A8" s="1025">
        <v>1393</v>
      </c>
      <c r="B8" s="1558">
        <v>0.156</v>
      </c>
      <c r="C8" s="1558">
        <v>0.02</v>
      </c>
      <c r="D8" s="1556">
        <v>1400</v>
      </c>
      <c r="E8" s="1025">
        <v>54.9</v>
      </c>
      <c r="F8" s="1025">
        <v>53.4</v>
      </c>
      <c r="G8" s="1025">
        <v>37.6</v>
      </c>
      <c r="H8" s="1025">
        <v>46.9</v>
      </c>
      <c r="I8" s="1025">
        <f t="shared" si="1"/>
        <v>1.5489999999999999</v>
      </c>
      <c r="J8" s="1025">
        <f t="shared" si="0"/>
        <v>1.534</v>
      </c>
      <c r="K8" s="1025">
        <f t="shared" si="0"/>
        <v>1.3759999999999999</v>
      </c>
      <c r="L8" s="1025">
        <f t="shared" si="0"/>
        <v>1.4689999999999999</v>
      </c>
      <c r="M8" s="1032"/>
      <c r="N8" s="1025">
        <v>99.2</v>
      </c>
      <c r="O8" s="1025">
        <v>355.6</v>
      </c>
      <c r="P8" s="1025">
        <v>23.9</v>
      </c>
    </row>
    <row r="9" spans="1:17">
      <c r="A9" s="1025">
        <v>1394</v>
      </c>
      <c r="B9" s="1558">
        <v>0.11899999999999999</v>
      </c>
      <c r="C9" s="1558">
        <v>0.02</v>
      </c>
      <c r="D9" s="1556">
        <v>1400.2</v>
      </c>
      <c r="E9" s="1025">
        <v>98.2</v>
      </c>
      <c r="F9" s="1025">
        <v>71.5</v>
      </c>
      <c r="G9" s="1025">
        <v>53.3</v>
      </c>
      <c r="H9" s="1025">
        <v>79.3</v>
      </c>
      <c r="I9" s="1025">
        <v>1</v>
      </c>
      <c r="J9" s="1025">
        <v>1</v>
      </c>
      <c r="K9" s="1025">
        <v>1</v>
      </c>
      <c r="L9" s="1025">
        <v>1</v>
      </c>
      <c r="M9" s="1032"/>
      <c r="N9" s="1025">
        <v>99.3</v>
      </c>
      <c r="O9" s="1025">
        <v>433.1</v>
      </c>
      <c r="P9" s="1025">
        <v>37.4</v>
      </c>
    </row>
    <row r="10" spans="1:17">
      <c r="A10" s="1025">
        <v>1395</v>
      </c>
      <c r="B10" s="1558">
        <v>0.09</v>
      </c>
      <c r="C10" s="1558">
        <v>0.02</v>
      </c>
      <c r="D10" s="1556">
        <v>1400.3</v>
      </c>
      <c r="E10" s="1025">
        <v>72.3</v>
      </c>
      <c r="F10" s="1025">
        <v>61.9</v>
      </c>
      <c r="G10" s="1025">
        <v>45</v>
      </c>
      <c r="H10" s="1025">
        <v>60.9</v>
      </c>
      <c r="I10" s="1025">
        <v>1</v>
      </c>
      <c r="J10" s="1025">
        <v>1</v>
      </c>
      <c r="K10" s="1025">
        <v>1</v>
      </c>
      <c r="L10" s="1025">
        <v>1</v>
      </c>
      <c r="M10" s="1032"/>
      <c r="N10" s="1025">
        <v>99.4</v>
      </c>
      <c r="O10" s="1025">
        <v>485.8</v>
      </c>
      <c r="P10" s="1025">
        <v>56.8</v>
      </c>
    </row>
    <row r="11" spans="1:17">
      <c r="A11" s="1025">
        <v>1396</v>
      </c>
      <c r="B11" s="1558">
        <v>9.6000000000000002E-2</v>
      </c>
      <c r="C11" s="1558">
        <v>0.02</v>
      </c>
      <c r="D11" s="1556">
        <v>1400.4</v>
      </c>
      <c r="E11" s="1025">
        <v>54.9</v>
      </c>
      <c r="F11" s="1025">
        <v>53.4</v>
      </c>
      <c r="G11" s="1025">
        <v>37.6</v>
      </c>
      <c r="H11" s="1025">
        <v>46.9</v>
      </c>
      <c r="I11" s="1025">
        <v>1</v>
      </c>
      <c r="J11" s="1025">
        <v>1</v>
      </c>
      <c r="K11" s="1025">
        <v>1</v>
      </c>
      <c r="L11" s="1025">
        <v>1</v>
      </c>
      <c r="M11" s="1032"/>
      <c r="N11" s="1025">
        <v>1400.1</v>
      </c>
      <c r="O11" s="1025">
        <v>525.6</v>
      </c>
      <c r="P11" s="1025">
        <v>78.5</v>
      </c>
    </row>
    <row r="12" spans="1:17">
      <c r="A12" s="1025">
        <v>1397</v>
      </c>
      <c r="B12" s="1558">
        <v>0.312</v>
      </c>
      <c r="C12" s="1558">
        <v>0.02</v>
      </c>
      <c r="D12" s="1556">
        <v>1401.1</v>
      </c>
      <c r="E12" s="1025">
        <v>36.5</v>
      </c>
      <c r="F12" s="1025">
        <v>46</v>
      </c>
      <c r="G12" s="1025">
        <v>27.3</v>
      </c>
      <c r="H12" s="1025">
        <v>38.200000000000003</v>
      </c>
      <c r="I12" s="1025">
        <f t="shared" si="1"/>
        <v>1.365</v>
      </c>
      <c r="J12" s="1025">
        <f t="shared" ref="J12" si="2">1+F12/100</f>
        <v>1.46</v>
      </c>
      <c r="K12" s="1025">
        <f t="shared" ref="K12" si="3">1+G12/100</f>
        <v>1.2730000000000001</v>
      </c>
      <c r="L12" s="1025">
        <f t="shared" ref="L12" si="4">1+H12/100</f>
        <v>1.3820000000000001</v>
      </c>
      <c r="M12" s="1032"/>
      <c r="N12" s="1025">
        <v>1400.2</v>
      </c>
      <c r="O12" s="1025">
        <v>577</v>
      </c>
      <c r="P12" s="1025">
        <v>80.400000000000006</v>
      </c>
    </row>
    <row r="13" spans="1:17">
      <c r="A13" s="1025">
        <v>1398</v>
      </c>
      <c r="B13" s="1558">
        <v>0.41199999999999998</v>
      </c>
      <c r="C13" s="1558">
        <v>0.02</v>
      </c>
      <c r="D13" s="1556">
        <v>1401.2</v>
      </c>
      <c r="E13" s="1025">
        <v>21.6</v>
      </c>
      <c r="F13" s="1025">
        <v>41.6</v>
      </c>
      <c r="G13" s="1025">
        <v>21.2</v>
      </c>
      <c r="H13" s="1025">
        <v>35.4</v>
      </c>
      <c r="I13" s="1025">
        <v>1</v>
      </c>
      <c r="J13" s="1025">
        <v>1</v>
      </c>
      <c r="K13" s="1025">
        <v>1</v>
      </c>
      <c r="L13" s="1025">
        <v>1</v>
      </c>
      <c r="M13" s="1032"/>
      <c r="N13" s="1025">
        <v>1400.3</v>
      </c>
      <c r="O13" s="1025">
        <v>633.9</v>
      </c>
      <c r="P13" s="1025">
        <v>69.7</v>
      </c>
    </row>
    <row r="14" spans="1:17">
      <c r="A14" s="1025">
        <v>1399</v>
      </c>
      <c r="B14" s="1558">
        <v>0.47099999999999997</v>
      </c>
      <c r="C14" s="1558">
        <v>1.2E-2</v>
      </c>
      <c r="D14" s="1556"/>
      <c r="E14" s="1025"/>
      <c r="F14" s="1025"/>
      <c r="G14" s="1025"/>
      <c r="H14" s="1025"/>
      <c r="I14" s="1025">
        <f>PRODUCT(I2:I13)</f>
        <v>11.369197878682478</v>
      </c>
      <c r="J14" s="1025">
        <f t="shared" ref="J14:L14" si="5">PRODUCT(J2:J13)</f>
        <v>9.9491888220735536</v>
      </c>
      <c r="K14" s="1025">
        <f t="shared" si="5"/>
        <v>5.5275546627032961</v>
      </c>
      <c r="L14" s="1025">
        <f t="shared" si="5"/>
        <v>9.3389884373994629</v>
      </c>
      <c r="M14" s="1032" t="s">
        <v>4331</v>
      </c>
      <c r="N14" s="1025">
        <v>1400.4</v>
      </c>
      <c r="O14" s="1025">
        <v>683.6</v>
      </c>
      <c r="P14" s="1025">
        <v>56.7</v>
      </c>
    </row>
    <row r="15" spans="1:17">
      <c r="A15" s="1025">
        <v>1400</v>
      </c>
      <c r="B15" s="1558">
        <v>0.46200000000000002</v>
      </c>
      <c r="C15" s="1558">
        <v>4.7E-2</v>
      </c>
      <c r="N15" s="1025">
        <v>1401.1</v>
      </c>
      <c r="O15" s="1025">
        <v>768.9</v>
      </c>
      <c r="P15" s="1025">
        <v>48</v>
      </c>
    </row>
    <row r="16" spans="1:17">
      <c r="A16" s="1025">
        <v>1401</v>
      </c>
      <c r="B16" s="1558">
        <v>0.46500000000000002</v>
      </c>
      <c r="C16" s="1558">
        <v>0.08</v>
      </c>
      <c r="N16" s="1025">
        <v>1401.2</v>
      </c>
      <c r="O16" s="1025">
        <v>750.9</v>
      </c>
      <c r="P16" s="1025">
        <v>40.4</v>
      </c>
    </row>
    <row r="17" spans="1:3">
      <c r="A17" s="1025">
        <v>1402</v>
      </c>
      <c r="B17" s="1558">
        <v>0.5</v>
      </c>
      <c r="C17" s="1558">
        <v>0.04</v>
      </c>
    </row>
    <row r="18" spans="1:3">
      <c r="A18" s="1025"/>
      <c r="B18" s="1025">
        <f>PRODUCT(B7+1,B8+1,B9+1,B10+1,B11+1,B12+1,B13+1,B14+1,B15+1,B16+1,B17+1)</f>
        <v>18.576032866437732</v>
      </c>
      <c r="C18" s="1025">
        <f>PRODUCT(C7+1,C8+1,C9+1,C10+1,C11+1,C12+1,C13+1,C14+1,C15+1,C16+1,C17+1)</f>
        <v>1.3670534375864218</v>
      </c>
    </row>
  </sheetData>
  <pageMargins left="0.7" right="0.7" top="0.75" bottom="0.75" header="0.3" footer="0.3"/>
  <pageSetup paperSize="9" scale="51" orientation="portrait" r:id="rId1"/>
  <colBreaks count="2" manualBreakCount="2">
    <brk id="3" max="1048575" man="1"/>
    <brk id="17" max="1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5"/>
  <dimension ref="A1:AW47"/>
  <sheetViews>
    <sheetView rightToLeft="1" topLeftCell="AG1" zoomScale="90" zoomScaleNormal="90" workbookViewId="0">
      <selection activeCell="AH59" sqref="AH59"/>
    </sheetView>
  </sheetViews>
  <sheetFormatPr defaultColWidth="8.85546875" defaultRowHeight="15"/>
  <cols>
    <col min="1" max="1" width="14.42578125" style="661" bestFit="1" customWidth="1"/>
    <col min="2" max="26" width="7" style="661" customWidth="1"/>
    <col min="27" max="27" width="8.85546875" style="661"/>
    <col min="28" max="28" width="14.28515625" style="661" customWidth="1"/>
    <col min="29" max="29" width="12.7109375" style="662" customWidth="1"/>
    <col min="30" max="30" width="10.7109375" style="662" customWidth="1"/>
    <col min="31" max="31" width="20.85546875" style="662" customWidth="1"/>
    <col min="32" max="32" width="14.85546875" style="662" customWidth="1"/>
    <col min="33" max="35" width="11.5703125" style="662" customWidth="1"/>
    <col min="36" max="36" width="20.28515625" style="662" customWidth="1"/>
    <col min="37" max="37" width="11.5703125" style="662" customWidth="1"/>
    <col min="38" max="38" width="32.140625" style="662" customWidth="1"/>
    <col min="39" max="39" width="8.85546875" style="661"/>
    <col min="40" max="40" width="8.85546875" style="661" customWidth="1"/>
    <col min="41" max="42" width="8.85546875" style="661"/>
    <col min="43" max="43" width="11.85546875" style="661" customWidth="1"/>
    <col min="44" max="44" width="11.28515625" style="661" customWidth="1"/>
    <col min="45" max="45" width="14.42578125" style="661" customWidth="1"/>
    <col min="46" max="46" width="15.5703125" style="661" customWidth="1"/>
    <col min="47" max="47" width="12.85546875" style="661" customWidth="1"/>
    <col min="48" max="48" width="21.28515625" style="661" customWidth="1"/>
    <col min="49" max="16384" width="8.85546875" style="661"/>
  </cols>
  <sheetData>
    <row r="1" spans="1:49" ht="21" customHeight="1">
      <c r="A1" s="658"/>
      <c r="B1" s="1707" t="s">
        <v>2246</v>
      </c>
      <c r="C1" s="1708"/>
      <c r="D1" s="1708"/>
      <c r="E1" s="1708"/>
      <c r="F1" s="1708"/>
      <c r="G1" s="1708"/>
      <c r="H1" s="1708"/>
      <c r="I1" s="1708"/>
      <c r="J1" s="1708"/>
      <c r="K1" s="1708"/>
      <c r="L1" s="1708"/>
      <c r="M1" s="1708"/>
      <c r="N1" s="1708"/>
      <c r="O1" s="1708"/>
      <c r="P1" s="1708"/>
      <c r="Q1" s="1708"/>
      <c r="R1" s="1708"/>
      <c r="S1" s="1708"/>
      <c r="T1" s="1708"/>
      <c r="U1" s="1708"/>
      <c r="V1" s="1708"/>
      <c r="W1" s="1708"/>
      <c r="X1" s="1708"/>
      <c r="Y1" s="659"/>
      <c r="Z1" s="660"/>
      <c r="AE1" s="1711" t="s">
        <v>2247</v>
      </c>
      <c r="AF1" s="1713" t="s">
        <v>2248</v>
      </c>
      <c r="AG1" s="1713"/>
      <c r="AH1" s="1713"/>
      <c r="AI1" s="1713" t="s">
        <v>2249</v>
      </c>
      <c r="AJ1" s="1713"/>
      <c r="AK1" s="1713"/>
      <c r="AL1" s="1714" t="s">
        <v>2</v>
      </c>
      <c r="AS1" s="1500"/>
    </row>
    <row r="2" spans="1:49" ht="16.5" thickBot="1">
      <c r="A2" s="663"/>
      <c r="B2" s="1709"/>
      <c r="C2" s="1709"/>
      <c r="D2" s="1709"/>
      <c r="E2" s="1709"/>
      <c r="F2" s="1709"/>
      <c r="G2" s="1709"/>
      <c r="H2" s="1709"/>
      <c r="I2" s="1709"/>
      <c r="J2" s="1709"/>
      <c r="K2" s="1709"/>
      <c r="L2" s="1709"/>
      <c r="M2" s="1709"/>
      <c r="N2" s="1709"/>
      <c r="O2" s="1709"/>
      <c r="P2" s="1709"/>
      <c r="Q2" s="1709"/>
      <c r="R2" s="1709"/>
      <c r="S2" s="1709"/>
      <c r="T2" s="1709"/>
      <c r="U2" s="1709"/>
      <c r="V2" s="1709"/>
      <c r="W2" s="1709"/>
      <c r="X2" s="1709"/>
      <c r="Z2" s="664"/>
      <c r="AE2" s="1712"/>
      <c r="AF2" s="665" t="s">
        <v>2250</v>
      </c>
      <c r="AG2" s="665" t="s">
        <v>2251</v>
      </c>
      <c r="AH2" s="665" t="s">
        <v>2252</v>
      </c>
      <c r="AI2" s="665" t="s">
        <v>2250</v>
      </c>
      <c r="AJ2" s="665" t="s">
        <v>2251</v>
      </c>
      <c r="AK2" s="665" t="s">
        <v>2252</v>
      </c>
      <c r="AL2" s="1715"/>
      <c r="AS2" s="1500"/>
    </row>
    <row r="3" spans="1:49" ht="25.5" customHeight="1" thickBot="1">
      <c r="A3" s="663"/>
      <c r="B3" s="1710"/>
      <c r="C3" s="1710"/>
      <c r="D3" s="1710"/>
      <c r="E3" s="1710"/>
      <c r="F3" s="1710"/>
      <c r="G3" s="1710"/>
      <c r="H3" s="1710"/>
      <c r="I3" s="1710"/>
      <c r="J3" s="1710"/>
      <c r="K3" s="1710"/>
      <c r="L3" s="1710"/>
      <c r="M3" s="1710"/>
      <c r="N3" s="1710"/>
      <c r="O3" s="1710"/>
      <c r="P3" s="1710"/>
      <c r="Q3" s="1710"/>
      <c r="R3" s="1710"/>
      <c r="S3" s="1710"/>
      <c r="T3" s="1710"/>
      <c r="U3" s="1710"/>
      <c r="V3" s="1710"/>
      <c r="W3" s="1710"/>
      <c r="X3" s="1710"/>
      <c r="Z3" s="664"/>
      <c r="AE3" s="666">
        <f>(AK3*AH3+AJ3*AG3+AI3*AF3)</f>
        <v>45441000000</v>
      </c>
      <c r="AF3" s="667">
        <v>9180000</v>
      </c>
      <c r="AG3" s="667"/>
      <c r="AH3" s="667"/>
      <c r="AI3" s="667">
        <f>SUM(W9,U9,S9,Q9,O9,M9,K9,I9,G9,E9,C9)</f>
        <v>4950</v>
      </c>
      <c r="AJ3" s="667"/>
      <c r="AK3" s="667"/>
      <c r="AL3" s="668" t="s">
        <v>2253</v>
      </c>
      <c r="AN3" s="1510"/>
      <c r="AO3" s="1510"/>
      <c r="AP3" s="1510"/>
      <c r="AQ3" s="1511"/>
      <c r="AR3" s="1511"/>
      <c r="AS3" s="1511"/>
      <c r="AT3" s="1512"/>
      <c r="AV3" s="1500"/>
    </row>
    <row r="4" spans="1:49" ht="22.5" customHeight="1" thickBot="1">
      <c r="A4" s="1703" t="s">
        <v>2254</v>
      </c>
      <c r="B4" s="1704"/>
      <c r="C4" s="1704"/>
      <c r="D4" s="1704"/>
      <c r="E4" s="1704"/>
      <c r="F4" s="1704"/>
      <c r="G4" s="1704"/>
      <c r="H4" s="1704"/>
      <c r="I4" s="1704"/>
      <c r="J4" s="1704"/>
      <c r="K4" s="1704"/>
      <c r="L4" s="1704"/>
      <c r="M4" s="1704"/>
      <c r="N4" s="1704"/>
      <c r="O4" s="1704"/>
      <c r="P4" s="1704"/>
      <c r="Q4" s="1704"/>
      <c r="R4" s="1704"/>
      <c r="S4" s="1704"/>
      <c r="T4" s="1704"/>
      <c r="U4" s="1704"/>
      <c r="V4" s="1704"/>
      <c r="W4" s="1704"/>
      <c r="X4" s="1704"/>
      <c r="Y4" s="1704"/>
      <c r="Z4" s="1705"/>
      <c r="AE4" s="1706"/>
      <c r="AF4" s="1706"/>
      <c r="AG4" s="1706"/>
      <c r="AH4" s="1706"/>
      <c r="AI4" s="1706"/>
      <c r="AJ4" s="1706"/>
      <c r="AK4" s="1706"/>
      <c r="AL4" s="1706"/>
      <c r="AM4" s="1718"/>
      <c r="AS4" s="1500"/>
    </row>
    <row r="5" spans="1:49" ht="21" customHeight="1" thickBot="1">
      <c r="A5" s="658"/>
      <c r="B5" s="669"/>
      <c r="C5" s="669"/>
      <c r="D5" s="669"/>
      <c r="E5" s="669"/>
      <c r="F5" s="669"/>
      <c r="G5" s="669"/>
      <c r="H5" s="669"/>
      <c r="I5" s="669"/>
      <c r="J5" s="669"/>
      <c r="K5" s="669"/>
      <c r="L5" s="669"/>
      <c r="M5" s="669"/>
      <c r="N5" s="669"/>
      <c r="O5" s="669"/>
      <c r="P5" s="669"/>
      <c r="Q5" s="669"/>
      <c r="R5" s="669"/>
      <c r="S5" s="669"/>
      <c r="T5" s="669"/>
      <c r="U5" s="669"/>
      <c r="V5" s="669"/>
      <c r="W5" s="669"/>
      <c r="X5" s="669"/>
      <c r="Y5" s="659"/>
      <c r="Z5" s="660"/>
      <c r="AE5" s="1721"/>
      <c r="AF5" s="1721"/>
      <c r="AG5" s="1721"/>
      <c r="AH5" s="1721"/>
      <c r="AI5" s="1713" t="s">
        <v>2249</v>
      </c>
      <c r="AJ5" s="1713"/>
      <c r="AK5" s="1713"/>
      <c r="AL5" s="1714" t="s">
        <v>2</v>
      </c>
      <c r="AM5" s="1719"/>
      <c r="AN5" s="1739" t="s">
        <v>2</v>
      </c>
      <c r="AO5" s="1741" t="s">
        <v>4457</v>
      </c>
      <c r="AP5" s="1742"/>
      <c r="AQ5" s="1742"/>
      <c r="AR5" s="1743"/>
      <c r="AS5" s="1741" t="s">
        <v>4466</v>
      </c>
      <c r="AT5" s="1742"/>
      <c r="AU5" s="1743"/>
      <c r="AV5" s="1493" t="s">
        <v>4458</v>
      </c>
    </row>
    <row r="6" spans="1:49" ht="16.5" thickBot="1">
      <c r="A6" s="663"/>
      <c r="B6" s="669"/>
      <c r="C6" s="669"/>
      <c r="D6" s="669"/>
      <c r="E6" s="669"/>
      <c r="F6" s="669"/>
      <c r="G6" s="669"/>
      <c r="H6" s="669"/>
      <c r="I6" s="669"/>
      <c r="J6" s="669"/>
      <c r="K6" s="669"/>
      <c r="L6" s="669"/>
      <c r="M6" s="669"/>
      <c r="N6" s="669"/>
      <c r="O6" s="669"/>
      <c r="P6" s="669"/>
      <c r="Q6" s="669"/>
      <c r="R6" s="669"/>
      <c r="S6" s="669"/>
      <c r="T6" s="669"/>
      <c r="U6" s="669"/>
      <c r="V6" s="669"/>
      <c r="W6" s="669"/>
      <c r="X6" s="669"/>
      <c r="Z6" s="664"/>
      <c r="AE6" s="1721"/>
      <c r="AF6" s="1504"/>
      <c r="AG6" s="1504"/>
      <c r="AH6" s="1504"/>
      <c r="AI6" s="665" t="s">
        <v>2250</v>
      </c>
      <c r="AJ6" s="665" t="s">
        <v>2251</v>
      </c>
      <c r="AK6" s="665" t="s">
        <v>2252</v>
      </c>
      <c r="AL6" s="1715"/>
      <c r="AM6" s="1719"/>
      <c r="AN6" s="1740"/>
      <c r="AO6" s="1494" t="s">
        <v>4460</v>
      </c>
      <c r="AP6" s="1495" t="s">
        <v>2252</v>
      </c>
      <c r="AQ6" s="1495" t="s">
        <v>2251</v>
      </c>
      <c r="AR6" s="1495" t="s">
        <v>2250</v>
      </c>
      <c r="AS6" s="1495" t="s">
        <v>2252</v>
      </c>
      <c r="AT6" s="1495" t="s">
        <v>2251</v>
      </c>
      <c r="AU6" s="1495" t="s">
        <v>2250</v>
      </c>
      <c r="AV6" s="1499" t="s">
        <v>4459</v>
      </c>
    </row>
    <row r="7" spans="1:49" ht="33" customHeight="1" thickBot="1">
      <c r="A7" s="670"/>
      <c r="B7" s="1716" t="s">
        <v>2255</v>
      </c>
      <c r="C7" s="1717"/>
      <c r="D7" s="1717" t="s">
        <v>2256</v>
      </c>
      <c r="E7" s="1717"/>
      <c r="F7" s="1717" t="s">
        <v>2257</v>
      </c>
      <c r="G7" s="1717"/>
      <c r="H7" s="1717" t="s">
        <v>2258</v>
      </c>
      <c r="I7" s="1717"/>
      <c r="J7" s="1717" t="s">
        <v>2259</v>
      </c>
      <c r="K7" s="1717"/>
      <c r="L7" s="1717" t="s">
        <v>2260</v>
      </c>
      <c r="M7" s="1717"/>
      <c r="N7" s="1717" t="s">
        <v>2261</v>
      </c>
      <c r="O7" s="1717"/>
      <c r="P7" s="1717" t="s">
        <v>2262</v>
      </c>
      <c r="Q7" s="1717"/>
      <c r="R7" s="1717" t="s">
        <v>2263</v>
      </c>
      <c r="S7" s="1717"/>
      <c r="T7" s="1717" t="s">
        <v>2264</v>
      </c>
      <c r="U7" s="1717"/>
      <c r="V7" s="1717" t="s">
        <v>2265</v>
      </c>
      <c r="W7" s="1717"/>
      <c r="X7" s="1717" t="s">
        <v>2266</v>
      </c>
      <c r="Y7" s="1717"/>
      <c r="Z7" s="1722" t="s">
        <v>2267</v>
      </c>
      <c r="AC7" s="690"/>
      <c r="AE7" s="1024"/>
      <c r="AF7" s="690"/>
      <c r="AG7" s="690"/>
      <c r="AH7" s="690"/>
      <c r="AI7" s="671">
        <f>C23-C9</f>
        <v>1269</v>
      </c>
      <c r="AJ7" s="671">
        <f>B23</f>
        <v>5210.6499999999996</v>
      </c>
      <c r="AK7" s="671">
        <f t="shared" ref="AK7:AK16" si="0">Z10</f>
        <v>624.75</v>
      </c>
      <c r="AL7" s="672" t="s">
        <v>2268</v>
      </c>
      <c r="AM7" s="1720"/>
      <c r="AN7" s="1739" t="s">
        <v>2268</v>
      </c>
      <c r="AO7" s="1494" t="s">
        <v>4461</v>
      </c>
      <c r="AP7" s="1496">
        <f>ROUND(AK$7*0.4,0)</f>
        <v>250</v>
      </c>
      <c r="AQ7" s="1496">
        <f>ROUND(AJ$7*0.4,0)</f>
        <v>2084</v>
      </c>
      <c r="AR7" s="1496">
        <f>ROUND(AI$7*0.4,0)</f>
        <v>508</v>
      </c>
      <c r="AS7" s="1508">
        <v>5120000</v>
      </c>
      <c r="AT7" s="1509">
        <v>6400000</v>
      </c>
      <c r="AU7" s="1509">
        <v>8000000</v>
      </c>
      <c r="AV7" s="1502">
        <f>SUMPRODUCT(AS7:AU7,AP7:AR7)</f>
        <v>18681600000</v>
      </c>
    </row>
    <row r="8" spans="1:49" ht="33" customHeight="1" thickBot="1">
      <c r="A8" s="673"/>
      <c r="B8" s="674" t="s">
        <v>2269</v>
      </c>
      <c r="C8" s="675" t="s">
        <v>2270</v>
      </c>
      <c r="D8" s="675" t="s">
        <v>2269</v>
      </c>
      <c r="E8" s="675" t="s">
        <v>2270</v>
      </c>
      <c r="F8" s="675" t="s">
        <v>2269</v>
      </c>
      <c r="G8" s="675" t="s">
        <v>2270</v>
      </c>
      <c r="H8" s="675" t="s">
        <v>2269</v>
      </c>
      <c r="I8" s="675" t="s">
        <v>2270</v>
      </c>
      <c r="J8" s="675" t="s">
        <v>2269</v>
      </c>
      <c r="K8" s="675" t="s">
        <v>2270</v>
      </c>
      <c r="L8" s="675" t="s">
        <v>2269</v>
      </c>
      <c r="M8" s="675" t="s">
        <v>2270</v>
      </c>
      <c r="N8" s="675" t="s">
        <v>2269</v>
      </c>
      <c r="O8" s="675" t="s">
        <v>2270</v>
      </c>
      <c r="P8" s="675" t="s">
        <v>2269</v>
      </c>
      <c r="Q8" s="675" t="s">
        <v>2270</v>
      </c>
      <c r="R8" s="675" t="s">
        <v>2269</v>
      </c>
      <c r="S8" s="675" t="s">
        <v>2270</v>
      </c>
      <c r="T8" s="675" t="s">
        <v>2269</v>
      </c>
      <c r="U8" s="675" t="s">
        <v>2270</v>
      </c>
      <c r="V8" s="675" t="s">
        <v>2269</v>
      </c>
      <c r="W8" s="675" t="s">
        <v>2270</v>
      </c>
      <c r="X8" s="675" t="s">
        <v>2269</v>
      </c>
      <c r="Y8" s="675" t="s">
        <v>2270</v>
      </c>
      <c r="Z8" s="1723"/>
      <c r="AE8" s="1024"/>
      <c r="AF8" s="690"/>
      <c r="AG8" s="690"/>
      <c r="AH8" s="690"/>
      <c r="AI8" s="671">
        <f>E23-E9</f>
        <v>1171.5999999999999</v>
      </c>
      <c r="AJ8" s="671">
        <f>D23</f>
        <v>4957.5</v>
      </c>
      <c r="AK8" s="671">
        <f t="shared" si="0"/>
        <v>224.25</v>
      </c>
      <c r="AL8" s="672" t="s">
        <v>2271</v>
      </c>
      <c r="AM8" s="1720"/>
      <c r="AN8" s="1744"/>
      <c r="AO8" s="1494" t="s">
        <v>4462</v>
      </c>
      <c r="AP8" s="1496">
        <f>ROUND(AK$7*0.4,0)</f>
        <v>250</v>
      </c>
      <c r="AQ8" s="1496">
        <f>ROUND(AJ$7*0.4,0)</f>
        <v>2084</v>
      </c>
      <c r="AR8" s="1496">
        <f>ROUND($AI$7*0.4,0)</f>
        <v>508</v>
      </c>
      <c r="AS8" s="1503">
        <v>7168000</v>
      </c>
      <c r="AT8" s="1497">
        <v>8960000</v>
      </c>
      <c r="AU8" s="1497">
        <v>11200000</v>
      </c>
      <c r="AV8" s="1502">
        <f t="shared" ref="AV8:AV42" si="1">SUMPRODUCT(AS8:AU8,AP8:AR8)</f>
        <v>26154240000</v>
      </c>
    </row>
    <row r="9" spans="1:49" ht="33" customHeight="1" thickBot="1">
      <c r="A9" s="676" t="s">
        <v>2272</v>
      </c>
      <c r="B9" s="677">
        <v>0</v>
      </c>
      <c r="C9" s="678">
        <f>E.Endorsement!E5</f>
        <v>600</v>
      </c>
      <c r="D9" s="678">
        <v>0</v>
      </c>
      <c r="E9" s="678">
        <f>E.Endorsement!E10</f>
        <v>600</v>
      </c>
      <c r="F9" s="678">
        <v>0</v>
      </c>
      <c r="G9" s="678">
        <f>E.Endorsement!E11</f>
        <v>400</v>
      </c>
      <c r="H9" s="678">
        <v>0</v>
      </c>
      <c r="I9" s="678">
        <f>E.Endorsement!E6</f>
        <v>500</v>
      </c>
      <c r="J9" s="678">
        <v>0</v>
      </c>
      <c r="K9" s="678">
        <f>E.Endorsement!E12</f>
        <v>400</v>
      </c>
      <c r="L9" s="678">
        <v>0</v>
      </c>
      <c r="M9" s="678">
        <f>E.Endorsement!E15</f>
        <v>400</v>
      </c>
      <c r="N9" s="678">
        <v>0</v>
      </c>
      <c r="O9" s="678">
        <f>E.Endorsement!E13</f>
        <v>500</v>
      </c>
      <c r="P9" s="678">
        <v>0</v>
      </c>
      <c r="Q9" s="678">
        <f>E.Endorsement!E7</f>
        <v>400</v>
      </c>
      <c r="R9" s="678">
        <v>0</v>
      </c>
      <c r="S9" s="678">
        <f>E.Endorsement!E9</f>
        <v>400</v>
      </c>
      <c r="T9" s="678">
        <v>0</v>
      </c>
      <c r="U9" s="678">
        <f>E.Endorsement!E8</f>
        <v>400</v>
      </c>
      <c r="V9" s="678">
        <v>0</v>
      </c>
      <c r="W9" s="678">
        <f>E.Endorsement!E14</f>
        <v>350</v>
      </c>
      <c r="X9" s="678">
        <v>0</v>
      </c>
      <c r="Y9" s="678">
        <v>0</v>
      </c>
      <c r="Z9" s="679">
        <v>0</v>
      </c>
      <c r="AE9" s="1024"/>
      <c r="AF9" s="690"/>
      <c r="AG9" s="690"/>
      <c r="AH9" s="690"/>
      <c r="AI9" s="671">
        <f>G23-G9</f>
        <v>292.39999999999998</v>
      </c>
      <c r="AJ9" s="671">
        <f>F23</f>
        <v>1555.55</v>
      </c>
      <c r="AK9" s="671">
        <f t="shared" si="0"/>
        <v>1380</v>
      </c>
      <c r="AL9" s="672" t="s">
        <v>2273</v>
      </c>
      <c r="AM9" s="1720"/>
      <c r="AN9" s="1740"/>
      <c r="AO9" s="1494" t="s">
        <v>4463</v>
      </c>
      <c r="AP9" s="1496">
        <f>ROUND(AK$7*0.2,0)</f>
        <v>125</v>
      </c>
      <c r="AQ9" s="1496">
        <f>ROUND(AJ$7*0.2,0)</f>
        <v>1042</v>
      </c>
      <c r="AR9" s="1496">
        <f>ROUND($AI$7*0.2,0)</f>
        <v>254</v>
      </c>
      <c r="AS9" s="1503">
        <v>10035200</v>
      </c>
      <c r="AT9" s="1497">
        <v>12544000</v>
      </c>
      <c r="AU9" s="1497">
        <v>15680000</v>
      </c>
      <c r="AV9" s="1502">
        <f t="shared" si="1"/>
        <v>18307968000</v>
      </c>
    </row>
    <row r="10" spans="1:49" ht="33" customHeight="1" thickBot="1">
      <c r="A10" s="680" t="s">
        <v>2274</v>
      </c>
      <c r="B10" s="681">
        <f>E.Process!C146</f>
        <v>4045.65</v>
      </c>
      <c r="C10" s="682">
        <f>E.Process!D146</f>
        <v>1109</v>
      </c>
      <c r="D10" s="682">
        <f>E.Process!E146</f>
        <v>161</v>
      </c>
      <c r="E10" s="682">
        <f>E.Process!F146</f>
        <v>23</v>
      </c>
      <c r="F10" s="682">
        <f>E.Process!G146</f>
        <v>0</v>
      </c>
      <c r="G10" s="682">
        <f>E.Process!H146</f>
        <v>1</v>
      </c>
      <c r="H10" s="682">
        <f>E.Process!I146</f>
        <v>5</v>
      </c>
      <c r="I10" s="682">
        <f>E.Process!J146</f>
        <v>2</v>
      </c>
      <c r="J10" s="682">
        <f>E.Process!K146</f>
        <v>425</v>
      </c>
      <c r="K10" s="682">
        <f>E.Process!L146</f>
        <v>73</v>
      </c>
      <c r="L10" s="682">
        <f>E.Process!M146</f>
        <v>162</v>
      </c>
      <c r="M10" s="682">
        <f>E.Process!N146</f>
        <v>109</v>
      </c>
      <c r="N10" s="682">
        <f>E.Process!O146</f>
        <v>77</v>
      </c>
      <c r="O10" s="682">
        <f>E.Process!P146</f>
        <v>16</v>
      </c>
      <c r="P10" s="682">
        <f>E.Process!Q146</f>
        <v>0</v>
      </c>
      <c r="Q10" s="682">
        <f>E.Process!R146</f>
        <v>0</v>
      </c>
      <c r="R10" s="682">
        <f>E.Process!S146</f>
        <v>0</v>
      </c>
      <c r="S10" s="682">
        <f>E.Process!T146</f>
        <v>0</v>
      </c>
      <c r="T10" s="682">
        <f>E.Process!U146</f>
        <v>0</v>
      </c>
      <c r="U10" s="682">
        <f>E.Process!V146</f>
        <v>0</v>
      </c>
      <c r="V10" s="682">
        <f>E.Process!W146</f>
        <v>0</v>
      </c>
      <c r="W10" s="682">
        <f>E.Process!X146</f>
        <v>0</v>
      </c>
      <c r="X10" s="682">
        <f>E.Process!Y146</f>
        <v>0</v>
      </c>
      <c r="Y10" s="682">
        <f>E.Process!Z146</f>
        <v>0</v>
      </c>
      <c r="Z10" s="683">
        <f>E.Process!AA146</f>
        <v>624.75</v>
      </c>
      <c r="AB10" s="684"/>
      <c r="AC10" s="685"/>
      <c r="AE10" s="1024"/>
      <c r="AF10" s="690"/>
      <c r="AG10" s="690"/>
      <c r="AH10" s="690"/>
      <c r="AI10" s="671">
        <f>I23-I9</f>
        <v>677.40000000000009</v>
      </c>
      <c r="AJ10" s="671">
        <f>H23</f>
        <v>1665.55</v>
      </c>
      <c r="AK10" s="671">
        <f t="shared" si="0"/>
        <v>368</v>
      </c>
      <c r="AL10" s="672" t="s">
        <v>2275</v>
      </c>
      <c r="AM10" s="1720"/>
      <c r="AN10" s="1739" t="s">
        <v>2271</v>
      </c>
      <c r="AO10" s="1494" t="s">
        <v>4461</v>
      </c>
      <c r="AP10" s="1496">
        <f>ROUND(AK$8*0.4,0)</f>
        <v>90</v>
      </c>
      <c r="AQ10" s="1496">
        <f>ROUND(AJ$8*0.4,0)</f>
        <v>1983</v>
      </c>
      <c r="AR10" s="1496">
        <f>ROUND($AI$8*0.4,0)</f>
        <v>469</v>
      </c>
      <c r="AS10" s="1503">
        <v>5120000</v>
      </c>
      <c r="AT10" s="1497">
        <v>6400000</v>
      </c>
      <c r="AU10" s="1497">
        <v>8000000</v>
      </c>
      <c r="AV10" s="1502">
        <f t="shared" si="1"/>
        <v>16904000000</v>
      </c>
      <c r="AW10" s="1500"/>
    </row>
    <row r="11" spans="1:49" ht="33" customHeight="1" thickBot="1">
      <c r="A11" s="686" t="s">
        <v>2276</v>
      </c>
      <c r="B11" s="687">
        <f>E.Mechanic!C145</f>
        <v>604</v>
      </c>
      <c r="C11" s="688">
        <f>E.Mechanic!D145</f>
        <v>77</v>
      </c>
      <c r="D11" s="688">
        <f>E.Mechanic!E145</f>
        <v>4649</v>
      </c>
      <c r="E11" s="688">
        <f>E.Mechanic!F145</f>
        <v>1070.5999999999999</v>
      </c>
      <c r="F11" s="688">
        <f>E.Mechanic!G145</f>
        <v>0</v>
      </c>
      <c r="G11" s="688">
        <f>E.Mechanic!H145</f>
        <v>0</v>
      </c>
      <c r="H11" s="688">
        <f>E.Mechanic!I145</f>
        <v>6</v>
      </c>
      <c r="I11" s="688">
        <f>E.Mechanic!J145</f>
        <v>1</v>
      </c>
      <c r="J11" s="688">
        <f>E.Mechanic!K145</f>
        <v>62</v>
      </c>
      <c r="K11" s="688">
        <f>E.Mechanic!L145</f>
        <v>0</v>
      </c>
      <c r="L11" s="688">
        <f>E.Mechanic!M145</f>
        <v>562.5</v>
      </c>
      <c r="M11" s="688">
        <f>E.Mechanic!N145</f>
        <v>74</v>
      </c>
      <c r="N11" s="688">
        <f>E.Mechanic!O145</f>
        <v>193.5</v>
      </c>
      <c r="O11" s="688">
        <f>E.Mechanic!P145</f>
        <v>37</v>
      </c>
      <c r="P11" s="688">
        <f>E.Mechanic!Q145</f>
        <v>0</v>
      </c>
      <c r="Q11" s="688">
        <f>E.Mechanic!R145</f>
        <v>0</v>
      </c>
      <c r="R11" s="688">
        <f>E.Mechanic!S145</f>
        <v>0</v>
      </c>
      <c r="S11" s="688">
        <f>E.Mechanic!T145</f>
        <v>0</v>
      </c>
      <c r="T11" s="688">
        <f>E.Mechanic!U145</f>
        <v>95</v>
      </c>
      <c r="U11" s="688">
        <f>E.Mechanic!V145</f>
        <v>5</v>
      </c>
      <c r="V11" s="688">
        <f>E.Mechanic!W145</f>
        <v>0</v>
      </c>
      <c r="W11" s="688">
        <f>E.Mechanic!X145</f>
        <v>0</v>
      </c>
      <c r="X11" s="688">
        <f>E.Mechanic!Y145</f>
        <v>0</v>
      </c>
      <c r="Y11" s="688">
        <f>E.Mechanic!Z145</f>
        <v>0</v>
      </c>
      <c r="Z11" s="689">
        <f>E.Mechanic!AA145</f>
        <v>224.25</v>
      </c>
      <c r="AB11" s="684"/>
      <c r="AC11" s="685"/>
      <c r="AE11" s="1024"/>
      <c r="AF11" s="690"/>
      <c r="AG11" s="690"/>
      <c r="AH11" s="690"/>
      <c r="AI11" s="671">
        <f>K23-K9</f>
        <v>2404.6</v>
      </c>
      <c r="AJ11" s="671">
        <f>J23</f>
        <v>7970</v>
      </c>
      <c r="AK11" s="671">
        <f t="shared" si="0"/>
        <v>4887.5</v>
      </c>
      <c r="AL11" s="672" t="s">
        <v>2277</v>
      </c>
      <c r="AM11" s="1720"/>
      <c r="AN11" s="1744"/>
      <c r="AO11" s="1494" t="s">
        <v>4462</v>
      </c>
      <c r="AP11" s="1496">
        <f>ROUND(AK$8*0.4,0)</f>
        <v>90</v>
      </c>
      <c r="AQ11" s="1496">
        <f>ROUND(AJ$8*0.4,0)</f>
        <v>1983</v>
      </c>
      <c r="AR11" s="1496">
        <f>ROUND($AI$8*0.4,0)</f>
        <v>469</v>
      </c>
      <c r="AS11" s="1503">
        <v>7168000</v>
      </c>
      <c r="AT11" s="1497">
        <v>8960000</v>
      </c>
      <c r="AU11" s="1497">
        <v>11200000</v>
      </c>
      <c r="AV11" s="1502">
        <f t="shared" si="1"/>
        <v>23665600000</v>
      </c>
      <c r="AW11" s="1500"/>
    </row>
    <row r="12" spans="1:49" ht="33" customHeight="1" thickBot="1">
      <c r="A12" s="686" t="s">
        <v>314</v>
      </c>
      <c r="B12" s="687">
        <f>E.HVAC!C51</f>
        <v>0</v>
      </c>
      <c r="C12" s="688">
        <f>E.HVAC!D51</f>
        <v>0</v>
      </c>
      <c r="D12" s="688">
        <f>E.HVAC!E51</f>
        <v>0</v>
      </c>
      <c r="E12" s="688">
        <f>E.HVAC!F51</f>
        <v>0</v>
      </c>
      <c r="F12" s="688">
        <f>E.HVAC!G51</f>
        <v>1543.55</v>
      </c>
      <c r="G12" s="688">
        <f>E.HVAC!H51</f>
        <v>287.39999999999998</v>
      </c>
      <c r="H12" s="688">
        <f>E.HVAC!I51</f>
        <v>0</v>
      </c>
      <c r="I12" s="688">
        <f>E.HVAC!J51</f>
        <v>0</v>
      </c>
      <c r="J12" s="688">
        <f>E.HVAC!K51</f>
        <v>2</v>
      </c>
      <c r="K12" s="688">
        <f>E.HVAC!L51</f>
        <v>0</v>
      </c>
      <c r="L12" s="688">
        <f>E.HVAC!M51</f>
        <v>0</v>
      </c>
      <c r="M12" s="688">
        <f>E.HVAC!N51</f>
        <v>0</v>
      </c>
      <c r="N12" s="688">
        <f>E.HVAC!O51</f>
        <v>0</v>
      </c>
      <c r="O12" s="688">
        <f>E.HVAC!P51</f>
        <v>0</v>
      </c>
      <c r="P12" s="688">
        <f>E.HVAC!Q51</f>
        <v>10</v>
      </c>
      <c r="Q12" s="688">
        <f>E.HVAC!R51</f>
        <v>4</v>
      </c>
      <c r="R12" s="688">
        <f>E.HVAC!S51</f>
        <v>19</v>
      </c>
      <c r="S12" s="688">
        <f>E.HVAC!T51</f>
        <v>0</v>
      </c>
      <c r="T12" s="688">
        <f>E.HVAC!U51</f>
        <v>0</v>
      </c>
      <c r="U12" s="688">
        <f>E.HVAC!V51</f>
        <v>0</v>
      </c>
      <c r="V12" s="688">
        <f>E.HVAC!W51</f>
        <v>0</v>
      </c>
      <c r="W12" s="688">
        <f>E.HVAC!X51</f>
        <v>0</v>
      </c>
      <c r="X12" s="688">
        <f>E.HVAC!Y51</f>
        <v>0</v>
      </c>
      <c r="Y12" s="688">
        <f>E.HVAC!Z51</f>
        <v>0</v>
      </c>
      <c r="Z12" s="689">
        <f>E.HVAC!AA51</f>
        <v>1380</v>
      </c>
      <c r="AB12" s="684"/>
      <c r="AC12" s="685"/>
      <c r="AE12" s="1024"/>
      <c r="AF12" s="690"/>
      <c r="AG12" s="690"/>
      <c r="AH12" s="690"/>
      <c r="AI12" s="671">
        <f>M23-M9</f>
        <v>5246.7</v>
      </c>
      <c r="AJ12" s="671">
        <f>L23</f>
        <v>7618.9000000000005</v>
      </c>
      <c r="AK12" s="671">
        <f t="shared" si="0"/>
        <v>1075.25</v>
      </c>
      <c r="AL12" s="672" t="s">
        <v>2278</v>
      </c>
      <c r="AM12" s="1720"/>
      <c r="AN12" s="1740"/>
      <c r="AO12" s="1494" t="s">
        <v>4463</v>
      </c>
      <c r="AP12" s="1496">
        <f>ROUND(AK$8*0.2,0)</f>
        <v>45</v>
      </c>
      <c r="AQ12" s="1496">
        <f>ROUND(AJ$8*0.2,0)</f>
        <v>992</v>
      </c>
      <c r="AR12" s="1496">
        <f>ROUND($AI$8*0.2,0)</f>
        <v>234</v>
      </c>
      <c r="AS12" s="1503">
        <v>10035200</v>
      </c>
      <c r="AT12" s="1497">
        <v>12544000</v>
      </c>
      <c r="AU12" s="1497">
        <v>15680000</v>
      </c>
      <c r="AV12" s="1502">
        <f t="shared" si="1"/>
        <v>16564352000</v>
      </c>
      <c r="AW12" s="1500"/>
    </row>
    <row r="13" spans="1:49" ht="33" customHeight="1" thickBot="1">
      <c r="A13" s="686" t="s">
        <v>2279</v>
      </c>
      <c r="B13" s="687">
        <f>E.HSE!C77</f>
        <v>7</v>
      </c>
      <c r="C13" s="688">
        <f>E.HSE!D77</f>
        <v>1</v>
      </c>
      <c r="D13" s="688">
        <f>E.HSE!E77</f>
        <v>20</v>
      </c>
      <c r="E13" s="688">
        <f>E.HSE!F77</f>
        <v>0</v>
      </c>
      <c r="F13" s="688">
        <f>E.HSE!G77</f>
        <v>0</v>
      </c>
      <c r="G13" s="688">
        <f>E.HSE!H77</f>
        <v>0</v>
      </c>
      <c r="H13" s="688">
        <f>E.HSE!I77</f>
        <v>1624.55</v>
      </c>
      <c r="I13" s="688">
        <f>E.HSE!J77</f>
        <v>628.4</v>
      </c>
      <c r="J13" s="688">
        <f>E.HSE!K77</f>
        <v>4</v>
      </c>
      <c r="K13" s="688">
        <f>E.HSE!L77</f>
        <v>0</v>
      </c>
      <c r="L13" s="688">
        <f>E.HSE!M77</f>
        <v>8</v>
      </c>
      <c r="M13" s="688">
        <f>E.HSE!N77</f>
        <v>2</v>
      </c>
      <c r="N13" s="688">
        <f>E.HSE!O77</f>
        <v>7</v>
      </c>
      <c r="O13" s="688">
        <f>E.HSE!P77</f>
        <v>1</v>
      </c>
      <c r="P13" s="688">
        <f>E.HSE!Q77</f>
        <v>0</v>
      </c>
      <c r="Q13" s="688">
        <f>E.HSE!R77</f>
        <v>0</v>
      </c>
      <c r="R13" s="688">
        <f>E.HSE!S77</f>
        <v>0</v>
      </c>
      <c r="S13" s="688">
        <f>E.HSE!T77</f>
        <v>0</v>
      </c>
      <c r="T13" s="688">
        <f>E.HSE!U77</f>
        <v>0</v>
      </c>
      <c r="U13" s="688">
        <f>E.HSE!V77</f>
        <v>0</v>
      </c>
      <c r="V13" s="688">
        <f>E.HSE!W77</f>
        <v>0</v>
      </c>
      <c r="W13" s="688">
        <f>E.HSE!X77</f>
        <v>0</v>
      </c>
      <c r="X13" s="688">
        <f>E.HSE!Y77</f>
        <v>0</v>
      </c>
      <c r="Y13" s="688">
        <f>E.HSE!Z77</f>
        <v>0</v>
      </c>
      <c r="Z13" s="689">
        <f>E.HSE!AA77</f>
        <v>368</v>
      </c>
      <c r="AB13" s="684"/>
      <c r="AC13" s="685"/>
      <c r="AE13" s="1024"/>
      <c r="AF13" s="690"/>
      <c r="AG13" s="690"/>
      <c r="AH13" s="690"/>
      <c r="AI13" s="671">
        <f>O23-O9</f>
        <v>2437.8000000000002</v>
      </c>
      <c r="AJ13" s="671">
        <f>N23</f>
        <v>7549.56</v>
      </c>
      <c r="AK13" s="671">
        <f t="shared" si="0"/>
        <v>3772</v>
      </c>
      <c r="AL13" s="672" t="s">
        <v>2280</v>
      </c>
      <c r="AM13" s="1720"/>
      <c r="AN13" s="1739" t="s">
        <v>4464</v>
      </c>
      <c r="AO13" s="1494" t="s">
        <v>4461</v>
      </c>
      <c r="AP13" s="1496">
        <f>ROUND(AK$9*0.4,0)</f>
        <v>552</v>
      </c>
      <c r="AQ13" s="1496">
        <f>ROUND(AJ$9*0.4,0)</f>
        <v>622</v>
      </c>
      <c r="AR13" s="1496">
        <f>ROUND($AI$9*0.4,0)</f>
        <v>117</v>
      </c>
      <c r="AS13" s="1503">
        <v>5120000</v>
      </c>
      <c r="AT13" s="1497">
        <v>6400000</v>
      </c>
      <c r="AU13" s="1497">
        <v>8000000</v>
      </c>
      <c r="AV13" s="1502">
        <f t="shared" si="1"/>
        <v>7743040000</v>
      </c>
      <c r="AW13" s="1500"/>
    </row>
    <row r="14" spans="1:49" ht="33" customHeight="1" thickBot="1">
      <c r="A14" s="686" t="s">
        <v>2281</v>
      </c>
      <c r="B14" s="687">
        <f>'E.Piping&amp;Pipeline'!C151</f>
        <v>65</v>
      </c>
      <c r="C14" s="688">
        <f>'E.Piping&amp;Pipeline'!D151</f>
        <v>49</v>
      </c>
      <c r="D14" s="688">
        <f>'E.Piping&amp;Pipeline'!E151</f>
        <v>0</v>
      </c>
      <c r="E14" s="688">
        <f>'E.Piping&amp;Pipeline'!F151</f>
        <v>45</v>
      </c>
      <c r="F14" s="688">
        <f>'E.Piping&amp;Pipeline'!G151</f>
        <v>0</v>
      </c>
      <c r="G14" s="688">
        <f>'E.Piping&amp;Pipeline'!H151</f>
        <v>0</v>
      </c>
      <c r="H14" s="688">
        <f>'E.Piping&amp;Pipeline'!I151</f>
        <v>0</v>
      </c>
      <c r="I14" s="688">
        <f>'E.Piping&amp;Pipeline'!J151</f>
        <v>17</v>
      </c>
      <c r="J14" s="688">
        <f>'E.Piping&amp;Pipeline'!K151</f>
        <v>7365</v>
      </c>
      <c r="K14" s="688">
        <f>'E.Piping&amp;Pipeline'!L151</f>
        <v>2302.6</v>
      </c>
      <c r="L14" s="688">
        <f>'E.Piping&amp;Pipeline'!M151</f>
        <v>0</v>
      </c>
      <c r="M14" s="688">
        <f>'E.Piping&amp;Pipeline'!N151</f>
        <v>6</v>
      </c>
      <c r="N14" s="688">
        <f>'E.Piping&amp;Pipeline'!O151</f>
        <v>0</v>
      </c>
      <c r="O14" s="688">
        <f>'E.Piping&amp;Pipeline'!P151</f>
        <v>34</v>
      </c>
      <c r="P14" s="688">
        <f>'E.Piping&amp;Pipeline'!Q151</f>
        <v>66</v>
      </c>
      <c r="Q14" s="688">
        <f>'E.Piping&amp;Pipeline'!R151</f>
        <v>33</v>
      </c>
      <c r="R14" s="688">
        <f>'E.Piping&amp;Pipeline'!S151</f>
        <v>0</v>
      </c>
      <c r="S14" s="688">
        <f>'E.Piping&amp;Pipeline'!T151</f>
        <v>0</v>
      </c>
      <c r="T14" s="688">
        <f>'E.Piping&amp;Pipeline'!U151</f>
        <v>0</v>
      </c>
      <c r="U14" s="688">
        <f>'E.Piping&amp;Pipeline'!V151</f>
        <v>11</v>
      </c>
      <c r="V14" s="688">
        <f>'E.Piping&amp;Pipeline'!W151</f>
        <v>0</v>
      </c>
      <c r="W14" s="688">
        <f>'E.Piping&amp;Pipeline'!X151</f>
        <v>0</v>
      </c>
      <c r="X14" s="688">
        <f>'E.Piping&amp;Pipeline'!Y151</f>
        <v>0</v>
      </c>
      <c r="Y14" s="688">
        <f>'E.Piping&amp;Pipeline'!Z151</f>
        <v>0</v>
      </c>
      <c r="Z14" s="689">
        <f>'E.Piping&amp;Pipeline'!AA151</f>
        <v>4887.5</v>
      </c>
      <c r="AB14" s="684"/>
      <c r="AC14" s="685"/>
      <c r="AE14" s="1024"/>
      <c r="AF14" s="690"/>
      <c r="AG14" s="690"/>
      <c r="AH14" s="690"/>
      <c r="AI14" s="671">
        <f>Q23-Q9</f>
        <v>696.40000000000009</v>
      </c>
      <c r="AJ14" s="671">
        <f>P23</f>
        <v>3485.7999999999997</v>
      </c>
      <c r="AK14" s="671">
        <f t="shared" si="0"/>
        <v>598</v>
      </c>
      <c r="AL14" s="672" t="s">
        <v>2282</v>
      </c>
      <c r="AM14" s="1720"/>
      <c r="AN14" s="1744"/>
      <c r="AO14" s="1494" t="s">
        <v>4462</v>
      </c>
      <c r="AP14" s="1496">
        <f>ROUND(AK$9*0.4,0)</f>
        <v>552</v>
      </c>
      <c r="AQ14" s="1496">
        <f>ROUND(AJ$9*0.4,0)</f>
        <v>622</v>
      </c>
      <c r="AR14" s="1496">
        <f t="shared" ref="AR14" si="2">ROUND($AI$9*0.4,0)</f>
        <v>117</v>
      </c>
      <c r="AS14" s="1503">
        <v>7168000</v>
      </c>
      <c r="AT14" s="1497">
        <v>8960000</v>
      </c>
      <c r="AU14" s="1497">
        <v>11200000</v>
      </c>
      <c r="AV14" s="1502">
        <f t="shared" si="1"/>
        <v>10840256000</v>
      </c>
      <c r="AW14" s="1500"/>
    </row>
    <row r="15" spans="1:49" ht="33" customHeight="1" thickBot="1">
      <c r="A15" s="686" t="s">
        <v>2283</v>
      </c>
      <c r="B15" s="687">
        <f>E.Instrument!C192</f>
        <v>476</v>
      </c>
      <c r="C15" s="688">
        <f>E.Instrument!D192</f>
        <v>29</v>
      </c>
      <c r="D15" s="688">
        <f>E.Instrument!E192</f>
        <v>0</v>
      </c>
      <c r="E15" s="688">
        <f>E.Instrument!F192</f>
        <v>8</v>
      </c>
      <c r="F15" s="688">
        <f>E.Instrument!G192</f>
        <v>0</v>
      </c>
      <c r="G15" s="688">
        <f>E.Instrument!H192</f>
        <v>0</v>
      </c>
      <c r="H15" s="688">
        <f>E.Instrument!I192</f>
        <v>13</v>
      </c>
      <c r="I15" s="688">
        <f>E.Instrument!J192</f>
        <v>10</v>
      </c>
      <c r="J15" s="688">
        <f>E.Instrument!K192</f>
        <v>0</v>
      </c>
      <c r="K15" s="688">
        <f>E.Instrument!L192</f>
        <v>4</v>
      </c>
      <c r="L15" s="688">
        <f>E.Instrument!M192</f>
        <v>6833.4000000000005</v>
      </c>
      <c r="M15" s="688">
        <f>E.Instrument!N192</f>
        <v>5031.7</v>
      </c>
      <c r="N15" s="688">
        <f>E.Instrument!O192</f>
        <v>8</v>
      </c>
      <c r="O15" s="688">
        <f>E.Instrument!P192</f>
        <v>8</v>
      </c>
      <c r="P15" s="688">
        <f>E.Instrument!Q192</f>
        <v>9</v>
      </c>
      <c r="Q15" s="688">
        <f>E.Instrument!R192</f>
        <v>9</v>
      </c>
      <c r="R15" s="688">
        <f>E.Instrument!S192</f>
        <v>4</v>
      </c>
      <c r="S15" s="688">
        <f>E.Instrument!T192</f>
        <v>0</v>
      </c>
      <c r="T15" s="688">
        <f>E.Instrument!U192</f>
        <v>0</v>
      </c>
      <c r="U15" s="688">
        <f>E.Instrument!V192</f>
        <v>0</v>
      </c>
      <c r="V15" s="688">
        <f>E.Instrument!W192</f>
        <v>80</v>
      </c>
      <c r="W15" s="688">
        <f>E.Instrument!X192</f>
        <v>15</v>
      </c>
      <c r="X15" s="688">
        <f>E.Instrument!Y192</f>
        <v>0</v>
      </c>
      <c r="Y15" s="688">
        <f>E.Instrument!Z192</f>
        <v>0</v>
      </c>
      <c r="Z15" s="689">
        <f>E.Instrument!AA192</f>
        <v>1075.25</v>
      </c>
      <c r="AB15" s="684"/>
      <c r="AC15" s="685"/>
      <c r="AE15" s="1024"/>
      <c r="AF15" s="690"/>
      <c r="AG15" s="690"/>
      <c r="AH15" s="690"/>
      <c r="AI15" s="671">
        <f>S23-S9</f>
        <v>296.20000000000005</v>
      </c>
      <c r="AJ15" s="671">
        <f>R23</f>
        <v>1763.3500000000001</v>
      </c>
      <c r="AK15" s="671">
        <f t="shared" si="0"/>
        <v>1919.3500000000001</v>
      </c>
      <c r="AL15" s="672" t="s">
        <v>2284</v>
      </c>
      <c r="AM15" s="1720"/>
      <c r="AN15" s="1740"/>
      <c r="AO15" s="1494" t="s">
        <v>4463</v>
      </c>
      <c r="AP15" s="1496">
        <f>ROUND(AK$9*0.2,0)</f>
        <v>276</v>
      </c>
      <c r="AQ15" s="1496">
        <f>ROUND(AJ$9*0.2,0)</f>
        <v>311</v>
      </c>
      <c r="AR15" s="1496">
        <f>ROUND($AI$9*0.2,0)</f>
        <v>58</v>
      </c>
      <c r="AS15" s="1503">
        <v>10035200</v>
      </c>
      <c r="AT15" s="1497">
        <v>12544000</v>
      </c>
      <c r="AU15" s="1497">
        <v>15680000</v>
      </c>
      <c r="AV15" s="1502">
        <f t="shared" si="1"/>
        <v>7580339200</v>
      </c>
      <c r="AW15" s="1500"/>
    </row>
    <row r="16" spans="1:49" ht="33" customHeight="1" thickBot="1">
      <c r="A16" s="686" t="s">
        <v>2285</v>
      </c>
      <c r="B16" s="687">
        <f>E.Electrical!C235</f>
        <v>5</v>
      </c>
      <c r="C16" s="688">
        <f>E.Electrical!D235</f>
        <v>0</v>
      </c>
      <c r="D16" s="688">
        <f>E.Electrical!E235</f>
        <v>79</v>
      </c>
      <c r="E16" s="688">
        <f>E.Electrical!F235</f>
        <v>8</v>
      </c>
      <c r="F16" s="688">
        <f>E.Electrical!G235</f>
        <v>0</v>
      </c>
      <c r="G16" s="688">
        <f>E.Electrical!H235</f>
        <v>0</v>
      </c>
      <c r="H16" s="688">
        <f>E.Electrical!I235</f>
        <v>0</v>
      </c>
      <c r="I16" s="688">
        <f>E.Electrical!J235</f>
        <v>0</v>
      </c>
      <c r="J16" s="688">
        <f>E.Electrical!K235</f>
        <v>11</v>
      </c>
      <c r="K16" s="688">
        <f>E.Electrical!L235</f>
        <v>0</v>
      </c>
      <c r="L16" s="688">
        <f>E.Electrical!M235</f>
        <v>6</v>
      </c>
      <c r="M16" s="688">
        <f>E.Electrical!N235</f>
        <v>0</v>
      </c>
      <c r="N16" s="688">
        <f>E.Electrical!O235</f>
        <v>7161.06</v>
      </c>
      <c r="O16" s="688">
        <f>E.Electrical!P235</f>
        <v>2304.8000000000002</v>
      </c>
      <c r="P16" s="688">
        <f>E.Electrical!Q235</f>
        <v>31</v>
      </c>
      <c r="Q16" s="688">
        <f>E.Electrical!R235</f>
        <v>0</v>
      </c>
      <c r="R16" s="688">
        <f>E.Electrical!S235</f>
        <v>0</v>
      </c>
      <c r="S16" s="688">
        <f>E.Electrical!T235</f>
        <v>0</v>
      </c>
      <c r="T16" s="688">
        <f>E.Electrical!U235</f>
        <v>0</v>
      </c>
      <c r="U16" s="688">
        <f>E.Electrical!V235</f>
        <v>0</v>
      </c>
      <c r="V16" s="688">
        <f>E.Electrical!W235</f>
        <v>0</v>
      </c>
      <c r="W16" s="688">
        <f>E.Electrical!X235</f>
        <v>0</v>
      </c>
      <c r="X16" s="688">
        <f>E.Electrical!Y235</f>
        <v>0</v>
      </c>
      <c r="Y16" s="688">
        <f>E.Electrical!Z235</f>
        <v>0</v>
      </c>
      <c r="Z16" s="689">
        <f>E.Electrical!AA235</f>
        <v>3772</v>
      </c>
      <c r="AB16" s="684"/>
      <c r="AC16" s="685"/>
      <c r="AE16" s="1024"/>
      <c r="AF16" s="690"/>
      <c r="AG16" s="690"/>
      <c r="AH16" s="690"/>
      <c r="AI16" s="671">
        <f>U23-U9</f>
        <v>1008.5</v>
      </c>
      <c r="AJ16" s="671">
        <f>T23</f>
        <v>4983.95</v>
      </c>
      <c r="AK16" s="671">
        <f t="shared" si="0"/>
        <v>3254.5</v>
      </c>
      <c r="AL16" s="672" t="s">
        <v>2286</v>
      </c>
      <c r="AM16" s="1720"/>
      <c r="AN16" s="1739" t="s">
        <v>4465</v>
      </c>
      <c r="AO16" s="1494" t="s">
        <v>4461</v>
      </c>
      <c r="AP16" s="1496">
        <f>ROUND(AK$10*0.4,0)</f>
        <v>147</v>
      </c>
      <c r="AQ16" s="1496">
        <f>ROUND(AJ$10*0.4,0)</f>
        <v>666</v>
      </c>
      <c r="AR16" s="1496">
        <f>ROUND($AI$10*0.4,0)</f>
        <v>271</v>
      </c>
      <c r="AS16" s="1503">
        <v>5120000</v>
      </c>
      <c r="AT16" s="1497">
        <v>6400000</v>
      </c>
      <c r="AU16" s="1497">
        <v>8000000</v>
      </c>
      <c r="AV16" s="1502">
        <f t="shared" si="1"/>
        <v>7183040000</v>
      </c>
      <c r="AW16" s="1500"/>
    </row>
    <row r="17" spans="1:49" ht="33" customHeight="1" thickBot="1">
      <c r="A17" s="686" t="s">
        <v>2287</v>
      </c>
      <c r="B17" s="687">
        <f>E.TELECOM!C53</f>
        <v>0</v>
      </c>
      <c r="C17" s="688">
        <f>E.TELECOM!D53</f>
        <v>0</v>
      </c>
      <c r="D17" s="688">
        <f>E.TELECOM!E53</f>
        <v>0</v>
      </c>
      <c r="E17" s="688">
        <f>E.TELECOM!F53</f>
        <v>0</v>
      </c>
      <c r="F17" s="688">
        <f>E.TELECOM!G53</f>
        <v>0</v>
      </c>
      <c r="G17" s="688">
        <f>E.TELECOM!H53</f>
        <v>0</v>
      </c>
      <c r="H17" s="688">
        <f>E.TELECOM!I53</f>
        <v>0</v>
      </c>
      <c r="I17" s="688">
        <f>E.TELECOM!J53</f>
        <v>0</v>
      </c>
      <c r="J17" s="688">
        <f>E.TELECOM!K53</f>
        <v>0</v>
      </c>
      <c r="K17" s="688">
        <f>E.TELECOM!L53</f>
        <v>0</v>
      </c>
      <c r="L17" s="688">
        <f>E.TELECOM!M53</f>
        <v>0</v>
      </c>
      <c r="M17" s="688">
        <f>E.TELECOM!N53</f>
        <v>0</v>
      </c>
      <c r="N17" s="688">
        <f>E.TELECOM!O53</f>
        <v>15</v>
      </c>
      <c r="O17" s="688">
        <f>E.TELECOM!P53</f>
        <v>0</v>
      </c>
      <c r="P17" s="688">
        <f>E.TELECOM!Q53</f>
        <v>0</v>
      </c>
      <c r="Q17" s="688">
        <f>E.TELECOM!R53</f>
        <v>0</v>
      </c>
      <c r="R17" s="688">
        <f>E.TELECOM!S53</f>
        <v>0</v>
      </c>
      <c r="S17" s="688">
        <f>E.TELECOM!T53</f>
        <v>0</v>
      </c>
      <c r="T17" s="688">
        <f>E.TELECOM!U53</f>
        <v>0</v>
      </c>
      <c r="U17" s="688">
        <f>E.TELECOM!V53</f>
        <v>0</v>
      </c>
      <c r="V17" s="688">
        <f>E.TELECOM!W53</f>
        <v>1186.5</v>
      </c>
      <c r="W17" s="688">
        <f>E.TELECOM!X53</f>
        <v>291.8</v>
      </c>
      <c r="X17" s="688">
        <f>E.TELECOM!Y53</f>
        <v>0</v>
      </c>
      <c r="Y17" s="688">
        <f>E.TELECOM!Z53</f>
        <v>0</v>
      </c>
      <c r="Z17" s="689">
        <f>E.TELECOM!AA53</f>
        <v>598</v>
      </c>
      <c r="AB17" s="684"/>
      <c r="AC17" s="685"/>
      <c r="AE17" s="1024"/>
      <c r="AF17" s="690"/>
      <c r="AG17" s="690"/>
      <c r="AH17" s="690"/>
      <c r="AI17" s="671">
        <f>W23-W9</f>
        <v>306.79999999999995</v>
      </c>
      <c r="AJ17" s="671">
        <f>V23</f>
        <v>1266.5</v>
      </c>
      <c r="AK17" s="671">
        <f>Z21</f>
        <v>3914.6</v>
      </c>
      <c r="AL17" s="672" t="s">
        <v>2288</v>
      </c>
      <c r="AM17" s="1720"/>
      <c r="AN17" s="1744"/>
      <c r="AO17" s="1494" t="s">
        <v>4462</v>
      </c>
      <c r="AP17" s="1496">
        <f>ROUND(AK$10*0.4,0)</f>
        <v>147</v>
      </c>
      <c r="AQ17" s="1496">
        <f>ROUND(AJ$10*0.4,0)</f>
        <v>666</v>
      </c>
      <c r="AR17" s="1496">
        <f t="shared" ref="AR17" si="3">ROUND($AI$10*0.4,0)</f>
        <v>271</v>
      </c>
      <c r="AS17" s="1503">
        <v>7168000</v>
      </c>
      <c r="AT17" s="1497">
        <v>8960000</v>
      </c>
      <c r="AU17" s="1497">
        <v>11200000</v>
      </c>
      <c r="AV17" s="1502">
        <f t="shared" si="1"/>
        <v>10056256000</v>
      </c>
      <c r="AW17" s="1500"/>
    </row>
    <row r="18" spans="1:49" ht="33" customHeight="1" thickBot="1">
      <c r="A18" s="686" t="s">
        <v>2289</v>
      </c>
      <c r="B18" s="687">
        <f>E.Civil!C152</f>
        <v>6</v>
      </c>
      <c r="C18" s="688">
        <f>E.Civil!D152</f>
        <v>3</v>
      </c>
      <c r="D18" s="688">
        <f>E.Civil!E152</f>
        <v>8</v>
      </c>
      <c r="E18" s="688">
        <f>E.Civil!F152</f>
        <v>4</v>
      </c>
      <c r="F18" s="688">
        <f>E.Civil!G152</f>
        <v>0</v>
      </c>
      <c r="G18" s="688">
        <f>E.Civil!H152</f>
        <v>0</v>
      </c>
      <c r="H18" s="688">
        <f>E.Civil!I152</f>
        <v>4</v>
      </c>
      <c r="I18" s="688">
        <f>E.Civil!J152</f>
        <v>2</v>
      </c>
      <c r="J18" s="688">
        <f>E.Civil!K152</f>
        <v>72</v>
      </c>
      <c r="K18" s="688">
        <f>E.Civil!L152</f>
        <v>10</v>
      </c>
      <c r="L18" s="688">
        <f>E.Civil!M152</f>
        <v>19</v>
      </c>
      <c r="M18" s="688">
        <f>E.Civil!N152</f>
        <v>9</v>
      </c>
      <c r="N18" s="688">
        <f>E.Civil!O152</f>
        <v>53</v>
      </c>
      <c r="O18" s="688">
        <f>E.Civil!P152</f>
        <v>16</v>
      </c>
      <c r="P18" s="688">
        <f>E.Civil!Q152</f>
        <v>3369.7999999999997</v>
      </c>
      <c r="Q18" s="688">
        <f>E.Civil!R152</f>
        <v>650.4</v>
      </c>
      <c r="R18" s="688">
        <f>E.Civil!S152</f>
        <v>0</v>
      </c>
      <c r="S18" s="688">
        <f>E.Civil!T152</f>
        <v>0</v>
      </c>
      <c r="T18" s="688">
        <f>E.Civil!U152</f>
        <v>0</v>
      </c>
      <c r="U18" s="688">
        <f>E.Civil!V152</f>
        <v>0</v>
      </c>
      <c r="V18" s="688">
        <f>E.Civil!W152</f>
        <v>0</v>
      </c>
      <c r="W18" s="688">
        <f>E.Civil!X152</f>
        <v>0</v>
      </c>
      <c r="X18" s="688">
        <f>E.Civil!Y152</f>
        <v>0</v>
      </c>
      <c r="Y18" s="688">
        <f>E.Civil!Z152</f>
        <v>0</v>
      </c>
      <c r="Z18" s="689">
        <f>E.Civil!AA152</f>
        <v>1919.3500000000001</v>
      </c>
      <c r="AB18" s="684"/>
      <c r="AC18" s="685"/>
      <c r="AE18" s="1024"/>
      <c r="AF18" s="690"/>
      <c r="AG18" s="690"/>
      <c r="AH18" s="690"/>
      <c r="AI18" s="671">
        <f>Y23-Y9</f>
        <v>230</v>
      </c>
      <c r="AJ18" s="671">
        <f>X23</f>
        <v>860</v>
      </c>
      <c r="AK18" s="671">
        <f>Z22</f>
        <v>0</v>
      </c>
      <c r="AL18" s="672" t="s">
        <v>2290</v>
      </c>
      <c r="AM18" s="1720"/>
      <c r="AN18" s="1740"/>
      <c r="AO18" s="1494" t="s">
        <v>4463</v>
      </c>
      <c r="AP18" s="1496">
        <f>ROUND(AK$10*0.2,0)</f>
        <v>74</v>
      </c>
      <c r="AQ18" s="1496">
        <f>ROUND(AJ$10*0.2,0)</f>
        <v>333</v>
      </c>
      <c r="AR18" s="1496">
        <f>ROUND($AI$10*0.2,0)</f>
        <v>135</v>
      </c>
      <c r="AS18" s="1503">
        <v>10035200</v>
      </c>
      <c r="AT18" s="1497">
        <v>12544000</v>
      </c>
      <c r="AU18" s="1497">
        <v>15680000</v>
      </c>
      <c r="AV18" s="1502">
        <f t="shared" si="1"/>
        <v>7036556800</v>
      </c>
      <c r="AW18" s="1500"/>
    </row>
    <row r="19" spans="1:49" ht="33" customHeight="1" thickBot="1">
      <c r="A19" s="686" t="s">
        <v>2291</v>
      </c>
      <c r="B19" s="687">
        <f>E.Arichitectural!C83</f>
        <v>2</v>
      </c>
      <c r="C19" s="688">
        <f>E.Arichitectural!D83</f>
        <v>1</v>
      </c>
      <c r="D19" s="688">
        <f>E.Arichitectural!E83</f>
        <v>14</v>
      </c>
      <c r="E19" s="688">
        <f>E.Arichitectural!F83</f>
        <v>1</v>
      </c>
      <c r="F19" s="688">
        <f>E.Arichitectural!G83</f>
        <v>12</v>
      </c>
      <c r="G19" s="688">
        <f>E.Arichitectural!H83</f>
        <v>4</v>
      </c>
      <c r="H19" s="688">
        <f>E.Arichitectural!I83</f>
        <v>5</v>
      </c>
      <c r="I19" s="688">
        <f>E.Arichitectural!J83</f>
        <v>13</v>
      </c>
      <c r="J19" s="688">
        <f>E.Arichitectural!K83</f>
        <v>14</v>
      </c>
      <c r="K19" s="688">
        <f>E.Arichitectural!L83</f>
        <v>0</v>
      </c>
      <c r="L19" s="688">
        <f>E.Arichitectural!M83</f>
        <v>14</v>
      </c>
      <c r="M19" s="688">
        <f>E.Arichitectural!N83</f>
        <v>5</v>
      </c>
      <c r="N19" s="688">
        <f>E.Arichitectural!O83</f>
        <v>22</v>
      </c>
      <c r="O19" s="688">
        <f>E.Arichitectural!P83</f>
        <v>8</v>
      </c>
      <c r="P19" s="688">
        <f>E.Arichitectural!Q83</f>
        <v>0</v>
      </c>
      <c r="Q19" s="688">
        <f>E.Arichitectural!R83</f>
        <v>0</v>
      </c>
      <c r="R19" s="688">
        <f>E.Arichitectural!S83</f>
        <v>1710.3500000000001</v>
      </c>
      <c r="S19" s="688">
        <f>E.Arichitectural!T83</f>
        <v>296.2</v>
      </c>
      <c r="T19" s="688">
        <f>E.Arichitectural!U83</f>
        <v>0</v>
      </c>
      <c r="U19" s="688">
        <f>E.Arichitectural!V83</f>
        <v>0</v>
      </c>
      <c r="V19" s="688">
        <f>E.Arichitectural!W83</f>
        <v>0</v>
      </c>
      <c r="W19" s="688">
        <f>E.Arichitectural!X83</f>
        <v>0</v>
      </c>
      <c r="X19" s="688">
        <f>E.Arichitectural!Y83</f>
        <v>0</v>
      </c>
      <c r="Y19" s="688">
        <f>E.Arichitectural!Z83</f>
        <v>0</v>
      </c>
      <c r="Z19" s="689">
        <f>E.Arichitectural!AA83</f>
        <v>3254.5</v>
      </c>
      <c r="AB19" s="684"/>
      <c r="AC19" s="685"/>
      <c r="AE19" s="690"/>
      <c r="AF19" s="690"/>
      <c r="AG19" s="690"/>
      <c r="AH19" s="690"/>
      <c r="AI19" s="667">
        <f>SUM(AI7:AI18)</f>
        <v>16037.4</v>
      </c>
      <c r="AJ19" s="667">
        <f>SUM(AJ3:AJ18)</f>
        <v>48887.31</v>
      </c>
      <c r="AK19" s="667">
        <f>SUM(AK3:AK18)</f>
        <v>22018.199999999997</v>
      </c>
      <c r="AL19" s="668" t="s">
        <v>1010</v>
      </c>
      <c r="AN19" s="1739" t="s">
        <v>2277</v>
      </c>
      <c r="AO19" s="1494" t="s">
        <v>4461</v>
      </c>
      <c r="AP19" s="1496">
        <f>ROUND(AK$11*0.4,0)</f>
        <v>1955</v>
      </c>
      <c r="AQ19" s="1496">
        <f>ROUND(AJ$11*0.4,0)</f>
        <v>3188</v>
      </c>
      <c r="AR19" s="1496">
        <f>ROUND($AI$11*0.4,0)</f>
        <v>962</v>
      </c>
      <c r="AS19" s="1503">
        <v>5120000</v>
      </c>
      <c r="AT19" s="1497">
        <v>6400000</v>
      </c>
      <c r="AU19" s="1497">
        <v>8000000</v>
      </c>
      <c r="AV19" s="1502">
        <f t="shared" si="1"/>
        <v>38108800000</v>
      </c>
      <c r="AW19" s="1500"/>
    </row>
    <row r="20" spans="1:49" ht="33" customHeight="1" thickBot="1">
      <c r="A20" s="686"/>
      <c r="B20" s="687"/>
      <c r="C20" s="688"/>
      <c r="D20" s="688"/>
      <c r="E20" s="688"/>
      <c r="F20" s="688"/>
      <c r="G20" s="688"/>
      <c r="H20" s="688"/>
      <c r="I20" s="688"/>
      <c r="J20" s="688"/>
      <c r="K20" s="688"/>
      <c r="L20" s="688"/>
      <c r="M20" s="688"/>
      <c r="N20" s="688"/>
      <c r="O20" s="688"/>
      <c r="P20" s="688"/>
      <c r="Q20" s="688"/>
      <c r="R20" s="688"/>
      <c r="S20" s="688"/>
      <c r="T20" s="688"/>
      <c r="U20" s="688"/>
      <c r="V20" s="688"/>
      <c r="W20" s="688"/>
      <c r="X20" s="688"/>
      <c r="Y20" s="688"/>
      <c r="Z20" s="689"/>
      <c r="AB20" s="684"/>
      <c r="AC20" s="685"/>
      <c r="AE20" s="690"/>
      <c r="AF20" s="690"/>
      <c r="AG20" s="690"/>
      <c r="AH20" s="690"/>
      <c r="AI20" s="691"/>
      <c r="AJ20" s="692"/>
      <c r="AK20" s="692"/>
      <c r="AL20" s="693"/>
      <c r="AN20" s="1744"/>
      <c r="AO20" s="1494" t="s">
        <v>4462</v>
      </c>
      <c r="AP20" s="1496">
        <f>ROUND(AK$11*0.4,0)</f>
        <v>1955</v>
      </c>
      <c r="AQ20" s="1496">
        <f>ROUND(AJ$11*0.4,0)</f>
        <v>3188</v>
      </c>
      <c r="AR20" s="1496">
        <f t="shared" ref="AR20" si="4">ROUND($AI$11*0.4,0)</f>
        <v>962</v>
      </c>
      <c r="AS20" s="1503">
        <v>7168000</v>
      </c>
      <c r="AT20" s="1497">
        <v>8960000</v>
      </c>
      <c r="AU20" s="1497">
        <v>11200000</v>
      </c>
      <c r="AV20" s="1502">
        <f t="shared" si="1"/>
        <v>53352320000</v>
      </c>
      <c r="AW20" s="1500"/>
    </row>
    <row r="21" spans="1:49" ht="33" customHeight="1" thickBot="1">
      <c r="A21" s="686" t="s">
        <v>2292</v>
      </c>
      <c r="B21" s="687">
        <f>E.Structure!C328</f>
        <v>0</v>
      </c>
      <c r="C21" s="688">
        <f>E.Structure!D328</f>
        <v>0</v>
      </c>
      <c r="D21" s="688">
        <f>E.Structure!E328</f>
        <v>26.5</v>
      </c>
      <c r="E21" s="688">
        <f>E.Structure!F328</f>
        <v>12</v>
      </c>
      <c r="F21" s="688">
        <f>E.Structure!G328</f>
        <v>0</v>
      </c>
      <c r="G21" s="688">
        <f>E.Structure!H328</f>
        <v>0</v>
      </c>
      <c r="H21" s="688">
        <f>E.Structure!I328</f>
        <v>8</v>
      </c>
      <c r="I21" s="688">
        <f>E.Structure!J328</f>
        <v>4</v>
      </c>
      <c r="J21" s="688">
        <f>E.Structure!K328</f>
        <v>15</v>
      </c>
      <c r="K21" s="688">
        <f>E.Structure!L328</f>
        <v>15</v>
      </c>
      <c r="L21" s="688">
        <f>E.Structure!M328</f>
        <v>14</v>
      </c>
      <c r="M21" s="688">
        <f>E.Structure!N328</f>
        <v>10</v>
      </c>
      <c r="N21" s="688">
        <f>E.Structure!O328</f>
        <v>13</v>
      </c>
      <c r="O21" s="688">
        <f>E.Structure!P328</f>
        <v>13</v>
      </c>
      <c r="P21" s="688">
        <f>E.Structure!Q328</f>
        <v>0</v>
      </c>
      <c r="Q21" s="688">
        <f>E.Structure!R328</f>
        <v>0</v>
      </c>
      <c r="R21" s="688">
        <f>E.Structure!S328</f>
        <v>30</v>
      </c>
      <c r="S21" s="688">
        <f>E.Structure!T328</f>
        <v>0</v>
      </c>
      <c r="T21" s="688">
        <f>E.Structure!U328</f>
        <v>4888.95</v>
      </c>
      <c r="U21" s="688">
        <f>E.Structure!V328</f>
        <v>992.5</v>
      </c>
      <c r="V21" s="688">
        <f>E.Structure!W328</f>
        <v>0</v>
      </c>
      <c r="W21" s="688">
        <f>E.Structure!X328</f>
        <v>0</v>
      </c>
      <c r="X21" s="688">
        <f>E.Structure!Y328</f>
        <v>0</v>
      </c>
      <c r="Y21" s="688">
        <f>E.Structure!Z328</f>
        <v>0</v>
      </c>
      <c r="Z21" s="689">
        <f>E.Structure!AA328</f>
        <v>3914.6</v>
      </c>
      <c r="AB21" s="684"/>
      <c r="AC21" s="685"/>
      <c r="AE21" s="694"/>
      <c r="AF21" s="694"/>
      <c r="AG21" s="694"/>
      <c r="AH21" s="694"/>
      <c r="AJ21" s="1728" t="s">
        <v>2293</v>
      </c>
      <c r="AK21" s="1729"/>
      <c r="AL21" s="1730"/>
      <c r="AN21" s="1740"/>
      <c r="AO21" s="1494" t="s">
        <v>4463</v>
      </c>
      <c r="AP21" s="1496">
        <f>ROUND(AK$11*0.2,0)</f>
        <v>978</v>
      </c>
      <c r="AQ21" s="1496">
        <f>ROUND(AJ$12*0.2,0)</f>
        <v>1524</v>
      </c>
      <c r="AR21" s="1496">
        <f>ROUND($AI$11*0.2,0)</f>
        <v>481</v>
      </c>
      <c r="AS21" s="1503">
        <v>10035200</v>
      </c>
      <c r="AT21" s="1497">
        <v>12544000</v>
      </c>
      <c r="AU21" s="1497">
        <v>15680000</v>
      </c>
      <c r="AV21" s="1502">
        <f t="shared" si="1"/>
        <v>36473561600</v>
      </c>
      <c r="AW21" s="1500"/>
    </row>
    <row r="22" spans="1:49" ht="33" customHeight="1" thickBot="1">
      <c r="A22" s="686" t="s">
        <v>2294</v>
      </c>
      <c r="B22" s="687">
        <f>'E.Project Control'!C13</f>
        <v>0</v>
      </c>
      <c r="C22" s="688">
        <f>'E.Project Control'!D13</f>
        <v>0</v>
      </c>
      <c r="D22" s="688">
        <f>'E.Project Control'!E13</f>
        <v>0</v>
      </c>
      <c r="E22" s="688">
        <f>'E.Project Control'!F13</f>
        <v>0</v>
      </c>
      <c r="F22" s="688">
        <f>'E.Project Control'!G13</f>
        <v>0</v>
      </c>
      <c r="G22" s="688">
        <f>'E.Project Control'!H13</f>
        <v>0</v>
      </c>
      <c r="H22" s="688">
        <f>'E.Project Control'!I13</f>
        <v>0</v>
      </c>
      <c r="I22" s="688">
        <f>'E.Project Control'!J13</f>
        <v>0</v>
      </c>
      <c r="J22" s="688">
        <f>'E.Project Control'!K13</f>
        <v>0</v>
      </c>
      <c r="K22" s="688">
        <f>'E.Project Control'!L13</f>
        <v>0</v>
      </c>
      <c r="L22" s="688">
        <f>'E.Project Control'!M13</f>
        <v>0</v>
      </c>
      <c r="M22" s="688">
        <f>'E.Project Control'!N13</f>
        <v>0</v>
      </c>
      <c r="N22" s="688">
        <f>'E.Project Control'!O13</f>
        <v>0</v>
      </c>
      <c r="O22" s="688">
        <f>'E.Project Control'!P13</f>
        <v>0</v>
      </c>
      <c r="P22" s="688">
        <f>'E.Project Control'!Q13</f>
        <v>0</v>
      </c>
      <c r="Q22" s="688">
        <f>'E.Project Control'!R13</f>
        <v>0</v>
      </c>
      <c r="R22" s="688">
        <f>'E.Project Control'!S13</f>
        <v>0</v>
      </c>
      <c r="S22" s="688">
        <f>'E.Project Control'!T13</f>
        <v>0</v>
      </c>
      <c r="T22" s="688">
        <f>'E.Project Control'!U13</f>
        <v>0</v>
      </c>
      <c r="U22" s="688">
        <f>'E.Project Control'!V13</f>
        <v>0</v>
      </c>
      <c r="V22" s="688">
        <f>'E.Project Control'!W13</f>
        <v>0</v>
      </c>
      <c r="W22" s="688">
        <f>'E.Project Control'!X13</f>
        <v>0</v>
      </c>
      <c r="X22" s="688">
        <f>'E.Project Control'!Y13</f>
        <v>860</v>
      </c>
      <c r="Y22" s="688">
        <f>'E.Project Control'!Z13</f>
        <v>230</v>
      </c>
      <c r="Z22" s="689">
        <f>'E.Project Control'!AA13</f>
        <v>0</v>
      </c>
      <c r="AB22" s="684"/>
      <c r="AC22" s="685"/>
      <c r="AE22" s="1024"/>
      <c r="AJ22" s="1022" t="s">
        <v>2295</v>
      </c>
      <c r="AK22" s="1724" t="s">
        <v>2</v>
      </c>
      <c r="AL22" s="1725"/>
      <c r="AN22" s="1739" t="s">
        <v>2278</v>
      </c>
      <c r="AO22" s="1494" t="s">
        <v>4461</v>
      </c>
      <c r="AP22" s="1496">
        <f>ROUND(AK$12*0.4,0)</f>
        <v>430</v>
      </c>
      <c r="AQ22" s="1496">
        <f>ROUND(AJ$12*0.4,0)</f>
        <v>3048</v>
      </c>
      <c r="AR22" s="1496">
        <f>ROUND($AI$12*0.4,0)</f>
        <v>2099</v>
      </c>
      <c r="AS22" s="1503">
        <v>5120000</v>
      </c>
      <c r="AT22" s="1497">
        <v>6400000</v>
      </c>
      <c r="AU22" s="1497">
        <v>8000000</v>
      </c>
      <c r="AV22" s="1502">
        <f t="shared" si="1"/>
        <v>38500800000</v>
      </c>
      <c r="AW22" s="1500"/>
    </row>
    <row r="23" spans="1:49" ht="33" customHeight="1" thickBot="1">
      <c r="A23" s="695" t="s">
        <v>2296</v>
      </c>
      <c r="B23" s="696">
        <f>SUM(B9:B22)</f>
        <v>5210.6499999999996</v>
      </c>
      <c r="C23" s="697">
        <f>SUM(C9:C22)</f>
        <v>1869</v>
      </c>
      <c r="D23" s="697">
        <f t="shared" ref="D23:Y23" si="5">SUM(D9:D22)</f>
        <v>4957.5</v>
      </c>
      <c r="E23" s="697">
        <f t="shared" si="5"/>
        <v>1771.6</v>
      </c>
      <c r="F23" s="697">
        <f t="shared" si="5"/>
        <v>1555.55</v>
      </c>
      <c r="G23" s="697">
        <f t="shared" si="5"/>
        <v>692.4</v>
      </c>
      <c r="H23" s="697">
        <f t="shared" si="5"/>
        <v>1665.55</v>
      </c>
      <c r="I23" s="697">
        <f t="shared" si="5"/>
        <v>1177.4000000000001</v>
      </c>
      <c r="J23" s="697">
        <f t="shared" si="5"/>
        <v>7970</v>
      </c>
      <c r="K23" s="697">
        <f t="shared" si="5"/>
        <v>2804.6</v>
      </c>
      <c r="L23" s="697">
        <f t="shared" si="5"/>
        <v>7618.9000000000005</v>
      </c>
      <c r="M23" s="697">
        <f t="shared" si="5"/>
        <v>5646.7</v>
      </c>
      <c r="N23" s="697">
        <f t="shared" si="5"/>
        <v>7549.56</v>
      </c>
      <c r="O23" s="697">
        <f t="shared" si="5"/>
        <v>2937.8</v>
      </c>
      <c r="P23" s="697">
        <f t="shared" si="5"/>
        <v>3485.7999999999997</v>
      </c>
      <c r="Q23" s="697">
        <f t="shared" si="5"/>
        <v>1096.4000000000001</v>
      </c>
      <c r="R23" s="697">
        <f t="shared" si="5"/>
        <v>1763.3500000000001</v>
      </c>
      <c r="S23" s="697">
        <f t="shared" si="5"/>
        <v>696.2</v>
      </c>
      <c r="T23" s="697">
        <f t="shared" si="5"/>
        <v>4983.95</v>
      </c>
      <c r="U23" s="697">
        <f t="shared" si="5"/>
        <v>1408.5</v>
      </c>
      <c r="V23" s="697">
        <f t="shared" si="5"/>
        <v>1266.5</v>
      </c>
      <c r="W23" s="697">
        <f t="shared" si="5"/>
        <v>656.8</v>
      </c>
      <c r="X23" s="697">
        <f t="shared" si="5"/>
        <v>860</v>
      </c>
      <c r="Y23" s="697">
        <f t="shared" si="5"/>
        <v>230</v>
      </c>
      <c r="Z23" s="698">
        <f>SUM(Z9:Z22)</f>
        <v>22018.199999999997</v>
      </c>
      <c r="AB23" s="684"/>
      <c r="AC23" s="685"/>
      <c r="AF23" s="690"/>
      <c r="AG23" s="690"/>
      <c r="AH23" s="690"/>
      <c r="AJ23" s="1489">
        <v>4000000000</v>
      </c>
      <c r="AK23" s="1726" t="s">
        <v>2297</v>
      </c>
      <c r="AL23" s="1727"/>
      <c r="AN23" s="1744"/>
      <c r="AO23" s="1494" t="s">
        <v>4462</v>
      </c>
      <c r="AP23" s="1496">
        <f>ROUND(AK$12*0.4,0)</f>
        <v>430</v>
      </c>
      <c r="AQ23" s="1496">
        <f>ROUND(AJ$12*0.4,0)</f>
        <v>3048</v>
      </c>
      <c r="AR23" s="1496">
        <f t="shared" ref="AR23" si="6">ROUND($AI$12*0.4,0)</f>
        <v>2099</v>
      </c>
      <c r="AS23" s="1503">
        <v>7168000</v>
      </c>
      <c r="AT23" s="1497">
        <v>8960000</v>
      </c>
      <c r="AU23" s="1497">
        <v>11200000</v>
      </c>
      <c r="AV23" s="1502">
        <f t="shared" si="1"/>
        <v>53901120000</v>
      </c>
      <c r="AW23" s="1500"/>
    </row>
    <row r="24" spans="1:49" ht="33" customHeight="1" thickBot="1">
      <c r="AF24" s="690"/>
      <c r="AG24" s="690"/>
      <c r="AH24" s="690"/>
      <c r="AJ24" s="1490">
        <v>1500000000</v>
      </c>
      <c r="AK24" s="1735" t="s">
        <v>2298</v>
      </c>
      <c r="AL24" s="1736"/>
      <c r="AN24" s="1740"/>
      <c r="AO24" s="1494" t="s">
        <v>4463</v>
      </c>
      <c r="AP24" s="1496">
        <f>ROUND(AK$12*0.2,0)</f>
        <v>215</v>
      </c>
      <c r="AQ24" s="1496">
        <f>ROUND(AJ$11*0.2,0)</f>
        <v>1594</v>
      </c>
      <c r="AR24" s="1496">
        <f>ROUND($AI$12*0.2,0)</f>
        <v>1049</v>
      </c>
      <c r="AS24" s="1503">
        <v>10035200</v>
      </c>
      <c r="AT24" s="1497">
        <v>12544000</v>
      </c>
      <c r="AU24" s="1497">
        <v>15680000</v>
      </c>
      <c r="AV24" s="1502">
        <f t="shared" si="1"/>
        <v>38601024000</v>
      </c>
      <c r="AW24" s="1500"/>
    </row>
    <row r="25" spans="1:49" ht="33" customHeight="1" thickBot="1">
      <c r="AF25" s="690"/>
      <c r="AG25" s="690"/>
      <c r="AH25" s="690"/>
      <c r="AJ25" s="1490">
        <v>3500000000</v>
      </c>
      <c r="AK25" s="1737" t="s">
        <v>2299</v>
      </c>
      <c r="AL25" s="1738"/>
      <c r="AN25" s="1739" t="s">
        <v>2280</v>
      </c>
      <c r="AO25" s="1494" t="s">
        <v>4461</v>
      </c>
      <c r="AP25" s="1496">
        <f>ROUND(AK$13*0.4,0)</f>
        <v>1509</v>
      </c>
      <c r="AQ25" s="1496">
        <f>ROUND(AJ$13*0.4,0)</f>
        <v>3020</v>
      </c>
      <c r="AR25" s="1496">
        <f>ROUND($AI$13*0.4,0)</f>
        <v>975</v>
      </c>
      <c r="AS25" s="1503">
        <v>5120000</v>
      </c>
      <c r="AT25" s="1497">
        <v>6400000</v>
      </c>
      <c r="AU25" s="1497">
        <v>8000000</v>
      </c>
      <c r="AV25" s="1502">
        <f t="shared" si="1"/>
        <v>34854080000</v>
      </c>
      <c r="AW25" s="1500"/>
    </row>
    <row r="26" spans="1:49" ht="33" customHeight="1" thickBot="1">
      <c r="AF26" s="690"/>
      <c r="AG26" s="690"/>
      <c r="AH26" s="690"/>
      <c r="AJ26" s="1490">
        <v>9000000000</v>
      </c>
      <c r="AK26" s="1733" t="s">
        <v>2300</v>
      </c>
      <c r="AL26" s="1734"/>
      <c r="AN26" s="1744"/>
      <c r="AO26" s="1494" t="s">
        <v>4462</v>
      </c>
      <c r="AP26" s="1496">
        <f>ROUND(AK$13*0.4,0)</f>
        <v>1509</v>
      </c>
      <c r="AQ26" s="1496">
        <f>ROUND(AJ$13*0.4,0)</f>
        <v>3020</v>
      </c>
      <c r="AR26" s="1496">
        <f t="shared" ref="AR26" si="7">ROUND($AI$13*0.4,0)</f>
        <v>975</v>
      </c>
      <c r="AS26" s="1503">
        <v>7168000</v>
      </c>
      <c r="AT26" s="1497">
        <v>8960000</v>
      </c>
      <c r="AU26" s="1497">
        <v>11200000</v>
      </c>
      <c r="AV26" s="1502">
        <f t="shared" si="1"/>
        <v>48795712000</v>
      </c>
      <c r="AW26" s="1500"/>
    </row>
    <row r="27" spans="1:49" ht="33" customHeight="1" thickBot="1">
      <c r="AH27" s="690"/>
      <c r="AJ27" s="1490">
        <v>3500000000</v>
      </c>
      <c r="AK27" s="1731" t="s">
        <v>2301</v>
      </c>
      <c r="AL27" s="1732"/>
      <c r="AN27" s="1740"/>
      <c r="AO27" s="1494" t="s">
        <v>4463</v>
      </c>
      <c r="AP27" s="1496">
        <f>ROUND(AK$13*0.2,0)</f>
        <v>754</v>
      </c>
      <c r="AQ27" s="1496">
        <f>ROUND(AJ$13*0.2,0)</f>
        <v>1510</v>
      </c>
      <c r="AR27" s="1496">
        <f>ROUND($AI$13*0.2,0)</f>
        <v>488</v>
      </c>
      <c r="AS27" s="1503">
        <v>10035200</v>
      </c>
      <c r="AT27" s="1497">
        <v>12544000</v>
      </c>
      <c r="AU27" s="1497">
        <v>15680000</v>
      </c>
      <c r="AV27" s="1502">
        <f t="shared" si="1"/>
        <v>34159820800</v>
      </c>
      <c r="AW27" s="1500"/>
    </row>
    <row r="28" spans="1:49" ht="33" customHeight="1" thickBot="1">
      <c r="AH28" s="690"/>
      <c r="AJ28" s="1490">
        <v>4000000000</v>
      </c>
      <c r="AK28" s="1733" t="s">
        <v>2302</v>
      </c>
      <c r="AL28" s="1734"/>
      <c r="AN28" s="1739" t="s">
        <v>2282</v>
      </c>
      <c r="AO28" s="1494" t="s">
        <v>4461</v>
      </c>
      <c r="AP28" s="1496">
        <f>ROUND(AK$14*0.4,0)</f>
        <v>239</v>
      </c>
      <c r="AQ28" s="1496">
        <f>ROUND(AJ$14*0.4,0)</f>
        <v>1394</v>
      </c>
      <c r="AR28" s="1496">
        <f>ROUND($AI$14*0.4,0)</f>
        <v>279</v>
      </c>
      <c r="AS28" s="1503">
        <v>5120000</v>
      </c>
      <c r="AT28" s="1497">
        <v>6400000</v>
      </c>
      <c r="AU28" s="1497">
        <v>8000000</v>
      </c>
      <c r="AV28" s="1502">
        <f t="shared" si="1"/>
        <v>12377280000</v>
      </c>
      <c r="AW28" s="1500"/>
    </row>
    <row r="29" spans="1:49" ht="33" customHeight="1" thickBot="1">
      <c r="AJ29" s="1490">
        <v>4000000000</v>
      </c>
      <c r="AK29" s="1731" t="s">
        <v>2303</v>
      </c>
      <c r="AL29" s="1732"/>
      <c r="AN29" s="1744"/>
      <c r="AO29" s="1494" t="s">
        <v>4462</v>
      </c>
      <c r="AP29" s="1496">
        <f>ROUND(AK$14*0.4,0)</f>
        <v>239</v>
      </c>
      <c r="AQ29" s="1496">
        <f>ROUND(AJ$14*0.4,0)</f>
        <v>1394</v>
      </c>
      <c r="AR29" s="1496">
        <f t="shared" ref="AR29" si="8">ROUND($AI$14*0.4,0)</f>
        <v>279</v>
      </c>
      <c r="AS29" s="1503">
        <v>7168000</v>
      </c>
      <c r="AT29" s="1497">
        <v>8960000</v>
      </c>
      <c r="AU29" s="1497">
        <v>11200000</v>
      </c>
      <c r="AV29" s="1502">
        <f t="shared" si="1"/>
        <v>17328192000</v>
      </c>
      <c r="AW29" s="1500"/>
    </row>
    <row r="30" spans="1:49" ht="33" customHeight="1" thickBot="1">
      <c r="AJ30" s="1490">
        <v>3500000000</v>
      </c>
      <c r="AK30" s="1733" t="s">
        <v>2304</v>
      </c>
      <c r="AL30" s="1734"/>
      <c r="AN30" s="1740"/>
      <c r="AO30" s="1494" t="s">
        <v>4463</v>
      </c>
      <c r="AP30" s="1496">
        <f>ROUND(AK$14*0.2,0)</f>
        <v>120</v>
      </c>
      <c r="AQ30" s="1496">
        <f>ROUND(AJ$14*0.2,0)</f>
        <v>697</v>
      </c>
      <c r="AR30" s="1496">
        <f>ROUND($AI$14*0.2,0)</f>
        <v>139</v>
      </c>
      <c r="AS30" s="1503">
        <v>10035200</v>
      </c>
      <c r="AT30" s="1497">
        <v>12544000</v>
      </c>
      <c r="AU30" s="1497">
        <v>15680000</v>
      </c>
      <c r="AV30" s="1502">
        <f t="shared" si="1"/>
        <v>12126912000</v>
      </c>
      <c r="AW30" s="1500"/>
    </row>
    <row r="31" spans="1:49" ht="33" customHeight="1" thickBot="1">
      <c r="AJ31" s="1491">
        <f>SUM(AJ23:AJ30)*0.05</f>
        <v>1650000000</v>
      </c>
      <c r="AK31" s="1733" t="s">
        <v>4454</v>
      </c>
      <c r="AL31" s="1734"/>
      <c r="AN31" s="1739" t="s">
        <v>2284</v>
      </c>
      <c r="AO31" s="1494" t="s">
        <v>4461</v>
      </c>
      <c r="AP31" s="1496">
        <f>ROUND(AK$15*0.4,0)</f>
        <v>768</v>
      </c>
      <c r="AQ31" s="1496">
        <f>ROUND(AJ$15*0.4,0)</f>
        <v>705</v>
      </c>
      <c r="AR31" s="1496">
        <f>ROUND($AI$15*0.4,0)</f>
        <v>118</v>
      </c>
      <c r="AS31" s="1503">
        <v>5120000</v>
      </c>
      <c r="AT31" s="1497">
        <v>6400000</v>
      </c>
      <c r="AU31" s="1497">
        <v>8000000</v>
      </c>
      <c r="AV31" s="1502">
        <f t="shared" si="1"/>
        <v>9388160000</v>
      </c>
      <c r="AW31" s="1500"/>
    </row>
    <row r="32" spans="1:49" ht="33" customHeight="1" thickBot="1">
      <c r="AJ32" s="1492">
        <f>SUM(AJ23:AJ31)</f>
        <v>34650000000</v>
      </c>
      <c r="AK32" s="1745" t="s">
        <v>1010</v>
      </c>
      <c r="AL32" s="1746"/>
      <c r="AN32" s="1744"/>
      <c r="AO32" s="1494" t="s">
        <v>4462</v>
      </c>
      <c r="AP32" s="1496">
        <f>ROUND(AK$15*0.4,0)</f>
        <v>768</v>
      </c>
      <c r="AQ32" s="1496">
        <f>ROUND(AJ$15*0.4,0)</f>
        <v>705</v>
      </c>
      <c r="AR32" s="1496">
        <f t="shared" ref="AR32" si="9">ROUND($AI$15*0.4,0)</f>
        <v>118</v>
      </c>
      <c r="AS32" s="1503">
        <v>7168000</v>
      </c>
      <c r="AT32" s="1497">
        <v>8960000</v>
      </c>
      <c r="AU32" s="1497">
        <v>11200000</v>
      </c>
      <c r="AV32" s="1502">
        <f t="shared" si="1"/>
        <v>13143424000</v>
      </c>
      <c r="AW32" s="1500"/>
    </row>
    <row r="33" spans="3:49" ht="33" customHeight="1" thickBot="1">
      <c r="AN33" s="1740"/>
      <c r="AO33" s="1494" t="s">
        <v>4463</v>
      </c>
      <c r="AP33" s="1496">
        <f>ROUND(AK$15*0.2,0)</f>
        <v>384</v>
      </c>
      <c r="AQ33" s="1496">
        <f>ROUND(AJ$15*0.2,0)</f>
        <v>353</v>
      </c>
      <c r="AR33" s="1496">
        <f>ROUND($AI$15*0.2,0)</f>
        <v>59</v>
      </c>
      <c r="AS33" s="1503">
        <v>10035200</v>
      </c>
      <c r="AT33" s="1497">
        <v>12544000</v>
      </c>
      <c r="AU33" s="1497">
        <v>15680000</v>
      </c>
      <c r="AV33" s="1502">
        <f t="shared" si="1"/>
        <v>9206668800</v>
      </c>
      <c r="AW33" s="1500"/>
    </row>
    <row r="34" spans="3:49" ht="33" customHeight="1" thickBot="1">
      <c r="AN34" s="1739" t="s">
        <v>2286</v>
      </c>
      <c r="AO34" s="1494" t="s">
        <v>4461</v>
      </c>
      <c r="AP34" s="1496">
        <f>ROUND(AK$16*0.4,0)</f>
        <v>1302</v>
      </c>
      <c r="AQ34" s="1496">
        <f>ROUND(AJ$16*0.4,0)</f>
        <v>1994</v>
      </c>
      <c r="AR34" s="1496">
        <f>ROUND($AI$16*0.4,0)</f>
        <v>403</v>
      </c>
      <c r="AS34" s="1503">
        <v>5120000</v>
      </c>
      <c r="AT34" s="1497">
        <v>6400000</v>
      </c>
      <c r="AU34" s="1497">
        <v>8000000</v>
      </c>
      <c r="AV34" s="1502">
        <f t="shared" si="1"/>
        <v>22651840000</v>
      </c>
      <c r="AW34" s="1500"/>
    </row>
    <row r="35" spans="3:49" ht="33" customHeight="1" thickBot="1">
      <c r="AJ35" s="1023" t="s">
        <v>4468</v>
      </c>
      <c r="AK35" s="1749" t="s">
        <v>2</v>
      </c>
      <c r="AL35" s="1750"/>
      <c r="AN35" s="1744"/>
      <c r="AO35" s="1494" t="s">
        <v>4462</v>
      </c>
      <c r="AP35" s="1496">
        <f>ROUND(AK$16*0.4,0)</f>
        <v>1302</v>
      </c>
      <c r="AQ35" s="1496">
        <f>ROUND(AJ$16*0.4,0)</f>
        <v>1994</v>
      </c>
      <c r="AR35" s="1496">
        <f t="shared" ref="AR35" si="10">ROUND($AI$16*0.4,0)</f>
        <v>403</v>
      </c>
      <c r="AS35" s="1503">
        <v>7168000</v>
      </c>
      <c r="AT35" s="1497">
        <v>8960000</v>
      </c>
      <c r="AU35" s="1497">
        <v>11200000</v>
      </c>
      <c r="AV35" s="1502">
        <f t="shared" si="1"/>
        <v>31712576000</v>
      </c>
      <c r="AW35" s="1500"/>
    </row>
    <row r="36" spans="3:49" ht="33" customHeight="1" thickBot="1">
      <c r="AG36" s="699"/>
      <c r="AJ36" s="1019">
        <f>AE3</f>
        <v>45441000000</v>
      </c>
      <c r="AK36" s="1747" t="s">
        <v>2253</v>
      </c>
      <c r="AL36" s="1748"/>
      <c r="AN36" s="1740"/>
      <c r="AO36" s="1494" t="s">
        <v>4463</v>
      </c>
      <c r="AP36" s="1496">
        <f>ROUND(AK$16*0.2,0)</f>
        <v>651</v>
      </c>
      <c r="AQ36" s="1496">
        <f>ROUND(AJ$16*0.2,0)</f>
        <v>997</v>
      </c>
      <c r="AR36" s="1496">
        <f>ROUND($AI$16*0.2,0)</f>
        <v>202</v>
      </c>
      <c r="AS36" s="1503">
        <v>10035200</v>
      </c>
      <c r="AT36" s="1497">
        <v>12544000</v>
      </c>
      <c r="AU36" s="1497">
        <v>15680000</v>
      </c>
      <c r="AV36" s="1502">
        <f t="shared" si="1"/>
        <v>22206643200</v>
      </c>
      <c r="AW36" s="1500"/>
    </row>
    <row r="37" spans="3:49" ht="33" customHeight="1" thickBot="1">
      <c r="AG37" s="699"/>
      <c r="AJ37" s="1020">
        <f>AV43</f>
        <v>748915072000</v>
      </c>
      <c r="AK37" s="1733" t="s">
        <v>2305</v>
      </c>
      <c r="AL37" s="1734"/>
      <c r="AN37" s="1739" t="s">
        <v>2288</v>
      </c>
      <c r="AO37" s="1494" t="s">
        <v>4461</v>
      </c>
      <c r="AP37" s="1496">
        <f>ROUND(AK$17*0.4,0)</f>
        <v>1566</v>
      </c>
      <c r="AQ37" s="1496">
        <f>ROUND(AJ$17*0.4,0)</f>
        <v>507</v>
      </c>
      <c r="AR37" s="1496">
        <f>ROUND($AI$17*0.4,0)</f>
        <v>123</v>
      </c>
      <c r="AS37" s="1503">
        <v>5120000</v>
      </c>
      <c r="AT37" s="1497">
        <v>6400000</v>
      </c>
      <c r="AU37" s="1497">
        <v>8000000</v>
      </c>
      <c r="AV37" s="1502">
        <f t="shared" si="1"/>
        <v>12246720000</v>
      </c>
      <c r="AW37" s="1500"/>
    </row>
    <row r="38" spans="3:49" ht="33" customHeight="1" thickBot="1">
      <c r="C38" s="700"/>
      <c r="AG38" s="699"/>
      <c r="AJ38" s="1020">
        <f>AJ32</f>
        <v>34650000000</v>
      </c>
      <c r="AK38" s="1733" t="s">
        <v>2293</v>
      </c>
      <c r="AL38" s="1734"/>
      <c r="AN38" s="1744"/>
      <c r="AO38" s="1494" t="s">
        <v>4462</v>
      </c>
      <c r="AP38" s="1496">
        <f>ROUND(AK$17*0.4,0)</f>
        <v>1566</v>
      </c>
      <c r="AQ38" s="1496">
        <f>ROUND(AJ$17*0.4,0)</f>
        <v>507</v>
      </c>
      <c r="AR38" s="1496">
        <f>ROUND($AI$17*0.4,0)</f>
        <v>123</v>
      </c>
      <c r="AS38" s="1503">
        <v>7168000</v>
      </c>
      <c r="AT38" s="1497">
        <v>8960000</v>
      </c>
      <c r="AU38" s="1497">
        <v>11200000</v>
      </c>
      <c r="AV38" s="1502">
        <f t="shared" si="1"/>
        <v>17145408000</v>
      </c>
      <c r="AW38" s="1500"/>
    </row>
    <row r="39" spans="3:49" ht="33" customHeight="1" thickBot="1">
      <c r="AJ39" s="1021">
        <f>SUM(AJ36:AJ38)*0.2</f>
        <v>165801214400</v>
      </c>
      <c r="AK39" s="1745" t="s">
        <v>4467</v>
      </c>
      <c r="AL39" s="1746"/>
      <c r="AN39" s="1740"/>
      <c r="AO39" s="1494" t="s">
        <v>4463</v>
      </c>
      <c r="AP39" s="1496">
        <f>ROUND(AK$17*0.2,0)</f>
        <v>783</v>
      </c>
      <c r="AQ39" s="1496">
        <f>ROUND(AJ$17*0.2,0)</f>
        <v>253</v>
      </c>
      <c r="AR39" s="1496">
        <f>ROUND($AI$17*0.2,0)</f>
        <v>61</v>
      </c>
      <c r="AS39" s="1503">
        <v>10035200</v>
      </c>
      <c r="AT39" s="1497">
        <v>12544000</v>
      </c>
      <c r="AU39" s="1497">
        <v>15680000</v>
      </c>
      <c r="AV39" s="1502">
        <f t="shared" si="1"/>
        <v>11987673600</v>
      </c>
      <c r="AW39" s="1500"/>
    </row>
    <row r="40" spans="3:49" ht="19.5" customHeight="1" thickBot="1">
      <c r="AJ40" s="1505">
        <f>SUM(AJ36:AJ39)</f>
        <v>994807286400</v>
      </c>
      <c r="AK40" s="1745" t="s">
        <v>1010</v>
      </c>
      <c r="AL40" s="1746"/>
      <c r="AN40" s="1739" t="s">
        <v>2290</v>
      </c>
      <c r="AO40" s="1494" t="s">
        <v>4461</v>
      </c>
      <c r="AP40" s="1496">
        <f>ROUND(AK$18*0.4,0)</f>
        <v>0</v>
      </c>
      <c r="AQ40" s="1496">
        <f>ROUND(AJ$18*0.4,0)</f>
        <v>344</v>
      </c>
      <c r="AR40" s="1496">
        <f>ROUND($AI$18*0.4,0)</f>
        <v>92</v>
      </c>
      <c r="AS40" s="1503">
        <v>5120000</v>
      </c>
      <c r="AT40" s="1497">
        <v>6400000</v>
      </c>
      <c r="AU40" s="1497">
        <v>8000000</v>
      </c>
      <c r="AV40" s="1502">
        <f t="shared" si="1"/>
        <v>2937600000</v>
      </c>
      <c r="AW40" s="1500"/>
    </row>
    <row r="41" spans="3:49" ht="15.75" thickBot="1">
      <c r="AN41" s="1744"/>
      <c r="AO41" s="1494" t="s">
        <v>4462</v>
      </c>
      <c r="AP41" s="1496">
        <f>ROUND(AK$18*0.4,0)</f>
        <v>0</v>
      </c>
      <c r="AQ41" s="1496">
        <f>ROUND(AJ$18*0.4,0)</f>
        <v>344</v>
      </c>
      <c r="AR41" s="1496">
        <f t="shared" ref="AR41" si="11">ROUND($AI$18*0.4,0)</f>
        <v>92</v>
      </c>
      <c r="AS41" s="1503">
        <v>7168000</v>
      </c>
      <c r="AT41" s="1497">
        <v>8960000</v>
      </c>
      <c r="AU41" s="1497">
        <v>11200000</v>
      </c>
      <c r="AV41" s="1502">
        <f t="shared" si="1"/>
        <v>4112640000</v>
      </c>
      <c r="AW41" s="1500"/>
    </row>
    <row r="42" spans="3:49" ht="15.75" thickBot="1">
      <c r="AN42" s="1740"/>
      <c r="AO42" s="1494" t="s">
        <v>4463</v>
      </c>
      <c r="AP42" s="1496">
        <f>ROUND(AK$18*0.2,0)</f>
        <v>0</v>
      </c>
      <c r="AQ42" s="1496">
        <f>ROUND(AJ$18*0.2,0)</f>
        <v>172</v>
      </c>
      <c r="AR42" s="1496">
        <f>ROUND($AI$18*0.2,0)</f>
        <v>46</v>
      </c>
      <c r="AS42" s="1503">
        <v>10035200</v>
      </c>
      <c r="AT42" s="1497">
        <v>12544000</v>
      </c>
      <c r="AU42" s="1497">
        <v>15680000</v>
      </c>
      <c r="AV42" s="1502">
        <f t="shared" si="1"/>
        <v>2878848000</v>
      </c>
      <c r="AW42" s="1500"/>
    </row>
    <row r="43" spans="3:49" ht="15.75" thickBot="1">
      <c r="AN43" s="1498"/>
      <c r="AO43" s="1494" t="s">
        <v>1010</v>
      </c>
      <c r="AP43" s="1497">
        <f>SUM(AP7:AP42)</f>
        <v>22021</v>
      </c>
      <c r="AQ43" s="1497">
        <f>SUM(AQ7:AQ42)</f>
        <v>48888</v>
      </c>
      <c r="AR43" s="1497">
        <f>SUM(AR7:AR42)</f>
        <v>16038</v>
      </c>
      <c r="AS43" s="1496"/>
      <c r="AT43" s="1496"/>
      <c r="AU43" s="1496"/>
      <c r="AV43" s="1503">
        <f>SUM(AV7:AV42)</f>
        <v>748915072000</v>
      </c>
    </row>
    <row r="45" spans="3:49">
      <c r="AV45" s="1500"/>
    </row>
    <row r="46" spans="3:49">
      <c r="AS46" s="1501"/>
    </row>
    <row r="47" spans="3:49">
      <c r="AS47" s="1500"/>
    </row>
  </sheetData>
  <mergeCells count="58">
    <mergeCell ref="AK40:AL40"/>
    <mergeCell ref="AN28:AN30"/>
    <mergeCell ref="AN31:AN33"/>
    <mergeCell ref="AN34:AN36"/>
    <mergeCell ref="AN37:AN39"/>
    <mergeCell ref="AN40:AN42"/>
    <mergeCell ref="AK39:AL39"/>
    <mergeCell ref="AK36:AL36"/>
    <mergeCell ref="AK37:AL37"/>
    <mergeCell ref="AK38:AL38"/>
    <mergeCell ref="AK30:AL30"/>
    <mergeCell ref="AK32:AL32"/>
    <mergeCell ref="AK35:AL35"/>
    <mergeCell ref="AK31:AL31"/>
    <mergeCell ref="AN13:AN15"/>
    <mergeCell ref="AN16:AN18"/>
    <mergeCell ref="AN19:AN21"/>
    <mergeCell ref="AN22:AN24"/>
    <mergeCell ref="AN25:AN27"/>
    <mergeCell ref="AN5:AN6"/>
    <mergeCell ref="AO5:AR5"/>
    <mergeCell ref="AS5:AU5"/>
    <mergeCell ref="AN7:AN9"/>
    <mergeCell ref="AN10:AN12"/>
    <mergeCell ref="AK27:AL27"/>
    <mergeCell ref="AK28:AL28"/>
    <mergeCell ref="AK29:AL29"/>
    <mergeCell ref="AK24:AL24"/>
    <mergeCell ref="AK25:AL25"/>
    <mergeCell ref="AK26:AL26"/>
    <mergeCell ref="X7:Y7"/>
    <mergeCell ref="Z7:Z8"/>
    <mergeCell ref="AK22:AL22"/>
    <mergeCell ref="AK23:AL23"/>
    <mergeCell ref="L7:M7"/>
    <mergeCell ref="N7:O7"/>
    <mergeCell ref="P7:Q7"/>
    <mergeCell ref="R7:S7"/>
    <mergeCell ref="T7:U7"/>
    <mergeCell ref="V7:W7"/>
    <mergeCell ref="AJ21:AL21"/>
    <mergeCell ref="AM4:AM18"/>
    <mergeCell ref="AE5:AE6"/>
    <mergeCell ref="AF5:AH5"/>
    <mergeCell ref="AI5:AK5"/>
    <mergeCell ref="AL5:AL6"/>
    <mergeCell ref="B7:C7"/>
    <mergeCell ref="D7:E7"/>
    <mergeCell ref="F7:G7"/>
    <mergeCell ref="H7:I7"/>
    <mergeCell ref="J7:K7"/>
    <mergeCell ref="A4:Z4"/>
    <mergeCell ref="AE4:AL4"/>
    <mergeCell ref="B1:X3"/>
    <mergeCell ref="AE1:AE2"/>
    <mergeCell ref="AF1:AH1"/>
    <mergeCell ref="AI1:AK1"/>
    <mergeCell ref="AL1:AL2"/>
  </mergeCells>
  <pageMargins left="0.70866141732283472" right="0.70866141732283472" top="0.74803149606299213" bottom="0.74803149606299213" header="0.31496062992125984" footer="0.31496062992125984"/>
  <pageSetup paperSize="8" orientation="landscape"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J58"/>
  <sheetViews>
    <sheetView rightToLeft="1" workbookViewId="0">
      <selection activeCell="F50" sqref="F50"/>
    </sheetView>
  </sheetViews>
  <sheetFormatPr defaultRowHeight="15"/>
  <cols>
    <col min="1" max="1" width="7.42578125" customWidth="1"/>
    <col min="2" max="2" width="46.7109375" customWidth="1"/>
    <col min="3" max="3" width="16.28515625" customWidth="1"/>
    <col min="4" max="4" width="22.7109375" customWidth="1"/>
    <col min="6" max="6" width="20.5703125" customWidth="1"/>
    <col min="7" max="7" width="13" customWidth="1"/>
    <col min="8" max="8" width="22" bestFit="1" customWidth="1"/>
    <col min="9" max="9" width="9.7109375" bestFit="1" customWidth="1"/>
    <col min="10" max="10" width="18.28515625" bestFit="1" customWidth="1"/>
  </cols>
  <sheetData>
    <row r="1" spans="1:8" ht="15.75">
      <c r="A1" s="1752" t="s">
        <v>56</v>
      </c>
      <c r="B1" s="1753"/>
      <c r="C1" s="1753"/>
      <c r="D1" s="1754"/>
      <c r="F1" s="1025" t="s">
        <v>57</v>
      </c>
      <c r="G1" s="1025">
        <f>USD_Change_IRR</f>
        <v>420000</v>
      </c>
    </row>
    <row r="2" spans="1:8">
      <c r="A2" s="24" t="s">
        <v>58</v>
      </c>
      <c r="B2" s="25" t="s">
        <v>59</v>
      </c>
      <c r="C2" s="25" t="s">
        <v>968</v>
      </c>
      <c r="D2" s="26" t="s">
        <v>1</v>
      </c>
      <c r="F2" s="1564" t="s">
        <v>4478</v>
      </c>
      <c r="G2" s="1565">
        <f>IRR_Inflation_Factor</f>
        <v>18.576032866437732</v>
      </c>
    </row>
    <row r="3" spans="1:8" ht="22.5" customHeight="1">
      <c r="A3" s="27">
        <v>1</v>
      </c>
      <c r="B3" s="28" t="s">
        <v>61</v>
      </c>
      <c r="C3" s="29">
        <f>P.ME!I126</f>
        <v>7594862.7657075329</v>
      </c>
      <c r="D3" s="29">
        <f>P.ME!K126</f>
        <v>0</v>
      </c>
      <c r="F3" s="1025" t="s">
        <v>4479</v>
      </c>
      <c r="G3" s="1565">
        <f>USD_Inflation_Factor</f>
        <v>1.3670534375864218</v>
      </c>
      <c r="H3" s="1586"/>
    </row>
    <row r="4" spans="1:8" ht="22.5" customHeight="1">
      <c r="A4" s="27">
        <v>2</v>
      </c>
      <c r="B4" s="28" t="s">
        <v>62</v>
      </c>
      <c r="C4" s="29">
        <f>P.ME!I127</f>
        <v>6487000</v>
      </c>
      <c r="D4" s="29">
        <f>P.ME!K127</f>
        <v>0</v>
      </c>
      <c r="H4" s="1586"/>
    </row>
    <row r="5" spans="1:8" ht="22.5" customHeight="1">
      <c r="A5" s="27">
        <v>3</v>
      </c>
      <c r="B5" s="28" t="s">
        <v>63</v>
      </c>
      <c r="C5" s="29">
        <f>P.ME!I128</f>
        <v>0</v>
      </c>
      <c r="D5" s="29">
        <f>P.ME!K128</f>
        <v>625209000000</v>
      </c>
      <c r="H5" s="1586"/>
    </row>
    <row r="6" spans="1:8" ht="22.5" customHeight="1">
      <c r="A6" s="27">
        <v>4</v>
      </c>
      <c r="B6" s="28" t="s">
        <v>64</v>
      </c>
      <c r="C6" s="29">
        <f>P.ME!I129</f>
        <v>0</v>
      </c>
      <c r="D6" s="29">
        <f>P.ME!K129</f>
        <v>2082268000000</v>
      </c>
      <c r="H6" s="1586"/>
    </row>
    <row r="7" spans="1:8" ht="22.9" customHeight="1">
      <c r="A7" s="27">
        <v>5</v>
      </c>
      <c r="B7" s="28" t="s">
        <v>65</v>
      </c>
      <c r="C7" s="29">
        <f>P.ME!I130</f>
        <v>0</v>
      </c>
      <c r="D7" s="29">
        <f>P.ME!K130</f>
        <v>2452617000000</v>
      </c>
      <c r="H7" s="1586"/>
    </row>
    <row r="8" spans="1:8" ht="22.5" customHeight="1">
      <c r="A8" s="27">
        <v>6</v>
      </c>
      <c r="B8" s="28" t="s">
        <v>66</v>
      </c>
      <c r="C8" s="29">
        <f>P.ME!I131</f>
        <v>0</v>
      </c>
      <c r="D8" s="29">
        <f>P.ME!K131</f>
        <v>2982846000000</v>
      </c>
      <c r="H8" s="1586"/>
    </row>
    <row r="9" spans="1:8" ht="22.5" customHeight="1">
      <c r="A9" s="27">
        <v>7</v>
      </c>
      <c r="B9" s="28" t="s">
        <v>67</v>
      </c>
      <c r="C9" s="29">
        <f>P.ME!I132</f>
        <v>0</v>
      </c>
      <c r="D9" s="29">
        <f>P.ME!K132</f>
        <v>797604000000</v>
      </c>
      <c r="H9" s="1586"/>
    </row>
    <row r="10" spans="1:8" ht="22.5" customHeight="1">
      <c r="A10" s="27">
        <v>8</v>
      </c>
      <c r="B10" s="28" t="s">
        <v>68</v>
      </c>
      <c r="C10" s="29">
        <f>P.ME!I133</f>
        <v>4773913.7384447353</v>
      </c>
      <c r="D10" s="29">
        <f>P.ME!K133</f>
        <v>0</v>
      </c>
      <c r="H10" s="1586"/>
    </row>
    <row r="11" spans="1:8" ht="22.5" customHeight="1">
      <c r="A11" s="27">
        <v>9</v>
      </c>
      <c r="B11" s="334" t="s">
        <v>4455</v>
      </c>
      <c r="C11" s="29">
        <f>P.ME!I134</f>
        <v>0</v>
      </c>
      <c r="D11" s="29">
        <f>P.ME!K134</f>
        <v>418938000000</v>
      </c>
      <c r="H11" s="1586"/>
    </row>
    <row r="12" spans="1:8" ht="22.5" customHeight="1">
      <c r="A12" s="27">
        <v>10</v>
      </c>
      <c r="B12" s="334" t="s">
        <v>69</v>
      </c>
      <c r="C12" s="29">
        <f>P.ME!I135</f>
        <v>0</v>
      </c>
      <c r="D12" s="29">
        <f>P.ME!K135</f>
        <v>372764000000</v>
      </c>
      <c r="H12" s="1586"/>
    </row>
    <row r="13" spans="1:8" ht="22.5" customHeight="1">
      <c r="A13" s="27"/>
      <c r="B13" s="28" t="s">
        <v>70</v>
      </c>
      <c r="C13" s="29">
        <f>P.ME!I136</f>
        <v>0</v>
      </c>
      <c r="D13" s="29">
        <f>P.ME!K136</f>
        <v>337896000000</v>
      </c>
      <c r="H13" s="1586"/>
    </row>
    <row r="14" spans="1:8" ht="22.5" customHeight="1">
      <c r="A14" s="27">
        <v>12</v>
      </c>
      <c r="B14" s="334" t="s">
        <v>71</v>
      </c>
      <c r="C14" s="29">
        <f>P.ME!I137</f>
        <v>0</v>
      </c>
      <c r="D14" s="29">
        <f>P.ME!K137</f>
        <v>134429070953.02333</v>
      </c>
      <c r="H14" s="1586"/>
    </row>
    <row r="15" spans="1:8" ht="22.5" customHeight="1">
      <c r="A15" s="27">
        <v>13</v>
      </c>
      <c r="B15" s="28" t="s">
        <v>4488</v>
      </c>
      <c r="C15" s="29">
        <f>P.ME!I138</f>
        <v>0</v>
      </c>
      <c r="D15" s="29">
        <f>P.ME!K138</f>
        <v>370840000000</v>
      </c>
      <c r="H15" s="1586"/>
    </row>
    <row r="16" spans="1:8" ht="22.5" customHeight="1">
      <c r="A16" s="27">
        <v>14</v>
      </c>
      <c r="B16" s="28" t="s">
        <v>73</v>
      </c>
      <c r="C16" s="29">
        <f>P.ME!I139</f>
        <v>0</v>
      </c>
      <c r="D16" s="29">
        <f>P.ME!K139</f>
        <v>401940000000</v>
      </c>
      <c r="H16" s="1586"/>
    </row>
    <row r="17" spans="1:8" ht="22.5" customHeight="1">
      <c r="A17" s="27">
        <v>15</v>
      </c>
      <c r="B17" s="28" t="s">
        <v>74</v>
      </c>
      <c r="C17" s="29">
        <f>P.ME!I140</f>
        <v>0</v>
      </c>
      <c r="D17" s="29">
        <f>P.ME!K140</f>
        <v>163763000000</v>
      </c>
      <c r="H17" s="1586"/>
    </row>
    <row r="18" spans="1:8" ht="22.5" customHeight="1">
      <c r="A18" s="27">
        <v>16</v>
      </c>
      <c r="B18" s="28" t="s">
        <v>75</v>
      </c>
      <c r="C18" s="29">
        <f>P.ME!I141</f>
        <v>0</v>
      </c>
      <c r="D18" s="29">
        <f>P.ME!K141</f>
        <v>94500000000</v>
      </c>
      <c r="H18" s="1586"/>
    </row>
    <row r="19" spans="1:8" ht="22.5" customHeight="1">
      <c r="A19" s="27">
        <v>17</v>
      </c>
      <c r="B19" s="28" t="s">
        <v>76</v>
      </c>
      <c r="C19" s="29">
        <f>P.ME!I142</f>
        <v>0</v>
      </c>
      <c r="D19" s="29">
        <f>P.ME!K142</f>
        <v>592670000000</v>
      </c>
      <c r="H19" s="1586"/>
    </row>
    <row r="20" spans="1:8" ht="22.5" customHeight="1" thickBot="1">
      <c r="A20" s="30"/>
      <c r="B20" s="31" t="s">
        <v>77</v>
      </c>
      <c r="C20" s="29">
        <f>P.ME!I143</f>
        <v>18855776.504152268</v>
      </c>
      <c r="D20" s="32">
        <f>SUM(D3:D19)</f>
        <v>11828284070953.023</v>
      </c>
      <c r="H20" s="1586"/>
    </row>
    <row r="21" spans="1:8">
      <c r="A21" s="33"/>
      <c r="B21" s="33"/>
      <c r="C21" s="33"/>
      <c r="D21" s="33"/>
    </row>
    <row r="22" spans="1:8" ht="15.75">
      <c r="A22" s="1755" t="s">
        <v>78</v>
      </c>
      <c r="B22" s="1755"/>
      <c r="C22" s="1755"/>
      <c r="D22" s="1755"/>
      <c r="H22" s="38"/>
    </row>
    <row r="23" spans="1:8">
      <c r="A23" s="34" t="s">
        <v>58</v>
      </c>
      <c r="B23" s="34" t="s">
        <v>59</v>
      </c>
      <c r="C23" s="34" t="s">
        <v>968</v>
      </c>
      <c r="D23" s="34" t="s">
        <v>1</v>
      </c>
    </row>
    <row r="24" spans="1:8" ht="16.5">
      <c r="A24" s="35">
        <v>1</v>
      </c>
      <c r="B24" s="35" t="s">
        <v>79</v>
      </c>
      <c r="C24" s="36">
        <f>P.EL!G173</f>
        <v>0</v>
      </c>
      <c r="D24" s="36">
        <f>ROUNDUP(P.EL!H173,-6)</f>
        <v>806342000000</v>
      </c>
      <c r="H24" s="46"/>
    </row>
    <row r="25" spans="1:8" ht="28.5">
      <c r="A25" s="35">
        <v>2</v>
      </c>
      <c r="B25" s="35" t="s">
        <v>80</v>
      </c>
      <c r="C25" s="36">
        <f>P.EL!G174</f>
        <v>0</v>
      </c>
      <c r="D25" s="36">
        <f>ROUNDUP(P.EL!H174,-6)</f>
        <v>305001000000</v>
      </c>
      <c r="H25" s="46"/>
    </row>
    <row r="26" spans="1:8" ht="16.5">
      <c r="A26" s="35">
        <v>3</v>
      </c>
      <c r="B26" s="35" t="s">
        <v>81</v>
      </c>
      <c r="C26" s="36">
        <f>P.EL!G175</f>
        <v>0</v>
      </c>
      <c r="D26" s="36">
        <f>ROUNDUP(P.EL!H175,-6)</f>
        <v>627631000000</v>
      </c>
      <c r="H26" s="46"/>
    </row>
    <row r="27" spans="1:8" ht="16.5">
      <c r="A27" s="35">
        <v>4</v>
      </c>
      <c r="B27" s="35" t="s">
        <v>82</v>
      </c>
      <c r="C27" s="36">
        <f>ROUNDUP(P.EL!G176,-3)</f>
        <v>1414000</v>
      </c>
      <c r="D27" s="36">
        <f>ROUNDUP(P.EL!H176,-6)</f>
        <v>575848000000</v>
      </c>
      <c r="H27" s="46"/>
    </row>
    <row r="28" spans="1:8" ht="16.5">
      <c r="A28" s="35">
        <v>5</v>
      </c>
      <c r="B28" s="35" t="s">
        <v>83</v>
      </c>
      <c r="C28" s="36">
        <f>ROUNDUP(P.EL!G177,-3)</f>
        <v>197000</v>
      </c>
      <c r="D28" s="36">
        <f>ROUNDUP(P.EL!H177,-6)</f>
        <v>7581000000</v>
      </c>
      <c r="H28" s="46"/>
    </row>
    <row r="29" spans="1:8" ht="16.5">
      <c r="A29" s="35">
        <v>6</v>
      </c>
      <c r="B29" s="35" t="s">
        <v>84</v>
      </c>
      <c r="C29" s="36">
        <f>P.EL!G178</f>
        <v>0</v>
      </c>
      <c r="D29" s="36">
        <f>ROUNDUP(P.EL!H178,-6)</f>
        <v>169114000000</v>
      </c>
      <c r="H29" s="46"/>
    </row>
    <row r="30" spans="1:8" ht="16.5">
      <c r="A30" s="35">
        <v>7</v>
      </c>
      <c r="B30" s="35" t="s">
        <v>85</v>
      </c>
      <c r="C30" s="36">
        <f>P.EL!G179</f>
        <v>0</v>
      </c>
      <c r="D30" s="36">
        <f>ROUNDUP(P.EL!H179,-6)</f>
        <v>532980000000</v>
      </c>
      <c r="H30" s="46"/>
    </row>
    <row r="31" spans="1:8" ht="16.5">
      <c r="A31" s="39"/>
      <c r="B31" s="34" t="s">
        <v>77</v>
      </c>
      <c r="C31" s="36">
        <f>SUM(C24:C30)</f>
        <v>1611000</v>
      </c>
      <c r="D31" s="36">
        <f>SUM(D24:D30)</f>
        <v>3024497000000</v>
      </c>
      <c r="H31" s="46"/>
    </row>
    <row r="32" spans="1:8">
      <c r="A32" s="33"/>
      <c r="B32" s="33"/>
      <c r="C32" s="33"/>
      <c r="D32" s="33"/>
    </row>
    <row r="33" spans="1:10" ht="15.75">
      <c r="A33" s="1751" t="s">
        <v>86</v>
      </c>
      <c r="B33" s="1751"/>
      <c r="C33" s="1751"/>
      <c r="D33" s="1751"/>
    </row>
    <row r="34" spans="1:10">
      <c r="A34" s="25" t="s">
        <v>58</v>
      </c>
      <c r="B34" s="25" t="s">
        <v>59</v>
      </c>
      <c r="C34" s="25" t="s">
        <v>968</v>
      </c>
      <c r="D34" s="25" t="s">
        <v>1</v>
      </c>
    </row>
    <row r="35" spans="1:10" ht="16.5">
      <c r="A35" s="40">
        <v>1</v>
      </c>
      <c r="B35" s="28" t="s">
        <v>87</v>
      </c>
      <c r="C35" s="36">
        <f>ROUNDUP(P.IN!E133+P.IN!E134,-3)</f>
        <v>206000</v>
      </c>
      <c r="D35" s="36">
        <f>ROUNDUP(P.IN!G133+P.IN!G134,-6)</f>
        <v>761483000000</v>
      </c>
      <c r="F35" s="1586"/>
    </row>
    <row r="36" spans="1:10" ht="30">
      <c r="A36" s="40">
        <v>2</v>
      </c>
      <c r="B36" s="28" t="s">
        <v>88</v>
      </c>
      <c r="C36" s="36">
        <f>ROUNDUP(P.IN!E135,-3)</f>
        <v>0</v>
      </c>
      <c r="D36" s="36">
        <f>ROUNDUP(P.IN!G135,-6)</f>
        <v>1232422000000</v>
      </c>
      <c r="F36" s="1586"/>
    </row>
    <row r="37" spans="1:10" ht="16.5">
      <c r="A37" s="40">
        <v>3</v>
      </c>
      <c r="B37" s="28" t="s">
        <v>4509</v>
      </c>
      <c r="C37" s="36">
        <f>ROUNDUP(P.IN!E136,-3)</f>
        <v>0</v>
      </c>
      <c r="D37" s="36">
        <f>P.IN!G136</f>
        <v>701447326000</v>
      </c>
      <c r="F37" s="1586"/>
    </row>
    <row r="38" spans="1:10" ht="16.5">
      <c r="A38" s="40">
        <v>4</v>
      </c>
      <c r="B38" s="28" t="s">
        <v>4518</v>
      </c>
      <c r="C38" s="1515">
        <f>P.IN!E137</f>
        <v>0</v>
      </c>
      <c r="D38" s="36">
        <f>ROUNDUP(P.IN!G137,-6)</f>
        <v>604298000000</v>
      </c>
      <c r="F38" s="1586"/>
    </row>
    <row r="39" spans="1:10" ht="16.5">
      <c r="A39" s="40">
        <v>5</v>
      </c>
      <c r="B39" s="1516" t="s">
        <v>89</v>
      </c>
      <c r="C39" s="36">
        <f>P.IN!E138</f>
        <v>0</v>
      </c>
      <c r="D39" s="36">
        <f>ROUNDUP(P.IN!G138,-6)</f>
        <v>78020000000</v>
      </c>
      <c r="F39" s="1586"/>
    </row>
    <row r="40" spans="1:10" ht="16.5">
      <c r="A40" s="40">
        <v>6</v>
      </c>
      <c r="B40" s="28" t="s">
        <v>90</v>
      </c>
      <c r="C40" s="36">
        <f>P.IN!E139</f>
        <v>0</v>
      </c>
      <c r="D40" s="36">
        <f>ROUNDUP(P.IN!G139+P.IN!G140,-6)</f>
        <v>229255000000</v>
      </c>
      <c r="F40" s="1586"/>
    </row>
    <row r="41" spans="1:10" ht="16.5">
      <c r="A41" s="40">
        <v>7</v>
      </c>
      <c r="B41" s="28" t="s">
        <v>91</v>
      </c>
      <c r="C41" s="36">
        <f>ROUNDUP(P.IN!E141,-3)</f>
        <v>0</v>
      </c>
      <c r="D41" s="36">
        <f>ROUNDUP(P.IN!G141,-6)</f>
        <v>436842000000</v>
      </c>
      <c r="F41" s="1586"/>
    </row>
    <row r="42" spans="1:10" ht="16.5">
      <c r="A42" s="40">
        <v>8</v>
      </c>
      <c r="B42" s="1546" t="s">
        <v>92</v>
      </c>
      <c r="C42" s="36">
        <f>P.IN!E142</f>
        <v>0</v>
      </c>
      <c r="D42" s="36">
        <f>ROUNDUP(P.IN!G142,-6)</f>
        <v>184776000000</v>
      </c>
      <c r="F42" s="1586"/>
    </row>
    <row r="43" spans="1:10" ht="16.5">
      <c r="A43" s="40"/>
      <c r="B43" s="28" t="s">
        <v>77</v>
      </c>
      <c r="C43" s="36">
        <f>SUM(C35:C42)</f>
        <v>206000</v>
      </c>
      <c r="D43" s="36">
        <f>SUM(D35:D42)</f>
        <v>4228543326000</v>
      </c>
      <c r="F43" s="1586"/>
    </row>
    <row r="44" spans="1:10">
      <c r="A44" s="33"/>
      <c r="B44" s="33"/>
      <c r="C44" s="33"/>
      <c r="D44" s="33"/>
    </row>
    <row r="46" spans="1:10" ht="15.75">
      <c r="A46" s="1751" t="s">
        <v>93</v>
      </c>
      <c r="B46" s="1751"/>
      <c r="C46" s="1751"/>
      <c r="D46" s="1751"/>
      <c r="G46" s="41"/>
      <c r="H46" s="41"/>
    </row>
    <row r="47" spans="1:10">
      <c r="A47" s="25" t="s">
        <v>58</v>
      </c>
      <c r="B47" s="25" t="s">
        <v>59</v>
      </c>
      <c r="C47" s="25" t="s">
        <v>968</v>
      </c>
      <c r="D47" s="25" t="s">
        <v>1</v>
      </c>
      <c r="G47" s="42"/>
      <c r="H47" s="42"/>
    </row>
    <row r="48" spans="1:10" ht="29.25">
      <c r="A48" s="40">
        <v>1</v>
      </c>
      <c r="B48" s="28" t="s">
        <v>971</v>
      </c>
      <c r="C48" s="36">
        <f>C43+C31+C20</f>
        <v>20672776.504152268</v>
      </c>
      <c r="D48" s="36">
        <f>SUM(D43,D31,D20)</f>
        <v>19081324396953.023</v>
      </c>
      <c r="G48" s="16"/>
      <c r="H48" s="1586"/>
      <c r="J48" s="1487"/>
    </row>
    <row r="49" spans="1:10" ht="26.25">
      <c r="A49" s="40">
        <v>2</v>
      </c>
      <c r="B49" s="43" t="s">
        <v>972</v>
      </c>
      <c r="C49" s="36">
        <f>ROUNDUP((P.ME!G117+P.IN!C127+P.EL!E166)*per_Euro*USD_Inflation_Factor,-3)</f>
        <v>2719000</v>
      </c>
      <c r="D49" s="44">
        <f>ROUNDUP(P.IN!H124+P.EL!F166+P.ME!F117+P.PI!I815*per_Euro*USD_Change_IRR,-6)</f>
        <v>1165951000000</v>
      </c>
      <c r="F49" s="1025" t="s">
        <v>4477</v>
      </c>
      <c r="G49" s="328"/>
      <c r="H49" s="1586"/>
      <c r="J49" s="1487"/>
    </row>
    <row r="50" spans="1:10" ht="29.25">
      <c r="A50" s="40">
        <v>3</v>
      </c>
      <c r="B50" s="28" t="s">
        <v>94</v>
      </c>
      <c r="C50" s="36"/>
      <c r="D50" s="36">
        <f>ROUNDUP(P.ME!J117+P.PI!L815+P.PL!D21+P.IN!F127+P.EL!G166,-6)</f>
        <v>1813192000000</v>
      </c>
      <c r="F50" s="1526"/>
      <c r="G50" s="16"/>
      <c r="H50" s="1589"/>
      <c r="J50" s="1487"/>
    </row>
    <row r="51" spans="1:10" ht="33">
      <c r="A51" s="40">
        <v>4</v>
      </c>
      <c r="B51" s="45" t="s">
        <v>95</v>
      </c>
      <c r="C51" s="36"/>
      <c r="D51" s="1530">
        <f>ROUNDUP(Procurement_All_Insuramce*(D49+D48)+Procurement_All_Insuramce*(C49+C48)*USD_Change_IRR,-6)</f>
        <v>300719000000</v>
      </c>
      <c r="F51" s="1526">
        <v>0.01</v>
      </c>
      <c r="G51" s="16"/>
      <c r="H51" s="1586"/>
      <c r="J51" s="1487"/>
    </row>
    <row r="52" spans="1:10" ht="29.25">
      <c r="A52" s="40">
        <v>5</v>
      </c>
      <c r="B52" s="28" t="s">
        <v>96</v>
      </c>
      <c r="C52" s="36"/>
      <c r="D52" s="36">
        <f>ROUNDUP((P.ME!K117+P.PI!K815+P.PL!E21+P.EL!J166+P.IN!G127),-6)</f>
        <v>512751000000</v>
      </c>
      <c r="F52" s="1526">
        <v>0.03</v>
      </c>
      <c r="G52" s="16"/>
      <c r="H52" s="1586"/>
      <c r="J52" s="1487"/>
    </row>
    <row r="53" spans="1:10" ht="16.5">
      <c r="A53" s="40">
        <v>6</v>
      </c>
      <c r="B53" s="45" t="s">
        <v>97</v>
      </c>
      <c r="C53" s="36"/>
      <c r="D53" s="1531">
        <f>ROUNDUP(Procurement_QC_Inspection*(D48+D49+(C48+C49)*USD_Change_IRR),-6)</f>
        <v>300719000000</v>
      </c>
      <c r="F53" s="1526">
        <v>0.01</v>
      </c>
      <c r="G53" s="46"/>
      <c r="H53" s="1586"/>
      <c r="J53" s="1487"/>
    </row>
    <row r="54" spans="1:10" ht="16.5">
      <c r="A54" s="40">
        <v>7</v>
      </c>
      <c r="B54" s="45" t="s">
        <v>98</v>
      </c>
      <c r="C54" s="36"/>
      <c r="D54" s="1531">
        <f>ROUNDUP(Procurement_Final_Documentation*(D48+C48*USD_Change_IRR),-6)</f>
        <v>832917000000</v>
      </c>
      <c r="F54" s="1526">
        <v>0.03</v>
      </c>
      <c r="H54" s="1586"/>
      <c r="J54" s="1487"/>
    </row>
    <row r="55" spans="1:10" ht="16.5">
      <c r="A55" s="47"/>
      <c r="B55" s="25" t="s">
        <v>99</v>
      </c>
      <c r="C55" s="36">
        <f>SUM(C48:C54)</f>
        <v>23391776.504152268</v>
      </c>
      <c r="D55" s="36">
        <f>SUM(D48:D54)</f>
        <v>24007573396953.023</v>
      </c>
      <c r="F55" s="1525"/>
      <c r="H55" s="1586"/>
      <c r="J55" s="1487"/>
    </row>
    <row r="58" spans="1:10">
      <c r="C58" s="38"/>
    </row>
  </sheetData>
  <mergeCells count="4">
    <mergeCell ref="A46:D46"/>
    <mergeCell ref="A1:D1"/>
    <mergeCell ref="A22:D22"/>
    <mergeCell ref="A33:D3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43"/>
  <sheetViews>
    <sheetView rightToLeft="1" view="pageBreakPreview" zoomScale="68" zoomScaleNormal="90" zoomScaleSheetLayoutView="68" workbookViewId="0">
      <selection activeCell="U7" sqref="U7"/>
    </sheetView>
  </sheetViews>
  <sheetFormatPr defaultColWidth="9.140625" defaultRowHeight="15"/>
  <cols>
    <col min="1" max="1" width="5.28515625" style="337" customWidth="1"/>
    <col min="2" max="2" width="9.28515625" style="337" customWidth="1"/>
    <col min="3" max="3" width="7.28515625" style="337" customWidth="1"/>
    <col min="4" max="4" width="12.28515625" style="337" customWidth="1"/>
    <col min="5" max="5" width="6.140625" style="337" customWidth="1"/>
    <col min="6" max="6" width="10.5703125" style="337" customWidth="1"/>
    <col min="7" max="7" width="12" style="337" customWidth="1"/>
    <col min="8" max="8" width="30.5703125" style="337" customWidth="1"/>
    <col min="9" max="9" width="16.140625" style="337" customWidth="1"/>
    <col min="10" max="10" width="12.85546875" style="337" customWidth="1"/>
    <col min="11" max="14" width="7.28515625" style="337" customWidth="1"/>
    <col min="15" max="15" width="14.140625" style="337" customWidth="1"/>
    <col min="16" max="17" width="11.7109375" style="337" customWidth="1"/>
    <col min="18" max="18" width="10.85546875" style="337" customWidth="1"/>
    <col min="19" max="23" width="9.140625" style="422"/>
    <col min="24" max="24" width="27.140625" style="422" customWidth="1"/>
    <col min="25" max="25" width="9.140625" style="422" customWidth="1"/>
    <col min="26" max="16384" width="9.140625" style="422"/>
  </cols>
  <sheetData>
    <row r="1" spans="1:24" ht="21" customHeight="1" thickBot="1">
      <c r="A1" s="338"/>
      <c r="B1" s="1062"/>
      <c r="C1" s="1062"/>
      <c r="D1" s="1063"/>
      <c r="E1" s="618"/>
    </row>
    <row r="2" spans="1:24" ht="21" customHeight="1" thickBot="1">
      <c r="A2" s="338"/>
      <c r="D2" s="422"/>
      <c r="E2" s="422"/>
      <c r="F2" s="1635" t="s">
        <v>1004</v>
      </c>
      <c r="G2" s="1636"/>
      <c r="H2" s="1636"/>
      <c r="I2" s="1636"/>
      <c r="J2" s="1636"/>
      <c r="K2" s="1636"/>
      <c r="L2" s="1636"/>
      <c r="M2" s="1636"/>
      <c r="N2" s="1636"/>
      <c r="O2" s="1636"/>
      <c r="P2" s="1636"/>
      <c r="Q2" s="1637"/>
      <c r="R2" s="422"/>
    </row>
    <row r="3" spans="1:24" ht="21" customHeight="1">
      <c r="A3" s="338"/>
      <c r="E3" s="1099"/>
      <c r="F3" s="1629">
        <f>E27</f>
        <v>287280564151.04187</v>
      </c>
      <c r="G3" s="1630"/>
      <c r="H3" s="1630"/>
      <c r="I3" s="1630"/>
      <c r="J3" s="1630"/>
      <c r="K3" s="1631" t="s">
        <v>1005</v>
      </c>
      <c r="L3" s="1631"/>
      <c r="M3" s="1631"/>
      <c r="N3" s="1631"/>
      <c r="O3" s="1631"/>
      <c r="P3" s="1631"/>
      <c r="Q3" s="1100" t="s">
        <v>1006</v>
      </c>
    </row>
    <row r="4" spans="1:24" ht="21" customHeight="1">
      <c r="A4" s="338"/>
      <c r="D4" s="1101"/>
      <c r="E4" s="1101"/>
      <c r="F4" s="1632">
        <f>H27+0.15*H27</f>
        <v>11352174184286.449</v>
      </c>
      <c r="G4" s="1633"/>
      <c r="H4" s="1633"/>
      <c r="I4" s="1633"/>
      <c r="J4" s="1633"/>
      <c r="K4" s="1634" t="s">
        <v>1007</v>
      </c>
      <c r="L4" s="1634"/>
      <c r="M4" s="1634"/>
      <c r="N4" s="1634"/>
      <c r="O4" s="1634"/>
      <c r="P4" s="1634"/>
      <c r="Q4" s="1102" t="s">
        <v>9</v>
      </c>
    </row>
    <row r="5" spans="1:24" ht="21" customHeight="1">
      <c r="A5" s="338"/>
      <c r="D5" s="1101"/>
      <c r="E5" s="1101"/>
      <c r="F5" s="1632">
        <f>M33</f>
        <v>1284815774994.6956</v>
      </c>
      <c r="G5" s="1633"/>
      <c r="H5" s="1633"/>
      <c r="I5" s="1633"/>
      <c r="J5" s="1633"/>
      <c r="K5" s="1634" t="s">
        <v>1008</v>
      </c>
      <c r="L5" s="1634"/>
      <c r="M5" s="1634"/>
      <c r="N5" s="1634"/>
      <c r="O5" s="1634"/>
      <c r="P5" s="1634"/>
      <c r="Q5" s="1102" t="s">
        <v>10</v>
      </c>
    </row>
    <row r="6" spans="1:24" ht="21" customHeight="1">
      <c r="A6" s="338"/>
      <c r="D6" s="1101"/>
      <c r="E6" s="1101"/>
      <c r="F6" s="1632">
        <f>B36</f>
        <v>115132939491.66304</v>
      </c>
      <c r="G6" s="1633"/>
      <c r="H6" s="1633"/>
      <c r="I6" s="1633"/>
      <c r="J6" s="1633"/>
      <c r="K6" s="1634" t="s">
        <v>1009</v>
      </c>
      <c r="L6" s="1634"/>
      <c r="M6" s="1634"/>
      <c r="N6" s="1634"/>
      <c r="O6" s="1634"/>
      <c r="P6" s="1634"/>
      <c r="Q6" s="1102" t="s">
        <v>13</v>
      </c>
      <c r="W6" s="1049"/>
      <c r="X6" s="1049"/>
    </row>
    <row r="7" spans="1:24" ht="21" customHeight="1">
      <c r="A7" s="338"/>
      <c r="D7" s="1101"/>
      <c r="E7" s="1101"/>
      <c r="F7" s="1632">
        <f>M38</f>
        <v>72000000000</v>
      </c>
      <c r="G7" s="1633"/>
      <c r="H7" s="1633"/>
      <c r="I7" s="1633"/>
      <c r="J7" s="1633"/>
      <c r="K7" s="1634" t="s">
        <v>4395</v>
      </c>
      <c r="L7" s="1634"/>
      <c r="M7" s="1634"/>
      <c r="N7" s="1634"/>
      <c r="O7" s="1634"/>
      <c r="P7" s="1634"/>
      <c r="Q7" s="1102" t="s">
        <v>4396</v>
      </c>
    </row>
    <row r="8" spans="1:24" ht="21" customHeight="1" thickBot="1">
      <c r="A8" s="338"/>
      <c r="B8" s="1062"/>
      <c r="C8" s="1062"/>
      <c r="D8" s="1101"/>
      <c r="E8" s="1101"/>
      <c r="F8" s="1642">
        <f>SUM(F3:J7)</f>
        <v>13111403462923.848</v>
      </c>
      <c r="G8" s="1643"/>
      <c r="H8" s="1643"/>
      <c r="I8" s="1643"/>
      <c r="J8" s="1643"/>
      <c r="K8" s="1644" t="s">
        <v>1010</v>
      </c>
      <c r="L8" s="1644"/>
      <c r="M8" s="1644"/>
      <c r="N8" s="1644"/>
      <c r="O8" s="1644"/>
      <c r="P8" s="1644"/>
      <c r="Q8" s="1103"/>
      <c r="W8" s="1090"/>
      <c r="X8" s="1090"/>
    </row>
    <row r="9" spans="1:24" ht="21" customHeight="1" thickBot="1">
      <c r="A9" s="338"/>
      <c r="B9" s="1062"/>
      <c r="C9" s="1062"/>
      <c r="D9" s="1063"/>
      <c r="E9" s="618"/>
    </row>
    <row r="10" spans="1:24" ht="21" customHeight="1" thickBot="1">
      <c r="A10" s="1061"/>
      <c r="B10" s="1638" t="s">
        <v>1011</v>
      </c>
      <c r="C10" s="1639"/>
      <c r="D10" s="1639"/>
      <c r="E10" s="1639"/>
      <c r="F10" s="1639"/>
      <c r="G10" s="1639"/>
      <c r="H10" s="1639"/>
      <c r="I10" s="1639"/>
      <c r="J10" s="1639"/>
      <c r="K10" s="1639"/>
      <c r="L10" s="1639"/>
      <c r="M10" s="1639"/>
      <c r="N10" s="1639"/>
      <c r="O10" s="1639"/>
      <c r="P10" s="1639"/>
      <c r="Q10" s="1639"/>
      <c r="R10" s="1639"/>
    </row>
    <row r="11" spans="1:24" ht="48" customHeight="1">
      <c r="A11" s="1061"/>
      <c r="B11" s="1640" t="s">
        <v>1012</v>
      </c>
      <c r="C11" s="1641"/>
      <c r="D11" s="1641"/>
      <c r="E11" s="1641" t="s">
        <v>1013</v>
      </c>
      <c r="F11" s="1641"/>
      <c r="G11" s="1641"/>
      <c r="H11" s="1104" t="s">
        <v>4397</v>
      </c>
      <c r="I11" s="1104" t="s">
        <v>4398</v>
      </c>
      <c r="J11" s="1641" t="s">
        <v>1014</v>
      </c>
      <c r="K11" s="1641"/>
      <c r="L11" s="1641"/>
      <c r="M11" s="1641" t="s">
        <v>1015</v>
      </c>
      <c r="N11" s="1641"/>
      <c r="O11" s="1641"/>
      <c r="P11" s="1641" t="s">
        <v>1016</v>
      </c>
      <c r="Q11" s="1641"/>
      <c r="R11" s="1641"/>
    </row>
    <row r="12" spans="1:24" ht="21" customHeight="1">
      <c r="A12" s="1061"/>
      <c r="B12" s="1632">
        <f>E12+H12</f>
        <v>464924940101.90192</v>
      </c>
      <c r="C12" s="1633"/>
      <c r="D12" s="1633"/>
      <c r="E12" s="1645">
        <f>'C.RETAINING WAL'!E25</f>
        <v>174512901875.90192</v>
      </c>
      <c r="F12" s="1645"/>
      <c r="G12" s="1645"/>
      <c r="H12" s="1105">
        <f>ROUND(J12*I12,0)</f>
        <v>290412038226</v>
      </c>
      <c r="I12" s="1106">
        <v>1.06</v>
      </c>
      <c r="J12" s="1633">
        <f>'C.foundation-2'!A31</f>
        <v>273973620968.06802</v>
      </c>
      <c r="K12" s="1633"/>
      <c r="L12" s="1633"/>
      <c r="M12" s="1633">
        <f>'C.foundation-2'!B31</f>
        <v>175163935524</v>
      </c>
      <c r="N12" s="1633"/>
      <c r="O12" s="1633"/>
      <c r="P12" s="1646" t="s">
        <v>1017</v>
      </c>
      <c r="Q12" s="1646"/>
      <c r="R12" s="1646"/>
    </row>
    <row r="13" spans="1:24" ht="21" customHeight="1">
      <c r="A13" s="1061"/>
      <c r="B13" s="1632">
        <f>H13</f>
        <v>637828274396</v>
      </c>
      <c r="C13" s="1633"/>
      <c r="D13" s="1633"/>
      <c r="E13" s="1633" t="s">
        <v>1018</v>
      </c>
      <c r="F13" s="1633"/>
      <c r="G13" s="1633"/>
      <c r="H13" s="1105">
        <f t="shared" ref="H13:H26" si="0">ROUND(J13*I13,0)</f>
        <v>637828274396</v>
      </c>
      <c r="I13" s="1107">
        <v>1.06</v>
      </c>
      <c r="J13" s="1633">
        <f>'C.ROAD-2'!A27</f>
        <v>601724787166.43872</v>
      </c>
      <c r="K13" s="1647"/>
      <c r="L13" s="1647"/>
      <c r="M13" s="1633">
        <f>'C.ROAD-2'!B27</f>
        <v>380893730036</v>
      </c>
      <c r="N13" s="1633"/>
      <c r="O13" s="1633"/>
      <c r="P13" s="1646" t="s">
        <v>1019</v>
      </c>
      <c r="Q13" s="1646"/>
      <c r="R13" s="1646"/>
    </row>
    <row r="14" spans="1:24" ht="21" customHeight="1">
      <c r="A14" s="1061"/>
      <c r="B14" s="1632">
        <f t="shared" ref="B14:B21" si="1">H14</f>
        <v>719145156294</v>
      </c>
      <c r="C14" s="1633"/>
      <c r="D14" s="1633"/>
      <c r="E14" s="1633" t="s">
        <v>1018</v>
      </c>
      <c r="F14" s="1633"/>
      <c r="G14" s="1633"/>
      <c r="H14" s="1105">
        <f t="shared" si="0"/>
        <v>719145156294</v>
      </c>
      <c r="I14" s="1107">
        <v>1.06</v>
      </c>
      <c r="J14" s="1633">
        <f>'C.Shelters-2'!A46</f>
        <v>678438826692.49451</v>
      </c>
      <c r="K14" s="1633"/>
      <c r="L14" s="1633"/>
      <c r="M14" s="1633">
        <f>'C.Shelters-2'!B46</f>
        <v>438710828644</v>
      </c>
      <c r="N14" s="1633"/>
      <c r="O14" s="1633"/>
      <c r="P14" s="1646" t="s">
        <v>1020</v>
      </c>
      <c r="Q14" s="1646"/>
      <c r="R14" s="1646"/>
    </row>
    <row r="15" spans="1:24" ht="21" customHeight="1">
      <c r="A15" s="1061"/>
      <c r="B15" s="1632">
        <f t="shared" si="1"/>
        <v>1709692715148</v>
      </c>
      <c r="C15" s="1633"/>
      <c r="D15" s="1633"/>
      <c r="E15" s="1633" t="s">
        <v>1018</v>
      </c>
      <c r="F15" s="1633"/>
      <c r="G15" s="1633"/>
      <c r="H15" s="1105">
        <f>ROUND(J15*I15,0)</f>
        <v>1709692715148</v>
      </c>
      <c r="I15" s="1107">
        <v>1.06</v>
      </c>
      <c r="J15" s="1633">
        <f>'C.Buildings'!G20</f>
        <v>1612917655800</v>
      </c>
      <c r="K15" s="1633"/>
      <c r="L15" s="1633"/>
      <c r="M15" s="1633">
        <f>J15/'C.Note'!$G$55</f>
        <v>1049461679875.0732</v>
      </c>
      <c r="N15" s="1633"/>
      <c r="O15" s="1633"/>
      <c r="P15" s="1646" t="s">
        <v>1021</v>
      </c>
      <c r="Q15" s="1646"/>
      <c r="R15" s="1646"/>
    </row>
    <row r="16" spans="1:24" ht="21" customHeight="1">
      <c r="A16" s="1061"/>
      <c r="B16" s="1632">
        <f t="shared" si="1"/>
        <v>2158472497849</v>
      </c>
      <c r="C16" s="1633"/>
      <c r="D16" s="1633"/>
      <c r="E16" s="1633" t="s">
        <v>1018</v>
      </c>
      <c r="F16" s="1633"/>
      <c r="G16" s="1633"/>
      <c r="H16" s="1105">
        <f t="shared" si="0"/>
        <v>2158472497849</v>
      </c>
      <c r="I16" s="1107">
        <v>1.06</v>
      </c>
      <c r="J16" s="1633">
        <f>'C.OTHERS-2'!A33</f>
        <v>2036294809291.8245</v>
      </c>
      <c r="K16" s="1633"/>
      <c r="L16" s="1633"/>
      <c r="M16" s="1633">
        <f>'C.OTHERS-2'!B33</f>
        <v>1239981269679</v>
      </c>
      <c r="N16" s="1633"/>
      <c r="O16" s="1633"/>
      <c r="P16" s="1646" t="s">
        <v>1022</v>
      </c>
      <c r="Q16" s="1646"/>
      <c r="R16" s="1646"/>
    </row>
    <row r="17" spans="1:18" ht="21" customHeight="1">
      <c r="A17" s="1061"/>
      <c r="B17" s="1632">
        <f t="shared" si="1"/>
        <v>1103852062935</v>
      </c>
      <c r="C17" s="1633"/>
      <c r="D17" s="1633"/>
      <c r="E17" s="1633" t="s">
        <v>1018</v>
      </c>
      <c r="F17" s="1633"/>
      <c r="G17" s="1633"/>
      <c r="H17" s="1105">
        <f t="shared" si="0"/>
        <v>1103852062935</v>
      </c>
      <c r="I17" s="1107">
        <v>1.06</v>
      </c>
      <c r="J17" s="1633">
        <f>'C.SITE-2'!A22</f>
        <v>1041369870693</v>
      </c>
      <c r="K17" s="1633"/>
      <c r="L17" s="1633"/>
      <c r="M17" s="1633">
        <f>'C.SITE-2'!B22</f>
        <v>461314673320</v>
      </c>
      <c r="N17" s="1633"/>
      <c r="O17" s="1633"/>
      <c r="P17" s="1646" t="s">
        <v>1023</v>
      </c>
      <c r="Q17" s="1646"/>
      <c r="R17" s="1646"/>
    </row>
    <row r="18" spans="1:18" ht="24" customHeight="1">
      <c r="A18" s="1061"/>
      <c r="B18" s="1632">
        <f t="shared" si="1"/>
        <v>171750408507</v>
      </c>
      <c r="C18" s="1633"/>
      <c r="D18" s="1633"/>
      <c r="E18" s="1633" t="s">
        <v>1018</v>
      </c>
      <c r="F18" s="1633"/>
      <c r="G18" s="1633"/>
      <c r="H18" s="1105">
        <f t="shared" si="0"/>
        <v>171750408507</v>
      </c>
      <c r="I18" s="1108">
        <v>1.0620000000000001</v>
      </c>
      <c r="J18" s="1633">
        <f>'C.RETAINING WAL'!A7</f>
        <v>161723548500</v>
      </c>
      <c r="K18" s="1633"/>
      <c r="L18" s="1633"/>
      <c r="M18" s="1633">
        <f>'C.RETAINING WAL'!B7</f>
        <v>102421500000</v>
      </c>
      <c r="N18" s="1633"/>
      <c r="O18" s="1633"/>
      <c r="P18" s="1646" t="s">
        <v>1024</v>
      </c>
      <c r="Q18" s="1646"/>
      <c r="R18" s="1646"/>
    </row>
    <row r="19" spans="1:18" ht="24.75" customHeight="1">
      <c r="A19" s="1061"/>
      <c r="B19" s="1632">
        <f t="shared" si="1"/>
        <v>200075296057</v>
      </c>
      <c r="C19" s="1633"/>
      <c r="D19" s="1633"/>
      <c r="E19" s="1633" t="s">
        <v>1018</v>
      </c>
      <c r="F19" s="1633"/>
      <c r="G19" s="1633"/>
      <c r="H19" s="1105">
        <f t="shared" si="0"/>
        <v>200075296057</v>
      </c>
      <c r="I19" s="1107">
        <v>1.06</v>
      </c>
      <c r="J19" s="1633">
        <f>'C.UG CIVIL-2'!A30</f>
        <v>188750279299.40002</v>
      </c>
      <c r="K19" s="1633"/>
      <c r="L19" s="1633"/>
      <c r="M19" s="1633">
        <f>'C.UG CIVIL-2'!B30</f>
        <v>113706706200</v>
      </c>
      <c r="N19" s="1633"/>
      <c r="O19" s="1633"/>
      <c r="P19" s="1646" t="s">
        <v>1025</v>
      </c>
      <c r="Q19" s="1646"/>
      <c r="R19" s="1646"/>
    </row>
    <row r="20" spans="1:18" ht="21" customHeight="1">
      <c r="A20" s="1061"/>
      <c r="B20" s="1632">
        <f t="shared" si="1"/>
        <v>992055090120</v>
      </c>
      <c r="C20" s="1633"/>
      <c r="D20" s="1633"/>
      <c r="E20" s="1633" t="s">
        <v>1018</v>
      </c>
      <c r="F20" s="1633"/>
      <c r="G20" s="1633"/>
      <c r="H20" s="1105">
        <f t="shared" si="0"/>
        <v>992055090120</v>
      </c>
      <c r="I20" s="1107">
        <v>1.06</v>
      </c>
      <c r="J20" s="1633">
        <f>'C.STEEL STRUCTURE (2)'!A29</f>
        <v>935901028415.30005</v>
      </c>
      <c r="K20" s="1633"/>
      <c r="L20" s="1633"/>
      <c r="M20" s="1633">
        <f>'C.STEEL STRUCTURE (2)'!B29</f>
        <v>607865879900</v>
      </c>
      <c r="N20" s="1633"/>
      <c r="O20" s="1633"/>
      <c r="P20" s="1646" t="s">
        <v>1026</v>
      </c>
      <c r="Q20" s="1646"/>
      <c r="R20" s="1646"/>
    </row>
    <row r="21" spans="1:18" ht="21" customHeight="1">
      <c r="A21" s="338"/>
      <c r="B21" s="1632">
        <f t="shared" si="1"/>
        <v>8711234972</v>
      </c>
      <c r="C21" s="1633"/>
      <c r="D21" s="1633"/>
      <c r="E21" s="1633" t="s">
        <v>1018</v>
      </c>
      <c r="F21" s="1633"/>
      <c r="G21" s="1633"/>
      <c r="H21" s="1105">
        <f t="shared" si="0"/>
        <v>8711234972</v>
      </c>
      <c r="I21" s="1107">
        <v>1.06</v>
      </c>
      <c r="J21" s="1633">
        <f>'C.SITE-3'!B17</f>
        <v>8218146200</v>
      </c>
      <c r="K21" s="1633"/>
      <c r="L21" s="1633"/>
      <c r="M21" s="1648" t="s">
        <v>342</v>
      </c>
      <c r="N21" s="1633"/>
      <c r="O21" s="1633"/>
      <c r="P21" s="1646" t="s">
        <v>1027</v>
      </c>
      <c r="Q21" s="1646"/>
      <c r="R21" s="1646"/>
    </row>
    <row r="22" spans="1:18" ht="21" customHeight="1">
      <c r="A22" s="1061"/>
      <c r="B22" s="1632">
        <f>SUM(E22:H22)</f>
        <v>347262540861.44</v>
      </c>
      <c r="C22" s="1633"/>
      <c r="D22" s="1633"/>
      <c r="E22" s="1633">
        <f>'C.Note'!$I$23*Construction!H22</f>
        <v>19656370237.439999</v>
      </c>
      <c r="F22" s="1633"/>
      <c r="G22" s="1633"/>
      <c r="H22" s="1105">
        <f t="shared" si="0"/>
        <v>327606170624</v>
      </c>
      <c r="I22" s="1108">
        <v>1.0609999999999999</v>
      </c>
      <c r="J22" s="1633">
        <f>'C.mECHANICAL'!A239</f>
        <v>308771131596.13794</v>
      </c>
      <c r="K22" s="1633"/>
      <c r="L22" s="1633"/>
      <c r="M22" s="1633">
        <f>'C.mECHANICAL'!B239</f>
        <v>150633619879</v>
      </c>
      <c r="N22" s="1633"/>
      <c r="O22" s="1633"/>
      <c r="P22" s="1646" t="s">
        <v>1028</v>
      </c>
      <c r="Q22" s="1646"/>
      <c r="R22" s="1646"/>
    </row>
    <row r="23" spans="1:18" ht="21" customHeight="1">
      <c r="A23" s="1061"/>
      <c r="B23" s="1632">
        <f t="shared" ref="B23:B26" si="2">SUM(E23:H23)</f>
        <v>296699441290.58002</v>
      </c>
      <c r="C23" s="1633"/>
      <c r="D23" s="1633"/>
      <c r="E23" s="1633">
        <f>'C.Note'!$I$23*Construction!H23</f>
        <v>16794307997.58</v>
      </c>
      <c r="F23" s="1633"/>
      <c r="G23" s="1633"/>
      <c r="H23" s="1105">
        <f t="shared" si="0"/>
        <v>279905133293</v>
      </c>
      <c r="I23" s="1108">
        <v>1.0609999999999999</v>
      </c>
      <c r="J23" s="1633">
        <f>'C.PIPELINE'!A51</f>
        <v>263812566723</v>
      </c>
      <c r="K23" s="1647"/>
      <c r="L23" s="1647"/>
      <c r="M23" s="1633">
        <f>'C.PIPELINE'!B51</f>
        <v>109329700258</v>
      </c>
      <c r="N23" s="1647"/>
      <c r="O23" s="1647"/>
      <c r="P23" s="1646" t="s">
        <v>1029</v>
      </c>
      <c r="Q23" s="1646"/>
      <c r="R23" s="1646"/>
    </row>
    <row r="24" spans="1:18" ht="21" customHeight="1">
      <c r="A24" s="1061"/>
      <c r="B24" s="1632">
        <f t="shared" si="2"/>
        <v>925173456074.40002</v>
      </c>
      <c r="C24" s="1633"/>
      <c r="D24" s="1633"/>
      <c r="E24" s="1633">
        <f>'C.Note'!$I$23*Construction!H24</f>
        <v>52368308834.400002</v>
      </c>
      <c r="F24" s="1633"/>
      <c r="G24" s="1633"/>
      <c r="H24" s="1105">
        <f t="shared" si="0"/>
        <v>872805147240</v>
      </c>
      <c r="I24" s="1108">
        <v>1.06</v>
      </c>
      <c r="J24" s="1633">
        <f>'C.PIPING'!A87</f>
        <v>823401082302.33582</v>
      </c>
      <c r="K24" s="1647"/>
      <c r="L24" s="1647"/>
      <c r="M24" s="1633">
        <f>'C.PIPING'!B87</f>
        <v>328965674112</v>
      </c>
      <c r="N24" s="1633"/>
      <c r="O24" s="1633"/>
      <c r="P24" s="1646" t="s">
        <v>1030</v>
      </c>
      <c r="Q24" s="1646"/>
      <c r="R24" s="1646"/>
    </row>
    <row r="25" spans="1:18" ht="21" customHeight="1">
      <c r="A25" s="1061"/>
      <c r="B25" s="1632">
        <f t="shared" si="2"/>
        <v>213703558631.04001</v>
      </c>
      <c r="C25" s="1633"/>
      <c r="D25" s="1633"/>
      <c r="E25" s="1633">
        <f>'C.Note'!$I$23*Construction!H25</f>
        <v>12096427847.039999</v>
      </c>
      <c r="F25" s="1633"/>
      <c r="G25" s="1633"/>
      <c r="H25" s="1105">
        <f t="shared" si="0"/>
        <v>201607130784</v>
      </c>
      <c r="I25" s="1108">
        <v>1.0580000000000001</v>
      </c>
      <c r="J25" s="1633">
        <f>'C.ELECTRICAL'!A167</f>
        <v>190554944030</v>
      </c>
      <c r="K25" s="1647"/>
      <c r="L25" s="1647"/>
      <c r="M25" s="1633">
        <f>'C.ELECTRICAL'!B167</f>
        <v>162341006850</v>
      </c>
      <c r="N25" s="1633"/>
      <c r="O25" s="1633"/>
      <c r="P25" s="1646" t="s">
        <v>1031</v>
      </c>
      <c r="Q25" s="1646"/>
      <c r="R25" s="1646"/>
    </row>
    <row r="26" spans="1:18" ht="21" customHeight="1">
      <c r="A26" s="1061"/>
      <c r="B26" s="1632">
        <f t="shared" si="2"/>
        <v>209389703336.67999</v>
      </c>
      <c r="C26" s="1633"/>
      <c r="D26" s="1633"/>
      <c r="E26" s="1633">
        <f>'C.Note'!$I$23*Construction!H26</f>
        <v>11852247358.68</v>
      </c>
      <c r="F26" s="1633"/>
      <c r="G26" s="1633"/>
      <c r="H26" s="1105">
        <f t="shared" si="0"/>
        <v>197537455978</v>
      </c>
      <c r="I26" s="1108">
        <v>1.0580000000000001</v>
      </c>
      <c r="J26" s="1633">
        <f>'C.INSTRUMENT'!A97</f>
        <v>186708370490</v>
      </c>
      <c r="K26" s="1647"/>
      <c r="L26" s="1647"/>
      <c r="M26" s="1633">
        <f>'C.INSTRUMENT'!B97</f>
        <v>75559842024</v>
      </c>
      <c r="N26" s="1633"/>
      <c r="O26" s="1633"/>
      <c r="P26" s="1646" t="s">
        <v>1032</v>
      </c>
      <c r="Q26" s="1646"/>
      <c r="R26" s="1646"/>
    </row>
    <row r="27" spans="1:18" ht="21" customHeight="1" thickBot="1">
      <c r="A27" s="338"/>
      <c r="B27" s="1642">
        <f>SUM(B12:D26)</f>
        <v>10158736376574.041</v>
      </c>
      <c r="C27" s="1643"/>
      <c r="D27" s="1643"/>
      <c r="E27" s="1643">
        <f>SUM(E12:G26)</f>
        <v>287280564151.04187</v>
      </c>
      <c r="F27" s="1643"/>
      <c r="G27" s="1643"/>
      <c r="H27" s="1109">
        <f>SUM(H12:H26)</f>
        <v>9871455812423</v>
      </c>
      <c r="I27" s="1109"/>
      <c r="J27" s="1643">
        <f>SUM(J12:L26)</f>
        <v>9312560668167.998</v>
      </c>
      <c r="K27" s="1643"/>
      <c r="L27" s="1643"/>
      <c r="M27" s="1643">
        <f>SUM(M12:O26)</f>
        <v>5396350046301.0732</v>
      </c>
      <c r="N27" s="1643"/>
      <c r="O27" s="1643"/>
      <c r="P27" s="1658" t="s">
        <v>1033</v>
      </c>
      <c r="Q27" s="1658"/>
      <c r="R27" s="1658"/>
    </row>
    <row r="28" spans="1:18" ht="21" customHeight="1" thickBot="1">
      <c r="A28" s="338"/>
      <c r="B28" s="1110"/>
      <c r="C28" s="1110"/>
      <c r="D28" s="1110"/>
      <c r="E28" s="1110"/>
      <c r="F28" s="1110"/>
      <c r="G28" s="1110"/>
      <c r="H28" s="1110"/>
      <c r="I28" s="1110"/>
      <c r="J28" s="1110"/>
      <c r="K28" s="1110"/>
      <c r="L28" s="1110"/>
      <c r="M28" s="1110"/>
      <c r="N28" s="1110"/>
      <c r="O28" s="1110"/>
      <c r="P28" s="1077"/>
      <c r="Q28" s="1077"/>
      <c r="R28" s="1077"/>
    </row>
    <row r="29" spans="1:18" ht="21" customHeight="1" thickBot="1">
      <c r="A29" s="338"/>
      <c r="B29" s="1638" t="s">
        <v>1034</v>
      </c>
      <c r="C29" s="1639"/>
      <c r="D29" s="1639"/>
      <c r="E29" s="1639"/>
      <c r="F29" s="1639"/>
      <c r="G29" s="1639"/>
      <c r="H29" s="1639"/>
      <c r="I29" s="1639"/>
      <c r="J29" s="1639"/>
      <c r="K29" s="1649"/>
      <c r="M29" s="1650" t="s">
        <v>1035</v>
      </c>
      <c r="N29" s="1651"/>
      <c r="O29" s="1651"/>
      <c r="P29" s="1651"/>
      <c r="Q29" s="1651"/>
      <c r="R29" s="1651"/>
    </row>
    <row r="30" spans="1:18" ht="21" customHeight="1">
      <c r="A30" s="338"/>
      <c r="B30" s="1629">
        <f>'C.HSE(1)'!B27</f>
        <v>80139507093.847214</v>
      </c>
      <c r="C30" s="1630"/>
      <c r="D30" s="1630"/>
      <c r="E30" s="1652" t="s">
        <v>1036</v>
      </c>
      <c r="F30" s="1652"/>
      <c r="G30" s="1652"/>
      <c r="H30" s="1652"/>
      <c r="I30" s="1652"/>
      <c r="J30" s="1652"/>
      <c r="K30" s="1653"/>
      <c r="M30" s="1654">
        <f>'C.tashilat (2)'!B24</f>
        <v>1174786948793.197</v>
      </c>
      <c r="N30" s="1655"/>
      <c r="O30" s="1656"/>
      <c r="P30" s="1657" t="s">
        <v>1037</v>
      </c>
      <c r="Q30" s="1657"/>
      <c r="R30" s="1657"/>
    </row>
    <row r="31" spans="1:18" ht="21" customHeight="1">
      <c r="A31" s="338"/>
      <c r="B31" s="1632">
        <f>'C.HSE(2)'!B17</f>
        <v>2858851458.1447668</v>
      </c>
      <c r="C31" s="1633"/>
      <c r="D31" s="1633"/>
      <c r="E31" s="1646" t="s">
        <v>1038</v>
      </c>
      <c r="F31" s="1646"/>
      <c r="G31" s="1646"/>
      <c r="H31" s="1646"/>
      <c r="I31" s="1646"/>
      <c r="J31" s="1646"/>
      <c r="K31" s="1659"/>
      <c r="M31" s="1663">
        <f>SUM('C.tashilat'!C9,'C.tashilat'!C24,'C.tashilat'!C36)</f>
        <v>110028826201.49863</v>
      </c>
      <c r="N31" s="1664"/>
      <c r="O31" s="1665"/>
      <c r="P31" s="1646" t="s">
        <v>1039</v>
      </c>
      <c r="Q31" s="1646"/>
      <c r="R31" s="1646"/>
    </row>
    <row r="32" spans="1:18" ht="21" customHeight="1">
      <c r="A32" s="338"/>
      <c r="B32" s="1632">
        <f>'C.HSE(2)'!B21</f>
        <v>81900000</v>
      </c>
      <c r="C32" s="1633"/>
      <c r="D32" s="1633"/>
      <c r="E32" s="1646" t="s">
        <v>1040</v>
      </c>
      <c r="F32" s="1646"/>
      <c r="G32" s="1646"/>
      <c r="H32" s="1646"/>
      <c r="I32" s="1646"/>
      <c r="J32" s="1646"/>
      <c r="K32" s="1659"/>
      <c r="M32" s="1663"/>
      <c r="N32" s="1664"/>
      <c r="O32" s="1665"/>
      <c r="P32" s="1646"/>
      <c r="Q32" s="1646"/>
      <c r="R32" s="1646"/>
    </row>
    <row r="33" spans="1:18" ht="21" customHeight="1" thickBot="1">
      <c r="A33" s="338"/>
      <c r="B33" s="1632">
        <f>'C.HSE(2)'!B37</f>
        <v>5052680939.6710634</v>
      </c>
      <c r="C33" s="1633"/>
      <c r="D33" s="1633"/>
      <c r="E33" s="1646" t="s">
        <v>1041</v>
      </c>
      <c r="F33" s="1646"/>
      <c r="G33" s="1646"/>
      <c r="H33" s="1646"/>
      <c r="I33" s="1646"/>
      <c r="J33" s="1646"/>
      <c r="K33" s="1659"/>
      <c r="M33" s="1660">
        <f>SUM(M30:O32)</f>
        <v>1284815774994.6956</v>
      </c>
      <c r="N33" s="1661"/>
      <c r="O33" s="1662"/>
      <c r="P33" s="1658" t="s">
        <v>1010</v>
      </c>
      <c r="Q33" s="1658"/>
      <c r="R33" s="1658"/>
    </row>
    <row r="34" spans="1:18" ht="21" customHeight="1" thickBot="1">
      <c r="A34" s="338"/>
      <c r="B34" s="1632">
        <f>'C.HSE(1)'!C34</f>
        <v>27000000000</v>
      </c>
      <c r="C34" s="1633"/>
      <c r="D34" s="1633"/>
      <c r="E34" s="1646" t="s">
        <v>1042</v>
      </c>
      <c r="F34" s="1646"/>
      <c r="G34" s="1646"/>
      <c r="H34" s="1646"/>
      <c r="I34" s="1646"/>
      <c r="J34" s="1646"/>
      <c r="K34" s="1659"/>
    </row>
    <row r="35" spans="1:18" ht="21" customHeight="1" thickBot="1">
      <c r="A35" s="338"/>
      <c r="B35" s="1663"/>
      <c r="C35" s="1664"/>
      <c r="D35" s="1665"/>
      <c r="E35" s="1646"/>
      <c r="F35" s="1646"/>
      <c r="G35" s="1646"/>
      <c r="H35" s="1646"/>
      <c r="I35" s="1646"/>
      <c r="J35" s="1646"/>
      <c r="K35" s="1659"/>
      <c r="M35" s="1650" t="s">
        <v>4399</v>
      </c>
      <c r="N35" s="1651"/>
      <c r="O35" s="1651"/>
      <c r="P35" s="1651"/>
      <c r="Q35" s="1651"/>
      <c r="R35" s="1651"/>
    </row>
    <row r="36" spans="1:18" ht="21" customHeight="1" thickBot="1">
      <c r="A36" s="338"/>
      <c r="B36" s="1642">
        <f>SUM(B30:D35)</f>
        <v>115132939491.66304</v>
      </c>
      <c r="C36" s="1643"/>
      <c r="D36" s="1643"/>
      <c r="E36" s="1658" t="s">
        <v>1010</v>
      </c>
      <c r="F36" s="1658"/>
      <c r="G36" s="1658"/>
      <c r="H36" s="1658"/>
      <c r="I36" s="1658"/>
      <c r="J36" s="1658"/>
      <c r="K36" s="1666"/>
      <c r="M36" s="1667" t="s">
        <v>4400</v>
      </c>
      <c r="N36" s="1668"/>
      <c r="O36" s="1669"/>
      <c r="P36" s="1673" t="s">
        <v>4401</v>
      </c>
      <c r="Q36" s="1674"/>
      <c r="R36" s="1674"/>
    </row>
    <row r="37" spans="1:18" ht="21" customHeight="1">
      <c r="A37" s="338"/>
      <c r="M37" s="1670"/>
      <c r="N37" s="1671"/>
      <c r="O37" s="1672"/>
      <c r="P37" s="1675"/>
      <c r="Q37" s="1676"/>
      <c r="R37" s="1676"/>
    </row>
    <row r="38" spans="1:18" ht="25.5" customHeight="1" thickBot="1">
      <c r="A38" s="338"/>
      <c r="M38" s="1660">
        <f>4*24*750000000</f>
        <v>72000000000</v>
      </c>
      <c r="N38" s="1661"/>
      <c r="O38" s="1662"/>
      <c r="P38" s="1658" t="s">
        <v>1010</v>
      </c>
      <c r="Q38" s="1658"/>
      <c r="R38" s="1658"/>
    </row>
    <row r="39" spans="1:18" ht="20.25" customHeight="1">
      <c r="A39" s="338"/>
    </row>
    <row r="40" spans="1:18" ht="13.5" customHeight="1">
      <c r="A40" s="338"/>
    </row>
    <row r="41" spans="1:18" ht="21" customHeight="1">
      <c r="A41" s="1049"/>
      <c r="P41" s="1601"/>
    </row>
    <row r="42" spans="1:18" ht="1.5" customHeight="1">
      <c r="A42" s="1097"/>
      <c r="B42" s="1096"/>
      <c r="C42" s="1096"/>
      <c r="D42" s="1097"/>
      <c r="E42" s="1097"/>
      <c r="F42" s="1097"/>
      <c r="G42" s="1097"/>
      <c r="H42" s="1097"/>
      <c r="I42" s="1097"/>
      <c r="J42" s="1097"/>
      <c r="K42" s="1097"/>
      <c r="L42" s="1097"/>
      <c r="M42" s="1097"/>
      <c r="N42" s="1097"/>
      <c r="O42" s="1097"/>
      <c r="P42" s="1097"/>
      <c r="Q42" s="1097"/>
      <c r="R42" s="1097"/>
    </row>
    <row r="43" spans="1:18">
      <c r="A43" s="1048"/>
      <c r="B43" s="1048"/>
      <c r="C43" s="1048"/>
      <c r="D43" s="1048"/>
      <c r="E43" s="1048"/>
    </row>
  </sheetData>
  <mergeCells count="128">
    <mergeCell ref="M38:O38"/>
    <mergeCell ref="P38:R38"/>
    <mergeCell ref="B35:D35"/>
    <mergeCell ref="E35:K35"/>
    <mergeCell ref="M35:R35"/>
    <mergeCell ref="B36:D36"/>
    <mergeCell ref="E36:K36"/>
    <mergeCell ref="M36:O37"/>
    <mergeCell ref="P36:R37"/>
    <mergeCell ref="B33:D33"/>
    <mergeCell ref="E33:K33"/>
    <mergeCell ref="M33:O33"/>
    <mergeCell ref="P33:R33"/>
    <mergeCell ref="B34:D34"/>
    <mergeCell ref="E34:K34"/>
    <mergeCell ref="B31:D31"/>
    <mergeCell ref="E31:K31"/>
    <mergeCell ref="M31:O31"/>
    <mergeCell ref="P31:R31"/>
    <mergeCell ref="B32:D32"/>
    <mergeCell ref="E32:K32"/>
    <mergeCell ref="M32:O32"/>
    <mergeCell ref="P32:R32"/>
    <mergeCell ref="B29:K29"/>
    <mergeCell ref="M29:R29"/>
    <mergeCell ref="B30:D30"/>
    <mergeCell ref="E30:K30"/>
    <mergeCell ref="M30:O30"/>
    <mergeCell ref="P30:R30"/>
    <mergeCell ref="B26:D26"/>
    <mergeCell ref="E26:G26"/>
    <mergeCell ref="J26:L26"/>
    <mergeCell ref="M26:O26"/>
    <mergeCell ref="P26:R26"/>
    <mergeCell ref="B27:D27"/>
    <mergeCell ref="E27:G27"/>
    <mergeCell ref="J27:L27"/>
    <mergeCell ref="M27:O27"/>
    <mergeCell ref="P27:R27"/>
    <mergeCell ref="B24:D24"/>
    <mergeCell ref="E24:G24"/>
    <mergeCell ref="J24:L24"/>
    <mergeCell ref="M24:O24"/>
    <mergeCell ref="P24:R24"/>
    <mergeCell ref="B25:D25"/>
    <mergeCell ref="E25:G25"/>
    <mergeCell ref="J25:L25"/>
    <mergeCell ref="M25:O25"/>
    <mergeCell ref="P25:R25"/>
    <mergeCell ref="B22:D22"/>
    <mergeCell ref="E22:G22"/>
    <mergeCell ref="J22:L22"/>
    <mergeCell ref="M22:O22"/>
    <mergeCell ref="P22:R22"/>
    <mergeCell ref="B23:D23"/>
    <mergeCell ref="E23:G23"/>
    <mergeCell ref="J23:L23"/>
    <mergeCell ref="M23:O23"/>
    <mergeCell ref="P23:R23"/>
    <mergeCell ref="B20:D20"/>
    <mergeCell ref="E20:G20"/>
    <mergeCell ref="J20:L20"/>
    <mergeCell ref="M20:O20"/>
    <mergeCell ref="P20:R20"/>
    <mergeCell ref="B21:D21"/>
    <mergeCell ref="E21:G21"/>
    <mergeCell ref="J21:L21"/>
    <mergeCell ref="M21:O21"/>
    <mergeCell ref="P21:R21"/>
    <mergeCell ref="B18:D18"/>
    <mergeCell ref="E18:G18"/>
    <mergeCell ref="J18:L18"/>
    <mergeCell ref="M18:O18"/>
    <mergeCell ref="P18:R18"/>
    <mergeCell ref="B19:D19"/>
    <mergeCell ref="E19:G19"/>
    <mergeCell ref="J19:L19"/>
    <mergeCell ref="M19:O19"/>
    <mergeCell ref="P19:R19"/>
    <mergeCell ref="B16:D16"/>
    <mergeCell ref="E16:G16"/>
    <mergeCell ref="J16:L16"/>
    <mergeCell ref="M16:O16"/>
    <mergeCell ref="P16:R16"/>
    <mergeCell ref="B17:D17"/>
    <mergeCell ref="E17:G17"/>
    <mergeCell ref="J17:L17"/>
    <mergeCell ref="M17:O17"/>
    <mergeCell ref="P17:R17"/>
    <mergeCell ref="B14:D14"/>
    <mergeCell ref="E14:G14"/>
    <mergeCell ref="J14:L14"/>
    <mergeCell ref="M14:O14"/>
    <mergeCell ref="P14:R14"/>
    <mergeCell ref="B15:D15"/>
    <mergeCell ref="E15:G15"/>
    <mergeCell ref="J15:L15"/>
    <mergeCell ref="M15:O15"/>
    <mergeCell ref="P15:R15"/>
    <mergeCell ref="B12:D12"/>
    <mergeCell ref="E12:G12"/>
    <mergeCell ref="J12:L12"/>
    <mergeCell ref="M12:O12"/>
    <mergeCell ref="P12:R12"/>
    <mergeCell ref="B13:D13"/>
    <mergeCell ref="E13:G13"/>
    <mergeCell ref="J13:L13"/>
    <mergeCell ref="M13:O13"/>
    <mergeCell ref="P13:R13"/>
    <mergeCell ref="F3:J3"/>
    <mergeCell ref="K3:P3"/>
    <mergeCell ref="F4:J4"/>
    <mergeCell ref="K4:P4"/>
    <mergeCell ref="F5:J5"/>
    <mergeCell ref="K5:P5"/>
    <mergeCell ref="F2:Q2"/>
    <mergeCell ref="B10:R10"/>
    <mergeCell ref="B11:D11"/>
    <mergeCell ref="E11:G11"/>
    <mergeCell ref="J11:L11"/>
    <mergeCell ref="M11:O11"/>
    <mergeCell ref="P11:R11"/>
    <mergeCell ref="F6:J6"/>
    <mergeCell ref="K6:P6"/>
    <mergeCell ref="F7:J7"/>
    <mergeCell ref="K7:P7"/>
    <mergeCell ref="F8:J8"/>
    <mergeCell ref="K8:P8"/>
  </mergeCells>
  <printOptions horizontalCentered="1" verticalCentered="1"/>
  <pageMargins left="0" right="0" top="0" bottom="0" header="0" footer="0"/>
  <pageSetup scale="65"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S44"/>
  <sheetViews>
    <sheetView view="pageBreakPreview" zoomScale="70" zoomScaleNormal="90" zoomScaleSheetLayoutView="70" workbookViewId="0">
      <selection activeCell="T9" sqref="T9"/>
    </sheetView>
  </sheetViews>
  <sheetFormatPr defaultColWidth="8.85546875" defaultRowHeight="15"/>
  <cols>
    <col min="1" max="3" width="7.28515625" style="337" customWidth="1"/>
    <col min="4" max="4" width="14.140625" style="337" customWidth="1"/>
    <col min="5" max="5" width="8.85546875" style="337" customWidth="1"/>
    <col min="6" max="6" width="9.5703125" style="337" customWidth="1"/>
    <col min="7" max="14" width="7.28515625" style="337" customWidth="1"/>
    <col min="15" max="15" width="12.85546875" style="337" customWidth="1"/>
    <col min="16" max="18" width="7.28515625" style="337" customWidth="1"/>
    <col min="19" max="19" width="10.7109375" style="337" customWidth="1"/>
    <col min="20" max="16384" width="8.85546875" style="422"/>
  </cols>
  <sheetData>
    <row r="1" spans="1:19" ht="21" customHeight="1">
      <c r="A1" s="338"/>
      <c r="B1" s="1049"/>
      <c r="C1" s="1049"/>
      <c r="D1" s="1049"/>
      <c r="E1" s="1049"/>
      <c r="F1" s="1049"/>
      <c r="G1" s="1049"/>
      <c r="H1" s="1049"/>
      <c r="I1" s="1049"/>
      <c r="J1" s="1049"/>
      <c r="K1" s="1049"/>
      <c r="L1" s="1049"/>
      <c r="M1" s="1049"/>
      <c r="N1" s="1049"/>
      <c r="O1" s="1050"/>
      <c r="P1" s="1050"/>
      <c r="Q1" s="1049"/>
      <c r="R1" s="1049"/>
      <c r="S1" s="339"/>
    </row>
    <row r="2" spans="1:19" ht="21" customHeight="1">
      <c r="A2" s="338"/>
      <c r="B2" s="1049"/>
      <c r="C2" s="1049"/>
      <c r="D2" s="1049"/>
      <c r="E2" s="1049"/>
      <c r="F2" s="1049"/>
      <c r="G2" s="1049"/>
      <c r="H2" s="1049"/>
      <c r="I2" s="1049"/>
      <c r="J2" s="1049"/>
      <c r="K2" s="1049"/>
      <c r="L2" s="1051"/>
      <c r="M2" s="1051"/>
      <c r="N2" s="1051"/>
      <c r="O2" s="1051"/>
      <c r="P2" s="1757" t="s">
        <v>976</v>
      </c>
      <c r="Q2" s="1757"/>
      <c r="R2" s="1049"/>
      <c r="S2" s="339"/>
    </row>
    <row r="3" spans="1:19" ht="24" customHeight="1">
      <c r="A3" s="338"/>
      <c r="B3" s="1052"/>
      <c r="C3" s="1052"/>
      <c r="D3" s="1052"/>
      <c r="E3" s="1052"/>
      <c r="F3" s="1052"/>
      <c r="G3" s="1052"/>
      <c r="H3" s="1052"/>
      <c r="I3" s="1052"/>
      <c r="J3" s="1052"/>
      <c r="K3" s="1052"/>
      <c r="L3" s="1053"/>
      <c r="M3" s="1053"/>
      <c r="N3" s="1053"/>
      <c r="O3" s="1053"/>
      <c r="P3" s="1054"/>
      <c r="Q3" s="1055" t="s">
        <v>4342</v>
      </c>
      <c r="R3" s="1049"/>
      <c r="S3" s="339"/>
    </row>
    <row r="4" spans="1:19" ht="24" customHeight="1">
      <c r="A4" s="338"/>
      <c r="B4" s="1052"/>
      <c r="C4" s="1052"/>
      <c r="D4" s="1052"/>
      <c r="E4" s="1052"/>
      <c r="F4" s="1052"/>
      <c r="G4" s="1052"/>
      <c r="H4" s="1052"/>
      <c r="I4" s="1052"/>
      <c r="J4" s="1052"/>
      <c r="K4" s="1052"/>
      <c r="L4" s="1053"/>
      <c r="M4" s="1053"/>
      <c r="N4" s="1053"/>
      <c r="O4" s="1053"/>
      <c r="P4" s="1054"/>
      <c r="Q4" s="1055" t="s">
        <v>977</v>
      </c>
      <c r="R4" s="1049"/>
      <c r="S4" s="339"/>
    </row>
    <row r="5" spans="1:19" ht="24" customHeight="1">
      <c r="A5" s="338"/>
      <c r="B5" s="1052"/>
      <c r="C5" s="1052"/>
      <c r="D5" s="1052"/>
      <c r="E5" s="1052"/>
      <c r="F5" s="1052"/>
      <c r="G5" s="1052"/>
      <c r="H5" s="1052"/>
      <c r="I5" s="1052"/>
      <c r="J5" s="1052"/>
      <c r="K5" s="1052"/>
      <c r="L5" s="1053"/>
      <c r="M5" s="1053"/>
      <c r="N5" s="1053"/>
      <c r="O5" s="1053"/>
      <c r="P5" s="1054"/>
      <c r="Q5" s="1055" t="s">
        <v>978</v>
      </c>
      <c r="R5" s="1049"/>
      <c r="S5" s="339"/>
    </row>
    <row r="6" spans="1:19" ht="24" customHeight="1">
      <c r="A6" s="338"/>
      <c r="B6" s="1756" t="s">
        <v>4343</v>
      </c>
      <c r="C6" s="1756"/>
      <c r="D6" s="1756"/>
      <c r="E6" s="1756"/>
      <c r="F6" s="1756"/>
      <c r="G6" s="1756"/>
      <c r="H6" s="1756"/>
      <c r="I6" s="1756"/>
      <c r="J6" s="1756"/>
      <c r="K6" s="1756"/>
      <c r="L6" s="1756"/>
      <c r="M6" s="1756"/>
      <c r="N6" s="1756"/>
      <c r="O6" s="1756"/>
      <c r="P6" s="1756"/>
      <c r="Q6" s="1056" t="s">
        <v>342</v>
      </c>
      <c r="S6" s="339"/>
    </row>
    <row r="7" spans="1:19" ht="24" customHeight="1">
      <c r="A7" s="338"/>
      <c r="B7" s="1756" t="s">
        <v>4344</v>
      </c>
      <c r="C7" s="1756"/>
      <c r="D7" s="1756"/>
      <c r="E7" s="1756"/>
      <c r="F7" s="1756"/>
      <c r="G7" s="1756"/>
      <c r="H7" s="1756"/>
      <c r="I7" s="1756"/>
      <c r="J7" s="1756"/>
      <c r="K7" s="1756"/>
      <c r="L7" s="1756"/>
      <c r="M7" s="1756"/>
      <c r="N7" s="1756"/>
      <c r="O7" s="1756"/>
      <c r="P7" s="1756"/>
      <c r="Q7" s="1056" t="s">
        <v>342</v>
      </c>
      <c r="S7" s="339"/>
    </row>
    <row r="8" spans="1:19" ht="50.25" customHeight="1">
      <c r="A8" s="338"/>
      <c r="B8" s="1756" t="s">
        <v>4345</v>
      </c>
      <c r="C8" s="1756"/>
      <c r="D8" s="1756"/>
      <c r="E8" s="1756"/>
      <c r="F8" s="1756"/>
      <c r="G8" s="1756"/>
      <c r="H8" s="1756"/>
      <c r="I8" s="1756"/>
      <c r="J8" s="1756"/>
      <c r="K8" s="1756"/>
      <c r="L8" s="1756"/>
      <c r="M8" s="1756"/>
      <c r="N8" s="1756"/>
      <c r="O8" s="1756"/>
      <c r="P8" s="1756"/>
      <c r="Q8" s="1056" t="s">
        <v>342</v>
      </c>
      <c r="S8" s="339"/>
    </row>
    <row r="9" spans="1:19" ht="24" customHeight="1">
      <c r="A9" s="338"/>
      <c r="B9" s="1756" t="s">
        <v>4346</v>
      </c>
      <c r="C9" s="1756"/>
      <c r="D9" s="1756"/>
      <c r="E9" s="1756"/>
      <c r="F9" s="1756"/>
      <c r="G9" s="1756"/>
      <c r="H9" s="1756"/>
      <c r="I9" s="1756"/>
      <c r="J9" s="1756"/>
      <c r="K9" s="1756"/>
      <c r="L9" s="1756"/>
      <c r="M9" s="1756"/>
      <c r="N9" s="1756"/>
      <c r="O9" s="1756"/>
      <c r="P9" s="1756"/>
      <c r="Q9" s="1056" t="s">
        <v>342</v>
      </c>
      <c r="S9" s="339"/>
    </row>
    <row r="10" spans="1:19" ht="24" customHeight="1">
      <c r="A10" s="338"/>
      <c r="B10" s="1756" t="s">
        <v>4347</v>
      </c>
      <c r="C10" s="1756"/>
      <c r="D10" s="1756"/>
      <c r="E10" s="1756"/>
      <c r="F10" s="1756"/>
      <c r="G10" s="1756"/>
      <c r="H10" s="1756"/>
      <c r="I10" s="1756"/>
      <c r="J10" s="1756"/>
      <c r="K10" s="1756"/>
      <c r="L10" s="1756"/>
      <c r="M10" s="1756"/>
      <c r="N10" s="1756"/>
      <c r="O10" s="1756"/>
      <c r="P10" s="1756"/>
      <c r="Q10" s="1056" t="s">
        <v>342</v>
      </c>
      <c r="S10" s="339"/>
    </row>
    <row r="11" spans="1:19" ht="24" customHeight="1">
      <c r="A11" s="338"/>
      <c r="B11" s="1756" t="s">
        <v>979</v>
      </c>
      <c r="C11" s="1756"/>
      <c r="D11" s="1756"/>
      <c r="E11" s="1756"/>
      <c r="F11" s="1756"/>
      <c r="G11" s="1756"/>
      <c r="H11" s="1756"/>
      <c r="I11" s="1756"/>
      <c r="J11" s="1756"/>
      <c r="K11" s="1756"/>
      <c r="L11" s="1756"/>
      <c r="M11" s="1756"/>
      <c r="N11" s="1756"/>
      <c r="O11" s="1756"/>
      <c r="P11" s="1756"/>
      <c r="Q11" s="1056" t="s">
        <v>342</v>
      </c>
      <c r="S11" s="1057"/>
    </row>
    <row r="12" spans="1:19" ht="45.75" customHeight="1">
      <c r="A12" s="338"/>
      <c r="B12" s="1756" t="s">
        <v>4348</v>
      </c>
      <c r="C12" s="1756"/>
      <c r="D12" s="1756"/>
      <c r="E12" s="1756"/>
      <c r="F12" s="1756"/>
      <c r="G12" s="1756"/>
      <c r="H12" s="1756"/>
      <c r="I12" s="1756"/>
      <c r="J12" s="1756"/>
      <c r="K12" s="1756"/>
      <c r="L12" s="1756"/>
      <c r="M12" s="1756"/>
      <c r="N12" s="1756"/>
      <c r="O12" s="1756"/>
      <c r="P12" s="1756"/>
      <c r="Q12" s="1056" t="s">
        <v>342</v>
      </c>
      <c r="S12" s="339"/>
    </row>
    <row r="13" spans="1:19" ht="24" customHeight="1">
      <c r="A13" s="338"/>
      <c r="B13" s="1756" t="s">
        <v>4349</v>
      </c>
      <c r="C13" s="1756"/>
      <c r="D13" s="1756"/>
      <c r="E13" s="1756"/>
      <c r="F13" s="1756"/>
      <c r="G13" s="1756"/>
      <c r="H13" s="1756"/>
      <c r="I13" s="1756"/>
      <c r="J13" s="1756"/>
      <c r="K13" s="1756"/>
      <c r="L13" s="1756"/>
      <c r="M13" s="1756"/>
      <c r="N13" s="1756"/>
      <c r="O13" s="1756"/>
      <c r="P13" s="1756"/>
      <c r="Q13" s="1056" t="s">
        <v>342</v>
      </c>
      <c r="S13" s="339"/>
    </row>
    <row r="14" spans="1:19" ht="24" customHeight="1">
      <c r="A14" s="338"/>
      <c r="B14" s="1756" t="s">
        <v>4350</v>
      </c>
      <c r="C14" s="1756"/>
      <c r="D14" s="1756"/>
      <c r="E14" s="1756"/>
      <c r="F14" s="1756"/>
      <c r="G14" s="1756"/>
      <c r="H14" s="1756"/>
      <c r="I14" s="1756"/>
      <c r="J14" s="1756"/>
      <c r="K14" s="1756"/>
      <c r="L14" s="1756"/>
      <c r="M14" s="1756"/>
      <c r="N14" s="1756"/>
      <c r="O14" s="1756"/>
      <c r="P14" s="1756"/>
      <c r="Q14" s="1056" t="s">
        <v>342</v>
      </c>
      <c r="S14" s="339"/>
    </row>
    <row r="15" spans="1:19" ht="24" customHeight="1">
      <c r="A15" s="338"/>
      <c r="B15" s="1756" t="s">
        <v>4351</v>
      </c>
      <c r="C15" s="1756"/>
      <c r="D15" s="1756"/>
      <c r="E15" s="1756"/>
      <c r="F15" s="1756"/>
      <c r="G15" s="1756"/>
      <c r="H15" s="1756"/>
      <c r="I15" s="1756"/>
      <c r="J15" s="1756"/>
      <c r="K15" s="1756"/>
      <c r="L15" s="1756"/>
      <c r="M15" s="1756"/>
      <c r="N15" s="1756"/>
      <c r="O15" s="1756"/>
      <c r="P15" s="1756"/>
      <c r="Q15" s="1056" t="s">
        <v>342</v>
      </c>
      <c r="S15" s="339"/>
    </row>
    <row r="16" spans="1:19" ht="43.5" customHeight="1">
      <c r="A16" s="338"/>
      <c r="B16" s="1756" t="s">
        <v>4352</v>
      </c>
      <c r="C16" s="1756"/>
      <c r="D16" s="1756"/>
      <c r="E16" s="1756"/>
      <c r="F16" s="1756"/>
      <c r="G16" s="1756"/>
      <c r="H16" s="1756"/>
      <c r="I16" s="1756"/>
      <c r="J16" s="1756"/>
      <c r="K16" s="1756"/>
      <c r="L16" s="1756"/>
      <c r="M16" s="1756"/>
      <c r="N16" s="1756"/>
      <c r="O16" s="1756"/>
      <c r="P16" s="1756"/>
      <c r="Q16" s="1056" t="s">
        <v>342</v>
      </c>
      <c r="S16" s="339"/>
    </row>
    <row r="17" spans="1:19" ht="46.5" customHeight="1">
      <c r="A17" s="338"/>
      <c r="B17" s="1756" t="s">
        <v>4353</v>
      </c>
      <c r="C17" s="1756"/>
      <c r="D17" s="1756"/>
      <c r="E17" s="1756"/>
      <c r="F17" s="1756"/>
      <c r="G17" s="1756"/>
      <c r="H17" s="1756"/>
      <c r="I17" s="1756"/>
      <c r="J17" s="1756"/>
      <c r="K17" s="1756"/>
      <c r="L17" s="1756"/>
      <c r="M17" s="1756"/>
      <c r="N17" s="1756"/>
      <c r="O17" s="1756"/>
      <c r="P17" s="1756"/>
      <c r="Q17" s="1056" t="s">
        <v>342</v>
      </c>
      <c r="S17" s="339"/>
    </row>
    <row r="18" spans="1:19" ht="24" customHeight="1">
      <c r="A18" s="338"/>
      <c r="B18" s="1756" t="s">
        <v>4354</v>
      </c>
      <c r="C18" s="1756"/>
      <c r="D18" s="1756"/>
      <c r="E18" s="1756"/>
      <c r="F18" s="1756"/>
      <c r="G18" s="1756"/>
      <c r="H18" s="1756"/>
      <c r="I18" s="1756"/>
      <c r="J18" s="1756"/>
      <c r="K18" s="1756"/>
      <c r="L18" s="1756"/>
      <c r="M18" s="1756"/>
      <c r="N18" s="1756"/>
      <c r="O18" s="1756"/>
      <c r="P18" s="1756"/>
      <c r="Q18" s="1056" t="s">
        <v>342</v>
      </c>
      <c r="S18" s="339"/>
    </row>
    <row r="19" spans="1:19" ht="46.5" customHeight="1">
      <c r="A19" s="340"/>
      <c r="B19" s="1756" t="s">
        <v>4355</v>
      </c>
      <c r="C19" s="1756"/>
      <c r="D19" s="1756"/>
      <c r="E19" s="1756"/>
      <c r="F19" s="1756"/>
      <c r="G19" s="1756"/>
      <c r="H19" s="1756"/>
      <c r="I19" s="1756"/>
      <c r="J19" s="1756"/>
      <c r="K19" s="1756"/>
      <c r="L19" s="1756"/>
      <c r="M19" s="1756"/>
      <c r="N19" s="1756"/>
      <c r="O19" s="1756"/>
      <c r="P19" s="1756"/>
      <c r="Q19" s="1056" t="s">
        <v>342</v>
      </c>
      <c r="S19" s="339"/>
    </row>
    <row r="20" spans="1:19" ht="47.25" customHeight="1">
      <c r="A20" s="340"/>
      <c r="B20" s="1756" t="s">
        <v>4356</v>
      </c>
      <c r="C20" s="1756"/>
      <c r="D20" s="1756"/>
      <c r="E20" s="1756"/>
      <c r="F20" s="1756"/>
      <c r="G20" s="1756"/>
      <c r="H20" s="1756"/>
      <c r="I20" s="1756"/>
      <c r="J20" s="1756"/>
      <c r="K20" s="1756"/>
      <c r="L20" s="1756"/>
      <c r="M20" s="1756"/>
      <c r="N20" s="1756"/>
      <c r="O20" s="1756"/>
      <c r="P20" s="1756"/>
      <c r="Q20" s="1056" t="s">
        <v>342</v>
      </c>
      <c r="S20" s="339"/>
    </row>
    <row r="21" spans="1:19" ht="24" customHeight="1">
      <c r="A21" s="340"/>
      <c r="B21" s="1756" t="s">
        <v>980</v>
      </c>
      <c r="C21" s="1756"/>
      <c r="D21" s="1756"/>
      <c r="E21" s="1756"/>
      <c r="F21" s="1756"/>
      <c r="G21" s="1756"/>
      <c r="H21" s="1756"/>
      <c r="I21" s="1756"/>
      <c r="J21" s="1756"/>
      <c r="K21" s="1756"/>
      <c r="L21" s="1756"/>
      <c r="M21" s="1756"/>
      <c r="N21" s="1756"/>
      <c r="O21" s="1756"/>
      <c r="P21" s="1756"/>
      <c r="Q21" s="1056" t="s">
        <v>342</v>
      </c>
      <c r="S21" s="339"/>
    </row>
    <row r="22" spans="1:19" ht="24" customHeight="1">
      <c r="A22" s="340"/>
      <c r="B22" s="1756" t="s">
        <v>981</v>
      </c>
      <c r="C22" s="1756"/>
      <c r="D22" s="1756"/>
      <c r="E22" s="1756"/>
      <c r="F22" s="1756"/>
      <c r="G22" s="1756"/>
      <c r="H22" s="1756"/>
      <c r="I22" s="1756"/>
      <c r="J22" s="1756"/>
      <c r="K22" s="1756"/>
      <c r="L22" s="1756"/>
      <c r="M22" s="1756"/>
      <c r="N22" s="1756"/>
      <c r="O22" s="1756"/>
      <c r="P22" s="1756"/>
      <c r="Q22" s="1056" t="s">
        <v>342</v>
      </c>
      <c r="S22" s="339"/>
    </row>
    <row r="23" spans="1:19" ht="24" customHeight="1">
      <c r="A23" s="338"/>
      <c r="B23" s="1756" t="s">
        <v>982</v>
      </c>
      <c r="C23" s="1756"/>
      <c r="D23" s="1756"/>
      <c r="E23" s="1756"/>
      <c r="F23" s="1756"/>
      <c r="G23" s="1756"/>
      <c r="H23" s="1756"/>
      <c r="I23" s="1756"/>
      <c r="J23" s="1756"/>
      <c r="K23" s="1756"/>
      <c r="L23" s="1756"/>
      <c r="M23" s="1756"/>
      <c r="N23" s="1756"/>
      <c r="O23" s="1756"/>
      <c r="P23" s="1756"/>
      <c r="Q23" s="1056" t="s">
        <v>342</v>
      </c>
      <c r="S23" s="339"/>
    </row>
    <row r="24" spans="1:19" ht="24" customHeight="1">
      <c r="A24" s="340"/>
      <c r="B24" s="1756" t="s">
        <v>983</v>
      </c>
      <c r="C24" s="1756"/>
      <c r="D24" s="1756"/>
      <c r="E24" s="1756"/>
      <c r="F24" s="1756"/>
      <c r="G24" s="1756"/>
      <c r="H24" s="1756"/>
      <c r="I24" s="1756"/>
      <c r="J24" s="1756"/>
      <c r="K24" s="1756"/>
      <c r="L24" s="1756"/>
      <c r="M24" s="1756"/>
      <c r="N24" s="1756"/>
      <c r="O24" s="1756"/>
      <c r="P24" s="1756"/>
      <c r="Q24" s="1056" t="s">
        <v>342</v>
      </c>
      <c r="S24" s="339"/>
    </row>
    <row r="25" spans="1:19" ht="24" customHeight="1">
      <c r="A25" s="1058"/>
      <c r="B25" s="1756" t="s">
        <v>984</v>
      </c>
      <c r="C25" s="1756"/>
      <c r="D25" s="1756"/>
      <c r="E25" s="1756"/>
      <c r="F25" s="1756"/>
      <c r="G25" s="1756"/>
      <c r="H25" s="1756"/>
      <c r="I25" s="1756"/>
      <c r="J25" s="1756"/>
      <c r="K25" s="1756"/>
      <c r="L25" s="1756"/>
      <c r="M25" s="1756"/>
      <c r="N25" s="1756"/>
      <c r="O25" s="1756"/>
      <c r="P25" s="1756"/>
      <c r="Q25" s="1056" t="s">
        <v>342</v>
      </c>
      <c r="S25" s="339"/>
    </row>
    <row r="26" spans="1:19" ht="24" customHeight="1">
      <c r="A26" s="340"/>
      <c r="B26" s="1756" t="s">
        <v>985</v>
      </c>
      <c r="C26" s="1756"/>
      <c r="D26" s="1756"/>
      <c r="E26" s="1756"/>
      <c r="F26" s="1756"/>
      <c r="G26" s="1756"/>
      <c r="H26" s="1756"/>
      <c r="I26" s="1756"/>
      <c r="J26" s="1756"/>
      <c r="K26" s="1756"/>
      <c r="L26" s="1756"/>
      <c r="M26" s="1756"/>
      <c r="N26" s="1756"/>
      <c r="O26" s="1756"/>
      <c r="P26" s="1756"/>
      <c r="Q26" s="1056" t="s">
        <v>342</v>
      </c>
      <c r="S26" s="339"/>
    </row>
    <row r="27" spans="1:19" ht="24" customHeight="1">
      <c r="A27" s="340"/>
      <c r="B27" s="1756" t="s">
        <v>986</v>
      </c>
      <c r="C27" s="1756"/>
      <c r="D27" s="1756"/>
      <c r="E27" s="1756"/>
      <c r="F27" s="1756"/>
      <c r="G27" s="1756"/>
      <c r="H27" s="1756"/>
      <c r="I27" s="1756"/>
      <c r="J27" s="1756"/>
      <c r="K27" s="1756"/>
      <c r="L27" s="1756"/>
      <c r="M27" s="1756"/>
      <c r="N27" s="1756"/>
      <c r="O27" s="1756"/>
      <c r="P27" s="1756"/>
      <c r="Q27" s="1056" t="s">
        <v>342</v>
      </c>
      <c r="S27" s="339"/>
    </row>
    <row r="28" spans="1:19" ht="24" customHeight="1">
      <c r="A28" s="340"/>
      <c r="B28" s="1756" t="s">
        <v>987</v>
      </c>
      <c r="C28" s="1756"/>
      <c r="D28" s="1756"/>
      <c r="E28" s="1756"/>
      <c r="F28" s="1756"/>
      <c r="G28" s="1756"/>
      <c r="H28" s="1756"/>
      <c r="I28" s="1756"/>
      <c r="J28" s="1756"/>
      <c r="K28" s="1756"/>
      <c r="L28" s="1756"/>
      <c r="M28" s="1756"/>
      <c r="N28" s="1756"/>
      <c r="O28" s="1756"/>
      <c r="P28" s="1756"/>
      <c r="Q28" s="1056" t="s">
        <v>342</v>
      </c>
      <c r="S28" s="339"/>
    </row>
    <row r="29" spans="1:19" ht="24" customHeight="1">
      <c r="A29" s="338"/>
      <c r="B29" s="1756" t="s">
        <v>988</v>
      </c>
      <c r="C29" s="1756"/>
      <c r="D29" s="1756"/>
      <c r="E29" s="1756"/>
      <c r="F29" s="1756"/>
      <c r="G29" s="1756"/>
      <c r="H29" s="1756"/>
      <c r="I29" s="1756"/>
      <c r="J29" s="1756"/>
      <c r="K29" s="1756"/>
      <c r="L29" s="1756"/>
      <c r="M29" s="1756"/>
      <c r="N29" s="1756"/>
      <c r="O29" s="1756"/>
      <c r="P29" s="1756"/>
      <c r="Q29" s="1056" t="s">
        <v>342</v>
      </c>
      <c r="S29" s="339"/>
    </row>
    <row r="30" spans="1:19" ht="24" customHeight="1">
      <c r="A30" s="338"/>
      <c r="B30" s="341"/>
      <c r="C30" s="1756" t="s">
        <v>989</v>
      </c>
      <c r="D30" s="1756"/>
      <c r="E30" s="1756"/>
      <c r="F30" s="1756"/>
      <c r="G30" s="1756"/>
      <c r="H30" s="1756"/>
      <c r="I30" s="1756"/>
      <c r="J30" s="1756"/>
      <c r="K30" s="1756"/>
      <c r="L30" s="1756"/>
      <c r="M30" s="1756"/>
      <c r="N30" s="1756"/>
      <c r="O30" s="1756"/>
      <c r="P30" s="1756"/>
      <c r="Q30" s="1756"/>
      <c r="R30" s="1059"/>
      <c r="S30" s="339"/>
    </row>
    <row r="31" spans="1:19" ht="24" customHeight="1">
      <c r="A31" s="338"/>
      <c r="B31" s="1756" t="s">
        <v>990</v>
      </c>
      <c r="C31" s="1756"/>
      <c r="D31" s="1756"/>
      <c r="E31" s="1756"/>
      <c r="F31" s="1756"/>
      <c r="G31" s="1756"/>
      <c r="H31" s="1756"/>
      <c r="I31" s="1756"/>
      <c r="J31" s="1756"/>
      <c r="K31" s="1756"/>
      <c r="L31" s="1756"/>
      <c r="M31" s="1756"/>
      <c r="N31" s="1756"/>
      <c r="O31" s="1756"/>
      <c r="P31" s="1756"/>
      <c r="Q31" s="1060" t="s">
        <v>342</v>
      </c>
      <c r="S31" s="339"/>
    </row>
    <row r="32" spans="1:19" ht="24" customHeight="1">
      <c r="A32" s="338"/>
      <c r="B32" s="1756" t="s">
        <v>991</v>
      </c>
      <c r="C32" s="1756"/>
      <c r="D32" s="1756"/>
      <c r="E32" s="1756"/>
      <c r="F32" s="1756"/>
      <c r="G32" s="1756"/>
      <c r="H32" s="1756"/>
      <c r="I32" s="1756"/>
      <c r="J32" s="1756"/>
      <c r="K32" s="1756"/>
      <c r="L32" s="1756"/>
      <c r="M32" s="1756"/>
      <c r="N32" s="1756"/>
      <c r="O32" s="1756"/>
      <c r="P32" s="1756"/>
      <c r="Q32" s="1060" t="s">
        <v>342</v>
      </c>
      <c r="S32" s="339"/>
    </row>
    <row r="33" spans="1:19" ht="24" customHeight="1">
      <c r="A33" s="338"/>
      <c r="B33" s="1756" t="s">
        <v>992</v>
      </c>
      <c r="C33" s="1756"/>
      <c r="D33" s="1756"/>
      <c r="E33" s="1756"/>
      <c r="F33" s="1756"/>
      <c r="G33" s="1756"/>
      <c r="H33" s="1756"/>
      <c r="I33" s="1756"/>
      <c r="J33" s="1756"/>
      <c r="K33" s="1756"/>
      <c r="L33" s="1756"/>
      <c r="M33" s="1756"/>
      <c r="N33" s="1756"/>
      <c r="O33" s="1756"/>
      <c r="P33" s="1756"/>
      <c r="Q33" s="1060" t="s">
        <v>342</v>
      </c>
      <c r="S33" s="339"/>
    </row>
    <row r="34" spans="1:19" ht="24" customHeight="1">
      <c r="A34" s="338"/>
      <c r="B34" s="1756" t="s">
        <v>993</v>
      </c>
      <c r="C34" s="1756"/>
      <c r="D34" s="1756"/>
      <c r="E34" s="1756"/>
      <c r="F34" s="1756"/>
      <c r="G34" s="1756"/>
      <c r="H34" s="1756"/>
      <c r="I34" s="1756"/>
      <c r="J34" s="1756"/>
      <c r="K34" s="1756"/>
      <c r="L34" s="1756"/>
      <c r="M34" s="1756"/>
      <c r="N34" s="1756"/>
      <c r="O34" s="1756"/>
      <c r="P34" s="1756"/>
      <c r="Q34" s="1060" t="s">
        <v>342</v>
      </c>
      <c r="S34" s="339"/>
    </row>
    <row r="35" spans="1:19" ht="24" customHeight="1">
      <c r="A35" s="1061"/>
      <c r="B35" s="1756" t="s">
        <v>994</v>
      </c>
      <c r="C35" s="1756"/>
      <c r="D35" s="1756"/>
      <c r="E35" s="1756"/>
      <c r="F35" s="1756"/>
      <c r="G35" s="1756"/>
      <c r="H35" s="1756"/>
      <c r="I35" s="1756"/>
      <c r="J35" s="1756"/>
      <c r="K35" s="1756"/>
      <c r="L35" s="1756"/>
      <c r="M35" s="1756"/>
      <c r="N35" s="1756"/>
      <c r="O35" s="1756"/>
      <c r="P35" s="1756"/>
      <c r="Q35" s="1060" t="s">
        <v>342</v>
      </c>
      <c r="S35" s="342"/>
    </row>
    <row r="36" spans="1:19" ht="24" customHeight="1">
      <c r="A36" s="1061"/>
      <c r="B36" s="1756" t="s">
        <v>995</v>
      </c>
      <c r="C36" s="1756"/>
      <c r="D36" s="1756"/>
      <c r="E36" s="1756"/>
      <c r="F36" s="1756"/>
      <c r="G36" s="1756"/>
      <c r="H36" s="1756"/>
      <c r="I36" s="1756"/>
      <c r="J36" s="1756"/>
      <c r="K36" s="1756"/>
      <c r="L36" s="1756"/>
      <c r="M36" s="1756"/>
      <c r="N36" s="1756"/>
      <c r="O36" s="1756"/>
      <c r="P36" s="1756"/>
      <c r="Q36" s="1060" t="s">
        <v>342</v>
      </c>
      <c r="S36" s="342"/>
    </row>
    <row r="37" spans="1:19" ht="24" customHeight="1">
      <c r="A37" s="1061"/>
      <c r="B37" s="1756" t="s">
        <v>996</v>
      </c>
      <c r="C37" s="1756"/>
      <c r="D37" s="1756"/>
      <c r="E37" s="1756"/>
      <c r="F37" s="1756"/>
      <c r="G37" s="1756"/>
      <c r="H37" s="1756"/>
      <c r="I37" s="1756"/>
      <c r="J37" s="1756"/>
      <c r="K37" s="1756"/>
      <c r="L37" s="1756"/>
      <c r="M37" s="1756"/>
      <c r="N37" s="1756"/>
      <c r="O37" s="1756"/>
      <c r="P37" s="1756"/>
      <c r="Q37" s="1060" t="s">
        <v>342</v>
      </c>
      <c r="S37" s="342"/>
    </row>
    <row r="38" spans="1:19" ht="24" customHeight="1">
      <c r="A38" s="1061"/>
      <c r="B38" s="1756" t="s">
        <v>997</v>
      </c>
      <c r="C38" s="1756"/>
      <c r="D38" s="1756"/>
      <c r="E38" s="1756"/>
      <c r="F38" s="1756"/>
      <c r="G38" s="1756"/>
      <c r="H38" s="1756"/>
      <c r="I38" s="1756"/>
      <c r="J38" s="1756"/>
      <c r="K38" s="1756"/>
      <c r="L38" s="1756"/>
      <c r="M38" s="1756"/>
      <c r="N38" s="1756"/>
      <c r="O38" s="1756"/>
      <c r="P38" s="1756"/>
      <c r="Q38" s="1060" t="s">
        <v>342</v>
      </c>
      <c r="S38" s="342"/>
    </row>
    <row r="39" spans="1:19" ht="21" customHeight="1">
      <c r="A39" s="1061"/>
      <c r="B39" s="1062"/>
      <c r="C39" s="1062"/>
      <c r="D39" s="1063"/>
      <c r="E39" s="618"/>
      <c r="F39" s="618"/>
      <c r="G39" s="618"/>
      <c r="H39" s="618"/>
      <c r="I39" s="618"/>
      <c r="J39" s="618"/>
      <c r="K39" s="618"/>
      <c r="L39" s="618"/>
      <c r="M39" s="618"/>
      <c r="N39" s="618"/>
      <c r="O39" s="1064"/>
      <c r="P39" s="618"/>
      <c r="Q39" s="618"/>
      <c r="R39" s="618"/>
      <c r="S39" s="342"/>
    </row>
    <row r="40" spans="1:19" ht="21" customHeight="1" thickBot="1">
      <c r="A40" s="343"/>
      <c r="B40" s="344"/>
      <c r="C40" s="344"/>
      <c r="D40" s="345"/>
      <c r="E40" s="345"/>
      <c r="F40" s="345"/>
      <c r="G40" s="345"/>
      <c r="H40" s="345"/>
      <c r="I40" s="345"/>
      <c r="J40" s="345"/>
      <c r="K40" s="345"/>
      <c r="L40" s="345"/>
      <c r="M40" s="345"/>
      <c r="N40" s="345"/>
      <c r="O40" s="345"/>
      <c r="P40" s="345"/>
      <c r="Q40" s="345"/>
      <c r="R40" s="344"/>
      <c r="S40" s="346"/>
    </row>
    <row r="41" spans="1:19">
      <c r="A41" s="1048"/>
      <c r="B41" s="1048"/>
      <c r="C41" s="1048"/>
      <c r="D41" s="1048"/>
      <c r="E41" s="1048"/>
      <c r="F41" s="1048"/>
      <c r="G41" s="1048"/>
      <c r="H41" s="1048"/>
      <c r="I41" s="1048"/>
      <c r="J41" s="1048"/>
    </row>
    <row r="42" spans="1:19" ht="21.75" customHeight="1"/>
    <row r="43" spans="1:19" ht="21.75" customHeight="1"/>
    <row r="44" spans="1:19" ht="30.75" customHeight="1"/>
  </sheetData>
  <mergeCells count="34">
    <mergeCell ref="B35:P35"/>
    <mergeCell ref="B36:P36"/>
    <mergeCell ref="B37:P37"/>
    <mergeCell ref="B38:P38"/>
    <mergeCell ref="B29:P29"/>
    <mergeCell ref="C30:Q30"/>
    <mergeCell ref="B31:P31"/>
    <mergeCell ref="B32:P32"/>
    <mergeCell ref="B33:P33"/>
    <mergeCell ref="B34:P34"/>
    <mergeCell ref="B28:P28"/>
    <mergeCell ref="B17:P17"/>
    <mergeCell ref="B18:P18"/>
    <mergeCell ref="B19:P19"/>
    <mergeCell ref="B20:P20"/>
    <mergeCell ref="B21:P21"/>
    <mergeCell ref="B22:P22"/>
    <mergeCell ref="B23:P23"/>
    <mergeCell ref="B24:P24"/>
    <mergeCell ref="B25:P25"/>
    <mergeCell ref="B26:P26"/>
    <mergeCell ref="B27:P27"/>
    <mergeCell ref="B16:P16"/>
    <mergeCell ref="P2:Q2"/>
    <mergeCell ref="B6:P6"/>
    <mergeCell ref="B7:P7"/>
    <mergeCell ref="B8:P8"/>
    <mergeCell ref="B9:P9"/>
    <mergeCell ref="B10:P10"/>
    <mergeCell ref="B11:P11"/>
    <mergeCell ref="B12:P12"/>
    <mergeCell ref="B13:P13"/>
    <mergeCell ref="B14:P14"/>
    <mergeCell ref="B15:P15"/>
  </mergeCells>
  <printOptions horizontalCentered="1"/>
  <pageMargins left="0.11811023622047245" right="0.11811023622047245" top="0.15748031496062992" bottom="0.15748031496062992" header="0.31496062992125984" footer="0.31496062992125984"/>
  <pageSetup scale="57"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S82"/>
  <sheetViews>
    <sheetView view="pageBreakPreview" topLeftCell="F1" zoomScale="90" zoomScaleNormal="90" zoomScaleSheetLayoutView="90" workbookViewId="0">
      <selection activeCell="T25" sqref="T1:AW1048576"/>
    </sheetView>
  </sheetViews>
  <sheetFormatPr defaultColWidth="9.140625" defaultRowHeight="15"/>
  <cols>
    <col min="1" max="6" width="7.28515625" style="337" customWidth="1"/>
    <col min="7" max="7" width="10.28515625" style="337" customWidth="1"/>
    <col min="8" max="8" width="6.42578125" style="337" customWidth="1"/>
    <col min="9" max="12" width="7.28515625" style="337" customWidth="1"/>
    <col min="13" max="13" width="10.42578125" style="337" customWidth="1"/>
    <col min="14" max="19" width="7.28515625" style="337" customWidth="1"/>
    <col min="20" max="16384" width="9.140625" style="422"/>
  </cols>
  <sheetData>
    <row r="1" spans="1:19" ht="16.5" customHeight="1"/>
    <row r="2" spans="1:19" ht="15.75" thickBot="1"/>
    <row r="3" spans="1:19" ht="21" customHeight="1">
      <c r="A3" s="1065"/>
      <c r="B3" s="1066"/>
      <c r="C3" s="1066"/>
      <c r="D3" s="1067"/>
      <c r="E3" s="1067"/>
      <c r="F3" s="1067"/>
      <c r="G3" s="1067"/>
      <c r="H3" s="1067"/>
      <c r="I3" s="1067"/>
      <c r="J3" s="1067"/>
      <c r="K3" s="1067"/>
      <c r="L3" s="1067"/>
      <c r="M3" s="1067"/>
      <c r="N3" s="1067"/>
      <c r="O3" s="1067"/>
      <c r="P3" s="1067"/>
      <c r="Q3" s="1067"/>
      <c r="R3" s="1067"/>
      <c r="S3" s="1068"/>
    </row>
    <row r="4" spans="1:19" ht="21" customHeight="1">
      <c r="A4" s="338"/>
      <c r="B4" s="1049"/>
      <c r="C4" s="1049"/>
      <c r="D4" s="1049"/>
      <c r="E4" s="1049"/>
      <c r="F4" s="1049"/>
      <c r="G4" s="1049"/>
      <c r="H4" s="1049"/>
      <c r="I4" s="1049"/>
      <c r="J4" s="1049"/>
      <c r="K4" s="1049"/>
      <c r="L4" s="1049"/>
      <c r="M4" s="1049"/>
      <c r="N4" s="1049"/>
      <c r="O4" s="1049"/>
      <c r="P4" s="1069"/>
      <c r="Q4" s="1069"/>
      <c r="R4" s="1070" t="s">
        <v>998</v>
      </c>
      <c r="S4" s="1071" t="s">
        <v>999</v>
      </c>
    </row>
    <row r="5" spans="1:19" ht="21" customHeight="1">
      <c r="A5" s="338"/>
      <c r="B5" s="1049"/>
      <c r="C5" s="1049"/>
      <c r="D5" s="1049"/>
      <c r="E5" s="1049"/>
      <c r="F5" s="1049"/>
      <c r="G5" s="1049"/>
      <c r="P5" s="1049"/>
      <c r="Q5" s="1049"/>
      <c r="R5" s="1049"/>
      <c r="S5" s="339"/>
    </row>
    <row r="6" spans="1:19" ht="21" customHeight="1">
      <c r="A6" s="338"/>
      <c r="B6" s="1072"/>
      <c r="C6" s="1072"/>
      <c r="D6" s="1072"/>
      <c r="E6" s="1073"/>
      <c r="F6" s="1073"/>
      <c r="G6" s="1073"/>
      <c r="H6" s="1073"/>
      <c r="I6" s="1073"/>
      <c r="J6" s="1073"/>
      <c r="K6" s="1073"/>
      <c r="L6" s="1073"/>
      <c r="M6" s="1073"/>
      <c r="N6" s="1073"/>
      <c r="O6" s="1073"/>
      <c r="P6" s="1072"/>
      <c r="Q6" s="1073"/>
      <c r="R6" s="1074" t="s">
        <v>4357</v>
      </c>
      <c r="S6" s="1075">
        <v>-1</v>
      </c>
    </row>
    <row r="7" spans="1:19" ht="21" customHeight="1">
      <c r="A7" s="338"/>
      <c r="B7" s="1072"/>
      <c r="C7" s="1072"/>
      <c r="D7" s="1072"/>
      <c r="E7" s="1073"/>
      <c r="F7" s="1073"/>
      <c r="G7" s="1073"/>
      <c r="H7" s="1073"/>
      <c r="I7" s="1073"/>
      <c r="J7" s="1073"/>
      <c r="K7" s="1073"/>
      <c r="L7" s="1073"/>
      <c r="M7" s="1073"/>
      <c r="N7" s="1073"/>
      <c r="O7" s="1073"/>
      <c r="P7" s="1072"/>
      <c r="Q7" s="1073"/>
      <c r="R7" s="1074"/>
      <c r="S7" s="1075"/>
    </row>
    <row r="8" spans="1:19" ht="21" customHeight="1">
      <c r="A8" s="338"/>
      <c r="B8" s="1759" t="s">
        <v>4358</v>
      </c>
      <c r="C8" s="1759"/>
      <c r="D8" s="1759"/>
      <c r="E8" s="1759"/>
      <c r="F8" s="1759"/>
      <c r="G8" s="1759"/>
      <c r="H8" s="1759"/>
      <c r="I8" s="1759"/>
      <c r="J8" s="1759"/>
      <c r="K8" s="1759"/>
      <c r="L8" s="1759"/>
      <c r="M8" s="1759"/>
      <c r="N8" s="1759"/>
      <c r="O8" s="1759"/>
      <c r="P8" s="1759"/>
      <c r="Q8" s="1759"/>
      <c r="R8" s="1759"/>
      <c r="S8" s="1075">
        <v>-2</v>
      </c>
    </row>
    <row r="9" spans="1:19" ht="21" customHeight="1">
      <c r="A9" s="338"/>
      <c r="B9" s="1759"/>
      <c r="C9" s="1759"/>
      <c r="D9" s="1759"/>
      <c r="E9" s="1759"/>
      <c r="F9" s="1759"/>
      <c r="G9" s="1759"/>
      <c r="H9" s="1759"/>
      <c r="I9" s="1759"/>
      <c r="J9" s="1759"/>
      <c r="K9" s="1759"/>
      <c r="L9" s="1759"/>
      <c r="M9" s="1759"/>
      <c r="N9" s="1759"/>
      <c r="O9" s="1759"/>
      <c r="P9" s="1759"/>
      <c r="Q9" s="1759"/>
      <c r="R9" s="1759"/>
      <c r="S9" s="1075"/>
    </row>
    <row r="10" spans="1:19" ht="21" customHeight="1">
      <c r="A10" s="338"/>
      <c r="B10" s="1759"/>
      <c r="C10" s="1759"/>
      <c r="D10" s="1759"/>
      <c r="E10" s="1759"/>
      <c r="F10" s="1759"/>
      <c r="G10" s="1759"/>
      <c r="H10" s="1759"/>
      <c r="I10" s="1759"/>
      <c r="J10" s="1759"/>
      <c r="K10" s="1759"/>
      <c r="L10" s="1759"/>
      <c r="M10" s="1759"/>
      <c r="N10" s="1759"/>
      <c r="O10" s="1759"/>
      <c r="P10" s="1759"/>
      <c r="Q10" s="1759"/>
      <c r="R10" s="1759"/>
      <c r="S10" s="1075"/>
    </row>
    <row r="11" spans="1:19" ht="21" customHeight="1">
      <c r="A11" s="338"/>
      <c r="B11" s="1759"/>
      <c r="C11" s="1759"/>
      <c r="D11" s="1759"/>
      <c r="E11" s="1759"/>
      <c r="F11" s="1759"/>
      <c r="G11" s="1759"/>
      <c r="H11" s="1759"/>
      <c r="I11" s="1759"/>
      <c r="J11" s="1759"/>
      <c r="K11" s="1759"/>
      <c r="L11" s="1759"/>
      <c r="M11" s="1759"/>
      <c r="N11" s="1759"/>
      <c r="O11" s="1759"/>
      <c r="P11" s="1759"/>
      <c r="Q11" s="1759"/>
      <c r="R11" s="1759"/>
      <c r="S11" s="1075"/>
    </row>
    <row r="12" spans="1:19" ht="21" customHeight="1">
      <c r="A12" s="338"/>
      <c r="B12" s="1076"/>
      <c r="C12" s="1076"/>
      <c r="D12" s="1076"/>
      <c r="E12" s="1076"/>
      <c r="F12" s="1076"/>
      <c r="G12" s="1076"/>
      <c r="H12" s="1076"/>
      <c r="I12" s="1076"/>
      <c r="J12" s="1076"/>
      <c r="K12" s="1076"/>
      <c r="L12" s="1076"/>
      <c r="M12" s="1076"/>
      <c r="N12" s="1076"/>
      <c r="O12" s="1076"/>
      <c r="P12" s="1076"/>
      <c r="Q12" s="1076"/>
      <c r="R12" s="1076"/>
      <c r="S12" s="1075"/>
    </row>
    <row r="13" spans="1:19" ht="21" customHeight="1">
      <c r="A13" s="338"/>
      <c r="B13" s="1759" t="s">
        <v>4359</v>
      </c>
      <c r="C13" s="1759"/>
      <c r="D13" s="1759"/>
      <c r="E13" s="1759"/>
      <c r="F13" s="1759"/>
      <c r="G13" s="1759"/>
      <c r="H13" s="1759"/>
      <c r="I13" s="1759"/>
      <c r="J13" s="1759"/>
      <c r="K13" s="1759"/>
      <c r="L13" s="1759"/>
      <c r="M13" s="1759"/>
      <c r="N13" s="1759"/>
      <c r="O13" s="1759"/>
      <c r="P13" s="1759"/>
      <c r="Q13" s="1759"/>
      <c r="R13" s="1759"/>
      <c r="S13" s="1075">
        <v>-3</v>
      </c>
    </row>
    <row r="14" spans="1:19" ht="21" customHeight="1">
      <c r="A14" s="338"/>
      <c r="B14" s="1759"/>
      <c r="C14" s="1759"/>
      <c r="D14" s="1759"/>
      <c r="E14" s="1759"/>
      <c r="F14" s="1759"/>
      <c r="G14" s="1759"/>
      <c r="H14" s="1759"/>
      <c r="I14" s="1759"/>
      <c r="J14" s="1759"/>
      <c r="K14" s="1759"/>
      <c r="L14" s="1759"/>
      <c r="M14" s="1759"/>
      <c r="N14" s="1759"/>
      <c r="O14" s="1759"/>
      <c r="P14" s="1759"/>
      <c r="Q14" s="1759"/>
      <c r="R14" s="1759"/>
      <c r="S14" s="1075"/>
    </row>
    <row r="15" spans="1:19" ht="21" customHeight="1">
      <c r="A15" s="338"/>
      <c r="B15" s="1076"/>
      <c r="C15" s="1076"/>
      <c r="D15" s="1076"/>
      <c r="E15" s="1076"/>
      <c r="F15" s="1076"/>
      <c r="G15" s="1076"/>
      <c r="H15" s="1076"/>
      <c r="I15" s="1076"/>
      <c r="J15" s="1076"/>
      <c r="K15" s="1076"/>
      <c r="L15" s="1076"/>
      <c r="M15" s="1076"/>
      <c r="N15" s="1076"/>
      <c r="O15" s="1076"/>
      <c r="P15" s="1076"/>
      <c r="Q15" s="1076"/>
      <c r="R15" s="1076"/>
      <c r="S15" s="1075"/>
    </row>
    <row r="16" spans="1:19" ht="21" customHeight="1">
      <c r="A16" s="338"/>
      <c r="B16" s="1072"/>
      <c r="C16" s="1072"/>
      <c r="D16" s="1072"/>
      <c r="E16" s="1072"/>
      <c r="F16" s="1073"/>
      <c r="G16" s="1073"/>
      <c r="H16" s="1073"/>
      <c r="I16" s="1073"/>
      <c r="J16" s="1073"/>
      <c r="K16" s="1072"/>
      <c r="L16" s="1072"/>
      <c r="M16" s="1072"/>
      <c r="N16" s="1072"/>
      <c r="O16" s="1072"/>
      <c r="P16" s="1072"/>
      <c r="Q16" s="1072"/>
      <c r="R16" s="1077" t="s">
        <v>1000</v>
      </c>
      <c r="S16" s="1075">
        <v>-4</v>
      </c>
    </row>
    <row r="17" spans="1:19" ht="21" customHeight="1">
      <c r="A17" s="338"/>
      <c r="B17" s="1072"/>
      <c r="C17" s="1072"/>
      <c r="D17" s="1072"/>
      <c r="E17" s="1072"/>
      <c r="F17" s="1073"/>
      <c r="G17" s="1073"/>
      <c r="H17" s="1073"/>
      <c r="I17" s="1073"/>
      <c r="J17" s="1073"/>
      <c r="K17" s="1072"/>
      <c r="L17" s="1072"/>
      <c r="M17" s="1072"/>
      <c r="N17" s="1072"/>
      <c r="O17" s="1760" t="s">
        <v>4360</v>
      </c>
      <c r="P17" s="1760"/>
      <c r="Q17" s="1760"/>
      <c r="R17" s="1078" t="s">
        <v>4361</v>
      </c>
      <c r="S17" s="1075"/>
    </row>
    <row r="18" spans="1:19" ht="21" customHeight="1">
      <c r="A18" s="338"/>
      <c r="B18" s="1072"/>
      <c r="C18" s="1072"/>
      <c r="D18" s="1072"/>
      <c r="E18" s="1072"/>
      <c r="F18" s="1073"/>
      <c r="G18" s="1073"/>
      <c r="H18" s="1073"/>
      <c r="I18" s="1073"/>
      <c r="J18" s="1073"/>
      <c r="K18" s="1079"/>
      <c r="L18" s="1079"/>
      <c r="M18" s="1079"/>
      <c r="N18" s="1079"/>
      <c r="O18" s="1080"/>
      <c r="P18" s="1079"/>
      <c r="Q18" s="1079"/>
      <c r="R18" s="1077" t="s">
        <v>4362</v>
      </c>
      <c r="S18" s="1081"/>
    </row>
    <row r="19" spans="1:19" ht="21" customHeight="1">
      <c r="A19" s="338"/>
      <c r="B19" s="1072"/>
      <c r="C19" s="1072"/>
      <c r="D19" s="1072"/>
      <c r="E19" s="1072"/>
      <c r="F19" s="1073"/>
      <c r="G19" s="1073"/>
      <c r="H19" s="1073"/>
      <c r="I19" s="1073"/>
      <c r="J19" s="1073"/>
      <c r="K19" s="1079"/>
      <c r="L19" s="1079"/>
      <c r="M19" s="1079"/>
      <c r="N19" s="1079"/>
      <c r="O19" s="1080"/>
      <c r="P19" s="1079"/>
      <c r="Q19" s="1079"/>
      <c r="R19" s="1077" t="s">
        <v>4363</v>
      </c>
      <c r="S19" s="1081"/>
    </row>
    <row r="20" spans="1:19" ht="21" customHeight="1">
      <c r="A20" s="338"/>
      <c r="B20" s="1072"/>
      <c r="C20" s="1072"/>
      <c r="D20" s="1072"/>
      <c r="E20" s="1072"/>
      <c r="F20" s="1073"/>
      <c r="G20" s="1073"/>
      <c r="H20" s="1073"/>
      <c r="I20" s="1073"/>
      <c r="J20" s="1073"/>
      <c r="K20" s="1082"/>
      <c r="L20" s="1079"/>
      <c r="M20" s="1079"/>
      <c r="N20" s="1079"/>
      <c r="O20" s="1080"/>
      <c r="P20" s="1079"/>
      <c r="Q20" s="1079"/>
      <c r="R20" s="1077" t="s">
        <v>4364</v>
      </c>
      <c r="S20" s="1075"/>
    </row>
    <row r="21" spans="1:19" ht="21" customHeight="1">
      <c r="A21" s="338"/>
      <c r="B21" s="1072"/>
      <c r="C21" s="1072"/>
      <c r="D21" s="1072"/>
      <c r="E21" s="1072"/>
      <c r="F21" s="1073"/>
      <c r="G21" s="1073"/>
      <c r="H21" s="1073"/>
      <c r="I21" s="1073"/>
      <c r="J21" s="1073"/>
      <c r="K21" s="1082"/>
      <c r="L21" s="1079"/>
      <c r="M21" s="1079"/>
      <c r="N21" s="1079"/>
      <c r="O21" s="1080"/>
      <c r="P21" s="1079"/>
      <c r="Q21" s="1079"/>
      <c r="R21" s="1077" t="s">
        <v>4365</v>
      </c>
      <c r="S21" s="1075"/>
    </row>
    <row r="22" spans="1:19" ht="21" customHeight="1">
      <c r="A22" s="338"/>
      <c r="B22" s="1072"/>
      <c r="C22" s="1072"/>
      <c r="D22" s="1072"/>
      <c r="E22" s="1072"/>
      <c r="G22" s="1083">
        <f>1.48*1.12*1.51</f>
        <v>2.5029760000000003</v>
      </c>
      <c r="H22" s="1073"/>
      <c r="J22" s="1073"/>
      <c r="K22" s="1079"/>
      <c r="Q22" s="1079"/>
      <c r="R22" s="1077" t="s">
        <v>4366</v>
      </c>
      <c r="S22" s="1075" t="s">
        <v>342</v>
      </c>
    </row>
    <row r="23" spans="1:19" ht="21" customHeight="1">
      <c r="A23" s="338"/>
      <c r="B23" s="1072"/>
      <c r="C23" s="1072"/>
      <c r="D23" s="1072"/>
      <c r="E23" s="1072"/>
      <c r="F23" s="1073"/>
      <c r="G23" s="1073"/>
      <c r="H23" s="1073"/>
      <c r="I23" s="1084">
        <v>0.06</v>
      </c>
      <c r="J23" s="1073"/>
      <c r="K23" s="1079"/>
      <c r="L23" s="1079"/>
      <c r="M23" s="1079"/>
      <c r="N23" s="1079"/>
      <c r="O23" s="1080"/>
      <c r="R23" s="1077" t="s">
        <v>1001</v>
      </c>
      <c r="S23" s="1075" t="s">
        <v>342</v>
      </c>
    </row>
    <row r="24" spans="1:19" ht="21" customHeight="1">
      <c r="A24" s="338"/>
      <c r="B24" s="1072"/>
      <c r="C24" s="1072"/>
      <c r="D24" s="1072"/>
      <c r="E24" s="1072"/>
      <c r="F24" s="1073"/>
      <c r="G24" s="1073"/>
      <c r="H24" s="1073"/>
      <c r="I24" s="1073"/>
      <c r="J24" s="1073"/>
      <c r="K24" s="1079"/>
      <c r="L24" s="1079"/>
      <c r="M24" s="1079"/>
      <c r="N24" s="1079"/>
      <c r="O24" s="1080"/>
      <c r="P24" s="1077"/>
      <c r="Q24" s="1079"/>
      <c r="S24" s="1081"/>
    </row>
    <row r="25" spans="1:19" ht="21" customHeight="1">
      <c r="A25" s="338"/>
      <c r="B25" s="1072"/>
      <c r="C25" s="1072"/>
      <c r="D25" s="1072"/>
      <c r="E25" s="1072"/>
      <c r="F25" s="1073"/>
      <c r="G25" s="1073"/>
      <c r="H25" s="1073"/>
      <c r="I25" s="1073"/>
      <c r="J25" s="1073"/>
      <c r="K25" s="1072"/>
      <c r="L25" s="1072"/>
      <c r="M25" s="1072"/>
      <c r="N25" s="1072"/>
      <c r="O25" s="1760" t="s">
        <v>4367</v>
      </c>
      <c r="P25" s="1760"/>
      <c r="Q25" s="1760"/>
      <c r="R25" s="1078" t="s">
        <v>4368</v>
      </c>
      <c r="S25" s="1075"/>
    </row>
    <row r="26" spans="1:19" ht="21" customHeight="1">
      <c r="A26" s="338"/>
      <c r="B26" s="1072"/>
      <c r="C26" s="1072"/>
      <c r="D26" s="1072"/>
      <c r="E26" s="1072"/>
      <c r="F26" s="1073"/>
      <c r="G26" s="1073"/>
      <c r="H26" s="1073"/>
      <c r="I26" s="1073"/>
      <c r="J26" s="1073"/>
      <c r="K26" s="1079"/>
      <c r="L26" s="1079"/>
      <c r="M26" s="1079"/>
      <c r="N26" s="1079"/>
      <c r="O26" s="1080"/>
      <c r="P26" s="1079"/>
      <c r="Q26" s="1079"/>
      <c r="R26" s="1077" t="s">
        <v>4362</v>
      </c>
      <c r="S26" s="1081"/>
    </row>
    <row r="27" spans="1:19" ht="21" customHeight="1">
      <c r="A27" s="338"/>
      <c r="B27" s="1072"/>
      <c r="C27" s="1072"/>
      <c r="D27" s="1072"/>
      <c r="E27" s="1072"/>
      <c r="F27" s="1073"/>
      <c r="G27" s="1073"/>
      <c r="H27" s="1073"/>
      <c r="I27" s="1073"/>
      <c r="J27" s="1073"/>
      <c r="K27" s="1079"/>
      <c r="L27" s="1079"/>
      <c r="M27" s="1079"/>
      <c r="N27" s="1079"/>
      <c r="O27" s="1080"/>
      <c r="P27" s="1079"/>
      <c r="Q27" s="1079"/>
      <c r="R27" s="1077" t="s">
        <v>4363</v>
      </c>
      <c r="S27" s="1081"/>
    </row>
    <row r="28" spans="1:19" ht="21" customHeight="1">
      <c r="A28" s="338"/>
      <c r="B28" s="1072"/>
      <c r="C28" s="1072"/>
      <c r="D28" s="1072"/>
      <c r="E28" s="1072"/>
      <c r="F28" s="1073"/>
      <c r="G28" s="1073"/>
      <c r="H28" s="1073"/>
      <c r="I28" s="1073"/>
      <c r="J28" s="1073"/>
      <c r="K28" s="1082"/>
      <c r="L28" s="1079"/>
      <c r="M28" s="1079"/>
      <c r="N28" s="1079"/>
      <c r="O28" s="1080"/>
      <c r="P28" s="1079"/>
      <c r="Q28" s="1079"/>
      <c r="R28" s="1077" t="s">
        <v>4364</v>
      </c>
      <c r="S28" s="1075"/>
    </row>
    <row r="29" spans="1:19" ht="21" customHeight="1">
      <c r="A29" s="338"/>
      <c r="B29" s="1072"/>
      <c r="C29" s="1072"/>
      <c r="D29" s="1072"/>
      <c r="E29" s="1072"/>
      <c r="F29" s="1073"/>
      <c r="G29" s="1073"/>
      <c r="H29" s="1073"/>
      <c r="I29" s="1073"/>
      <c r="J29" s="1073"/>
      <c r="K29" s="1082"/>
      <c r="L29" s="1079"/>
      <c r="M29" s="1079"/>
      <c r="N29" s="1079"/>
      <c r="O29" s="1080"/>
      <c r="P29" s="1079"/>
      <c r="Q29" s="1079"/>
      <c r="R29" s="1077" t="s">
        <v>4369</v>
      </c>
      <c r="S29" s="1075"/>
    </row>
    <row r="30" spans="1:19" ht="21" customHeight="1">
      <c r="A30" s="338"/>
      <c r="B30" s="1072"/>
      <c r="C30" s="1072"/>
      <c r="D30" s="1072"/>
      <c r="E30" s="1072"/>
      <c r="G30" s="1083">
        <f>1.48*1.12*1.515</f>
        <v>2.5112640000000002</v>
      </c>
      <c r="H30" s="1073"/>
      <c r="J30" s="1073"/>
      <c r="K30" s="1079"/>
      <c r="Q30" s="1079"/>
      <c r="R30" s="1077" t="s">
        <v>4370</v>
      </c>
      <c r="S30" s="1075" t="s">
        <v>342</v>
      </c>
    </row>
    <row r="31" spans="1:19" ht="21" customHeight="1">
      <c r="A31" s="338"/>
      <c r="B31" s="1072"/>
      <c r="C31" s="1072"/>
      <c r="D31" s="1072"/>
      <c r="E31" s="1072"/>
      <c r="F31" s="1073"/>
      <c r="G31" s="1073"/>
      <c r="H31" s="1073"/>
      <c r="I31" s="1084">
        <v>0.06</v>
      </c>
      <c r="J31" s="1073"/>
      <c r="K31" s="1079"/>
      <c r="L31" s="1079"/>
      <c r="M31" s="1079"/>
      <c r="N31" s="1079"/>
      <c r="O31" s="1080"/>
      <c r="R31" s="1077" t="s">
        <v>1001</v>
      </c>
      <c r="S31" s="1075" t="s">
        <v>342</v>
      </c>
    </row>
    <row r="32" spans="1:19" ht="21" customHeight="1">
      <c r="A32" s="338"/>
      <c r="B32" s="1072"/>
      <c r="C32" s="1072"/>
      <c r="D32" s="1072"/>
      <c r="E32" s="1072"/>
      <c r="F32" s="1073"/>
      <c r="G32" s="1073"/>
      <c r="H32" s="1073"/>
      <c r="I32" s="1084"/>
      <c r="J32" s="1073"/>
      <c r="K32" s="1079"/>
      <c r="L32" s="1079"/>
      <c r="M32" s="1079"/>
      <c r="N32" s="1079"/>
      <c r="O32" s="1080"/>
      <c r="R32" s="1077"/>
      <c r="S32" s="1075"/>
    </row>
    <row r="33" spans="1:19" ht="21" customHeight="1">
      <c r="A33" s="338"/>
      <c r="B33" s="1072"/>
      <c r="C33" s="1072"/>
      <c r="D33" s="1072"/>
      <c r="E33" s="1072"/>
      <c r="F33" s="1073"/>
      <c r="G33" s="1073"/>
      <c r="H33" s="1073"/>
      <c r="I33" s="1073"/>
      <c r="J33" s="1073"/>
      <c r="K33" s="1072"/>
      <c r="L33" s="1072"/>
      <c r="M33" s="1760" t="s">
        <v>4371</v>
      </c>
      <c r="N33" s="1760"/>
      <c r="O33" s="1760"/>
      <c r="P33" s="1760"/>
      <c r="Q33" s="1760"/>
      <c r="R33" s="1078" t="s">
        <v>4372</v>
      </c>
      <c r="S33" s="1075"/>
    </row>
    <row r="34" spans="1:19" ht="21" customHeight="1">
      <c r="A34" s="338"/>
      <c r="B34" s="1072"/>
      <c r="C34" s="1072"/>
      <c r="D34" s="1072"/>
      <c r="E34" s="1072"/>
      <c r="F34" s="1073"/>
      <c r="G34" s="1073"/>
      <c r="H34" s="1073"/>
      <c r="I34" s="1073"/>
      <c r="J34" s="1073"/>
      <c r="K34" s="1079"/>
      <c r="L34" s="1079"/>
      <c r="M34" s="1079"/>
      <c r="N34" s="1079"/>
      <c r="O34" s="1080"/>
      <c r="P34" s="1079"/>
      <c r="Q34" s="1079"/>
      <c r="R34" s="1077" t="s">
        <v>4362</v>
      </c>
      <c r="S34" s="1081"/>
    </row>
    <row r="35" spans="1:19" ht="21" customHeight="1">
      <c r="A35" s="338"/>
      <c r="B35" s="1072"/>
      <c r="C35" s="1072"/>
      <c r="D35" s="1072"/>
      <c r="E35" s="1072"/>
      <c r="F35" s="1073"/>
      <c r="G35" s="1073"/>
      <c r="H35" s="1073"/>
      <c r="I35" s="1073"/>
      <c r="J35" s="1073"/>
      <c r="K35" s="1079"/>
      <c r="L35" s="1079"/>
      <c r="M35" s="1079"/>
      <c r="N35" s="1079"/>
      <c r="O35" s="1080"/>
      <c r="P35" s="1079"/>
      <c r="Q35" s="1079"/>
      <c r="R35" s="1077" t="s">
        <v>4363</v>
      </c>
      <c r="S35" s="1081"/>
    </row>
    <row r="36" spans="1:19" ht="21" customHeight="1">
      <c r="A36" s="338"/>
      <c r="B36" s="1072"/>
      <c r="C36" s="1072"/>
      <c r="D36" s="1072"/>
      <c r="E36" s="1072"/>
      <c r="F36" s="1073"/>
      <c r="G36" s="1073"/>
      <c r="H36" s="1073"/>
      <c r="I36" s="1073"/>
      <c r="J36" s="1073"/>
      <c r="K36" s="1082"/>
      <c r="L36" s="1079"/>
      <c r="M36" s="1079"/>
      <c r="N36" s="1079"/>
      <c r="O36" s="1080"/>
      <c r="P36" s="1079"/>
      <c r="Q36" s="1079"/>
      <c r="R36" s="1077" t="s">
        <v>4364</v>
      </c>
      <c r="S36" s="1075"/>
    </row>
    <row r="37" spans="1:19" ht="21" customHeight="1">
      <c r="A37" s="338"/>
      <c r="B37" s="1072"/>
      <c r="C37" s="1072"/>
      <c r="D37" s="1072"/>
      <c r="E37" s="1072"/>
      <c r="F37" s="1073"/>
      <c r="G37" s="1073"/>
      <c r="H37" s="1073"/>
      <c r="I37" s="1073"/>
      <c r="J37" s="1073"/>
      <c r="K37" s="1082"/>
      <c r="L37" s="1079"/>
      <c r="M37" s="1079"/>
      <c r="N37" s="1079"/>
      <c r="O37" s="1080"/>
      <c r="P37" s="1079"/>
      <c r="Q37" s="1079"/>
      <c r="R37" s="1077" t="s">
        <v>4373</v>
      </c>
      <c r="S37" s="1075"/>
    </row>
    <row r="38" spans="1:19" ht="21" customHeight="1">
      <c r="A38" s="338"/>
      <c r="B38" s="1072"/>
      <c r="C38" s="1072"/>
      <c r="D38" s="1072"/>
      <c r="E38" s="1072"/>
      <c r="G38" s="1083">
        <f>1.48*1.12*1.491</f>
        <v>2.4714816000000006</v>
      </c>
      <c r="H38" s="1073"/>
      <c r="J38" s="1073"/>
      <c r="K38" s="1079"/>
      <c r="Q38" s="1079"/>
      <c r="R38" s="1077" t="s">
        <v>4374</v>
      </c>
      <c r="S38" s="1075" t="s">
        <v>342</v>
      </c>
    </row>
    <row r="39" spans="1:19" ht="21" customHeight="1">
      <c r="A39" s="338"/>
      <c r="B39" s="1072"/>
      <c r="C39" s="1072"/>
      <c r="D39" s="1072"/>
      <c r="E39" s="1072"/>
      <c r="F39" s="1073"/>
      <c r="G39" s="1073"/>
      <c r="H39" s="1073"/>
      <c r="I39" s="1084">
        <v>0.06</v>
      </c>
      <c r="J39" s="1073"/>
      <c r="K39" s="1079"/>
      <c r="L39" s="1079"/>
      <c r="M39" s="1079"/>
      <c r="N39" s="1079"/>
      <c r="O39" s="1080"/>
      <c r="R39" s="1077" t="s">
        <v>1001</v>
      </c>
      <c r="S39" s="1075" t="s">
        <v>342</v>
      </c>
    </row>
    <row r="40" spans="1:19" ht="21" customHeight="1">
      <c r="A40" s="338"/>
      <c r="B40" s="1072"/>
      <c r="C40" s="1072"/>
      <c r="D40" s="1072"/>
      <c r="E40" s="1072"/>
      <c r="F40" s="1073"/>
      <c r="G40" s="1073"/>
      <c r="H40" s="1073"/>
      <c r="I40" s="1084"/>
      <c r="J40" s="1073"/>
      <c r="K40" s="1079"/>
      <c r="L40" s="1079"/>
      <c r="M40" s="1079"/>
      <c r="N40" s="1079"/>
      <c r="O40" s="1080"/>
      <c r="R40" s="1077"/>
      <c r="S40" s="1075"/>
    </row>
    <row r="41" spans="1:19" ht="21" customHeight="1">
      <c r="A41" s="338"/>
      <c r="B41" s="1072"/>
      <c r="C41" s="1072"/>
      <c r="D41" s="1072"/>
      <c r="E41" s="1072"/>
      <c r="F41" s="1073"/>
      <c r="G41" s="1073"/>
      <c r="H41" s="1073"/>
      <c r="I41" s="1073"/>
      <c r="J41" s="1073"/>
      <c r="K41" s="1072"/>
      <c r="L41" s="1072"/>
      <c r="M41" s="1072"/>
      <c r="N41" s="1072"/>
      <c r="O41" s="1072"/>
      <c r="P41" s="1072"/>
      <c r="Q41" s="1072"/>
      <c r="R41" s="1077" t="s">
        <v>4375</v>
      </c>
      <c r="S41" s="1075">
        <v>-5</v>
      </c>
    </row>
    <row r="42" spans="1:19" ht="21" customHeight="1">
      <c r="A42" s="338"/>
      <c r="B42" s="1072"/>
      <c r="C42" s="1072"/>
      <c r="D42" s="1072"/>
      <c r="E42" s="1072"/>
      <c r="F42" s="1073"/>
      <c r="G42" s="1073"/>
      <c r="H42" s="1073"/>
      <c r="I42" s="1073"/>
      <c r="J42" s="1073"/>
      <c r="K42" s="1072"/>
      <c r="L42" s="1072"/>
      <c r="M42" s="1072"/>
      <c r="N42" s="1072"/>
      <c r="O42" s="1760"/>
      <c r="P42" s="1760"/>
      <c r="Q42" s="1760"/>
      <c r="R42" s="1078"/>
      <c r="S42" s="1075"/>
    </row>
    <row r="43" spans="1:19" ht="21" customHeight="1">
      <c r="A43" s="338"/>
      <c r="B43" s="1072"/>
      <c r="C43" s="1072"/>
      <c r="D43" s="1072"/>
      <c r="E43" s="1072"/>
      <c r="F43" s="1073"/>
      <c r="G43" s="1073"/>
      <c r="H43" s="1073"/>
      <c r="I43" s="1073"/>
      <c r="J43" s="1073"/>
      <c r="K43" s="1079"/>
      <c r="L43" s="1079"/>
      <c r="M43" s="1079"/>
      <c r="N43" s="1079"/>
      <c r="O43" s="1080"/>
      <c r="P43" s="1079"/>
      <c r="Q43" s="1079"/>
      <c r="R43" s="1077" t="s">
        <v>4362</v>
      </c>
      <c r="S43" s="1081"/>
    </row>
    <row r="44" spans="1:19" ht="21" customHeight="1">
      <c r="A44" s="338"/>
      <c r="B44" s="1072"/>
      <c r="C44" s="1072"/>
      <c r="D44" s="1072"/>
      <c r="E44" s="1072"/>
      <c r="F44" s="1073"/>
      <c r="G44" s="1073"/>
      <c r="H44" s="1073"/>
      <c r="I44" s="1073"/>
      <c r="J44" s="1073"/>
      <c r="K44" s="1079"/>
      <c r="L44" s="1079"/>
      <c r="M44" s="1079"/>
      <c r="N44" s="1079"/>
      <c r="O44" s="1080"/>
      <c r="P44" s="1079"/>
      <c r="Q44" s="1079"/>
      <c r="R44" s="1077" t="s">
        <v>4363</v>
      </c>
      <c r="S44" s="1081"/>
    </row>
    <row r="45" spans="1:19" ht="21" customHeight="1">
      <c r="A45" s="338"/>
      <c r="B45" s="1072"/>
      <c r="C45" s="1072"/>
      <c r="D45" s="1072"/>
      <c r="E45" s="1072"/>
      <c r="F45" s="1073"/>
      <c r="G45" s="1073"/>
      <c r="H45" s="1073"/>
      <c r="I45" s="1073"/>
      <c r="J45" s="1073"/>
      <c r="K45" s="1082"/>
      <c r="L45" s="1079"/>
      <c r="M45" s="1079"/>
      <c r="N45" s="1079"/>
      <c r="O45" s="1080"/>
      <c r="P45" s="1079"/>
      <c r="Q45" s="1079"/>
      <c r="R45" s="1077" t="s">
        <v>4376</v>
      </c>
      <c r="S45" s="1075"/>
    </row>
    <row r="46" spans="1:19" ht="21" customHeight="1">
      <c r="A46" s="338"/>
      <c r="B46" s="1072"/>
      <c r="C46" s="1072"/>
      <c r="D46" s="1072"/>
      <c r="E46" s="1072"/>
      <c r="F46" s="1073"/>
      <c r="G46" s="1073"/>
      <c r="H46" s="1073"/>
      <c r="I46" s="1073"/>
      <c r="J46" s="1073"/>
      <c r="K46" s="1082"/>
      <c r="L46" s="1079"/>
      <c r="M46" s="1079"/>
      <c r="N46" s="1079"/>
      <c r="O46" s="1080"/>
      <c r="P46" s="1079"/>
      <c r="Q46" s="1079"/>
      <c r="R46" s="1077" t="s">
        <v>4377</v>
      </c>
      <c r="S46" s="1075"/>
    </row>
    <row r="47" spans="1:19" ht="21" customHeight="1">
      <c r="A47" s="338"/>
      <c r="B47" s="1072"/>
      <c r="C47" s="1072"/>
      <c r="D47" s="1072"/>
      <c r="E47" s="1072"/>
      <c r="G47" s="1083">
        <f>1.48*1.11*1.469</f>
        <v>2.4132732000000003</v>
      </c>
      <c r="H47" s="1073"/>
      <c r="J47" s="1073"/>
      <c r="K47" s="1079"/>
      <c r="Q47" s="1079"/>
      <c r="R47" s="1077" t="s">
        <v>4378</v>
      </c>
      <c r="S47" s="1075" t="s">
        <v>342</v>
      </c>
    </row>
    <row r="48" spans="1:19" ht="21" customHeight="1">
      <c r="A48" s="338"/>
      <c r="B48" s="1072"/>
      <c r="C48" s="1072"/>
      <c r="D48" s="1072"/>
      <c r="E48" s="1072"/>
      <c r="F48" s="1073"/>
      <c r="G48" s="1073"/>
      <c r="H48" s="1073"/>
      <c r="I48" s="1084">
        <v>0.06</v>
      </c>
      <c r="J48" s="1073"/>
      <c r="K48" s="1079"/>
      <c r="L48" s="1079"/>
      <c r="M48" s="1079"/>
      <c r="N48" s="1079"/>
      <c r="O48" s="1080"/>
      <c r="R48" s="1077" t="s">
        <v>1001</v>
      </c>
      <c r="S48" s="1075" t="s">
        <v>342</v>
      </c>
    </row>
    <row r="49" spans="1:19" ht="21" customHeight="1">
      <c r="A49" s="338"/>
      <c r="B49" s="1072"/>
      <c r="C49" s="1072"/>
      <c r="D49" s="1072"/>
      <c r="E49" s="1072"/>
      <c r="F49" s="1073"/>
      <c r="G49" s="1073"/>
      <c r="H49" s="1073"/>
      <c r="I49" s="1084"/>
      <c r="J49" s="1073"/>
      <c r="K49" s="1079"/>
      <c r="L49" s="1079"/>
      <c r="M49" s="1079"/>
      <c r="N49" s="1079"/>
      <c r="O49" s="1080"/>
      <c r="R49" s="1077"/>
      <c r="S49" s="1075"/>
    </row>
    <row r="50" spans="1:19" ht="21" customHeight="1">
      <c r="A50" s="338"/>
      <c r="B50" s="1072"/>
      <c r="C50" s="1072"/>
      <c r="D50" s="1072"/>
      <c r="E50" s="1072"/>
      <c r="F50" s="1073"/>
      <c r="G50" s="1073"/>
      <c r="H50" s="1073"/>
      <c r="I50" s="1084"/>
      <c r="J50" s="1073"/>
      <c r="K50" s="1079"/>
      <c r="L50" s="1079"/>
      <c r="M50" s="1079"/>
      <c r="N50" s="1079"/>
      <c r="O50" s="1080"/>
      <c r="R50" s="1077"/>
      <c r="S50" s="1075"/>
    </row>
    <row r="51" spans="1:19" ht="21" customHeight="1">
      <c r="A51" s="338"/>
      <c r="B51" s="1072"/>
      <c r="C51" s="1072"/>
      <c r="D51" s="1072"/>
      <c r="E51" s="1072"/>
      <c r="F51" s="1073"/>
      <c r="G51" s="1073"/>
      <c r="H51" s="1073"/>
      <c r="I51" s="1073"/>
      <c r="J51" s="1073"/>
      <c r="K51" s="1072"/>
      <c r="L51" s="1072"/>
      <c r="M51" s="1072"/>
      <c r="N51" s="1072"/>
      <c r="O51" s="1072"/>
      <c r="P51" s="1072"/>
      <c r="Q51" s="1072"/>
      <c r="R51" s="1077" t="s">
        <v>1002</v>
      </c>
      <c r="S51" s="1075">
        <v>-5</v>
      </c>
    </row>
    <row r="52" spans="1:19" ht="21" customHeight="1">
      <c r="A52" s="338"/>
      <c r="B52" s="1072"/>
      <c r="C52" s="1072"/>
      <c r="D52" s="1072"/>
      <c r="E52" s="1072"/>
      <c r="F52" s="1073"/>
      <c r="G52" s="1073"/>
      <c r="H52" s="1073"/>
      <c r="I52" s="1073"/>
      <c r="J52" s="1073"/>
      <c r="K52" s="1082">
        <v>1.41</v>
      </c>
      <c r="L52" s="1079"/>
      <c r="M52" s="1079"/>
      <c r="N52" s="1079"/>
      <c r="O52" s="1080"/>
      <c r="P52" s="1079"/>
      <c r="Q52" s="1079"/>
      <c r="R52" s="1077" t="s">
        <v>1003</v>
      </c>
      <c r="S52" s="1075"/>
    </row>
    <row r="53" spans="1:19" ht="21" customHeight="1">
      <c r="A53" s="338"/>
      <c r="B53" s="1072"/>
      <c r="C53" s="1072"/>
      <c r="D53" s="1072"/>
      <c r="E53" s="1072"/>
      <c r="F53" s="1073"/>
      <c r="G53" s="1073"/>
      <c r="H53" s="1073"/>
      <c r="I53" s="1073"/>
      <c r="J53" s="1073"/>
      <c r="K53" s="1082"/>
      <c r="L53" s="1079"/>
      <c r="M53" s="1079"/>
      <c r="N53" s="1079"/>
      <c r="O53" s="1080"/>
      <c r="P53" s="1079"/>
      <c r="Q53" s="1079"/>
      <c r="R53" s="1077" t="s">
        <v>4379</v>
      </c>
      <c r="S53" s="1075" t="s">
        <v>342</v>
      </c>
    </row>
    <row r="54" spans="1:19" ht="21" customHeight="1">
      <c r="A54" s="338"/>
      <c r="B54" s="1072"/>
      <c r="C54" s="1072"/>
      <c r="D54" s="1072"/>
      <c r="E54" s="1072"/>
      <c r="F54" s="1073"/>
      <c r="G54" s="1073"/>
      <c r="H54" s="1073"/>
      <c r="I54" s="1073"/>
      <c r="J54" s="1073"/>
      <c r="K54" s="1082"/>
      <c r="L54" s="1079"/>
      <c r="M54" s="1079"/>
      <c r="N54" s="1079"/>
      <c r="O54" s="1080"/>
      <c r="P54" s="1079"/>
      <c r="Q54" s="1079"/>
      <c r="R54" s="1077" t="s">
        <v>4380</v>
      </c>
      <c r="S54" s="1075" t="s">
        <v>342</v>
      </c>
    </row>
    <row r="55" spans="1:19" ht="21" customHeight="1">
      <c r="A55" s="338"/>
      <c r="B55" s="1072"/>
      <c r="C55" s="1072"/>
      <c r="D55" s="1072"/>
      <c r="E55" s="1072"/>
      <c r="F55" s="1073"/>
      <c r="G55" s="1085">
        <f>1.41*1*1.09</f>
        <v>1.5368999999999999</v>
      </c>
      <c r="H55" s="1073"/>
      <c r="J55" s="1073"/>
      <c r="K55" s="1079"/>
      <c r="Q55" s="1079"/>
      <c r="R55" s="1077" t="s">
        <v>4381</v>
      </c>
      <c r="S55" s="1075" t="s">
        <v>342</v>
      </c>
    </row>
    <row r="56" spans="1:19" ht="21" customHeight="1">
      <c r="A56" s="338"/>
      <c r="B56" s="1072"/>
      <c r="C56" s="1086"/>
      <c r="D56" s="1086"/>
      <c r="E56" s="1086"/>
      <c r="F56" s="1086"/>
      <c r="G56" s="1086"/>
      <c r="H56" s="1086"/>
      <c r="I56" s="1086"/>
      <c r="J56" s="1086"/>
      <c r="K56" s="1086"/>
      <c r="L56" s="1086"/>
      <c r="M56" s="1086"/>
      <c r="N56" s="1086"/>
      <c r="O56" s="1086"/>
      <c r="P56" s="1086"/>
      <c r="Q56" s="1086"/>
      <c r="R56" s="1086"/>
      <c r="S56" s="1087"/>
    </row>
    <row r="57" spans="1:19" ht="21" customHeight="1">
      <c r="A57" s="338"/>
      <c r="B57" s="1072"/>
      <c r="C57" s="1086"/>
      <c r="D57" s="1086"/>
      <c r="E57" s="1086"/>
      <c r="F57" s="1086"/>
      <c r="G57" s="1086"/>
      <c r="H57" s="1086"/>
      <c r="I57" s="1086"/>
      <c r="J57" s="1086"/>
      <c r="K57" s="1086"/>
      <c r="L57" s="1086"/>
      <c r="M57" s="1086"/>
      <c r="N57" s="1086"/>
      <c r="O57" s="1086"/>
      <c r="P57" s="1086"/>
      <c r="Q57" s="1086"/>
      <c r="R57" s="1088" t="s">
        <v>4382</v>
      </c>
      <c r="S57" s="1075">
        <v>-6</v>
      </c>
    </row>
    <row r="58" spans="1:19" ht="21" customHeight="1">
      <c r="A58" s="338"/>
      <c r="B58" s="1073"/>
      <c r="C58" s="1086"/>
      <c r="D58" s="1086"/>
      <c r="E58" s="1086"/>
      <c r="F58" s="1086"/>
      <c r="G58" s="1086"/>
      <c r="H58" s="1086"/>
      <c r="I58" s="1086"/>
      <c r="J58" s="1086"/>
      <c r="K58" s="1086"/>
      <c r="L58" s="1086"/>
      <c r="M58" s="1086"/>
      <c r="N58" s="1086"/>
      <c r="O58" s="1086"/>
      <c r="P58" s="1086"/>
      <c r="Q58" s="1086"/>
      <c r="R58" s="1088" t="s">
        <v>4383</v>
      </c>
      <c r="S58" s="1089"/>
    </row>
    <row r="59" spans="1:19" ht="21" customHeight="1">
      <c r="A59" s="338"/>
      <c r="B59" s="1073"/>
      <c r="C59" s="1086"/>
      <c r="D59" s="1086"/>
      <c r="E59" s="1086"/>
      <c r="F59" s="1086"/>
      <c r="G59" s="1086"/>
      <c r="H59" s="1086"/>
      <c r="I59" s="1086"/>
      <c r="J59" s="1086"/>
      <c r="K59" s="1086"/>
      <c r="L59" s="1086"/>
      <c r="M59" s="1086"/>
      <c r="N59" s="1086"/>
      <c r="O59" s="1086"/>
      <c r="P59" s="1086"/>
      <c r="Q59" s="1086"/>
      <c r="R59" s="1088" t="s">
        <v>4384</v>
      </c>
      <c r="S59" s="1089"/>
    </row>
    <row r="60" spans="1:19" ht="21" customHeight="1">
      <c r="A60" s="338"/>
      <c r="B60" s="1049"/>
      <c r="C60" s="1086"/>
      <c r="D60" s="1086"/>
      <c r="E60" s="1086"/>
      <c r="F60" s="1086"/>
      <c r="G60" s="1086"/>
      <c r="H60" s="1086"/>
      <c r="I60" s="1086"/>
      <c r="J60" s="1086"/>
      <c r="K60" s="1086"/>
      <c r="L60" s="1086"/>
      <c r="M60" s="1086"/>
      <c r="N60" s="1086"/>
      <c r="O60" s="1086"/>
      <c r="P60" s="1086"/>
      <c r="Q60" s="1086"/>
      <c r="R60" s="1086"/>
      <c r="S60" s="1089"/>
    </row>
    <row r="61" spans="1:19" ht="21" customHeight="1">
      <c r="A61" s="338"/>
      <c r="B61" s="1049"/>
      <c r="C61" s="1049"/>
      <c r="D61" s="1049"/>
      <c r="E61" s="1049"/>
      <c r="F61" s="1049"/>
      <c r="S61" s="1089"/>
    </row>
    <row r="62" spans="1:19" ht="21" customHeight="1">
      <c r="A62" s="338"/>
      <c r="B62" s="1049"/>
      <c r="C62" s="1049"/>
      <c r="D62" s="1049"/>
      <c r="E62" s="1049"/>
      <c r="F62" s="1049"/>
      <c r="G62" s="1049"/>
      <c r="P62" s="1049"/>
      <c r="Q62" s="1049"/>
      <c r="R62" s="1049"/>
      <c r="S62" s="1089"/>
    </row>
    <row r="63" spans="1:19" ht="21" customHeight="1">
      <c r="A63" s="338"/>
      <c r="B63" s="1072"/>
      <c r="C63" s="1072"/>
      <c r="D63" s="1072"/>
      <c r="E63" s="1072"/>
      <c r="F63" s="1073"/>
      <c r="G63" s="1073"/>
      <c r="H63" s="1073"/>
      <c r="I63" s="1073"/>
      <c r="J63" s="1073"/>
      <c r="K63" s="1072"/>
      <c r="L63" s="1072"/>
      <c r="M63" s="1072"/>
      <c r="N63" s="1072"/>
      <c r="O63" s="1072"/>
      <c r="P63" s="1072"/>
      <c r="Q63" s="1072"/>
      <c r="R63" s="1077" t="s">
        <v>4385</v>
      </c>
      <c r="S63" s="1075" t="s">
        <v>4386</v>
      </c>
    </row>
    <row r="64" spans="1:19" ht="21" customHeight="1">
      <c r="A64" s="338"/>
      <c r="B64" s="1072"/>
      <c r="C64" s="1072"/>
      <c r="D64" s="1072"/>
      <c r="E64" s="1072"/>
      <c r="F64" s="1073"/>
      <c r="G64" s="1073"/>
      <c r="H64" s="1073"/>
      <c r="I64" s="1073"/>
      <c r="J64" s="1073"/>
      <c r="K64" s="1082">
        <v>1.41</v>
      </c>
      <c r="L64" s="1079"/>
      <c r="M64" s="1079"/>
      <c r="N64" s="1079"/>
      <c r="O64" s="1080"/>
      <c r="P64" s="1079"/>
      <c r="Q64" s="1079"/>
      <c r="R64" s="1077" t="s">
        <v>1003</v>
      </c>
      <c r="S64" s="1075"/>
    </row>
    <row r="65" spans="1:19" ht="21" customHeight="1">
      <c r="A65" s="338"/>
      <c r="B65" s="1072"/>
      <c r="C65" s="1072"/>
      <c r="D65" s="1072"/>
      <c r="E65" s="1072"/>
      <c r="F65" s="1073"/>
      <c r="G65" s="1073"/>
      <c r="H65" s="1073"/>
      <c r="I65" s="1073"/>
      <c r="J65" s="1073"/>
      <c r="K65" s="1082"/>
      <c r="L65" s="1079"/>
      <c r="M65" s="1079"/>
      <c r="N65" s="1079"/>
      <c r="O65" s="1080"/>
      <c r="P65" s="1079"/>
      <c r="Q65" s="1079"/>
      <c r="R65" s="1077" t="s">
        <v>4364</v>
      </c>
      <c r="S65" s="1075"/>
    </row>
    <row r="66" spans="1:19" ht="21" customHeight="1">
      <c r="A66" s="338"/>
      <c r="B66" s="1072"/>
      <c r="C66" s="1072"/>
      <c r="D66" s="1072"/>
      <c r="E66" s="1072"/>
      <c r="F66" s="1073"/>
      <c r="G66" s="1073"/>
      <c r="H66" s="1073"/>
      <c r="I66" s="1073"/>
      <c r="J66" s="1073"/>
      <c r="K66" s="1082"/>
      <c r="L66" s="1079"/>
      <c r="M66" s="1079"/>
      <c r="N66" s="1079"/>
      <c r="O66" s="1080"/>
      <c r="P66" s="1079"/>
      <c r="Q66" s="1079"/>
      <c r="R66" s="1077" t="s">
        <v>4380</v>
      </c>
      <c r="S66" s="1075"/>
    </row>
    <row r="67" spans="1:19" ht="21" customHeight="1">
      <c r="A67" s="338"/>
      <c r="B67" s="1049"/>
      <c r="C67" s="1049"/>
      <c r="D67" s="1049"/>
      <c r="E67" s="1049"/>
      <c r="F67" s="1049"/>
      <c r="G67" s="1085">
        <f>1.41*1*1.12</f>
        <v>1.5792000000000002</v>
      </c>
      <c r="H67" s="1073"/>
      <c r="J67" s="1073"/>
      <c r="K67" s="1079"/>
      <c r="Q67" s="1079"/>
      <c r="R67" s="1077" t="s">
        <v>4387</v>
      </c>
      <c r="S67" s="1075" t="s">
        <v>342</v>
      </c>
    </row>
    <row r="68" spans="1:19" ht="21" customHeight="1">
      <c r="A68" s="338"/>
      <c r="B68" s="1090"/>
      <c r="C68" s="1090"/>
      <c r="D68" s="1090"/>
      <c r="E68" s="1090"/>
      <c r="F68" s="1090"/>
      <c r="G68" s="1090"/>
      <c r="P68" s="1090"/>
      <c r="Q68" s="1090"/>
      <c r="S68" s="339"/>
    </row>
    <row r="69" spans="1:19" ht="21" customHeight="1">
      <c r="A69" s="338"/>
      <c r="S69" s="339"/>
    </row>
    <row r="70" spans="1:19" ht="21" customHeight="1">
      <c r="A70" s="338"/>
      <c r="Q70" s="337" t="s">
        <v>4388</v>
      </c>
      <c r="R70" s="1091" t="s">
        <v>545</v>
      </c>
      <c r="S70" s="339"/>
    </row>
    <row r="71" spans="1:19" ht="21" customHeight="1">
      <c r="A71" s="338"/>
      <c r="L71" s="1082">
        <v>1.06</v>
      </c>
      <c r="N71" s="1758" t="s">
        <v>4389</v>
      </c>
      <c r="O71" s="1758"/>
      <c r="P71" s="1758"/>
      <c r="Q71" s="1758"/>
      <c r="S71" s="339"/>
    </row>
    <row r="72" spans="1:19" ht="21" customHeight="1">
      <c r="A72" s="338"/>
      <c r="B72" s="1090"/>
      <c r="C72" s="1090"/>
      <c r="D72" s="1090"/>
      <c r="E72" s="1090"/>
      <c r="F72" s="1090"/>
      <c r="G72" s="1090"/>
      <c r="H72" s="1090"/>
      <c r="I72" s="1090"/>
      <c r="J72" s="1090"/>
      <c r="K72" s="1090"/>
      <c r="L72" s="1092">
        <v>1.0620000000000001</v>
      </c>
      <c r="M72" s="1093"/>
      <c r="N72" s="1758" t="s">
        <v>4390</v>
      </c>
      <c r="O72" s="1758"/>
      <c r="P72" s="1758"/>
      <c r="Q72" s="1758"/>
      <c r="S72" s="339"/>
    </row>
    <row r="73" spans="1:19" ht="21" customHeight="1">
      <c r="A73" s="338"/>
      <c r="B73" s="1049"/>
      <c r="C73" s="1049"/>
      <c r="D73" s="1049"/>
      <c r="E73" s="1049"/>
      <c r="F73" s="1049"/>
      <c r="H73" s="1049"/>
      <c r="I73" s="1049"/>
      <c r="J73" s="1049"/>
      <c r="K73" s="1049"/>
      <c r="L73" s="1092">
        <v>1.0609999999999999</v>
      </c>
      <c r="M73" s="1049"/>
      <c r="N73" s="1758" t="s">
        <v>4391</v>
      </c>
      <c r="O73" s="1758"/>
      <c r="P73" s="1758"/>
      <c r="Q73" s="1758"/>
      <c r="R73" s="1049"/>
      <c r="S73" s="339"/>
    </row>
    <row r="74" spans="1:19" ht="21" customHeight="1">
      <c r="A74" s="338"/>
      <c r="B74" s="1049"/>
      <c r="C74" s="1049"/>
      <c r="D74" s="1049"/>
      <c r="E74" s="1049"/>
      <c r="F74" s="1049"/>
      <c r="H74" s="1049"/>
      <c r="I74" s="1049"/>
      <c r="J74" s="1049"/>
      <c r="L74" s="1092">
        <v>1.0609999999999999</v>
      </c>
      <c r="M74" s="337" t="s">
        <v>4392</v>
      </c>
      <c r="N74" s="1758" t="s">
        <v>4393</v>
      </c>
      <c r="O74" s="1758"/>
      <c r="P74" s="1758"/>
      <c r="Q74" s="1758"/>
      <c r="S74" s="339"/>
    </row>
    <row r="75" spans="1:19" ht="21" customHeight="1">
      <c r="A75" s="1061"/>
      <c r="B75" s="1062"/>
      <c r="C75" s="1062"/>
      <c r="D75" s="1063"/>
      <c r="E75" s="618"/>
      <c r="F75" s="618"/>
      <c r="H75" s="618"/>
      <c r="I75" s="618"/>
      <c r="J75" s="618"/>
      <c r="L75" s="1092">
        <v>1.06</v>
      </c>
      <c r="M75" s="337" t="s">
        <v>4360</v>
      </c>
      <c r="Q75" s="1094"/>
      <c r="S75" s="342"/>
    </row>
    <row r="76" spans="1:19" ht="21" customHeight="1">
      <c r="A76" s="1061"/>
      <c r="B76" s="1062"/>
      <c r="C76" s="1062"/>
      <c r="D76" s="1063"/>
      <c r="E76" s="618"/>
      <c r="F76" s="618"/>
      <c r="H76" s="618"/>
      <c r="I76" s="618"/>
      <c r="J76" s="618"/>
      <c r="L76" s="1092">
        <v>1.0580000000000001</v>
      </c>
      <c r="M76" s="337" t="s">
        <v>4394</v>
      </c>
      <c r="Q76" s="1094"/>
      <c r="S76" s="342"/>
    </row>
    <row r="77" spans="1:19" ht="21" customHeight="1">
      <c r="A77" s="1061"/>
      <c r="B77" s="1062"/>
      <c r="C77" s="1062"/>
      <c r="D77" s="1063"/>
      <c r="E77" s="618"/>
      <c r="F77" s="618"/>
      <c r="H77" s="618"/>
      <c r="I77" s="618"/>
      <c r="J77" s="618"/>
      <c r="S77" s="342"/>
    </row>
    <row r="78" spans="1:19" ht="21" customHeight="1">
      <c r="A78" s="1061"/>
      <c r="B78" s="1062"/>
      <c r="C78" s="1062"/>
      <c r="D78" s="1063"/>
      <c r="E78" s="618"/>
      <c r="F78" s="618"/>
      <c r="G78" s="618"/>
      <c r="H78" s="618"/>
      <c r="I78" s="618"/>
      <c r="J78" s="618"/>
      <c r="S78" s="342"/>
    </row>
    <row r="79" spans="1:19" ht="21" customHeight="1">
      <c r="A79" s="1061"/>
      <c r="B79" s="1062"/>
      <c r="C79" s="1062"/>
      <c r="D79" s="1063"/>
      <c r="E79" s="618"/>
      <c r="F79" s="618"/>
      <c r="G79" s="618"/>
      <c r="H79" s="618"/>
      <c r="I79" s="618"/>
      <c r="J79" s="618"/>
      <c r="K79" s="618"/>
      <c r="L79" s="618"/>
      <c r="M79" s="618"/>
      <c r="N79" s="618"/>
      <c r="O79" s="1064"/>
      <c r="P79" s="618"/>
      <c r="Q79" s="618"/>
      <c r="R79" s="618"/>
      <c r="S79" s="342"/>
    </row>
    <row r="80" spans="1:19" ht="21" customHeight="1">
      <c r="A80" s="1095"/>
      <c r="B80" s="1096"/>
      <c r="C80" s="1096"/>
      <c r="D80" s="1097"/>
      <c r="E80" s="1097"/>
      <c r="F80" s="1097"/>
      <c r="G80" s="1097"/>
      <c r="H80" s="1097"/>
      <c r="I80" s="1097"/>
      <c r="J80" s="1097"/>
      <c r="K80" s="1097"/>
      <c r="L80" s="1097"/>
      <c r="M80" s="1097"/>
      <c r="N80" s="1097"/>
      <c r="O80" s="1097"/>
      <c r="P80" s="1097"/>
      <c r="Q80" s="1097"/>
      <c r="R80" s="1096"/>
      <c r="S80" s="1098"/>
    </row>
    <row r="81" spans="1:19" ht="21" customHeight="1" thickBot="1">
      <c r="A81" s="343"/>
      <c r="B81" s="344"/>
      <c r="C81" s="344"/>
      <c r="D81" s="345"/>
      <c r="E81" s="345"/>
      <c r="F81" s="345"/>
      <c r="G81" s="345"/>
      <c r="H81" s="345"/>
      <c r="I81" s="345"/>
      <c r="J81" s="345"/>
      <c r="K81" s="345"/>
      <c r="L81" s="345"/>
      <c r="M81" s="345"/>
      <c r="N81" s="345"/>
      <c r="O81" s="345"/>
      <c r="P81" s="345"/>
      <c r="Q81" s="345"/>
      <c r="R81" s="344"/>
      <c r="S81" s="346"/>
    </row>
    <row r="82" spans="1:19">
      <c r="A82" s="1048"/>
      <c r="B82" s="1048"/>
      <c r="C82" s="1048"/>
      <c r="D82" s="1048"/>
      <c r="E82" s="1048"/>
      <c r="F82" s="1048"/>
      <c r="G82" s="1048"/>
      <c r="H82" s="1048"/>
      <c r="I82" s="1048"/>
      <c r="J82" s="1048"/>
    </row>
  </sheetData>
  <mergeCells count="10">
    <mergeCell ref="N73:Q73"/>
    <mergeCell ref="N74:Q74"/>
    <mergeCell ref="B8:R11"/>
    <mergeCell ref="B13:R14"/>
    <mergeCell ref="O17:Q17"/>
    <mergeCell ref="O25:Q25"/>
    <mergeCell ref="M33:Q33"/>
    <mergeCell ref="O42:Q42"/>
    <mergeCell ref="N71:Q71"/>
    <mergeCell ref="N72:Q72"/>
  </mergeCells>
  <printOptions horizontalCentered="1"/>
  <pageMargins left="0.31496062992125984" right="0.31496062992125984" top="0.15748031496062992" bottom="0.15748031496062992" header="0.31496062992125984" footer="0.31496062992125984"/>
  <pageSetup scale="38"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Q32"/>
  <sheetViews>
    <sheetView tabSelected="1" view="pageBreakPreview" zoomScale="80" zoomScaleNormal="100" zoomScaleSheetLayoutView="80" workbookViewId="0">
      <selection activeCell="A2" sqref="A2"/>
    </sheetView>
  </sheetViews>
  <sheetFormatPr defaultColWidth="9.140625" defaultRowHeight="15"/>
  <cols>
    <col min="1" max="2" width="25.42578125" style="422" customWidth="1"/>
    <col min="3" max="4" width="14.7109375" style="547" customWidth="1"/>
    <col min="5" max="5" width="14.7109375" style="1136" customWidth="1"/>
    <col min="6" max="6" width="14.7109375" style="547" customWidth="1"/>
    <col min="7" max="7" width="31" style="547" customWidth="1"/>
    <col min="8" max="8" width="18.140625" style="422" customWidth="1"/>
    <col min="9" max="9" width="19.85546875" style="1137" customWidth="1"/>
    <col min="10" max="16384" width="9.140625" style="422"/>
  </cols>
  <sheetData>
    <row r="1" spans="1:17" s="423" customFormat="1" ht="16.5" thickBot="1">
      <c r="A1" s="1763" t="s">
        <v>4343</v>
      </c>
      <c r="B1" s="1764"/>
      <c r="C1" s="1764"/>
      <c r="D1" s="1764"/>
      <c r="E1" s="1764"/>
      <c r="F1" s="1764"/>
      <c r="G1" s="1764"/>
      <c r="H1" s="1764"/>
      <c r="I1" s="1765"/>
    </row>
    <row r="2" spans="1:17" ht="63" customHeight="1">
      <c r="A2" s="2372" t="s">
        <v>1043</v>
      </c>
      <c r="B2" s="1111" t="s">
        <v>4402</v>
      </c>
      <c r="C2" s="1112" t="s">
        <v>1044</v>
      </c>
      <c r="D2" s="1113" t="s">
        <v>1045</v>
      </c>
      <c r="E2" s="1113" t="s">
        <v>4403</v>
      </c>
      <c r="F2" s="1112" t="s">
        <v>1046</v>
      </c>
      <c r="G2" s="2370" t="s">
        <v>1047</v>
      </c>
      <c r="H2" s="2371"/>
      <c r="I2" s="1114" t="s">
        <v>28</v>
      </c>
    </row>
    <row r="3" spans="1:17" ht="29.25" customHeight="1">
      <c r="A3" s="1115"/>
      <c r="B3" s="1116"/>
      <c r="C3" s="1117"/>
      <c r="D3" s="1117"/>
      <c r="E3" s="1041"/>
      <c r="F3" s="1117" t="s">
        <v>1048</v>
      </c>
      <c r="G3" s="1761" t="s">
        <v>1049</v>
      </c>
      <c r="H3" s="1762"/>
      <c r="I3" s="1118" t="s">
        <v>1048</v>
      </c>
      <c r="K3" s="462">
        <f>ROUND(L4*L5*L6*L7,3)</f>
        <v>1.5369999999999999</v>
      </c>
      <c r="L3" s="423"/>
    </row>
    <row r="4" spans="1:17" ht="29.25" customHeight="1">
      <c r="A4" s="1119">
        <f>C4*D4</f>
        <v>26335376064</v>
      </c>
      <c r="B4" s="1120">
        <f>ROUND(C4*E4,0)</f>
        <v>17134272000</v>
      </c>
      <c r="C4" s="1041">
        <f>'C.Foundation-1'!I36</f>
        <v>9664</v>
      </c>
      <c r="D4" s="1041">
        <f>E4*$K$3</f>
        <v>2725101</v>
      </c>
      <c r="E4" s="1121">
        <v>1773000</v>
      </c>
      <c r="F4" s="1122" t="s">
        <v>1051</v>
      </c>
      <c r="G4" s="1766" t="s">
        <v>4404</v>
      </c>
      <c r="H4" s="1767"/>
      <c r="I4" s="1123">
        <v>30504</v>
      </c>
      <c r="K4" s="423" t="s">
        <v>4405</v>
      </c>
      <c r="L4" s="479">
        <v>1.0900000000000001</v>
      </c>
      <c r="P4" s="424"/>
      <c r="Q4" s="424"/>
    </row>
    <row r="5" spans="1:17" ht="29.25" customHeight="1">
      <c r="A5" s="1119"/>
      <c r="B5" s="1120">
        <f t="shared" ref="B5:B29" si="0">ROUND(C5*E5,0)</f>
        <v>0</v>
      </c>
      <c r="C5" s="1124"/>
      <c r="D5" s="1041"/>
      <c r="E5" s="1039"/>
      <c r="F5" s="1124" t="s">
        <v>1048</v>
      </c>
      <c r="G5" s="1761" t="s">
        <v>1052</v>
      </c>
      <c r="H5" s="1762"/>
      <c r="I5" s="1118" t="s">
        <v>1048</v>
      </c>
      <c r="K5" s="422" t="s">
        <v>4406</v>
      </c>
      <c r="L5" s="479">
        <v>1.41</v>
      </c>
    </row>
    <row r="6" spans="1:17" ht="29.25" customHeight="1">
      <c r="A6" s="1119">
        <f>C6*D6</f>
        <v>10024235613</v>
      </c>
      <c r="B6" s="1120">
        <f t="shared" si="0"/>
        <v>6521949000</v>
      </c>
      <c r="C6" s="1043">
        <f>'C.Foundation-1'!K36</f>
        <v>4501</v>
      </c>
      <c r="D6" s="1041">
        <f t="shared" ref="D6:D27" si="1">E6*$K$3</f>
        <v>2227113</v>
      </c>
      <c r="E6" s="1125">
        <v>1449000</v>
      </c>
      <c r="F6" s="1126" t="s">
        <v>1053</v>
      </c>
      <c r="G6" s="1761" t="s">
        <v>1054</v>
      </c>
      <c r="H6" s="1762"/>
      <c r="I6" s="572">
        <v>60101</v>
      </c>
      <c r="K6" s="422" t="s">
        <v>4407</v>
      </c>
      <c r="L6" s="479">
        <v>1</v>
      </c>
    </row>
    <row r="7" spans="1:17" ht="29.25" customHeight="1">
      <c r="A7" s="1119"/>
      <c r="B7" s="1120">
        <f t="shared" si="0"/>
        <v>0</v>
      </c>
      <c r="C7" s="1047"/>
      <c r="D7" s="1041"/>
      <c r="E7" s="1043"/>
      <c r="F7" s="1047" t="s">
        <v>1048</v>
      </c>
      <c r="G7" s="1761" t="s">
        <v>1055</v>
      </c>
      <c r="H7" s="1762"/>
      <c r="I7" s="1118" t="s">
        <v>1048</v>
      </c>
      <c r="K7" s="424" t="s">
        <v>4408</v>
      </c>
      <c r="L7" s="479">
        <v>1</v>
      </c>
    </row>
    <row r="8" spans="1:17" ht="29.25" customHeight="1">
      <c r="A8" s="1119">
        <f>C8*D8</f>
        <v>145592263520</v>
      </c>
      <c r="B8" s="1120">
        <f t="shared" si="0"/>
        <v>94724960000</v>
      </c>
      <c r="C8" s="1043">
        <f>'C.Foundation-1'!N36</f>
        <v>376640</v>
      </c>
      <c r="D8" s="1041">
        <f t="shared" si="1"/>
        <v>386555.5</v>
      </c>
      <c r="E8" s="1125">
        <v>251500</v>
      </c>
      <c r="F8" s="1125" t="s">
        <v>1056</v>
      </c>
      <c r="G8" s="1766" t="s">
        <v>4409</v>
      </c>
      <c r="H8" s="1767"/>
      <c r="I8" s="1123">
        <v>70202</v>
      </c>
    </row>
    <row r="9" spans="1:17" ht="29.25" customHeight="1">
      <c r="A9" s="1119">
        <f>C9*D9</f>
        <v>63865785195</v>
      </c>
      <c r="B9" s="1120">
        <f t="shared" si="0"/>
        <v>41552235000</v>
      </c>
      <c r="C9" s="1043">
        <f>'C.Foundation-1'!M36</f>
        <v>4149</v>
      </c>
      <c r="D9" s="1041">
        <f t="shared" si="1"/>
        <v>15393055</v>
      </c>
      <c r="E9" s="1043">
        <v>10015000</v>
      </c>
      <c r="F9" s="1126" t="s">
        <v>1051</v>
      </c>
      <c r="G9" s="1761" t="s">
        <v>1057</v>
      </c>
      <c r="H9" s="1762"/>
      <c r="I9" s="572">
        <v>80106</v>
      </c>
    </row>
    <row r="10" spans="1:17" ht="29.25" customHeight="1">
      <c r="A10" s="1119">
        <f>C10*D10</f>
        <v>512711845.19999993</v>
      </c>
      <c r="B10" s="1120">
        <f t="shared" si="0"/>
        <v>333579600</v>
      </c>
      <c r="C10" s="1043">
        <f>C9</f>
        <v>4149</v>
      </c>
      <c r="D10" s="1041">
        <f t="shared" si="1"/>
        <v>123574.79999999999</v>
      </c>
      <c r="E10" s="1043">
        <v>80400</v>
      </c>
      <c r="F10" s="1126" t="s">
        <v>1051</v>
      </c>
      <c r="G10" s="1761" t="s">
        <v>1058</v>
      </c>
      <c r="H10" s="1762"/>
      <c r="I10" s="572">
        <v>80310</v>
      </c>
    </row>
    <row r="11" spans="1:17" ht="29.25" customHeight="1">
      <c r="A11" s="1119">
        <f>C11*D11</f>
        <v>256670546.5</v>
      </c>
      <c r="B11" s="1120">
        <f>ROUND(C11*E11,0)</f>
        <v>166994500</v>
      </c>
      <c r="C11" s="1043">
        <v>500</v>
      </c>
      <c r="D11" s="1041">
        <f t="shared" si="1"/>
        <v>513341.09299999999</v>
      </c>
      <c r="E11" s="1041">
        <f>ROUND(31400*L31,0)</f>
        <v>333989</v>
      </c>
      <c r="F11" s="1126" t="s">
        <v>496</v>
      </c>
      <c r="G11" s="1768" t="s">
        <v>1059</v>
      </c>
      <c r="H11" s="1762"/>
      <c r="I11" s="572">
        <v>70606</v>
      </c>
    </row>
    <row r="12" spans="1:17" ht="29.25" customHeight="1">
      <c r="A12" s="1119"/>
      <c r="B12" s="1120">
        <f t="shared" si="0"/>
        <v>0</v>
      </c>
      <c r="C12" s="1041"/>
      <c r="D12" s="1041"/>
      <c r="E12" s="1041"/>
      <c r="F12" s="1047" t="s">
        <v>1048</v>
      </c>
      <c r="G12" s="1769" t="s">
        <v>1060</v>
      </c>
      <c r="H12" s="1762"/>
      <c r="I12" s="572" t="s">
        <v>1048</v>
      </c>
    </row>
    <row r="13" spans="1:17" ht="39" customHeight="1">
      <c r="A13" s="1119">
        <f>C13*D13</f>
        <v>1323293036.2079999</v>
      </c>
      <c r="B13" s="1120">
        <f t="shared" si="0"/>
        <v>860958384</v>
      </c>
      <c r="C13" s="1041">
        <f>'C.Foundation-1'!J36</f>
        <v>4472</v>
      </c>
      <c r="D13" s="1041">
        <f t="shared" si="1"/>
        <v>295906.31400000001</v>
      </c>
      <c r="E13" s="1041">
        <f>ROUND(18100*L31,0)</f>
        <v>192522</v>
      </c>
      <c r="F13" s="1126" t="s">
        <v>1051</v>
      </c>
      <c r="G13" s="1769" t="s">
        <v>1061</v>
      </c>
      <c r="H13" s="1762"/>
      <c r="I13" s="572">
        <v>31002</v>
      </c>
    </row>
    <row r="14" spans="1:17" ht="33.75" customHeight="1">
      <c r="A14" s="1119">
        <f>C14*D14</f>
        <v>1670251752</v>
      </c>
      <c r="B14" s="1120">
        <f t="shared" si="0"/>
        <v>108669600</v>
      </c>
      <c r="C14" s="1041">
        <f>C13</f>
        <v>4472</v>
      </c>
      <c r="D14" s="1041">
        <f>E14*$K$3*10</f>
        <v>373491</v>
      </c>
      <c r="E14" s="1041">
        <v>24300</v>
      </c>
      <c r="F14" s="1126" t="s">
        <v>1062</v>
      </c>
      <c r="G14" s="1769" t="s">
        <v>1063</v>
      </c>
      <c r="H14" s="1762"/>
      <c r="I14" s="572">
        <v>30703</v>
      </c>
    </row>
    <row r="15" spans="1:17" ht="33.75" customHeight="1">
      <c r="A15" s="1119">
        <f>C15*D15</f>
        <v>680472936</v>
      </c>
      <c r="B15" s="1120">
        <f t="shared" si="0"/>
        <v>88545600</v>
      </c>
      <c r="C15" s="1041">
        <f>C13</f>
        <v>4472</v>
      </c>
      <c r="D15" s="1041">
        <f>E15*$K$3*5</f>
        <v>152163</v>
      </c>
      <c r="E15" s="1041">
        <v>19800</v>
      </c>
      <c r="F15" s="1126" t="s">
        <v>1062</v>
      </c>
      <c r="G15" s="1769" t="s">
        <v>1064</v>
      </c>
      <c r="H15" s="1762"/>
      <c r="I15" s="572">
        <v>30704</v>
      </c>
    </row>
    <row r="16" spans="1:17" ht="29.25" customHeight="1">
      <c r="A16" s="1119"/>
      <c r="B16" s="1120">
        <f t="shared" si="0"/>
        <v>0</v>
      </c>
      <c r="C16" s="1047"/>
      <c r="D16" s="1041"/>
      <c r="E16" s="1043"/>
      <c r="F16" s="1047" t="s">
        <v>1048</v>
      </c>
      <c r="G16" s="1761" t="s">
        <v>1065</v>
      </c>
      <c r="H16" s="1762"/>
      <c r="I16" s="572" t="s">
        <v>1048</v>
      </c>
    </row>
    <row r="17" spans="1:12" ht="29.25" customHeight="1">
      <c r="A17" s="1119">
        <f>C17*D17</f>
        <v>961823860</v>
      </c>
      <c r="B17" s="1120">
        <f t="shared" si="0"/>
        <v>625780000</v>
      </c>
      <c r="C17" s="1043">
        <f>'C.Foundation-1'!O36</f>
        <v>2680</v>
      </c>
      <c r="D17" s="1041">
        <f t="shared" si="1"/>
        <v>358889.5</v>
      </c>
      <c r="E17" s="1043">
        <v>233500</v>
      </c>
      <c r="F17" s="1126" t="s">
        <v>1051</v>
      </c>
      <c r="G17" s="1761" t="s">
        <v>1066</v>
      </c>
      <c r="H17" s="1762"/>
      <c r="I17" s="572">
        <v>30904</v>
      </c>
    </row>
    <row r="18" spans="1:12" ht="29.25" customHeight="1">
      <c r="A18" s="1119"/>
      <c r="B18" s="1120">
        <f t="shared" si="0"/>
        <v>0</v>
      </c>
      <c r="C18" s="1047"/>
      <c r="D18" s="1041"/>
      <c r="E18" s="1043"/>
      <c r="F18" s="1117" t="s">
        <v>1048</v>
      </c>
      <c r="G18" s="1769" t="s">
        <v>1067</v>
      </c>
      <c r="H18" s="1762"/>
      <c r="I18" s="572" t="s">
        <v>1048</v>
      </c>
    </row>
    <row r="19" spans="1:12" ht="29.25" customHeight="1">
      <c r="A19" s="1119">
        <f>C19*D19</f>
        <v>129452288</v>
      </c>
      <c r="B19" s="1120">
        <f t="shared" si="0"/>
        <v>84224000</v>
      </c>
      <c r="C19" s="1041">
        <f>'C.Foundation-1'!J36-'C.Foundation-1'!O36</f>
        <v>1792</v>
      </c>
      <c r="D19" s="1041">
        <f t="shared" si="1"/>
        <v>72239</v>
      </c>
      <c r="E19" s="1041">
        <v>47000</v>
      </c>
      <c r="F19" s="1126" t="s">
        <v>1053</v>
      </c>
      <c r="G19" s="1761" t="s">
        <v>1068</v>
      </c>
      <c r="H19" s="1762"/>
      <c r="I19" s="572">
        <v>20601</v>
      </c>
    </row>
    <row r="20" spans="1:12" ht="29.25" customHeight="1">
      <c r="A20" s="1119"/>
      <c r="B20" s="1120">
        <f t="shared" si="0"/>
        <v>0</v>
      </c>
      <c r="C20" s="1117"/>
      <c r="D20" s="1041"/>
      <c r="E20" s="1041"/>
      <c r="F20" s="1117" t="s">
        <v>1048</v>
      </c>
      <c r="G20" s="1769" t="s">
        <v>1069</v>
      </c>
      <c r="H20" s="1762"/>
      <c r="I20" s="572" t="s">
        <v>1048</v>
      </c>
    </row>
    <row r="21" spans="1:12" ht="29.25" customHeight="1">
      <c r="A21" s="1119">
        <f>C21*D21</f>
        <v>10945921025.4</v>
      </c>
      <c r="B21" s="1120">
        <f t="shared" si="0"/>
        <v>7121614200</v>
      </c>
      <c r="C21" s="1041">
        <f>'C.Foundation-1'!L36</f>
        <v>795.8</v>
      </c>
      <c r="D21" s="1041">
        <f t="shared" si="1"/>
        <v>13754613</v>
      </c>
      <c r="E21" s="1041">
        <v>8949000</v>
      </c>
      <c r="F21" s="1126" t="s">
        <v>1051</v>
      </c>
      <c r="G21" s="1769" t="s">
        <v>1070</v>
      </c>
      <c r="H21" s="1762"/>
      <c r="I21" s="572">
        <v>80102</v>
      </c>
    </row>
    <row r="22" spans="1:12" ht="29.25" customHeight="1">
      <c r="A22" s="1119">
        <f>C22*D22</f>
        <v>207323009.69999999</v>
      </c>
      <c r="B22" s="1120">
        <f t="shared" si="0"/>
        <v>134888100</v>
      </c>
      <c r="C22" s="1041">
        <f>C21</f>
        <v>795.8</v>
      </c>
      <c r="D22" s="1041">
        <f t="shared" si="1"/>
        <v>260521.5</v>
      </c>
      <c r="E22" s="1041">
        <v>169500</v>
      </c>
      <c r="F22" s="1126" t="s">
        <v>1051</v>
      </c>
      <c r="G22" s="1769" t="s">
        <v>1071</v>
      </c>
      <c r="H22" s="1762"/>
      <c r="I22" s="572">
        <v>80304</v>
      </c>
    </row>
    <row r="23" spans="1:12" ht="29.25" customHeight="1">
      <c r="A23" s="1119"/>
      <c r="B23" s="1120">
        <f t="shared" si="0"/>
        <v>0</v>
      </c>
      <c r="C23" s="1117"/>
      <c r="D23" s="1041"/>
      <c r="E23" s="1041"/>
      <c r="F23" s="1117" t="s">
        <v>1048</v>
      </c>
      <c r="G23" s="1768" t="s">
        <v>1072</v>
      </c>
      <c r="H23" s="1762"/>
      <c r="I23" s="572" t="s">
        <v>1048</v>
      </c>
    </row>
    <row r="24" spans="1:12" ht="33.75" customHeight="1">
      <c r="A24" s="1119">
        <f>C24*D24</f>
        <v>1826988864</v>
      </c>
      <c r="B24" s="1120">
        <f t="shared" si="0"/>
        <v>1188672000</v>
      </c>
      <c r="C24" s="1041">
        <f>'C.Foundation-1'!I36</f>
        <v>9664</v>
      </c>
      <c r="D24" s="1041">
        <f>E24*$K$3</f>
        <v>189051</v>
      </c>
      <c r="E24" s="1041">
        <v>123000</v>
      </c>
      <c r="F24" s="1126" t="s">
        <v>1051</v>
      </c>
      <c r="G24" s="1761" t="s">
        <v>1073</v>
      </c>
      <c r="H24" s="1762"/>
      <c r="I24" s="572">
        <v>30701</v>
      </c>
    </row>
    <row r="25" spans="1:12" ht="33.75" customHeight="1">
      <c r="A25" s="1119">
        <f>C26*D25</f>
        <v>352772240</v>
      </c>
      <c r="B25" s="1120">
        <f t="shared" si="0"/>
        <v>45904000</v>
      </c>
      <c r="C25" s="1041">
        <f>C24</f>
        <v>9664</v>
      </c>
      <c r="D25" s="1041">
        <f>E25*$K$3*5</f>
        <v>36503.75</v>
      </c>
      <c r="E25" s="1041">
        <v>4750</v>
      </c>
      <c r="F25" s="1126" t="s">
        <v>1062</v>
      </c>
      <c r="G25" s="1769" t="s">
        <v>1074</v>
      </c>
      <c r="H25" s="1762"/>
      <c r="I25" s="572">
        <v>30702</v>
      </c>
    </row>
    <row r="26" spans="1:12" ht="33.75" customHeight="1">
      <c r="A26" s="1119">
        <f>C26*D26</f>
        <v>3609417024</v>
      </c>
      <c r="B26" s="1120">
        <f t="shared" si="0"/>
        <v>234835200</v>
      </c>
      <c r="C26" s="1041">
        <f>C25</f>
        <v>9664</v>
      </c>
      <c r="D26" s="1041">
        <f>E26*$K$3*10</f>
        <v>373491</v>
      </c>
      <c r="E26" s="1041">
        <v>24300</v>
      </c>
      <c r="F26" s="1126" t="s">
        <v>1062</v>
      </c>
      <c r="G26" s="1769" t="s">
        <v>1063</v>
      </c>
      <c r="H26" s="1762"/>
      <c r="I26" s="572">
        <v>30703</v>
      </c>
    </row>
    <row r="27" spans="1:12" ht="52.5" customHeight="1">
      <c r="A27" s="1127">
        <f>C27*D27</f>
        <v>905916069.05999994</v>
      </c>
      <c r="B27" s="1120">
        <f t="shared" si="0"/>
        <v>589405380</v>
      </c>
      <c r="C27" s="516">
        <f>'C.Foundation-1'!P36</f>
        <v>1410</v>
      </c>
      <c r="D27" s="516">
        <f t="shared" si="1"/>
        <v>642493.66599999997</v>
      </c>
      <c r="E27" s="516">
        <f>ROUND(39300*L31,0)</f>
        <v>418018</v>
      </c>
      <c r="F27" s="1128" t="s">
        <v>1075</v>
      </c>
      <c r="G27" s="1761" t="s">
        <v>1076</v>
      </c>
      <c r="H27" s="1762"/>
      <c r="I27" s="573">
        <v>270306</v>
      </c>
    </row>
    <row r="28" spans="1:12" ht="24" customHeight="1">
      <c r="A28" s="1119"/>
      <c r="B28" s="1120">
        <f t="shared" si="0"/>
        <v>0</v>
      </c>
      <c r="C28" s="1041"/>
      <c r="D28" s="1041"/>
      <c r="E28" s="1041"/>
      <c r="F28" s="1129"/>
      <c r="G28" s="1769" t="s">
        <v>1077</v>
      </c>
      <c r="H28" s="1762"/>
      <c r="I28" s="572" t="s">
        <v>1048</v>
      </c>
    </row>
    <row r="29" spans="1:12" ht="36.6" customHeight="1">
      <c r="A29" s="1119">
        <f>C29*D29</f>
        <v>3224257120</v>
      </c>
      <c r="B29" s="1120">
        <f t="shared" si="0"/>
        <v>2097760000</v>
      </c>
      <c r="C29" s="1041">
        <f>'C.Foundation-1'!Q36</f>
        <v>2240</v>
      </c>
      <c r="D29" s="1041">
        <f>E29*$K$3</f>
        <v>1439400.5</v>
      </c>
      <c r="E29" s="1041">
        <v>936500</v>
      </c>
      <c r="F29" s="1126" t="s">
        <v>1053</v>
      </c>
      <c r="G29" s="1769" t="s">
        <v>4410</v>
      </c>
      <c r="H29" s="1772"/>
      <c r="I29" s="572">
        <v>231206</v>
      </c>
      <c r="K29" s="337" t="s">
        <v>4411</v>
      </c>
      <c r="L29" s="1130">
        <v>481.9</v>
      </c>
    </row>
    <row r="30" spans="1:12" ht="24" customHeight="1" thickBot="1">
      <c r="A30" s="1119">
        <f>C30*D30</f>
        <v>1548688960</v>
      </c>
      <c r="B30" s="1120">
        <f>ROUND(C30*D30,0)</f>
        <v>1548688960</v>
      </c>
      <c r="C30" s="1041">
        <f>'C.Foundation-1'!Q36</f>
        <v>2240</v>
      </c>
      <c r="D30" s="1041">
        <f>ROUND(65000*L31,0)</f>
        <v>691379</v>
      </c>
      <c r="E30" s="1041" t="s">
        <v>342</v>
      </c>
      <c r="F30" s="1126" t="s">
        <v>1053</v>
      </c>
      <c r="G30" s="1773" t="s">
        <v>1078</v>
      </c>
      <c r="H30" s="1774"/>
      <c r="I30" s="572" t="s">
        <v>1079</v>
      </c>
      <c r="K30" s="337" t="s">
        <v>4412</v>
      </c>
      <c r="L30" s="1130">
        <v>5125.7780000000002</v>
      </c>
    </row>
    <row r="31" spans="1:12" ht="29.25" customHeight="1" thickBot="1">
      <c r="A31" s="1131">
        <f>SUM(A3:A30)</f>
        <v>273973620968.06802</v>
      </c>
      <c r="B31" s="1131">
        <f>SUM(B3:B30)</f>
        <v>175163935524</v>
      </c>
      <c r="C31" s="1132"/>
      <c r="D31" s="1132"/>
      <c r="E31" s="1133"/>
      <c r="F31" s="1132"/>
      <c r="G31" s="1770" t="s">
        <v>1010</v>
      </c>
      <c r="H31" s="1771"/>
      <c r="I31" s="1134"/>
      <c r="K31" s="1135" t="s">
        <v>4413</v>
      </c>
      <c r="L31" s="479">
        <f>L30/L29</f>
        <v>10.636600954554888</v>
      </c>
    </row>
    <row r="32" spans="1:12" ht="29.25" customHeight="1"/>
  </sheetData>
  <mergeCells count="31">
    <mergeCell ref="G31:H31"/>
    <mergeCell ref="G20:H20"/>
    <mergeCell ref="G21:H21"/>
    <mergeCell ref="G22:H22"/>
    <mergeCell ref="G23:H23"/>
    <mergeCell ref="G24:H24"/>
    <mergeCell ref="G25:H25"/>
    <mergeCell ref="G26:H26"/>
    <mergeCell ref="G27:H27"/>
    <mergeCell ref="G28:H28"/>
    <mergeCell ref="G29:H29"/>
    <mergeCell ref="G30:H30"/>
    <mergeCell ref="G19:H19"/>
    <mergeCell ref="G8:H8"/>
    <mergeCell ref="G9:H9"/>
    <mergeCell ref="G10:H10"/>
    <mergeCell ref="G11:H11"/>
    <mergeCell ref="G12:H12"/>
    <mergeCell ref="G13:H13"/>
    <mergeCell ref="G14:H14"/>
    <mergeCell ref="G15:H15"/>
    <mergeCell ref="G16:H16"/>
    <mergeCell ref="G17:H17"/>
    <mergeCell ref="G18:H18"/>
    <mergeCell ref="G7:H7"/>
    <mergeCell ref="A1:I1"/>
    <mergeCell ref="G2:H2"/>
    <mergeCell ref="G3:H3"/>
    <mergeCell ref="G4:H4"/>
    <mergeCell ref="G5:H5"/>
    <mergeCell ref="G6:H6"/>
  </mergeCells>
  <printOptions horizontalCentered="1"/>
  <pageMargins left="0.31496062992125984" right="0.31496062992125984" top="0.15748031496062992" bottom="0.35433070866141736" header="0.31496062992125984" footer="0.31496062992125984"/>
  <pageSetup scale="48"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46"/>
  <sheetViews>
    <sheetView view="pageBreakPreview" topLeftCell="B1" zoomScale="90" zoomScaleNormal="100" zoomScaleSheetLayoutView="90" workbookViewId="0">
      <selection activeCell="I11" sqref="I11"/>
    </sheetView>
  </sheetViews>
  <sheetFormatPr defaultColWidth="9.140625" defaultRowHeight="15"/>
  <cols>
    <col min="1" max="2" width="22.140625" style="422" customWidth="1"/>
    <col min="3" max="4" width="14.7109375" style="547" customWidth="1"/>
    <col min="5" max="5" width="14.7109375" style="1136" customWidth="1"/>
    <col min="6" max="7" width="14.7109375" style="547" customWidth="1"/>
    <col min="8" max="8" width="40.28515625" style="422" customWidth="1"/>
    <col min="9" max="9" width="19.28515625" style="1155" customWidth="1"/>
    <col min="10" max="16384" width="9.140625" style="422"/>
  </cols>
  <sheetData>
    <row r="1" spans="1:17" s="423" customFormat="1" ht="24.75" customHeight="1" thickBot="1">
      <c r="A1" s="1775" t="s">
        <v>4344</v>
      </c>
      <c r="B1" s="1776"/>
      <c r="C1" s="1776"/>
      <c r="D1" s="1776"/>
      <c r="E1" s="1776"/>
      <c r="F1" s="1776"/>
      <c r="G1" s="1776"/>
      <c r="H1" s="1776"/>
      <c r="I1" s="1777"/>
    </row>
    <row r="2" spans="1:17" ht="45.75" thickBot="1">
      <c r="A2" s="1138" t="s">
        <v>1043</v>
      </c>
      <c r="B2" s="1111" t="s">
        <v>4402</v>
      </c>
      <c r="C2" s="1139" t="s">
        <v>1044</v>
      </c>
      <c r="D2" s="1140" t="s">
        <v>1045</v>
      </c>
      <c r="E2" s="1140" t="s">
        <v>4403</v>
      </c>
      <c r="F2" s="1139" t="s">
        <v>1046</v>
      </c>
      <c r="G2" s="1779" t="s">
        <v>1047</v>
      </c>
      <c r="H2" s="1779"/>
      <c r="I2" s="1141" t="s">
        <v>28</v>
      </c>
    </row>
    <row r="3" spans="1:17" ht="27.75" customHeight="1">
      <c r="A3" s="1142"/>
      <c r="B3" s="1143"/>
      <c r="C3" s="1144"/>
      <c r="D3" s="1144"/>
      <c r="E3" s="509"/>
      <c r="F3" s="1144" t="s">
        <v>1048</v>
      </c>
      <c r="G3" s="1780" t="s">
        <v>1049</v>
      </c>
      <c r="H3" s="1780"/>
      <c r="I3" s="1145" t="s">
        <v>1048</v>
      </c>
      <c r="K3" s="479">
        <f>ROUND(L4*L5*L6*L7,3)</f>
        <v>1.5369999999999999</v>
      </c>
      <c r="L3" s="423"/>
    </row>
    <row r="4" spans="1:17" ht="40.9" customHeight="1">
      <c r="A4" s="1119">
        <f>C4*D4</f>
        <v>16926964861.5</v>
      </c>
      <c r="B4" s="1120">
        <f>ROUND(C4*E4,0)</f>
        <v>11012989500</v>
      </c>
      <c r="C4" s="1041">
        <f>'C.Shelters-1'!F26</f>
        <v>6211.5</v>
      </c>
      <c r="D4" s="1041">
        <f>E4*$K$3</f>
        <v>2725101</v>
      </c>
      <c r="E4" s="1121">
        <v>1773000</v>
      </c>
      <c r="F4" s="1122" t="s">
        <v>1051</v>
      </c>
      <c r="G4" s="1766" t="s">
        <v>4404</v>
      </c>
      <c r="H4" s="1767"/>
      <c r="I4" s="1123">
        <v>30504</v>
      </c>
      <c r="K4" s="423" t="s">
        <v>4405</v>
      </c>
      <c r="L4" s="479">
        <v>1.0900000000000001</v>
      </c>
      <c r="P4" s="424"/>
      <c r="Q4" s="424"/>
    </row>
    <row r="5" spans="1:17" ht="33.75" customHeight="1">
      <c r="A5" s="1119">
        <f>C6*D5</f>
        <v>226743043.125</v>
      </c>
      <c r="B5" s="1120">
        <f t="shared" ref="B5:B45" si="0">ROUND(C5*E5,0)</f>
        <v>29504625</v>
      </c>
      <c r="C5" s="1041">
        <f>C4</f>
        <v>6211.5</v>
      </c>
      <c r="D5" s="1041">
        <f>E5*$K$3*5</f>
        <v>36503.75</v>
      </c>
      <c r="E5" s="1146">
        <v>4750</v>
      </c>
      <c r="F5" s="1126" t="s">
        <v>1062</v>
      </c>
      <c r="G5" s="1781" t="s">
        <v>1080</v>
      </c>
      <c r="H5" s="1781"/>
      <c r="I5" s="1147">
        <v>30702</v>
      </c>
      <c r="K5" s="422" t="s">
        <v>4406</v>
      </c>
      <c r="L5" s="479">
        <v>1.41</v>
      </c>
    </row>
    <row r="6" spans="1:17" ht="33.75" customHeight="1">
      <c r="A6" s="1119">
        <f t="shared" ref="A6" si="1">C6*D6</f>
        <v>2319939346.5</v>
      </c>
      <c r="B6" s="1120">
        <f t="shared" si="0"/>
        <v>150939450</v>
      </c>
      <c r="C6" s="1041">
        <f>C5</f>
        <v>6211.5</v>
      </c>
      <c r="D6" s="1041">
        <f>E6*$K$3*10</f>
        <v>373491</v>
      </c>
      <c r="E6" s="1146">
        <v>24300</v>
      </c>
      <c r="F6" s="1126" t="s">
        <v>1062</v>
      </c>
      <c r="G6" s="1781" t="s">
        <v>1063</v>
      </c>
      <c r="H6" s="1781"/>
      <c r="I6" s="1147">
        <v>30703</v>
      </c>
      <c r="K6" s="422" t="s">
        <v>4407</v>
      </c>
      <c r="L6" s="479">
        <v>1</v>
      </c>
    </row>
    <row r="7" spans="1:17" ht="27.75" customHeight="1">
      <c r="A7" s="1119"/>
      <c r="B7" s="1120">
        <f t="shared" si="0"/>
        <v>0</v>
      </c>
      <c r="C7" s="1124"/>
      <c r="D7" s="1041"/>
      <c r="E7" s="1039"/>
      <c r="F7" s="1124" t="s">
        <v>1048</v>
      </c>
      <c r="G7" s="1778" t="s">
        <v>1052</v>
      </c>
      <c r="H7" s="1778"/>
      <c r="I7" s="1148" t="s">
        <v>1048</v>
      </c>
      <c r="K7" s="424" t="s">
        <v>4408</v>
      </c>
      <c r="L7" s="479">
        <v>1</v>
      </c>
    </row>
    <row r="8" spans="1:17" ht="27.75" customHeight="1">
      <c r="A8" s="1119">
        <f t="shared" ref="A8:A42" si="2">C8*D8</f>
        <v>3287218788</v>
      </c>
      <c r="B8" s="1120">
        <f t="shared" si="0"/>
        <v>2138724000</v>
      </c>
      <c r="C8" s="1043">
        <f>'C.Shelters-1'!H26</f>
        <v>1476</v>
      </c>
      <c r="D8" s="1041">
        <f t="shared" ref="D8:D42" si="3">E8*$K$3</f>
        <v>2227113</v>
      </c>
      <c r="E8" s="1125">
        <v>1449000</v>
      </c>
      <c r="F8" s="1126" t="s">
        <v>1053</v>
      </c>
      <c r="G8" s="1778" t="s">
        <v>1054</v>
      </c>
      <c r="H8" s="1778"/>
      <c r="I8" s="1147">
        <v>60101</v>
      </c>
      <c r="K8" s="423"/>
      <c r="L8" s="423"/>
    </row>
    <row r="9" spans="1:17" ht="36.75" customHeight="1">
      <c r="A9" s="1119">
        <f t="shared" si="2"/>
        <v>151089559.20000002</v>
      </c>
      <c r="B9" s="1120">
        <f t="shared" si="0"/>
        <v>98301600</v>
      </c>
      <c r="C9" s="1043">
        <f>'C.Shelters-1'!R26</f>
        <v>4428</v>
      </c>
      <c r="D9" s="1041">
        <f t="shared" si="3"/>
        <v>34121.4</v>
      </c>
      <c r="E9" s="1043">
        <v>22200</v>
      </c>
      <c r="F9" s="1126" t="s">
        <v>1081</v>
      </c>
      <c r="G9" s="1778" t="s">
        <v>4414</v>
      </c>
      <c r="H9" s="1778"/>
      <c r="I9" s="1147">
        <v>60912</v>
      </c>
    </row>
    <row r="10" spans="1:17" ht="27.75" customHeight="1">
      <c r="A10" s="1119"/>
      <c r="B10" s="1120">
        <f t="shared" si="0"/>
        <v>0</v>
      </c>
      <c r="C10" s="1047"/>
      <c r="D10" s="1041"/>
      <c r="E10" s="1043"/>
      <c r="F10" s="1047" t="s">
        <v>1048</v>
      </c>
      <c r="G10" s="1778" t="s">
        <v>1055</v>
      </c>
      <c r="H10" s="1778"/>
      <c r="I10" s="1148" t="s">
        <v>1048</v>
      </c>
    </row>
    <row r="11" spans="1:17" ht="39.75" customHeight="1">
      <c r="A11" s="1119">
        <f t="shared" si="2"/>
        <v>8617682340</v>
      </c>
      <c r="B11" s="1120">
        <f t="shared" si="0"/>
        <v>5606820000</v>
      </c>
      <c r="C11" s="1041">
        <f>'C.Shelters-1'!Q26</f>
        <v>17305</v>
      </c>
      <c r="D11" s="1041">
        <f t="shared" ref="D11" si="4">E11*$K$3</f>
        <v>497988</v>
      </c>
      <c r="E11" s="1043">
        <v>324000</v>
      </c>
      <c r="F11" s="1047" t="s">
        <v>1056</v>
      </c>
      <c r="G11" s="1778" t="s">
        <v>1082</v>
      </c>
      <c r="H11" s="1778"/>
      <c r="I11" s="1147">
        <v>70101</v>
      </c>
    </row>
    <row r="12" spans="1:17" ht="27.75" customHeight="1">
      <c r="A12" s="1119">
        <f t="shared" si="2"/>
        <v>15452556112.5</v>
      </c>
      <c r="B12" s="1120">
        <f t="shared" si="0"/>
        <v>10053712500</v>
      </c>
      <c r="C12" s="1043">
        <f>'C.Shelters-1'!K26</f>
        <v>39975</v>
      </c>
      <c r="D12" s="1041">
        <f t="shared" si="3"/>
        <v>386555.5</v>
      </c>
      <c r="E12" s="1125">
        <v>251500</v>
      </c>
      <c r="F12" s="1125" t="s">
        <v>1056</v>
      </c>
      <c r="G12" s="1766" t="s">
        <v>4409</v>
      </c>
      <c r="H12" s="1767"/>
      <c r="I12" s="1123">
        <v>70202</v>
      </c>
    </row>
    <row r="13" spans="1:17" ht="27.75" customHeight="1">
      <c r="A13" s="1119">
        <f t="shared" si="2"/>
        <v>21244724858.25</v>
      </c>
      <c r="B13" s="1120">
        <f t="shared" si="0"/>
        <v>13822202250</v>
      </c>
      <c r="C13" s="1043">
        <f>'C.Shelters-1'!J26+'C.Shelters-1'!P26</f>
        <v>1380.15</v>
      </c>
      <c r="D13" s="1041">
        <f t="shared" si="3"/>
        <v>15393055</v>
      </c>
      <c r="E13" s="1043">
        <v>10015000</v>
      </c>
      <c r="F13" s="1126" t="s">
        <v>1051</v>
      </c>
      <c r="G13" s="1778" t="s">
        <v>1057</v>
      </c>
      <c r="H13" s="1778"/>
      <c r="I13" s="1147">
        <v>80106</v>
      </c>
    </row>
    <row r="14" spans="1:17" ht="27.75" customHeight="1">
      <c r="A14" s="1119">
        <f t="shared" si="2"/>
        <v>170551760.22</v>
      </c>
      <c r="B14" s="1120">
        <f t="shared" si="0"/>
        <v>110964060</v>
      </c>
      <c r="C14" s="1043">
        <f>C13</f>
        <v>1380.15</v>
      </c>
      <c r="D14" s="1041">
        <f t="shared" si="3"/>
        <v>123574.79999999999</v>
      </c>
      <c r="E14" s="1043">
        <v>80400</v>
      </c>
      <c r="F14" s="1126" t="s">
        <v>1051</v>
      </c>
      <c r="G14" s="1778" t="s">
        <v>1058</v>
      </c>
      <c r="H14" s="1778"/>
      <c r="I14" s="1147">
        <v>80310</v>
      </c>
    </row>
    <row r="15" spans="1:17" ht="27.75" customHeight="1">
      <c r="A15" s="1119">
        <f t="shared" si="2"/>
        <v>19011564.7623</v>
      </c>
      <c r="B15" s="1120">
        <f t="shared" si="0"/>
        <v>12369268</v>
      </c>
      <c r="C15" s="1043">
        <f>'C.Shelters-1'!P26</f>
        <v>519.15</v>
      </c>
      <c r="D15" s="1041">
        <f t="shared" si="3"/>
        <v>36620.561999999998</v>
      </c>
      <c r="E15" s="1043">
        <f>ROUND(2240*L23,0)</f>
        <v>23826</v>
      </c>
      <c r="F15" s="1126" t="s">
        <v>1083</v>
      </c>
      <c r="G15" s="1778" t="s">
        <v>1084</v>
      </c>
      <c r="H15" s="1778"/>
      <c r="I15" s="1147">
        <v>80306</v>
      </c>
    </row>
    <row r="16" spans="1:17" ht="27.75" customHeight="1">
      <c r="A16" s="1119">
        <f t="shared" si="2"/>
        <v>789261930.48749995</v>
      </c>
      <c r="B16" s="1120">
        <f t="shared" si="0"/>
        <v>513508088</v>
      </c>
      <c r="C16" s="1041">
        <f>'C.Shelters-1'!M26</f>
        <v>1537.5</v>
      </c>
      <c r="D16" s="1041">
        <f t="shared" si="3"/>
        <v>513341.09299999999</v>
      </c>
      <c r="E16" s="1041">
        <f>ROUND(31400*L23,0)</f>
        <v>333989</v>
      </c>
      <c r="F16" s="1126" t="s">
        <v>496</v>
      </c>
      <c r="G16" s="1782" t="s">
        <v>1059</v>
      </c>
      <c r="H16" s="1782"/>
      <c r="I16" s="1147">
        <v>70606</v>
      </c>
    </row>
    <row r="17" spans="1:12" ht="29.25" customHeight="1">
      <c r="A17" s="1119"/>
      <c r="B17" s="1120">
        <f t="shared" si="0"/>
        <v>0</v>
      </c>
      <c r="C17" s="1041"/>
      <c r="D17" s="1041"/>
      <c r="E17" s="1041"/>
      <c r="F17" s="1047" t="s">
        <v>1048</v>
      </c>
      <c r="G17" s="1781" t="s">
        <v>1060</v>
      </c>
      <c r="H17" s="1781"/>
      <c r="I17" s="1147" t="s">
        <v>1048</v>
      </c>
    </row>
    <row r="18" spans="1:12" ht="27.75" customHeight="1">
      <c r="A18" s="1119">
        <f t="shared" si="2"/>
        <v>1091894298.6600001</v>
      </c>
      <c r="B18" s="1120">
        <f t="shared" si="0"/>
        <v>710406180</v>
      </c>
      <c r="C18" s="1041">
        <f>'C.Shelters-1'!G26</f>
        <v>3690</v>
      </c>
      <c r="D18" s="1041">
        <f t="shared" si="3"/>
        <v>295906.31400000001</v>
      </c>
      <c r="E18" s="1041">
        <f>ROUND(18100*L23,0)</f>
        <v>192522</v>
      </c>
      <c r="F18" s="1126" t="s">
        <v>1051</v>
      </c>
      <c r="G18" s="1781" t="s">
        <v>1061</v>
      </c>
      <c r="H18" s="1781"/>
      <c r="I18" s="1147">
        <v>31002</v>
      </c>
    </row>
    <row r="19" spans="1:12" ht="33.75" customHeight="1">
      <c r="A19" s="1119">
        <f t="shared" si="2"/>
        <v>1378181790</v>
      </c>
      <c r="B19" s="1120">
        <f t="shared" si="0"/>
        <v>89667000</v>
      </c>
      <c r="C19" s="1041">
        <f>C18</f>
        <v>3690</v>
      </c>
      <c r="D19" s="1041">
        <f>E19*$K$3*10</f>
        <v>373491</v>
      </c>
      <c r="E19" s="1041">
        <v>24300</v>
      </c>
      <c r="F19" s="1126" t="s">
        <v>1062</v>
      </c>
      <c r="G19" s="1781" t="s">
        <v>1063</v>
      </c>
      <c r="H19" s="1781"/>
      <c r="I19" s="1147">
        <v>30703</v>
      </c>
    </row>
    <row r="20" spans="1:12" ht="33.75" customHeight="1">
      <c r="A20" s="1119">
        <f t="shared" si="2"/>
        <v>561481470</v>
      </c>
      <c r="B20" s="1120">
        <f t="shared" si="0"/>
        <v>73062000</v>
      </c>
      <c r="C20" s="1041">
        <f>C18</f>
        <v>3690</v>
      </c>
      <c r="D20" s="1041">
        <f>E20*$K$3*5</f>
        <v>152163</v>
      </c>
      <c r="E20" s="1041">
        <v>19800</v>
      </c>
      <c r="F20" s="1126" t="s">
        <v>1062</v>
      </c>
      <c r="G20" s="1781" t="s">
        <v>1064</v>
      </c>
      <c r="H20" s="1781"/>
      <c r="I20" s="1147">
        <v>30704</v>
      </c>
    </row>
    <row r="21" spans="1:12" ht="27.75" customHeight="1">
      <c r="A21" s="1119"/>
      <c r="B21" s="1120">
        <f t="shared" si="0"/>
        <v>0</v>
      </c>
      <c r="C21" s="1047"/>
      <c r="D21" s="1041"/>
      <c r="E21" s="1043"/>
      <c r="F21" s="1047" t="s">
        <v>1048</v>
      </c>
      <c r="G21" s="1778" t="s">
        <v>1065</v>
      </c>
      <c r="H21" s="1778"/>
      <c r="I21" s="1147" t="s">
        <v>1048</v>
      </c>
      <c r="K21" s="337" t="s">
        <v>4411</v>
      </c>
      <c r="L21" s="1130">
        <v>481.9</v>
      </c>
    </row>
    <row r="22" spans="1:12" ht="27.75" customHeight="1">
      <c r="A22" s="1119">
        <f t="shared" si="2"/>
        <v>662151127.5</v>
      </c>
      <c r="B22" s="1120">
        <f t="shared" si="0"/>
        <v>430807500</v>
      </c>
      <c r="C22" s="1043">
        <f>'C.Shelters-1'!L26</f>
        <v>1845</v>
      </c>
      <c r="D22" s="1041">
        <f t="shared" si="3"/>
        <v>358889.5</v>
      </c>
      <c r="E22" s="1043">
        <v>233500</v>
      </c>
      <c r="F22" s="1126" t="s">
        <v>1051</v>
      </c>
      <c r="G22" s="1778" t="s">
        <v>1066</v>
      </c>
      <c r="H22" s="1778"/>
      <c r="I22" s="1147">
        <v>30904</v>
      </c>
      <c r="K22" s="337" t="s">
        <v>4412</v>
      </c>
      <c r="L22" s="1130">
        <v>5125.7780000000002</v>
      </c>
    </row>
    <row r="23" spans="1:12" ht="27.75" customHeight="1">
      <c r="A23" s="1119"/>
      <c r="B23" s="1120">
        <f t="shared" si="0"/>
        <v>0</v>
      </c>
      <c r="C23" s="1047"/>
      <c r="D23" s="1041"/>
      <c r="E23" s="1043"/>
      <c r="F23" s="1117" t="s">
        <v>1048</v>
      </c>
      <c r="G23" s="1781" t="s">
        <v>1067</v>
      </c>
      <c r="H23" s="1781"/>
      <c r="I23" s="1147" t="s">
        <v>1048</v>
      </c>
      <c r="K23" s="1135" t="s">
        <v>4413</v>
      </c>
      <c r="L23" s="479">
        <f>L22/L21</f>
        <v>10.636600954554888</v>
      </c>
    </row>
    <row r="24" spans="1:12" ht="27.75" customHeight="1">
      <c r="A24" s="1119">
        <f t="shared" si="2"/>
        <v>133280955</v>
      </c>
      <c r="B24" s="1120">
        <f t="shared" si="0"/>
        <v>86715000</v>
      </c>
      <c r="C24" s="1041">
        <f>'C.Shelters-1'!G26-'C.Shelters-1'!L26</f>
        <v>1845</v>
      </c>
      <c r="D24" s="1041">
        <f t="shared" si="3"/>
        <v>72239</v>
      </c>
      <c r="E24" s="1041">
        <v>47000</v>
      </c>
      <c r="F24" s="1126" t="s">
        <v>1053</v>
      </c>
      <c r="G24" s="1778" t="s">
        <v>1068</v>
      </c>
      <c r="H24" s="1778"/>
      <c r="I24" s="1147">
        <v>20601</v>
      </c>
    </row>
    <row r="25" spans="1:12" ht="27.75" customHeight="1">
      <c r="A25" s="1119"/>
      <c r="B25" s="1120">
        <f t="shared" si="0"/>
        <v>0</v>
      </c>
      <c r="C25" s="1117"/>
      <c r="D25" s="1041"/>
      <c r="E25" s="1041"/>
      <c r="F25" s="1117" t="s">
        <v>1048</v>
      </c>
      <c r="G25" s="1781" t="s">
        <v>1069</v>
      </c>
      <c r="H25" s="1781"/>
      <c r="I25" s="1147" t="s">
        <v>1048</v>
      </c>
    </row>
    <row r="26" spans="1:12" ht="27.75" customHeight="1">
      <c r="A26" s="1119">
        <f t="shared" si="2"/>
        <v>9993414075.1499996</v>
      </c>
      <c r="B26" s="1120">
        <f t="shared" si="0"/>
        <v>6501895950</v>
      </c>
      <c r="C26" s="1041">
        <f>'C.Shelters-1'!I26+'C.Shelters-1'!O26</f>
        <v>726.55</v>
      </c>
      <c r="D26" s="1041">
        <f t="shared" si="3"/>
        <v>13754613</v>
      </c>
      <c r="E26" s="1041">
        <v>8949000</v>
      </c>
      <c r="F26" s="1126" t="s">
        <v>1051</v>
      </c>
      <c r="G26" s="1781" t="s">
        <v>1070</v>
      </c>
      <c r="H26" s="1781"/>
      <c r="I26" s="1147">
        <v>80102</v>
      </c>
    </row>
    <row r="27" spans="1:12" ht="27.75" customHeight="1">
      <c r="A27" s="1119">
        <f t="shared" si="2"/>
        <v>189281895.82499999</v>
      </c>
      <c r="B27" s="1120">
        <f t="shared" si="0"/>
        <v>123150225</v>
      </c>
      <c r="C27" s="1041">
        <f>C26</f>
        <v>726.55</v>
      </c>
      <c r="D27" s="1041">
        <f t="shared" si="3"/>
        <v>260521.5</v>
      </c>
      <c r="E27" s="1041">
        <v>169500</v>
      </c>
      <c r="F27" s="1126" t="s">
        <v>1051</v>
      </c>
      <c r="G27" s="1781" t="s">
        <v>1071</v>
      </c>
      <c r="H27" s="1781"/>
      <c r="I27" s="1147">
        <v>80304</v>
      </c>
    </row>
    <row r="28" spans="1:12" ht="27.75" customHeight="1">
      <c r="A28" s="1119"/>
      <c r="B28" s="1120">
        <f t="shared" si="0"/>
        <v>0</v>
      </c>
      <c r="C28" s="1117"/>
      <c r="D28" s="1041"/>
      <c r="E28" s="1041"/>
      <c r="F28" s="1117" t="s">
        <v>1048</v>
      </c>
      <c r="G28" s="1782" t="s">
        <v>1072</v>
      </c>
      <c r="H28" s="1782"/>
      <c r="I28" s="1147" t="s">
        <v>1048</v>
      </c>
    </row>
    <row r="29" spans="1:12" ht="33.75" customHeight="1">
      <c r="A29" s="1119">
        <f>C29*D29</f>
        <v>1174290286.5</v>
      </c>
      <c r="B29" s="1120">
        <f t="shared" si="0"/>
        <v>764014500</v>
      </c>
      <c r="C29" s="1041">
        <f>'C.Shelters-1'!F26</f>
        <v>6211.5</v>
      </c>
      <c r="D29" s="1041">
        <f>E29*$K$3</f>
        <v>189051</v>
      </c>
      <c r="E29" s="1041">
        <v>123000</v>
      </c>
      <c r="F29" s="1126" t="s">
        <v>1051</v>
      </c>
      <c r="G29" s="1778" t="s">
        <v>1073</v>
      </c>
      <c r="H29" s="1778"/>
      <c r="I29" s="1147">
        <v>30701</v>
      </c>
    </row>
    <row r="30" spans="1:12" ht="33.75" customHeight="1">
      <c r="A30" s="1119">
        <f>C31*D30</f>
        <v>226743043.125</v>
      </c>
      <c r="B30" s="1120">
        <f t="shared" si="0"/>
        <v>29504625</v>
      </c>
      <c r="C30" s="1041">
        <f>C29</f>
        <v>6211.5</v>
      </c>
      <c r="D30" s="1041">
        <f>E30*$K$3*5</f>
        <v>36503.75</v>
      </c>
      <c r="E30" s="1041">
        <v>4750</v>
      </c>
      <c r="F30" s="1126" t="s">
        <v>1062</v>
      </c>
      <c r="G30" s="1781" t="s">
        <v>1074</v>
      </c>
      <c r="H30" s="1781"/>
      <c r="I30" s="1147">
        <v>30702</v>
      </c>
    </row>
    <row r="31" spans="1:12" ht="27.75" customHeight="1">
      <c r="A31" s="1119">
        <f t="shared" si="2"/>
        <v>231993934.64999998</v>
      </c>
      <c r="B31" s="1120">
        <f t="shared" si="0"/>
        <v>150939450</v>
      </c>
      <c r="C31" s="1041">
        <f>C29</f>
        <v>6211.5</v>
      </c>
      <c r="D31" s="1041">
        <f t="shared" si="3"/>
        <v>37349.1</v>
      </c>
      <c r="E31" s="1041">
        <v>24300</v>
      </c>
      <c r="F31" s="1126" t="s">
        <v>1051</v>
      </c>
      <c r="G31" s="1781" t="s">
        <v>1085</v>
      </c>
      <c r="H31" s="1781"/>
      <c r="I31" s="1147">
        <v>30703</v>
      </c>
    </row>
    <row r="32" spans="1:12" ht="27.75" customHeight="1">
      <c r="A32" s="1119"/>
      <c r="B32" s="1120">
        <f t="shared" si="0"/>
        <v>0</v>
      </c>
      <c r="C32" s="1041"/>
      <c r="D32" s="1041"/>
      <c r="E32" s="1041"/>
      <c r="F32" s="1129"/>
      <c r="G32" s="1769" t="s">
        <v>1086</v>
      </c>
      <c r="H32" s="1772"/>
      <c r="I32" s="1147" t="s">
        <v>1048</v>
      </c>
    </row>
    <row r="33" spans="1:9" ht="27.75" customHeight="1">
      <c r="A33" s="1119">
        <f>C33*D33</f>
        <v>8702263296.2999992</v>
      </c>
      <c r="B33" s="1120">
        <f t="shared" si="0"/>
        <v>5661849900</v>
      </c>
      <c r="C33" s="1041">
        <f>'C.Shelters-1'!N26</f>
        <v>1038.3</v>
      </c>
      <c r="D33" s="1041">
        <f>E33*$K$3</f>
        <v>8381261</v>
      </c>
      <c r="E33" s="1041">
        <v>5453000</v>
      </c>
      <c r="F33" s="1126" t="s">
        <v>1051</v>
      </c>
      <c r="G33" s="1769" t="s">
        <v>1087</v>
      </c>
      <c r="H33" s="1772"/>
      <c r="I33" s="1147">
        <v>40102</v>
      </c>
    </row>
    <row r="34" spans="1:9" ht="27.75" customHeight="1">
      <c r="A34" s="1149"/>
      <c r="B34" s="1120">
        <f t="shared" si="0"/>
        <v>0</v>
      </c>
      <c r="C34" s="1129"/>
      <c r="D34" s="1129"/>
      <c r="E34" s="1041"/>
      <c r="F34" s="1129"/>
      <c r="G34" s="1781" t="s">
        <v>1088</v>
      </c>
      <c r="H34" s="1781"/>
      <c r="I34" s="1147" t="s">
        <v>1048</v>
      </c>
    </row>
    <row r="35" spans="1:9" ht="27.75" customHeight="1">
      <c r="A35" s="1119">
        <f t="shared" si="2"/>
        <v>60924141583.020012</v>
      </c>
      <c r="B35" s="1120">
        <f t="shared" si="0"/>
        <v>39638348460</v>
      </c>
      <c r="C35" s="1041">
        <f>'C.Shelters-1  (2)'!F26</f>
        <v>118677.69000000002</v>
      </c>
      <c r="D35" s="1041">
        <f t="shared" si="3"/>
        <v>513358</v>
      </c>
      <c r="E35" s="1041">
        <v>334000</v>
      </c>
      <c r="F35" s="1129" t="s">
        <v>135</v>
      </c>
      <c r="G35" s="1781" t="s">
        <v>1089</v>
      </c>
      <c r="H35" s="1781"/>
      <c r="I35" s="1147">
        <v>90101</v>
      </c>
    </row>
    <row r="36" spans="1:9" ht="27.75" customHeight="1">
      <c r="A36" s="1119">
        <f t="shared" si="2"/>
        <v>55913668026.889114</v>
      </c>
      <c r="B36" s="1120">
        <f t="shared" si="0"/>
        <v>36378443739</v>
      </c>
      <c r="C36" s="1041">
        <f>'C.Shelters-1  (2)'!G26</f>
        <v>136259.57</v>
      </c>
      <c r="D36" s="1041">
        <f t="shared" si="3"/>
        <v>410346.723</v>
      </c>
      <c r="E36" s="1041">
        <f>ROUND(25100*L23,0)</f>
        <v>266979</v>
      </c>
      <c r="F36" s="1129" t="s">
        <v>135</v>
      </c>
      <c r="G36" s="1781" t="s">
        <v>1090</v>
      </c>
      <c r="H36" s="1781"/>
      <c r="I36" s="1147">
        <v>90210</v>
      </c>
    </row>
    <row r="37" spans="1:9" ht="27.75" customHeight="1">
      <c r="A37" s="1119">
        <f t="shared" si="2"/>
        <v>74841166606.419998</v>
      </c>
      <c r="B37" s="1120">
        <f t="shared" si="0"/>
        <v>48693016660</v>
      </c>
      <c r="C37" s="1041">
        <f>SUM(C35:C36)</f>
        <v>254937.26</v>
      </c>
      <c r="D37" s="1041">
        <f t="shared" si="3"/>
        <v>293567</v>
      </c>
      <c r="E37" s="1041">
        <v>191000</v>
      </c>
      <c r="F37" s="1129" t="s">
        <v>135</v>
      </c>
      <c r="G37" s="1781" t="s">
        <v>1091</v>
      </c>
      <c r="H37" s="1781"/>
      <c r="I37" s="1147">
        <v>90605</v>
      </c>
    </row>
    <row r="38" spans="1:9" ht="27.75" customHeight="1">
      <c r="A38" s="1119">
        <f t="shared" si="2"/>
        <v>19660702855.630203</v>
      </c>
      <c r="B38" s="1120">
        <f t="shared" si="0"/>
        <v>12791608885</v>
      </c>
      <c r="C38" s="1041">
        <f>'C.Shelters-1  (2)'!J26</f>
        <v>52745.640000000007</v>
      </c>
      <c r="D38" s="1041">
        <f t="shared" si="3"/>
        <v>372745.55499999999</v>
      </c>
      <c r="E38" s="1041">
        <f>ROUND(22800*L23,0)</f>
        <v>242515</v>
      </c>
      <c r="F38" s="1129" t="s">
        <v>135</v>
      </c>
      <c r="G38" s="1781" t="s">
        <v>1092</v>
      </c>
      <c r="H38" s="1781"/>
      <c r="I38" s="1147">
        <v>90203</v>
      </c>
    </row>
    <row r="39" spans="1:9" ht="27.75" customHeight="1">
      <c r="A39" s="1119">
        <f t="shared" si="2"/>
        <v>21990250704.449997</v>
      </c>
      <c r="B39" s="1120">
        <f t="shared" si="0"/>
        <v>14307254850</v>
      </c>
      <c r="C39" s="1041">
        <f>'C.Shelters-1  (2)'!I26</f>
        <v>43954.7</v>
      </c>
      <c r="D39" s="1041">
        <f t="shared" si="3"/>
        <v>500293.5</v>
      </c>
      <c r="E39" s="1041">
        <v>325500</v>
      </c>
      <c r="F39" s="1129" t="s">
        <v>135</v>
      </c>
      <c r="G39" s="1781" t="s">
        <v>1093</v>
      </c>
      <c r="H39" s="1781"/>
      <c r="I39" s="1147">
        <v>90402</v>
      </c>
    </row>
    <row r="40" spans="1:9" ht="27.75" customHeight="1">
      <c r="A40" s="1119">
        <f t="shared" si="2"/>
        <v>32767838092.716999</v>
      </c>
      <c r="B40" s="1120">
        <f t="shared" si="0"/>
        <v>21319348141</v>
      </c>
      <c r="C40" s="1041">
        <f>'C.Shelters-1  (2)'!H26</f>
        <v>87909.4</v>
      </c>
      <c r="D40" s="1041">
        <f t="shared" si="3"/>
        <v>372745.55499999999</v>
      </c>
      <c r="E40" s="1041">
        <f>ROUND(22800*L23,0)</f>
        <v>242515</v>
      </c>
      <c r="F40" s="1129" t="s">
        <v>135</v>
      </c>
      <c r="G40" s="1781" t="s">
        <v>1094</v>
      </c>
      <c r="H40" s="1781"/>
      <c r="I40" s="1147">
        <v>90204</v>
      </c>
    </row>
    <row r="41" spans="1:9" ht="27.75" customHeight="1">
      <c r="A41" s="1119">
        <f t="shared" si="2"/>
        <v>1839614521.2969997</v>
      </c>
      <c r="B41" s="1120">
        <f t="shared" si="0"/>
        <v>1196886481</v>
      </c>
      <c r="C41" s="1041">
        <f>C40</f>
        <v>87909.4</v>
      </c>
      <c r="D41" s="1041">
        <f t="shared" si="3"/>
        <v>20926.254999999997</v>
      </c>
      <c r="E41" s="1041">
        <f>ROUND(1280*L23,0)</f>
        <v>13615</v>
      </c>
      <c r="F41" s="1129" t="s">
        <v>135</v>
      </c>
      <c r="G41" s="1781" t="s">
        <v>1095</v>
      </c>
      <c r="H41" s="1781"/>
      <c r="I41" s="1147">
        <v>90217</v>
      </c>
    </row>
    <row r="42" spans="1:9" ht="27.75" customHeight="1">
      <c r="A42" s="1119">
        <f t="shared" si="2"/>
        <v>42250581472.5</v>
      </c>
      <c r="B42" s="1120">
        <f t="shared" si="0"/>
        <v>27488992500</v>
      </c>
      <c r="C42" s="1041">
        <f>'C.Shelters-1  (2)'!K26</f>
        <v>51915</v>
      </c>
      <c r="D42" s="1041">
        <f t="shared" si="3"/>
        <v>813841.5</v>
      </c>
      <c r="E42" s="1041">
        <v>529500</v>
      </c>
      <c r="F42" s="1129" t="s">
        <v>135</v>
      </c>
      <c r="G42" s="1784" t="s">
        <v>1096</v>
      </c>
      <c r="H42" s="1784"/>
      <c r="I42" s="1147">
        <v>160302</v>
      </c>
    </row>
    <row r="43" spans="1:9" ht="27.75" customHeight="1">
      <c r="A43" s="1119"/>
      <c r="B43" s="1120">
        <f t="shared" si="0"/>
        <v>0</v>
      </c>
      <c r="C43" s="1041"/>
      <c r="D43" s="1041"/>
      <c r="E43" s="1041"/>
      <c r="F43" s="1129"/>
      <c r="G43" s="1781" t="s">
        <v>1097</v>
      </c>
      <c r="H43" s="1781"/>
      <c r="I43" s="1147" t="s">
        <v>1048</v>
      </c>
    </row>
    <row r="44" spans="1:9" ht="27.75" customHeight="1">
      <c r="A44" s="1119">
        <f t="shared" ref="A44:A45" si="5">C44*D44</f>
        <v>262802074471.00003</v>
      </c>
      <c r="B44" s="1120">
        <f t="shared" si="0"/>
        <v>170983783000</v>
      </c>
      <c r="C44" s="1041">
        <f>SUM('C.Shelters-1  (2)'!F26:J26)</f>
        <v>439547.00000000006</v>
      </c>
      <c r="D44" s="1041">
        <f t="shared" ref="D44:D45" si="6">E44*$K$3</f>
        <v>597893</v>
      </c>
      <c r="E44" s="1041">
        <v>389000</v>
      </c>
      <c r="F44" s="1129" t="s">
        <v>135</v>
      </c>
      <c r="G44" s="1769" t="s">
        <v>1098</v>
      </c>
      <c r="H44" s="1772"/>
      <c r="I44" s="1150">
        <v>250104</v>
      </c>
    </row>
    <row r="45" spans="1:9" ht="36" customHeight="1">
      <c r="A45" s="1119">
        <f t="shared" si="5"/>
        <v>11898068021.316399</v>
      </c>
      <c r="B45" s="1120">
        <f t="shared" si="0"/>
        <v>7741098257</v>
      </c>
      <c r="C45" s="1041">
        <f>'C.Shelters-1  (2)'!L26</f>
        <v>9690.7999999999993</v>
      </c>
      <c r="D45" s="1041">
        <f t="shared" si="6"/>
        <v>1227769.433</v>
      </c>
      <c r="E45" s="1041">
        <f>ROUND(75100*L23,0)</f>
        <v>798809</v>
      </c>
      <c r="F45" s="1126" t="s">
        <v>1053</v>
      </c>
      <c r="G45" s="1769" t="s">
        <v>1099</v>
      </c>
      <c r="H45" s="1772"/>
      <c r="I45" s="1147">
        <v>250303</v>
      </c>
    </row>
    <row r="46" spans="1:9" ht="27.75" customHeight="1" thickBot="1">
      <c r="A46" s="1151">
        <f>SUM(A2:A45)</f>
        <v>678438826692.49451</v>
      </c>
      <c r="B46" s="1151">
        <f>SUM(B2:B45)</f>
        <v>438710828644</v>
      </c>
      <c r="C46" s="1152"/>
      <c r="D46" s="1152"/>
      <c r="E46" s="1153"/>
      <c r="F46" s="1152"/>
      <c r="G46" s="1783" t="s">
        <v>1100</v>
      </c>
      <c r="H46" s="1783"/>
      <c r="I46" s="1154"/>
    </row>
  </sheetData>
  <mergeCells count="46">
    <mergeCell ref="G44:H44"/>
    <mergeCell ref="G45:H45"/>
    <mergeCell ref="G46:H46"/>
    <mergeCell ref="G38:H38"/>
    <mergeCell ref="G39:H39"/>
    <mergeCell ref="G40:H40"/>
    <mergeCell ref="G41:H41"/>
    <mergeCell ref="G42:H42"/>
    <mergeCell ref="G43:H43"/>
    <mergeCell ref="G37:H37"/>
    <mergeCell ref="G26:H26"/>
    <mergeCell ref="G27:H27"/>
    <mergeCell ref="G28:H28"/>
    <mergeCell ref="G29:H29"/>
    <mergeCell ref="G30:H30"/>
    <mergeCell ref="G31:H31"/>
    <mergeCell ref="G32:H32"/>
    <mergeCell ref="G33:H33"/>
    <mergeCell ref="G34:H34"/>
    <mergeCell ref="G35:H35"/>
    <mergeCell ref="G36:H36"/>
    <mergeCell ref="G25:H25"/>
    <mergeCell ref="G14:H14"/>
    <mergeCell ref="G15:H15"/>
    <mergeCell ref="G16:H16"/>
    <mergeCell ref="G17:H17"/>
    <mergeCell ref="G18:H18"/>
    <mergeCell ref="G19:H19"/>
    <mergeCell ref="G20:H20"/>
    <mergeCell ref="G21:H21"/>
    <mergeCell ref="G22:H22"/>
    <mergeCell ref="G23:H23"/>
    <mergeCell ref="G24:H24"/>
    <mergeCell ref="A1:I1"/>
    <mergeCell ref="G13:H13"/>
    <mergeCell ref="G2:H2"/>
    <mergeCell ref="G3:H3"/>
    <mergeCell ref="G4:H4"/>
    <mergeCell ref="G5:H5"/>
    <mergeCell ref="G6:H6"/>
    <mergeCell ref="G7:H7"/>
    <mergeCell ref="G8:H8"/>
    <mergeCell ref="G9:H9"/>
    <mergeCell ref="G10:H10"/>
    <mergeCell ref="G11:H11"/>
    <mergeCell ref="G12:H12"/>
  </mergeCells>
  <printOptions horizontalCentered="1"/>
  <pageMargins left="0" right="0" top="0" bottom="0" header="0.31496062992125984" footer="0.31496062992125984"/>
  <pageSetup scale="57"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Q28"/>
  <sheetViews>
    <sheetView view="pageBreakPreview" zoomScale="80" zoomScaleNormal="90" zoomScaleSheetLayoutView="80" workbookViewId="0">
      <selection sqref="A1:XFD6"/>
    </sheetView>
  </sheetViews>
  <sheetFormatPr defaultColWidth="9.140625" defaultRowHeight="15"/>
  <cols>
    <col min="1" max="2" width="21.42578125" style="423" customWidth="1"/>
    <col min="3" max="4" width="14.7109375" style="1169" customWidth="1"/>
    <col min="5" max="5" width="14.7109375" style="1170" customWidth="1"/>
    <col min="6" max="7" width="14.7109375" style="1169" customWidth="1"/>
    <col min="8" max="8" width="44.42578125" style="423" customWidth="1"/>
    <col min="9" max="9" width="20.5703125" style="1169" customWidth="1"/>
    <col min="10" max="16384" width="9.140625" style="423"/>
  </cols>
  <sheetData>
    <row r="1" spans="1:17" ht="24.75" customHeight="1" thickBot="1">
      <c r="A1" s="1763" t="s">
        <v>4415</v>
      </c>
      <c r="B1" s="1764"/>
      <c r="C1" s="1764"/>
      <c r="D1" s="1764"/>
      <c r="E1" s="1764"/>
      <c r="F1" s="1764"/>
      <c r="G1" s="1764"/>
      <c r="H1" s="1764"/>
      <c r="I1" s="1765"/>
    </row>
    <row r="2" spans="1:17" ht="45">
      <c r="A2" s="1156" t="s">
        <v>1043</v>
      </c>
      <c r="B2" s="1111" t="s">
        <v>4402</v>
      </c>
      <c r="C2" s="1157" t="s">
        <v>1044</v>
      </c>
      <c r="D2" s="1037" t="s">
        <v>1045</v>
      </c>
      <c r="E2" s="1037" t="s">
        <v>4403</v>
      </c>
      <c r="F2" s="1157" t="s">
        <v>1046</v>
      </c>
      <c r="G2" s="1787" t="s">
        <v>1047</v>
      </c>
      <c r="H2" s="1788"/>
      <c r="I2" s="1158" t="s">
        <v>28</v>
      </c>
    </row>
    <row r="3" spans="1:17" ht="43.5" customHeight="1">
      <c r="A3" s="608">
        <f>C3*D3</f>
        <v>36577852458.799995</v>
      </c>
      <c r="B3" s="605">
        <f>ROUND(C3*E3,0)</f>
        <v>23798212400</v>
      </c>
      <c r="C3" s="606">
        <f>'C.ROAD-1'!H20</f>
        <v>8260.4</v>
      </c>
      <c r="D3" s="606">
        <f t="shared" ref="D3:D11" si="0">E3*$K$3</f>
        <v>4428097</v>
      </c>
      <c r="E3" s="606">
        <v>2881000</v>
      </c>
      <c r="F3" s="1159" t="s">
        <v>1101</v>
      </c>
      <c r="G3" s="1785" t="s">
        <v>1102</v>
      </c>
      <c r="H3" s="1786"/>
      <c r="I3" s="1160">
        <v>260101</v>
      </c>
      <c r="K3" s="479">
        <f>ROUND(L4*L5*L6*L7,3)</f>
        <v>1.5369999999999999</v>
      </c>
    </row>
    <row r="4" spans="1:17" ht="43.5" customHeight="1">
      <c r="A4" s="608">
        <f t="shared" ref="A4:A26" si="1">C4*D4</f>
        <v>45338254470.799995</v>
      </c>
      <c r="B4" s="605">
        <f t="shared" ref="B4:B26" si="2">ROUND(C4*E4,0)</f>
        <v>29497888400</v>
      </c>
      <c r="C4" s="606">
        <f>'C.ROAD-1'!I20</f>
        <v>8260.4</v>
      </c>
      <c r="D4" s="606">
        <f t="shared" si="0"/>
        <v>5488627</v>
      </c>
      <c r="E4" s="606">
        <v>3571000</v>
      </c>
      <c r="F4" s="1159" t="s">
        <v>1101</v>
      </c>
      <c r="G4" s="1785" t="s">
        <v>1103</v>
      </c>
      <c r="H4" s="1786"/>
      <c r="I4" s="1160">
        <v>260302</v>
      </c>
      <c r="K4" s="423" t="s">
        <v>4405</v>
      </c>
      <c r="L4" s="479">
        <v>1.0900000000000001</v>
      </c>
      <c r="P4" s="1161"/>
      <c r="Q4" s="1161"/>
    </row>
    <row r="5" spans="1:17" ht="43.5" customHeight="1">
      <c r="A5" s="608">
        <f t="shared" si="1"/>
        <v>1904130510.3648</v>
      </c>
      <c r="B5" s="605">
        <f t="shared" si="2"/>
        <v>1238861750</v>
      </c>
      <c r="C5" s="606">
        <f>C3</f>
        <v>8260.4</v>
      </c>
      <c r="D5" s="606">
        <f t="shared" si="0"/>
        <v>230513.11199999999</v>
      </c>
      <c r="E5" s="606">
        <f>ROUND(14100*L20,0)</f>
        <v>149976</v>
      </c>
      <c r="F5" s="1159" t="s">
        <v>1101</v>
      </c>
      <c r="G5" s="1785" t="s">
        <v>1104</v>
      </c>
      <c r="H5" s="1786"/>
      <c r="I5" s="1160">
        <v>260602</v>
      </c>
      <c r="K5" s="422" t="s">
        <v>4406</v>
      </c>
      <c r="L5" s="479">
        <v>1.41</v>
      </c>
    </row>
    <row r="6" spans="1:17" ht="43.5" customHeight="1">
      <c r="A6" s="608">
        <f t="shared" si="1"/>
        <v>5243544972.3999996</v>
      </c>
      <c r="B6" s="605">
        <f t="shared" si="2"/>
        <v>3411545200</v>
      </c>
      <c r="C6" s="606">
        <f>C4</f>
        <v>8260.4</v>
      </c>
      <c r="D6" s="606">
        <f t="shared" si="0"/>
        <v>634781</v>
      </c>
      <c r="E6" s="606">
        <v>413000</v>
      </c>
      <c r="F6" s="1159" t="s">
        <v>1101</v>
      </c>
      <c r="G6" s="1785" t="s">
        <v>1105</v>
      </c>
      <c r="H6" s="1786"/>
      <c r="I6" s="1160">
        <v>260605</v>
      </c>
      <c r="K6" s="422" t="s">
        <v>4407</v>
      </c>
      <c r="L6" s="479">
        <v>1</v>
      </c>
    </row>
    <row r="7" spans="1:17" ht="43.5" customHeight="1">
      <c r="A7" s="608">
        <f t="shared" si="1"/>
        <v>16732846833.6</v>
      </c>
      <c r="B7" s="605">
        <f t="shared" si="2"/>
        <v>10886692800</v>
      </c>
      <c r="C7" s="606">
        <f>'C.ROAD-1'!J20</f>
        <v>55262.400000000001</v>
      </c>
      <c r="D7" s="606">
        <f t="shared" si="0"/>
        <v>302789</v>
      </c>
      <c r="E7" s="606">
        <v>197000</v>
      </c>
      <c r="F7" s="1159" t="s">
        <v>496</v>
      </c>
      <c r="G7" s="1785" t="s">
        <v>1106</v>
      </c>
      <c r="H7" s="1786"/>
      <c r="I7" s="1160">
        <v>270101</v>
      </c>
      <c r="K7" s="424" t="s">
        <v>4408</v>
      </c>
      <c r="L7" s="479">
        <v>1</v>
      </c>
    </row>
    <row r="8" spans="1:17" ht="43.5" customHeight="1">
      <c r="A8" s="608">
        <f t="shared" si="1"/>
        <v>6806261032.7580004</v>
      </c>
      <c r="B8" s="605">
        <f t="shared" si="2"/>
        <v>4428276534</v>
      </c>
      <c r="C8" s="606">
        <f>'C.ROAD-1'!K20</f>
        <v>18585.900000000001</v>
      </c>
      <c r="D8" s="606">
        <f t="shared" si="0"/>
        <v>366205.62</v>
      </c>
      <c r="E8" s="606">
        <f>ROUND(22400*L20,0)</f>
        <v>238260</v>
      </c>
      <c r="F8" s="1159" t="s">
        <v>496</v>
      </c>
      <c r="G8" s="1785" t="s">
        <v>1107</v>
      </c>
      <c r="H8" s="1786"/>
      <c r="I8" s="1160">
        <v>270201</v>
      </c>
    </row>
    <row r="9" spans="1:17" ht="43.5" customHeight="1">
      <c r="A9" s="608">
        <f t="shared" si="1"/>
        <v>336277553406.71997</v>
      </c>
      <c r="B9" s="605">
        <f t="shared" si="2"/>
        <v>218788258560</v>
      </c>
      <c r="C9" s="606">
        <f>'C.ROAD-1'!L20*4</f>
        <v>6608.32</v>
      </c>
      <c r="D9" s="606">
        <f t="shared" si="0"/>
        <v>50886996</v>
      </c>
      <c r="E9" s="606">
        <v>33108000</v>
      </c>
      <c r="F9" s="1162" t="s">
        <v>1075</v>
      </c>
      <c r="G9" s="1785" t="s">
        <v>1108</v>
      </c>
      <c r="H9" s="1786"/>
      <c r="I9" s="1160">
        <v>270304</v>
      </c>
    </row>
    <row r="10" spans="1:17" ht="54" customHeight="1">
      <c r="A10" s="608">
        <f t="shared" si="1"/>
        <v>3550574196.7958403</v>
      </c>
      <c r="B10" s="605">
        <f t="shared" si="2"/>
        <v>2310067792</v>
      </c>
      <c r="C10" s="606">
        <f>'C.ROAD-1'!M20*4</f>
        <v>5526.2400000000007</v>
      </c>
      <c r="D10" s="606">
        <f t="shared" si="0"/>
        <v>642493.66599999997</v>
      </c>
      <c r="E10" s="606">
        <f>ROUND(39300*L20,0)</f>
        <v>418018</v>
      </c>
      <c r="F10" s="1162" t="s">
        <v>1075</v>
      </c>
      <c r="G10" s="1785" t="s">
        <v>1076</v>
      </c>
      <c r="H10" s="1786"/>
      <c r="I10" s="1160">
        <v>270306</v>
      </c>
    </row>
    <row r="11" spans="1:17" ht="43.5" customHeight="1">
      <c r="A11" s="608">
        <f t="shared" si="1"/>
        <v>3761346400</v>
      </c>
      <c r="B11" s="605">
        <f t="shared" si="2"/>
        <v>2447200000</v>
      </c>
      <c r="C11" s="606">
        <f>'C.ROAD-1'!P20</f>
        <v>950</v>
      </c>
      <c r="D11" s="1041">
        <f t="shared" si="0"/>
        <v>3959312</v>
      </c>
      <c r="E11" s="1041">
        <v>2576000</v>
      </c>
      <c r="F11" s="1126" t="s">
        <v>1109</v>
      </c>
      <c r="G11" s="1761" t="s">
        <v>1110</v>
      </c>
      <c r="H11" s="1789"/>
      <c r="I11" s="572">
        <v>260701</v>
      </c>
    </row>
    <row r="12" spans="1:17" s="422" customFormat="1" ht="29.25" customHeight="1">
      <c r="A12" s="1119"/>
      <c r="B12" s="605">
        <f t="shared" si="2"/>
        <v>0</v>
      </c>
      <c r="C12" s="1041"/>
      <c r="D12" s="1041"/>
      <c r="E12" s="1041"/>
      <c r="F12" s="1047" t="s">
        <v>1048</v>
      </c>
      <c r="G12" s="1769" t="s">
        <v>1060</v>
      </c>
      <c r="H12" s="1772"/>
      <c r="I12" s="572" t="s">
        <v>1048</v>
      </c>
    </row>
    <row r="13" spans="1:17" ht="43.5" customHeight="1">
      <c r="A13" s="1119">
        <f>C13*D13</f>
        <v>3728419556.4000001</v>
      </c>
      <c r="B13" s="605">
        <f t="shared" si="2"/>
        <v>2425777200</v>
      </c>
      <c r="C13" s="1041">
        <f>SUM('C.ROAD-1'!N20:O20)</f>
        <v>12600</v>
      </c>
      <c r="D13" s="1041">
        <f>E13*$K$3</f>
        <v>295906.31400000001</v>
      </c>
      <c r="E13" s="1041">
        <f>ROUND(18100*L20,0)</f>
        <v>192522</v>
      </c>
      <c r="F13" s="1126" t="s">
        <v>1051</v>
      </c>
      <c r="G13" s="1761" t="s">
        <v>1061</v>
      </c>
      <c r="H13" s="1789"/>
      <c r="I13" s="572">
        <v>31002</v>
      </c>
    </row>
    <row r="14" spans="1:17" s="422" customFormat="1" ht="33.75" customHeight="1">
      <c r="A14" s="1119">
        <f t="shared" ref="A14:A15" si="3">C14*D14</f>
        <v>4705986600</v>
      </c>
      <c r="B14" s="605">
        <f t="shared" si="2"/>
        <v>306180000</v>
      </c>
      <c r="C14" s="1041">
        <f>C13</f>
        <v>12600</v>
      </c>
      <c r="D14" s="1041">
        <f>E14*$K$3*10</f>
        <v>373491</v>
      </c>
      <c r="E14" s="1041">
        <v>24300</v>
      </c>
      <c r="F14" s="1126" t="s">
        <v>1062</v>
      </c>
      <c r="G14" s="1769" t="s">
        <v>1063</v>
      </c>
      <c r="H14" s="1772"/>
      <c r="I14" s="572">
        <v>30703</v>
      </c>
    </row>
    <row r="15" spans="1:17" s="422" customFormat="1" ht="33.75" customHeight="1">
      <c r="A15" s="1119">
        <f t="shared" si="3"/>
        <v>1917253800</v>
      </c>
      <c r="B15" s="605">
        <f t="shared" si="2"/>
        <v>249480000</v>
      </c>
      <c r="C15" s="1041">
        <f>C13</f>
        <v>12600</v>
      </c>
      <c r="D15" s="1041">
        <f>E15*$K$3*5</f>
        <v>152163</v>
      </c>
      <c r="E15" s="1041">
        <v>19800</v>
      </c>
      <c r="F15" s="1126" t="s">
        <v>1062</v>
      </c>
      <c r="G15" s="1769" t="s">
        <v>1064</v>
      </c>
      <c r="H15" s="1772"/>
      <c r="I15" s="572">
        <v>30704</v>
      </c>
    </row>
    <row r="16" spans="1:17" ht="43.5" customHeight="1">
      <c r="A16" s="1119"/>
      <c r="B16" s="605">
        <f t="shared" si="2"/>
        <v>0</v>
      </c>
      <c r="C16" s="1047"/>
      <c r="D16" s="1041"/>
      <c r="E16" s="1043"/>
      <c r="F16" s="1047" t="s">
        <v>1048</v>
      </c>
      <c r="G16" s="1761" t="s">
        <v>1065</v>
      </c>
      <c r="H16" s="1789"/>
      <c r="I16" s="572" t="s">
        <v>1048</v>
      </c>
    </row>
    <row r="17" spans="1:12" ht="43.5" customHeight="1">
      <c r="A17" s="608">
        <f t="shared" si="1"/>
        <v>340945025</v>
      </c>
      <c r="B17" s="605">
        <f t="shared" si="2"/>
        <v>221825000</v>
      </c>
      <c r="C17" s="1041">
        <f>'C.ROAD-1'!N20</f>
        <v>950</v>
      </c>
      <c r="D17" s="606">
        <f>E17*$K$3</f>
        <v>358889.5</v>
      </c>
      <c r="E17" s="1043">
        <v>233500</v>
      </c>
      <c r="F17" s="1126" t="s">
        <v>1051</v>
      </c>
      <c r="G17" s="1761" t="s">
        <v>1111</v>
      </c>
      <c r="H17" s="1789"/>
      <c r="I17" s="572">
        <v>30904</v>
      </c>
    </row>
    <row r="18" spans="1:12" ht="43.5" customHeight="1" thickBot="1">
      <c r="A18" s="1163">
        <f t="shared" si="1"/>
        <v>2992077900</v>
      </c>
      <c r="B18" s="605">
        <f t="shared" si="2"/>
        <v>1946700000</v>
      </c>
      <c r="C18" s="516">
        <f>SUM('C.ROAD-1'!O20:P20)</f>
        <v>12600</v>
      </c>
      <c r="D18" s="1164">
        <f>E18*$K$3</f>
        <v>237466.5</v>
      </c>
      <c r="E18" s="1043">
        <v>154500</v>
      </c>
      <c r="F18" s="1128"/>
      <c r="G18" s="1790" t="s">
        <v>1112</v>
      </c>
      <c r="H18" s="1791"/>
      <c r="I18" s="573">
        <v>30902</v>
      </c>
      <c r="K18" s="337" t="s">
        <v>4411</v>
      </c>
      <c r="L18" s="1130">
        <v>481.9</v>
      </c>
    </row>
    <row r="19" spans="1:12" ht="43.5" customHeight="1">
      <c r="A19" s="1119">
        <f t="shared" si="1"/>
        <v>0</v>
      </c>
      <c r="B19" s="605">
        <f t="shared" si="2"/>
        <v>0</v>
      </c>
      <c r="C19" s="1041"/>
      <c r="D19" s="1041"/>
      <c r="E19" s="1041"/>
      <c r="F19" s="1117" t="s">
        <v>1048</v>
      </c>
      <c r="G19" s="1761" t="s">
        <v>1072</v>
      </c>
      <c r="H19" s="1789"/>
      <c r="I19" s="572" t="s">
        <v>1048</v>
      </c>
      <c r="K19" s="337" t="s">
        <v>4412</v>
      </c>
      <c r="L19" s="1130">
        <v>5125.7780000000002</v>
      </c>
    </row>
    <row r="20" spans="1:12" ht="43.5" customHeight="1">
      <c r="A20" s="1119">
        <f t="shared" si="1"/>
        <v>2019618000</v>
      </c>
      <c r="B20" s="605">
        <f t="shared" si="2"/>
        <v>1314000000</v>
      </c>
      <c r="C20" s="516">
        <f>SUM('C.ROAD-1'!G16:G17)*0.2</f>
        <v>7200</v>
      </c>
      <c r="D20" s="1164">
        <f t="shared" ref="D20:D22" si="4">E20*$K$3</f>
        <v>280502.5</v>
      </c>
      <c r="E20" s="1046">
        <v>182500</v>
      </c>
      <c r="F20" s="1126" t="s">
        <v>1051</v>
      </c>
      <c r="G20" s="1761" t="s">
        <v>1113</v>
      </c>
      <c r="H20" s="1789"/>
      <c r="I20" s="573">
        <v>30501</v>
      </c>
      <c r="K20" s="1135" t="s">
        <v>4413</v>
      </c>
      <c r="L20" s="479">
        <f>L19/L18</f>
        <v>10.636600954554888</v>
      </c>
    </row>
    <row r="21" spans="1:12" s="422" customFormat="1" ht="33.75" customHeight="1">
      <c r="A21" s="1119">
        <f t="shared" si="1"/>
        <v>7044881306.4000006</v>
      </c>
      <c r="B21" s="605">
        <f t="shared" si="2"/>
        <v>4583527200</v>
      </c>
      <c r="C21" s="1041">
        <f>SUM('C.ROAD-1'!G16:G17)*0.7</f>
        <v>25200</v>
      </c>
      <c r="D21" s="1164">
        <f t="shared" si="4"/>
        <v>279558.78200000001</v>
      </c>
      <c r="E21" s="1041">
        <f>ROUND(17100*L20,0)</f>
        <v>181886</v>
      </c>
      <c r="F21" s="1126" t="s">
        <v>1051</v>
      </c>
      <c r="G21" s="1761" t="s">
        <v>1114</v>
      </c>
      <c r="H21" s="1789"/>
      <c r="I21" s="572">
        <v>30502</v>
      </c>
    </row>
    <row r="22" spans="1:12" s="422" customFormat="1" ht="33.75" customHeight="1">
      <c r="A22" s="1119">
        <f t="shared" si="1"/>
        <v>104348920107.59999</v>
      </c>
      <c r="B22" s="605">
        <f t="shared" si="2"/>
        <v>67891294800</v>
      </c>
      <c r="C22" s="1041">
        <f>SUM('C.ROAD-1'!G16:G17)*0.1</f>
        <v>3600</v>
      </c>
      <c r="D22" s="1164">
        <f t="shared" si="4"/>
        <v>28985811.140999999</v>
      </c>
      <c r="E22" s="1041">
        <f>ROUND(1773000*L20,0)</f>
        <v>18858693</v>
      </c>
      <c r="F22" s="1126" t="s">
        <v>1051</v>
      </c>
      <c r="G22" s="1761" t="s">
        <v>1115</v>
      </c>
      <c r="H22" s="1789"/>
      <c r="I22" s="572">
        <v>30504</v>
      </c>
    </row>
    <row r="23" spans="1:12" s="422" customFormat="1" ht="33.75" customHeight="1">
      <c r="A23" s="1119">
        <f t="shared" si="1"/>
        <v>1181802988.8</v>
      </c>
      <c r="B23" s="605">
        <f t="shared" si="2"/>
        <v>768902400</v>
      </c>
      <c r="C23" s="1041">
        <f>SUM(C21:C22)</f>
        <v>28800</v>
      </c>
      <c r="D23" s="1041">
        <f>E23*$K$3</f>
        <v>41034.826000000001</v>
      </c>
      <c r="E23" s="1041">
        <f>ROUND(2510*L20,0)</f>
        <v>26698</v>
      </c>
      <c r="F23" s="1126" t="s">
        <v>1051</v>
      </c>
      <c r="G23" s="1761" t="s">
        <v>1116</v>
      </c>
      <c r="H23" s="1789"/>
      <c r="I23" s="572">
        <v>30404</v>
      </c>
    </row>
    <row r="24" spans="1:12" s="422" customFormat="1" ht="33.75" customHeight="1">
      <c r="A24" s="1119">
        <f t="shared" si="1"/>
        <v>5444668800</v>
      </c>
      <c r="B24" s="605">
        <f t="shared" si="2"/>
        <v>3542400000</v>
      </c>
      <c r="C24" s="1041">
        <f>C23</f>
        <v>28800</v>
      </c>
      <c r="D24" s="1041">
        <f>E24*$K$3</f>
        <v>189051</v>
      </c>
      <c r="E24" s="1041">
        <v>123000</v>
      </c>
      <c r="F24" s="1126" t="s">
        <v>1051</v>
      </c>
      <c r="G24" s="1761" t="s">
        <v>1073</v>
      </c>
      <c r="H24" s="1789"/>
      <c r="I24" s="572">
        <v>30701</v>
      </c>
    </row>
    <row r="25" spans="1:12" s="422" customFormat="1" ht="33.75" customHeight="1">
      <c r="A25" s="1119">
        <f t="shared" si="1"/>
        <v>1051308000</v>
      </c>
      <c r="B25" s="605">
        <f t="shared" si="2"/>
        <v>136800000</v>
      </c>
      <c r="C25" s="1041">
        <f>C23</f>
        <v>28800</v>
      </c>
      <c r="D25" s="1041">
        <f>E25*$K$3*5</f>
        <v>36503.75</v>
      </c>
      <c r="E25" s="1041">
        <v>4750</v>
      </c>
      <c r="F25" s="1126" t="s">
        <v>1062</v>
      </c>
      <c r="G25" s="1769" t="s">
        <v>1080</v>
      </c>
      <c r="H25" s="1772"/>
      <c r="I25" s="572">
        <v>30702</v>
      </c>
    </row>
    <row r="26" spans="1:12" s="422" customFormat="1" ht="33.75" customHeight="1" thickBot="1">
      <c r="A26" s="1119">
        <f t="shared" si="1"/>
        <v>10756540800</v>
      </c>
      <c r="B26" s="605">
        <f t="shared" si="2"/>
        <v>699840000</v>
      </c>
      <c r="C26" s="1041">
        <f>C23</f>
        <v>28800</v>
      </c>
      <c r="D26" s="1041">
        <f>E26*$K$3*10</f>
        <v>373491</v>
      </c>
      <c r="E26" s="1041">
        <v>24300</v>
      </c>
      <c r="F26" s="1126" t="s">
        <v>1062</v>
      </c>
      <c r="G26" s="1769" t="s">
        <v>1063</v>
      </c>
      <c r="H26" s="1772"/>
      <c r="I26" s="572">
        <v>30703</v>
      </c>
    </row>
    <row r="27" spans="1:12" ht="43.5" customHeight="1" thickBot="1">
      <c r="A27" s="1165">
        <f>SUM(A3:A26)</f>
        <v>601724787166.43872</v>
      </c>
      <c r="B27" s="1165">
        <f>SUM(B3:B26)</f>
        <v>380893730036</v>
      </c>
      <c r="C27" s="1166"/>
      <c r="D27" s="1166"/>
      <c r="E27" s="1167"/>
      <c r="F27" s="1166"/>
      <c r="G27" s="1792" t="s">
        <v>1100</v>
      </c>
      <c r="H27" s="1793"/>
      <c r="I27" s="1168"/>
    </row>
    <row r="28" spans="1:12">
      <c r="A28" s="423" t="s">
        <v>1117</v>
      </c>
    </row>
  </sheetData>
  <mergeCells count="27">
    <mergeCell ref="G26:H26"/>
    <mergeCell ref="G27:H27"/>
    <mergeCell ref="G20:H20"/>
    <mergeCell ref="G21:H21"/>
    <mergeCell ref="G22:H22"/>
    <mergeCell ref="G23:H23"/>
    <mergeCell ref="G24:H24"/>
    <mergeCell ref="G25:H25"/>
    <mergeCell ref="G19:H19"/>
    <mergeCell ref="G8:H8"/>
    <mergeCell ref="G9:H9"/>
    <mergeCell ref="G10:H10"/>
    <mergeCell ref="G11:H11"/>
    <mergeCell ref="G12:H12"/>
    <mergeCell ref="G13:H13"/>
    <mergeCell ref="G14:H14"/>
    <mergeCell ref="G15:H15"/>
    <mergeCell ref="G16:H16"/>
    <mergeCell ref="G17:H17"/>
    <mergeCell ref="G18:H18"/>
    <mergeCell ref="G7:H7"/>
    <mergeCell ref="A1:I1"/>
    <mergeCell ref="G2:H2"/>
    <mergeCell ref="G3:H3"/>
    <mergeCell ref="G4:H4"/>
    <mergeCell ref="G5:H5"/>
    <mergeCell ref="G6:H6"/>
  </mergeCells>
  <printOptions horizontalCentered="1"/>
  <pageMargins left="0.19685039370078741" right="0.19685039370078741" top="0.19685039370078741" bottom="0.19685039370078741" header="0.31496062992125984" footer="0.31496062992125984"/>
  <pageSetup scale="4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Q33"/>
  <sheetViews>
    <sheetView view="pageBreakPreview" zoomScale="80" zoomScaleNormal="100" zoomScaleSheetLayoutView="80" workbookViewId="0">
      <selection activeCell="M13" sqref="M13"/>
    </sheetView>
  </sheetViews>
  <sheetFormatPr defaultColWidth="9.140625" defaultRowHeight="15"/>
  <cols>
    <col min="1" max="2" width="22.140625" style="422" customWidth="1"/>
    <col min="3" max="4" width="14.7109375" style="547" customWidth="1"/>
    <col min="5" max="5" width="14.7109375" style="1136" customWidth="1"/>
    <col min="6" max="7" width="14.7109375" style="547" customWidth="1"/>
    <col min="8" max="8" width="25.42578125" style="422" customWidth="1"/>
    <col min="9" max="9" width="18.28515625" style="547" customWidth="1"/>
    <col min="10" max="16384" width="9.140625" style="422"/>
  </cols>
  <sheetData>
    <row r="1" spans="1:17" s="423" customFormat="1" ht="24.75" customHeight="1" thickBot="1">
      <c r="A1" s="1763" t="s">
        <v>4346</v>
      </c>
      <c r="B1" s="1764"/>
      <c r="C1" s="1764"/>
      <c r="D1" s="1764"/>
      <c r="E1" s="1764"/>
      <c r="F1" s="1764"/>
      <c r="G1" s="1764"/>
      <c r="H1" s="1764"/>
      <c r="I1" s="1765"/>
    </row>
    <row r="2" spans="1:17" ht="45">
      <c r="A2" s="1171" t="s">
        <v>1043</v>
      </c>
      <c r="B2" s="1111" t="s">
        <v>4402</v>
      </c>
      <c r="C2" s="1172" t="s">
        <v>1044</v>
      </c>
      <c r="D2" s="1038" t="s">
        <v>1045</v>
      </c>
      <c r="E2" s="1038" t="s">
        <v>4403</v>
      </c>
      <c r="F2" s="1172" t="s">
        <v>1046</v>
      </c>
      <c r="G2" s="1794" t="s">
        <v>1047</v>
      </c>
      <c r="H2" s="1795"/>
      <c r="I2" s="1173" t="s">
        <v>28</v>
      </c>
    </row>
    <row r="3" spans="1:17" ht="20.100000000000001" customHeight="1">
      <c r="A3" s="1115"/>
      <c r="B3" s="1116"/>
      <c r="C3" s="1117"/>
      <c r="D3" s="1117"/>
      <c r="E3" s="1041"/>
      <c r="F3" s="1117" t="s">
        <v>1048</v>
      </c>
      <c r="G3" s="1796" t="s">
        <v>1049</v>
      </c>
      <c r="H3" s="1797"/>
      <c r="I3" s="1118" t="s">
        <v>1048</v>
      </c>
      <c r="K3" s="479">
        <f>ROUND(L4*L5*L6*L7,3)</f>
        <v>1.5369999999999999</v>
      </c>
      <c r="L3" s="422" t="s">
        <v>1050</v>
      </c>
    </row>
    <row r="4" spans="1:17" ht="54" customHeight="1">
      <c r="A4" s="1119">
        <f>C4*D4</f>
        <v>939154391735.03992</v>
      </c>
      <c r="B4" s="1120">
        <f>ROUND(C4*E4,0)</f>
        <v>611030833920</v>
      </c>
      <c r="C4" s="1041">
        <f>'C.OTHERS-1'!F29</f>
        <v>344631.03999999998</v>
      </c>
      <c r="D4" s="1041">
        <f>E4*$K$3</f>
        <v>2725101</v>
      </c>
      <c r="E4" s="1121">
        <v>1773000</v>
      </c>
      <c r="F4" s="1122" t="s">
        <v>1051</v>
      </c>
      <c r="G4" s="1766" t="s">
        <v>4404</v>
      </c>
      <c r="H4" s="1767"/>
      <c r="I4" s="1123">
        <v>30504</v>
      </c>
      <c r="K4" s="423" t="s">
        <v>4405</v>
      </c>
      <c r="L4" s="479">
        <v>1.0900000000000001</v>
      </c>
      <c r="P4" s="424"/>
      <c r="Q4" s="424"/>
    </row>
    <row r="5" spans="1:17" ht="20.100000000000001" customHeight="1">
      <c r="A5" s="1119">
        <f>C5*D5</f>
        <v>0</v>
      </c>
      <c r="B5" s="1120"/>
      <c r="C5" s="1041"/>
      <c r="D5" s="1041"/>
      <c r="E5" s="1041"/>
      <c r="F5" s="1117" t="s">
        <v>1048</v>
      </c>
      <c r="G5" s="1768" t="s">
        <v>1072</v>
      </c>
      <c r="H5" s="1798"/>
      <c r="I5" s="572" t="s">
        <v>1048</v>
      </c>
      <c r="K5" s="422" t="s">
        <v>4406</v>
      </c>
      <c r="L5" s="479">
        <v>1.41</v>
      </c>
    </row>
    <row r="6" spans="1:17" ht="33.75" customHeight="1">
      <c r="A6" s="1119">
        <f>C6*D6</f>
        <v>65152842743.039993</v>
      </c>
      <c r="B6" s="1120">
        <f>ROUND(C6*E6,0)</f>
        <v>42389617920</v>
      </c>
      <c r="C6" s="1041">
        <f>'C.OTHERS-1'!F29</f>
        <v>344631.03999999998</v>
      </c>
      <c r="D6" s="1041">
        <f>E6*$K$3</f>
        <v>189051</v>
      </c>
      <c r="E6" s="1041">
        <v>123000</v>
      </c>
      <c r="F6" s="1126" t="s">
        <v>1051</v>
      </c>
      <c r="G6" s="1761" t="s">
        <v>1073</v>
      </c>
      <c r="H6" s="1789"/>
      <c r="I6" s="572">
        <v>30701</v>
      </c>
      <c r="K6" s="422" t="s">
        <v>4407</v>
      </c>
      <c r="L6" s="479">
        <v>1</v>
      </c>
    </row>
    <row r="7" spans="1:17" ht="33.75" customHeight="1">
      <c r="A7" s="1119">
        <f>C8*D7</f>
        <v>12580325326.4</v>
      </c>
      <c r="B7" s="1120">
        <f t="shared" ref="B7:B30" si="0">ROUND(C7*E7,0)</f>
        <v>1636997440</v>
      </c>
      <c r="C7" s="1041">
        <f>C6</f>
        <v>344631.03999999998</v>
      </c>
      <c r="D7" s="1041">
        <f>E7*$K$3*5</f>
        <v>36503.75</v>
      </c>
      <c r="E7" s="1041">
        <v>4750</v>
      </c>
      <c r="F7" s="1126" t="s">
        <v>1062</v>
      </c>
      <c r="G7" s="1769" t="s">
        <v>1080</v>
      </c>
      <c r="H7" s="1772"/>
      <c r="I7" s="572">
        <v>30702</v>
      </c>
      <c r="K7" s="424" t="s">
        <v>4408</v>
      </c>
      <c r="L7" s="479">
        <v>1</v>
      </c>
    </row>
    <row r="8" spans="1:17" ht="33.75" customHeight="1">
      <c r="A8" s="1119">
        <f t="shared" ref="A8" si="1">C8*D8</f>
        <v>128716591760.64</v>
      </c>
      <c r="B8" s="1120">
        <f t="shared" si="0"/>
        <v>8374534272</v>
      </c>
      <c r="C8" s="1041">
        <f>C7</f>
        <v>344631.03999999998</v>
      </c>
      <c r="D8" s="1041">
        <f>E8*$K$3*10</f>
        <v>373491</v>
      </c>
      <c r="E8" s="1041">
        <v>24300</v>
      </c>
      <c r="F8" s="1126" t="s">
        <v>1062</v>
      </c>
      <c r="G8" s="1769" t="s">
        <v>1063</v>
      </c>
      <c r="H8" s="1772"/>
      <c r="I8" s="572">
        <v>30703</v>
      </c>
    </row>
    <row r="9" spans="1:17" ht="20.100000000000001" customHeight="1">
      <c r="A9" s="1119"/>
      <c r="B9" s="1120"/>
      <c r="C9" s="1124"/>
      <c r="D9" s="1041"/>
      <c r="E9" s="1039"/>
      <c r="F9" s="1124" t="s">
        <v>1048</v>
      </c>
      <c r="G9" s="1761" t="s">
        <v>1052</v>
      </c>
      <c r="H9" s="1789"/>
      <c r="I9" s="1118" t="s">
        <v>1048</v>
      </c>
    </row>
    <row r="10" spans="1:17" ht="20.100000000000001" customHeight="1">
      <c r="A10" s="1119">
        <f t="shared" ref="A10:A31" si="2">C10*D10</f>
        <v>81556878060</v>
      </c>
      <c r="B10" s="1120">
        <f t="shared" si="0"/>
        <v>53062380000</v>
      </c>
      <c r="C10" s="1043">
        <f>'C.OTHERS-1'!H29</f>
        <v>36620</v>
      </c>
      <c r="D10" s="1041">
        <f>E10*$K$3</f>
        <v>2227113</v>
      </c>
      <c r="E10" s="1125">
        <v>1449000</v>
      </c>
      <c r="F10" s="1126" t="s">
        <v>1053</v>
      </c>
      <c r="G10" s="1761" t="s">
        <v>1054</v>
      </c>
      <c r="H10" s="1789"/>
      <c r="I10" s="572">
        <v>60101</v>
      </c>
    </row>
    <row r="11" spans="1:17" ht="20.100000000000001" customHeight="1">
      <c r="A11" s="1119"/>
      <c r="B11" s="1120"/>
      <c r="C11" s="1047"/>
      <c r="D11" s="1041"/>
      <c r="E11" s="1043"/>
      <c r="F11" s="1047" t="s">
        <v>1048</v>
      </c>
      <c r="G11" s="1761" t="s">
        <v>1055</v>
      </c>
      <c r="H11" s="1789"/>
      <c r="I11" s="1118" t="s">
        <v>1048</v>
      </c>
    </row>
    <row r="12" spans="1:17" ht="49.15" customHeight="1">
      <c r="A12" s="1119">
        <f t="shared" si="2"/>
        <v>278700883943.00494</v>
      </c>
      <c r="B12" s="1120">
        <f t="shared" si="0"/>
        <v>181327836007</v>
      </c>
      <c r="C12" s="1043">
        <f>'C.OTHERS-1'!K29</f>
        <v>720985.43144000007</v>
      </c>
      <c r="D12" s="1041">
        <f>E12*$K$3</f>
        <v>386555.5</v>
      </c>
      <c r="E12" s="1125">
        <v>251500</v>
      </c>
      <c r="F12" s="1125" t="s">
        <v>1056</v>
      </c>
      <c r="G12" s="1766" t="s">
        <v>4416</v>
      </c>
      <c r="H12" s="1767"/>
      <c r="I12" s="1123">
        <v>70202</v>
      </c>
    </row>
    <row r="13" spans="1:17" ht="47.45" customHeight="1">
      <c r="A13" s="1119">
        <f t="shared" si="2"/>
        <v>242078879457.5</v>
      </c>
      <c r="B13" s="1120">
        <f t="shared" si="0"/>
        <v>157500897500</v>
      </c>
      <c r="C13" s="1043">
        <f>'C.OTHERS-1'!J29</f>
        <v>15726.5</v>
      </c>
      <c r="D13" s="1041">
        <f>E13*$K$3</f>
        <v>15393055</v>
      </c>
      <c r="E13" s="1125">
        <v>10015000</v>
      </c>
      <c r="F13" s="1126" t="s">
        <v>1051</v>
      </c>
      <c r="G13" s="1761" t="s">
        <v>1057</v>
      </c>
      <c r="H13" s="1789"/>
      <c r="I13" s="572">
        <v>80106</v>
      </c>
    </row>
    <row r="14" spans="1:17" ht="20.100000000000001" customHeight="1">
      <c r="A14" s="1119">
        <f t="shared" si="2"/>
        <v>1943399092.1999998</v>
      </c>
      <c r="B14" s="1120">
        <f t="shared" si="0"/>
        <v>1264410600</v>
      </c>
      <c r="C14" s="1043">
        <f>C13</f>
        <v>15726.5</v>
      </c>
      <c r="D14" s="1041">
        <f>E14*$K$3</f>
        <v>123574.79999999999</v>
      </c>
      <c r="E14" s="1125">
        <v>80400</v>
      </c>
      <c r="F14" s="1126" t="s">
        <v>1051</v>
      </c>
      <c r="G14" s="1761" t="s">
        <v>1058</v>
      </c>
      <c r="H14" s="1789"/>
      <c r="I14" s="572">
        <v>80310</v>
      </c>
    </row>
    <row r="15" spans="1:17" ht="29.25" customHeight="1">
      <c r="A15" s="1119"/>
      <c r="B15" s="1120"/>
      <c r="C15" s="1041"/>
      <c r="D15" s="1041"/>
      <c r="E15" s="1041"/>
      <c r="F15" s="1047" t="s">
        <v>1048</v>
      </c>
      <c r="G15" s="1769" t="s">
        <v>1060</v>
      </c>
      <c r="H15" s="1772"/>
      <c r="I15" s="572" t="s">
        <v>1048</v>
      </c>
    </row>
    <row r="16" spans="1:17" ht="36" customHeight="1">
      <c r="A16" s="1119">
        <f t="shared" si="2"/>
        <v>10877516102.640001</v>
      </c>
      <c r="B16" s="1120">
        <f t="shared" si="0"/>
        <v>7077108720</v>
      </c>
      <c r="C16" s="1041">
        <f>'C.OTHERS-1'!G29</f>
        <v>36760</v>
      </c>
      <c r="D16" s="1041">
        <f>E16*$K$3</f>
        <v>295906.31400000001</v>
      </c>
      <c r="E16" s="1041">
        <f>ROUND(18100*L32,0)</f>
        <v>192522</v>
      </c>
      <c r="F16" s="1126" t="s">
        <v>1051</v>
      </c>
      <c r="G16" s="1769" t="s">
        <v>1061</v>
      </c>
      <c r="H16" s="1772"/>
      <c r="I16" s="572">
        <v>31002</v>
      </c>
    </row>
    <row r="17" spans="1:12" ht="51.75" customHeight="1">
      <c r="A17" s="1119">
        <f t="shared" si="2"/>
        <v>13729529160</v>
      </c>
      <c r="B17" s="1120">
        <f t="shared" si="0"/>
        <v>893268000</v>
      </c>
      <c r="C17" s="1041">
        <f>C16</f>
        <v>36760</v>
      </c>
      <c r="D17" s="1041">
        <f>E17*$K$3*10</f>
        <v>373491</v>
      </c>
      <c r="E17" s="1041">
        <v>24300</v>
      </c>
      <c r="F17" s="1126" t="s">
        <v>1062</v>
      </c>
      <c r="G17" s="1769" t="s">
        <v>1063</v>
      </c>
      <c r="H17" s="1772"/>
      <c r="I17" s="572">
        <v>30703</v>
      </c>
    </row>
    <row r="18" spans="1:12" ht="51" customHeight="1">
      <c r="A18" s="1119">
        <f t="shared" si="2"/>
        <v>5593511880</v>
      </c>
      <c r="B18" s="1120">
        <f t="shared" si="0"/>
        <v>727848000</v>
      </c>
      <c r="C18" s="1041">
        <f>C16</f>
        <v>36760</v>
      </c>
      <c r="D18" s="1041">
        <f>E18*$K$3*5</f>
        <v>152163</v>
      </c>
      <c r="E18" s="1041">
        <v>19800</v>
      </c>
      <c r="F18" s="1126" t="s">
        <v>1062</v>
      </c>
      <c r="G18" s="1769" t="s">
        <v>1064</v>
      </c>
      <c r="H18" s="1772"/>
      <c r="I18" s="572">
        <v>30704</v>
      </c>
    </row>
    <row r="19" spans="1:12" ht="20.100000000000001" customHeight="1">
      <c r="A19" s="1119">
        <f t="shared" si="2"/>
        <v>0</v>
      </c>
      <c r="B19" s="1120"/>
      <c r="C19" s="1047"/>
      <c r="D19" s="1041"/>
      <c r="E19" s="1043"/>
      <c r="F19" s="1047" t="s">
        <v>1048</v>
      </c>
      <c r="G19" s="1761" t="s">
        <v>1065</v>
      </c>
      <c r="H19" s="1789"/>
      <c r="I19" s="572" t="s">
        <v>1048</v>
      </c>
    </row>
    <row r="20" spans="1:12" ht="20.100000000000001" customHeight="1">
      <c r="A20" s="1119">
        <f t="shared" si="2"/>
        <v>36079161435</v>
      </c>
      <c r="B20" s="1120">
        <f t="shared" si="0"/>
        <v>23473755000</v>
      </c>
      <c r="C20" s="1043">
        <f>'C.OTHERS-1'!L29</f>
        <v>100530</v>
      </c>
      <c r="D20" s="1041">
        <f>E20*$K$3</f>
        <v>358889.5</v>
      </c>
      <c r="E20" s="1043">
        <v>233500</v>
      </c>
      <c r="F20" s="1126" t="s">
        <v>1051</v>
      </c>
      <c r="G20" s="1761" t="s">
        <v>1066</v>
      </c>
      <c r="H20" s="1789"/>
      <c r="I20" s="572">
        <v>30904</v>
      </c>
    </row>
    <row r="21" spans="1:12" ht="20.100000000000001" customHeight="1">
      <c r="A21" s="1119">
        <f t="shared" si="2"/>
        <v>0</v>
      </c>
      <c r="B21" s="1120"/>
      <c r="C21" s="1047"/>
      <c r="D21" s="1041"/>
      <c r="E21" s="1043"/>
      <c r="F21" s="1117" t="s">
        <v>1048</v>
      </c>
      <c r="G21" s="1769" t="s">
        <v>1067</v>
      </c>
      <c r="H21" s="1772"/>
      <c r="I21" s="572" t="s">
        <v>1048</v>
      </c>
    </row>
    <row r="22" spans="1:12" ht="20.100000000000001" customHeight="1">
      <c r="A22" s="1119">
        <f t="shared" si="2"/>
        <v>2655505640</v>
      </c>
      <c r="B22" s="1120">
        <f t="shared" si="0"/>
        <v>1727720000</v>
      </c>
      <c r="C22" s="1041">
        <f>'C.OTHERS-1'!G29</f>
        <v>36760</v>
      </c>
      <c r="D22" s="1041">
        <f>E22*$K$3</f>
        <v>72239</v>
      </c>
      <c r="E22" s="1041">
        <v>47000</v>
      </c>
      <c r="F22" s="1126" t="s">
        <v>1053</v>
      </c>
      <c r="G22" s="1761" t="s">
        <v>1068</v>
      </c>
      <c r="H22" s="1789"/>
      <c r="I22" s="572">
        <v>20601</v>
      </c>
    </row>
    <row r="23" spans="1:12" ht="20.100000000000001" customHeight="1">
      <c r="A23" s="1119">
        <f t="shared" si="2"/>
        <v>0</v>
      </c>
      <c r="B23" s="1120"/>
      <c r="C23" s="1117"/>
      <c r="D23" s="1041"/>
      <c r="E23" s="1041"/>
      <c r="F23" s="1117" t="s">
        <v>1048</v>
      </c>
      <c r="G23" s="1769" t="s">
        <v>1069</v>
      </c>
      <c r="H23" s="1772"/>
      <c r="I23" s="572" t="s">
        <v>1048</v>
      </c>
    </row>
    <row r="24" spans="1:12" ht="29.25" customHeight="1">
      <c r="A24" s="1119">
        <f t="shared" si="2"/>
        <v>31427640151.440002</v>
      </c>
      <c r="B24" s="1120">
        <f t="shared" si="0"/>
        <v>20447391120</v>
      </c>
      <c r="C24" s="1041">
        <f>'C.OTHERS-1'!I29</f>
        <v>2284.88</v>
      </c>
      <c r="D24" s="1041">
        <f>E24*$K$3</f>
        <v>13754613</v>
      </c>
      <c r="E24" s="1041">
        <v>8949000</v>
      </c>
      <c r="F24" s="1126" t="s">
        <v>1051</v>
      </c>
      <c r="G24" s="1769" t="s">
        <v>1070</v>
      </c>
      <c r="H24" s="1772"/>
      <c r="I24" s="572">
        <v>80102</v>
      </c>
    </row>
    <row r="25" spans="1:12" ht="20.100000000000001" customHeight="1">
      <c r="A25" s="1119">
        <f t="shared" si="2"/>
        <v>595260364.92000008</v>
      </c>
      <c r="B25" s="1120">
        <f t="shared" si="0"/>
        <v>387287160</v>
      </c>
      <c r="C25" s="1041">
        <f>C24</f>
        <v>2284.88</v>
      </c>
      <c r="D25" s="1041">
        <f>E25*$K$3</f>
        <v>260521.5</v>
      </c>
      <c r="E25" s="1041">
        <v>169500</v>
      </c>
      <c r="F25" s="1126" t="s">
        <v>1051</v>
      </c>
      <c r="G25" s="1769" t="s">
        <v>1071</v>
      </c>
      <c r="H25" s="1772"/>
      <c r="I25" s="572">
        <v>80304</v>
      </c>
    </row>
    <row r="26" spans="1:12" ht="20.100000000000001" customHeight="1">
      <c r="A26" s="1119">
        <f t="shared" si="2"/>
        <v>0</v>
      </c>
      <c r="B26" s="1120"/>
      <c r="C26" s="1041"/>
      <c r="D26" s="1041"/>
      <c r="E26" s="1041"/>
      <c r="F26" s="1126"/>
      <c r="G26" s="1174"/>
      <c r="H26" s="1175" t="s">
        <v>1118</v>
      </c>
      <c r="I26" s="572" t="s">
        <v>1048</v>
      </c>
    </row>
    <row r="27" spans="1:12" ht="39" customHeight="1">
      <c r="A27" s="1119">
        <f t="shared" si="2"/>
        <v>90700076070</v>
      </c>
      <c r="B27" s="1120">
        <f t="shared" si="0"/>
        <v>59011110000</v>
      </c>
      <c r="C27" s="516">
        <f>'C.OTHERS-1'!L29</f>
        <v>100530</v>
      </c>
      <c r="D27" s="516">
        <f>E27*$K$3</f>
        <v>902219</v>
      </c>
      <c r="E27" s="516">
        <v>587000</v>
      </c>
      <c r="F27" s="1176" t="s">
        <v>135</v>
      </c>
      <c r="G27" s="1801" t="s">
        <v>1119</v>
      </c>
      <c r="H27" s="1802"/>
      <c r="I27" s="573">
        <v>160208</v>
      </c>
    </row>
    <row r="28" spans="1:12" ht="24" customHeight="1">
      <c r="A28" s="1119">
        <f t="shared" si="2"/>
        <v>34060304250</v>
      </c>
      <c r="B28" s="1120">
        <f t="shared" si="0"/>
        <v>22160250000</v>
      </c>
      <c r="C28" s="1041">
        <f>'C.OTHERS-1'!M29</f>
        <v>60300</v>
      </c>
      <c r="D28" s="1041">
        <f>E28*$K$3</f>
        <v>564847.5</v>
      </c>
      <c r="E28" s="1041">
        <v>367500</v>
      </c>
      <c r="F28" s="1129" t="s">
        <v>135</v>
      </c>
      <c r="G28" s="1781" t="s">
        <v>1120</v>
      </c>
      <c r="H28" s="1781"/>
      <c r="I28" s="572">
        <v>160401</v>
      </c>
    </row>
    <row r="29" spans="1:12" ht="24" customHeight="1">
      <c r="A29" s="1119">
        <f t="shared" si="2"/>
        <v>0</v>
      </c>
      <c r="B29" s="1120"/>
      <c r="C29" s="1041"/>
      <c r="D29" s="1041"/>
      <c r="E29" s="1041"/>
      <c r="F29" s="1129"/>
      <c r="G29" s="1769" t="s">
        <v>1121</v>
      </c>
      <c r="H29" s="1772"/>
      <c r="I29" s="572" t="s">
        <v>1048</v>
      </c>
    </row>
    <row r="30" spans="1:12" ht="38.25" customHeight="1">
      <c r="A30" s="1119">
        <f t="shared" si="2"/>
        <v>23318288100</v>
      </c>
      <c r="B30" s="1120">
        <f t="shared" si="0"/>
        <v>10114200000</v>
      </c>
      <c r="C30" s="1041">
        <f>'C.OTHERS-1'!N29</f>
        <v>10800</v>
      </c>
      <c r="D30" s="1041">
        <f>E30*$K$3*1.5</f>
        <v>2159100.75</v>
      </c>
      <c r="E30" s="1041">
        <v>936500</v>
      </c>
      <c r="F30" s="1126" t="s">
        <v>1053</v>
      </c>
      <c r="G30" s="1769" t="s">
        <v>4410</v>
      </c>
      <c r="H30" s="1772"/>
      <c r="I30" s="572">
        <v>231206</v>
      </c>
      <c r="K30" s="337" t="s">
        <v>4411</v>
      </c>
      <c r="L30" s="1130">
        <v>481.9</v>
      </c>
    </row>
    <row r="31" spans="1:12" ht="24" customHeight="1">
      <c r="A31" s="1119">
        <f t="shared" si="2"/>
        <v>7591341420</v>
      </c>
      <c r="B31" s="1120">
        <f>ROUND(C31*D31,0)</f>
        <v>7591341420</v>
      </c>
      <c r="C31" s="1041">
        <f>'C.OTHERS-1'!O29</f>
        <v>10980</v>
      </c>
      <c r="D31" s="1041">
        <f>ROUND(65000*L32,0)</f>
        <v>691379</v>
      </c>
      <c r="E31" s="1041" t="s">
        <v>342</v>
      </c>
      <c r="F31" s="1126" t="s">
        <v>1053</v>
      </c>
      <c r="G31" s="1769" t="s">
        <v>1078</v>
      </c>
      <c r="H31" s="1772"/>
      <c r="I31" s="572" t="s">
        <v>1079</v>
      </c>
      <c r="K31" s="337" t="s">
        <v>4412</v>
      </c>
      <c r="L31" s="1130">
        <v>5125.7780000000002</v>
      </c>
    </row>
    <row r="32" spans="1:12" ht="24" customHeight="1" thickBot="1">
      <c r="A32" s="1127">
        <f>C32*D32</f>
        <v>29782482600</v>
      </c>
      <c r="B32" s="1120">
        <f>ROUND(C32*D32,0)</f>
        <v>29782482600</v>
      </c>
      <c r="C32" s="516">
        <f>'C.OTHERS-1'!P29</f>
        <v>200</v>
      </c>
      <c r="D32" s="516">
        <f>ROUND(14000000*L32,0)</f>
        <v>148912413</v>
      </c>
      <c r="E32" s="516" t="s">
        <v>1122</v>
      </c>
      <c r="F32" s="1128" t="s">
        <v>1053</v>
      </c>
      <c r="G32" s="1801" t="s">
        <v>1123</v>
      </c>
      <c r="H32" s="1802"/>
      <c r="I32" s="573" t="s">
        <v>1048</v>
      </c>
      <c r="K32" s="1135" t="s">
        <v>4413</v>
      </c>
      <c r="L32" s="479">
        <f>L31/L30</f>
        <v>10.636600954554888</v>
      </c>
    </row>
    <row r="33" spans="1:9" ht="29.25" customHeight="1" thickBot="1">
      <c r="A33" s="1165">
        <f>SUM(A4:A32)</f>
        <v>2036294809291.8245</v>
      </c>
      <c r="B33" s="1165">
        <f>SUM(B4:B32)</f>
        <v>1239981269679</v>
      </c>
      <c r="C33" s="1166"/>
      <c r="D33" s="1166"/>
      <c r="E33" s="1167"/>
      <c r="F33" s="1166"/>
      <c r="G33" s="1799" t="s">
        <v>1100</v>
      </c>
      <c r="H33" s="1800"/>
      <c r="I33" s="1177"/>
    </row>
  </sheetData>
  <mergeCells count="32">
    <mergeCell ref="G33:H33"/>
    <mergeCell ref="G27:H27"/>
    <mergeCell ref="G28:H28"/>
    <mergeCell ref="G29:H29"/>
    <mergeCell ref="G30:H30"/>
    <mergeCell ref="G31:H31"/>
    <mergeCell ref="G32:H32"/>
    <mergeCell ref="G25:H25"/>
    <mergeCell ref="G14:H14"/>
    <mergeCell ref="G15:H15"/>
    <mergeCell ref="G16:H16"/>
    <mergeCell ref="G17:H17"/>
    <mergeCell ref="G18:H18"/>
    <mergeCell ref="G19:H19"/>
    <mergeCell ref="G20:H20"/>
    <mergeCell ref="G21:H21"/>
    <mergeCell ref="G22:H22"/>
    <mergeCell ref="G23:H23"/>
    <mergeCell ref="G24:H24"/>
    <mergeCell ref="A1:I1"/>
    <mergeCell ref="G13:H13"/>
    <mergeCell ref="G2:H2"/>
    <mergeCell ref="G3:H3"/>
    <mergeCell ref="G4:H4"/>
    <mergeCell ref="G5:H5"/>
    <mergeCell ref="G6:H6"/>
    <mergeCell ref="G7:H7"/>
    <mergeCell ref="G8:H8"/>
    <mergeCell ref="G9:H9"/>
    <mergeCell ref="G10:H10"/>
    <mergeCell ref="G11:H11"/>
    <mergeCell ref="G12:H12"/>
  </mergeCells>
  <printOptions horizontalCentered="1"/>
  <pageMargins left="0.31496062992125984" right="0.31496062992125984" top="0.35433070866141736" bottom="0.35433070866141736" header="0.31496062992125984" footer="0.31496062992125984"/>
  <pageSetup scale="53"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Q28"/>
  <sheetViews>
    <sheetView view="pageBreakPreview" topLeftCell="A22" zoomScale="90" zoomScaleNormal="100" zoomScaleSheetLayoutView="90" workbookViewId="0">
      <selection sqref="A1:XFD6"/>
    </sheetView>
  </sheetViews>
  <sheetFormatPr defaultColWidth="9.140625" defaultRowHeight="15"/>
  <cols>
    <col min="1" max="2" width="26.85546875" style="422" customWidth="1"/>
    <col min="3" max="4" width="14.7109375" style="547" customWidth="1"/>
    <col min="5" max="5" width="14.7109375" style="1136" customWidth="1"/>
    <col min="6" max="6" width="14.7109375" style="547" customWidth="1"/>
    <col min="7" max="7" width="13.42578125" style="547" customWidth="1"/>
    <col min="8" max="8" width="45.7109375" style="422" customWidth="1"/>
    <col min="9" max="9" width="17" style="547" customWidth="1"/>
    <col min="10" max="16384" width="9.140625" style="422"/>
  </cols>
  <sheetData>
    <row r="1" spans="1:17" s="423" customFormat="1" ht="24.75" customHeight="1" thickBot="1">
      <c r="A1" s="1763" t="s">
        <v>4417</v>
      </c>
      <c r="B1" s="1764"/>
      <c r="C1" s="1764"/>
      <c r="D1" s="1764"/>
      <c r="E1" s="1764"/>
      <c r="F1" s="1764"/>
      <c r="G1" s="1764"/>
      <c r="H1" s="1764"/>
      <c r="I1" s="1765"/>
    </row>
    <row r="2" spans="1:17" ht="45">
      <c r="A2" s="1178" t="s">
        <v>1043</v>
      </c>
      <c r="B2" s="1111" t="s">
        <v>4402</v>
      </c>
      <c r="C2" s="1124" t="s">
        <v>1044</v>
      </c>
      <c r="D2" s="1039" t="s">
        <v>1045</v>
      </c>
      <c r="E2" s="1039" t="s">
        <v>4403</v>
      </c>
      <c r="F2" s="1124" t="s">
        <v>1046</v>
      </c>
      <c r="G2" s="1803" t="s">
        <v>1047</v>
      </c>
      <c r="H2" s="1804"/>
      <c r="I2" s="1179" t="s">
        <v>28</v>
      </c>
    </row>
    <row r="3" spans="1:17" ht="33.75" customHeight="1">
      <c r="A3" s="1115"/>
      <c r="B3" s="1116"/>
      <c r="C3" s="1117"/>
      <c r="D3" s="1117"/>
      <c r="E3" s="1041"/>
      <c r="F3" s="1117" t="s">
        <v>1048</v>
      </c>
      <c r="G3" s="1180"/>
      <c r="H3" s="1181" t="s">
        <v>1124</v>
      </c>
      <c r="I3" s="1118" t="s">
        <v>1048</v>
      </c>
      <c r="K3" s="479">
        <f>ROUND(L4*L5*L6*L7,3)</f>
        <v>1.5369999999999999</v>
      </c>
      <c r="L3" s="422" t="s">
        <v>1050</v>
      </c>
    </row>
    <row r="4" spans="1:17" ht="33.75" customHeight="1">
      <c r="A4" s="1119">
        <f>ROUND(C4*D4,0)</f>
        <v>67590789722</v>
      </c>
      <c r="B4" s="1120">
        <f>ROUND(C4*E4,0)</f>
        <v>43975790320</v>
      </c>
      <c r="C4" s="1041">
        <f>'C.SITE-1'!I19</f>
        <v>534160</v>
      </c>
      <c r="D4" s="1041">
        <f>E4*$K$3</f>
        <v>126536.59899999999</v>
      </c>
      <c r="E4" s="1041">
        <f>ROUND(7740*M11,0)</f>
        <v>82327</v>
      </c>
      <c r="F4" s="1126" t="s">
        <v>1051</v>
      </c>
      <c r="G4" s="1761" t="s">
        <v>1125</v>
      </c>
      <c r="H4" s="1789"/>
      <c r="I4" s="1118">
        <v>30104</v>
      </c>
      <c r="K4" s="423" t="s">
        <v>4405</v>
      </c>
      <c r="L4" s="479">
        <v>1.0900000000000001</v>
      </c>
      <c r="P4" s="424"/>
      <c r="Q4" s="424"/>
    </row>
    <row r="5" spans="1:17" ht="33.75" customHeight="1">
      <c r="A5" s="1119">
        <f t="shared" ref="A5:A21" si="0">ROUND(C5*D5,0)</f>
        <v>127442445320</v>
      </c>
      <c r="B5" s="1120">
        <f t="shared" ref="B5:B21" si="1">ROUND(C5*E5,0)</f>
        <v>82916360000</v>
      </c>
      <c r="C5" s="1041">
        <f>'C.SITE-1'!J19</f>
        <v>152560</v>
      </c>
      <c r="D5" s="1041">
        <f>E5*$K$3</f>
        <v>835359.5</v>
      </c>
      <c r="E5" s="1041">
        <v>543500</v>
      </c>
      <c r="F5" s="1126" t="s">
        <v>1051</v>
      </c>
      <c r="G5" s="1761" t="s">
        <v>1126</v>
      </c>
      <c r="H5" s="1789"/>
      <c r="I5" s="572">
        <v>30105</v>
      </c>
      <c r="K5" s="422" t="s">
        <v>4406</v>
      </c>
      <c r="L5" s="479">
        <v>1.41</v>
      </c>
    </row>
    <row r="6" spans="1:17" ht="33.75" customHeight="1">
      <c r="A6" s="1119">
        <f t="shared" si="0"/>
        <v>48948685300</v>
      </c>
      <c r="B6" s="1120">
        <f t="shared" si="1"/>
        <v>31846900000</v>
      </c>
      <c r="C6" s="1041">
        <f>'C.SITE-1'!K19</f>
        <v>76280</v>
      </c>
      <c r="D6" s="1041">
        <f>E6*$K$3</f>
        <v>641697.5</v>
      </c>
      <c r="E6" s="1041">
        <v>417500</v>
      </c>
      <c r="F6" s="1126" t="s">
        <v>1051</v>
      </c>
      <c r="G6" s="1805" t="s">
        <v>1127</v>
      </c>
      <c r="H6" s="1806"/>
      <c r="I6" s="572">
        <v>30202</v>
      </c>
      <c r="K6" s="422" t="s">
        <v>4407</v>
      </c>
      <c r="L6" s="479">
        <v>1</v>
      </c>
    </row>
    <row r="7" spans="1:17" ht="33.75" customHeight="1">
      <c r="A7" s="1119">
        <f t="shared" si="0"/>
        <v>44915597300</v>
      </c>
      <c r="B7" s="1120">
        <f t="shared" si="1"/>
        <v>29222900000</v>
      </c>
      <c r="C7" s="1041">
        <f>SUM(C4:C6)</f>
        <v>763000</v>
      </c>
      <c r="D7" s="1041">
        <f>E7*$K$3</f>
        <v>58867.1</v>
      </c>
      <c r="E7" s="1041">
        <v>38300</v>
      </c>
      <c r="F7" s="1126" t="s">
        <v>1051</v>
      </c>
      <c r="G7" s="1761" t="s">
        <v>1116</v>
      </c>
      <c r="H7" s="1789"/>
      <c r="I7" s="572">
        <v>30404</v>
      </c>
      <c r="K7" s="424" t="s">
        <v>4408</v>
      </c>
      <c r="L7" s="479">
        <v>1</v>
      </c>
    </row>
    <row r="8" spans="1:17" ht="33.75" customHeight="1">
      <c r="A8" s="1119">
        <f t="shared" si="0"/>
        <v>144245913000</v>
      </c>
      <c r="B8" s="1120">
        <f t="shared" si="1"/>
        <v>93849000000</v>
      </c>
      <c r="C8" s="1041">
        <f>C7</f>
        <v>763000</v>
      </c>
      <c r="D8" s="1041">
        <f>E8*$K$3</f>
        <v>189051</v>
      </c>
      <c r="E8" s="1041">
        <v>123000</v>
      </c>
      <c r="F8" s="1126" t="s">
        <v>1051</v>
      </c>
      <c r="G8" s="1761" t="s">
        <v>1073</v>
      </c>
      <c r="H8" s="1789"/>
      <c r="I8" s="572">
        <v>30701</v>
      </c>
    </row>
    <row r="9" spans="1:17" ht="33.75" customHeight="1">
      <c r="A9" s="1119">
        <f t="shared" si="0"/>
        <v>27852361250</v>
      </c>
      <c r="B9" s="1120">
        <f t="shared" si="1"/>
        <v>3624250000</v>
      </c>
      <c r="C9" s="1041">
        <f>C7</f>
        <v>763000</v>
      </c>
      <c r="D9" s="1041">
        <f>E9*$K$3*5</f>
        <v>36503.75</v>
      </c>
      <c r="E9" s="1041">
        <v>4750</v>
      </c>
      <c r="F9" s="1126" t="s">
        <v>1062</v>
      </c>
      <c r="G9" s="1769" t="s">
        <v>1080</v>
      </c>
      <c r="H9" s="1772"/>
      <c r="I9" s="572">
        <v>30702</v>
      </c>
      <c r="L9" s="337" t="s">
        <v>4411</v>
      </c>
      <c r="M9" s="1130">
        <v>481.9</v>
      </c>
    </row>
    <row r="10" spans="1:17" ht="33.75" customHeight="1">
      <c r="A10" s="1119">
        <f t="shared" si="0"/>
        <v>284973633000</v>
      </c>
      <c r="B10" s="1120">
        <f t="shared" si="1"/>
        <v>18540900000</v>
      </c>
      <c r="C10" s="1041">
        <f>C7</f>
        <v>763000</v>
      </c>
      <c r="D10" s="1041">
        <f>E10*$K$3*10</f>
        <v>373491</v>
      </c>
      <c r="E10" s="1041">
        <v>24300</v>
      </c>
      <c r="F10" s="1126" t="s">
        <v>1062</v>
      </c>
      <c r="G10" s="1769" t="s">
        <v>1063</v>
      </c>
      <c r="H10" s="1772"/>
      <c r="I10" s="572">
        <v>30703</v>
      </c>
      <c r="L10" s="337" t="s">
        <v>4412</v>
      </c>
      <c r="M10" s="1130">
        <v>5125.7780000000002</v>
      </c>
    </row>
    <row r="11" spans="1:17" ht="33.75" customHeight="1">
      <c r="A11" s="1119">
        <f t="shared" si="0"/>
        <v>0</v>
      </c>
      <c r="B11" s="1120"/>
      <c r="C11" s="1041"/>
      <c r="D11" s="1041"/>
      <c r="E11" s="1041"/>
      <c r="F11" s="1047" t="s">
        <v>1048</v>
      </c>
      <c r="G11" s="1761" t="s">
        <v>1060</v>
      </c>
      <c r="H11" s="1789"/>
      <c r="I11" s="572" t="s">
        <v>1048</v>
      </c>
      <c r="L11" s="1135" t="s">
        <v>4413</v>
      </c>
      <c r="M11" s="479">
        <f>M10/M9</f>
        <v>10.636600954554888</v>
      </c>
    </row>
    <row r="12" spans="1:17" ht="33.75" customHeight="1">
      <c r="A12" s="1119">
        <f t="shared" si="0"/>
        <v>34621038738</v>
      </c>
      <c r="B12" s="1120">
        <f t="shared" si="1"/>
        <v>22525074000</v>
      </c>
      <c r="C12" s="1041">
        <f>'C.SITE-1'!L19</f>
        <v>117000</v>
      </c>
      <c r="D12" s="1041">
        <f>E12*$K$3</f>
        <v>295906.31400000001</v>
      </c>
      <c r="E12" s="1041">
        <f>ROUND(18100*M11,0)</f>
        <v>192522</v>
      </c>
      <c r="F12" s="1126" t="s">
        <v>1051</v>
      </c>
      <c r="G12" s="1761" t="s">
        <v>1061</v>
      </c>
      <c r="H12" s="1789"/>
      <c r="I12" s="572">
        <v>31002</v>
      </c>
    </row>
    <row r="13" spans="1:17" ht="33.75" customHeight="1">
      <c r="A13" s="1119">
        <f t="shared" si="0"/>
        <v>43698447000</v>
      </c>
      <c r="B13" s="1120">
        <f t="shared" si="1"/>
        <v>2843100000</v>
      </c>
      <c r="C13" s="1041">
        <f>C12</f>
        <v>117000</v>
      </c>
      <c r="D13" s="1041">
        <f>E13*$K$3*10</f>
        <v>373491</v>
      </c>
      <c r="E13" s="1041">
        <v>24300</v>
      </c>
      <c r="F13" s="1126" t="s">
        <v>1062</v>
      </c>
      <c r="G13" s="1769" t="s">
        <v>1063</v>
      </c>
      <c r="H13" s="1772"/>
      <c r="I13" s="572">
        <v>30703</v>
      </c>
    </row>
    <row r="14" spans="1:17" ht="33.75" customHeight="1">
      <c r="A14" s="1119">
        <f t="shared" si="0"/>
        <v>17803071000</v>
      </c>
      <c r="B14" s="1120">
        <f t="shared" si="1"/>
        <v>2316600000</v>
      </c>
      <c r="C14" s="1041">
        <f>C12</f>
        <v>117000</v>
      </c>
      <c r="D14" s="1041">
        <f>E14*$K$3*5</f>
        <v>152163</v>
      </c>
      <c r="E14" s="1041">
        <v>19800</v>
      </c>
      <c r="F14" s="1126" t="s">
        <v>1062</v>
      </c>
      <c r="G14" s="1769" t="s">
        <v>1064</v>
      </c>
      <c r="H14" s="1772"/>
      <c r="I14" s="572">
        <v>30704</v>
      </c>
    </row>
    <row r="15" spans="1:17" ht="33.75" customHeight="1">
      <c r="A15" s="1119">
        <f t="shared" si="0"/>
        <v>0</v>
      </c>
      <c r="B15" s="1120"/>
      <c r="C15" s="1047"/>
      <c r="D15" s="1041"/>
      <c r="E15" s="1043"/>
      <c r="F15" s="1047" t="s">
        <v>1048</v>
      </c>
      <c r="G15" s="1182"/>
      <c r="H15" s="1181" t="s">
        <v>1065</v>
      </c>
      <c r="I15" s="572" t="s">
        <v>1048</v>
      </c>
    </row>
    <row r="16" spans="1:17" ht="33.75" customHeight="1">
      <c r="A16" s="1119">
        <f t="shared" si="0"/>
        <v>27783580500</v>
      </c>
      <c r="B16" s="1120">
        <f t="shared" si="1"/>
        <v>18076500000</v>
      </c>
      <c r="C16" s="1043">
        <f>C12</f>
        <v>117000</v>
      </c>
      <c r="D16" s="1041">
        <f>E16*$K$3</f>
        <v>237466.5</v>
      </c>
      <c r="E16" s="1043">
        <v>154500</v>
      </c>
      <c r="F16" s="1126" t="s">
        <v>1051</v>
      </c>
      <c r="G16" s="1183"/>
      <c r="H16" s="1181" t="s">
        <v>1128</v>
      </c>
      <c r="I16" s="572">
        <v>30902</v>
      </c>
    </row>
    <row r="17" spans="1:9" ht="33.75" customHeight="1">
      <c r="A17" s="1119">
        <f t="shared" si="0"/>
        <v>0</v>
      </c>
      <c r="B17" s="1120"/>
      <c r="C17" s="1041"/>
      <c r="D17" s="1041"/>
      <c r="E17" s="1041"/>
      <c r="F17" s="1117" t="s">
        <v>1048</v>
      </c>
      <c r="G17" s="1180"/>
      <c r="H17" s="1184" t="s">
        <v>1072</v>
      </c>
      <c r="I17" s="572" t="s">
        <v>1048</v>
      </c>
    </row>
    <row r="18" spans="1:9" ht="33.75" customHeight="1">
      <c r="A18" s="1119">
        <f t="shared" si="0"/>
        <v>19950395256</v>
      </c>
      <c r="B18" s="1120">
        <f t="shared" si="1"/>
        <v>12980088000</v>
      </c>
      <c r="C18" s="1041">
        <f>'C.SITE-1'!I19</f>
        <v>534160</v>
      </c>
      <c r="D18" s="1041">
        <f>E18*$K$3</f>
        <v>37349.1</v>
      </c>
      <c r="E18" s="1041">
        <v>24300</v>
      </c>
      <c r="F18" s="1126" t="s">
        <v>1051</v>
      </c>
      <c r="G18" s="1180"/>
      <c r="H18" s="1175" t="s">
        <v>1085</v>
      </c>
      <c r="I18" s="572">
        <v>30703</v>
      </c>
    </row>
    <row r="19" spans="1:9" ht="33.75" customHeight="1">
      <c r="A19" s="1119">
        <f t="shared" si="0"/>
        <v>0</v>
      </c>
      <c r="B19" s="1120"/>
      <c r="C19" s="1041"/>
      <c r="D19" s="1041"/>
      <c r="E19" s="1041"/>
      <c r="F19" s="1126"/>
      <c r="G19" s="1185"/>
      <c r="H19" s="1175" t="s">
        <v>1129</v>
      </c>
      <c r="I19" s="572" t="s">
        <v>1048</v>
      </c>
    </row>
    <row r="20" spans="1:9" ht="53.25" customHeight="1">
      <c r="A20" s="1119">
        <f t="shared" si="0"/>
        <v>10573654707</v>
      </c>
      <c r="B20" s="1120">
        <f t="shared" si="1"/>
        <v>6879411000</v>
      </c>
      <c r="C20" s="1041">
        <f>'C.SITE-1'!M19</f>
        <v>346.5</v>
      </c>
      <c r="D20" s="1041">
        <f>E20*$K$3</f>
        <v>30515598</v>
      </c>
      <c r="E20" s="1041">
        <v>19854000</v>
      </c>
      <c r="F20" s="1126" t="s">
        <v>1051</v>
      </c>
      <c r="G20" s="1180"/>
      <c r="H20" s="1184" t="s">
        <v>1130</v>
      </c>
      <c r="I20" s="572">
        <v>120102</v>
      </c>
    </row>
    <row r="21" spans="1:9" ht="33.75" customHeight="1" thickBot="1">
      <c r="A21" s="1119">
        <f t="shared" si="0"/>
        <v>140970258600</v>
      </c>
      <c r="B21" s="1120">
        <f t="shared" si="1"/>
        <v>91717800000</v>
      </c>
      <c r="C21" s="1042">
        <f>'C.SITE-1'!N19</f>
        <v>21300</v>
      </c>
      <c r="D21" s="1042">
        <f>E21*$K$3</f>
        <v>6618322</v>
      </c>
      <c r="E21" s="1042">
        <v>4306000</v>
      </c>
      <c r="F21" s="1126" t="s">
        <v>1051</v>
      </c>
      <c r="G21" s="1186"/>
      <c r="H21" s="1187" t="s">
        <v>1131</v>
      </c>
      <c r="I21" s="1188">
        <v>40504</v>
      </c>
    </row>
    <row r="22" spans="1:9" ht="33.75" customHeight="1" thickBot="1">
      <c r="A22" s="1165">
        <f>SUM(A3:A21)</f>
        <v>1041369870693</v>
      </c>
      <c r="B22" s="1165">
        <f>SUM(B3:B21)</f>
        <v>461314673320</v>
      </c>
      <c r="C22" s="1166"/>
      <c r="D22" s="1166"/>
      <c r="E22" s="1167"/>
      <c r="F22" s="1166"/>
      <c r="G22" s="1792" t="s">
        <v>1100</v>
      </c>
      <c r="H22" s="1793"/>
      <c r="I22" s="1168"/>
    </row>
    <row r="28" spans="1:9" ht="142.5">
      <c r="E28" s="1189">
        <v>120102</v>
      </c>
      <c r="F28" s="1190" t="s">
        <v>1132</v>
      </c>
      <c r="G28" s="1191" t="s">
        <v>1133</v>
      </c>
      <c r="H28" s="1192">
        <v>1517000</v>
      </c>
    </row>
  </sheetData>
  <mergeCells count="14">
    <mergeCell ref="G22:H22"/>
    <mergeCell ref="G9:H9"/>
    <mergeCell ref="G10:H10"/>
    <mergeCell ref="G11:H11"/>
    <mergeCell ref="G12:H12"/>
    <mergeCell ref="G13:H13"/>
    <mergeCell ref="G14:H14"/>
    <mergeCell ref="G8:H8"/>
    <mergeCell ref="A1:I1"/>
    <mergeCell ref="G2:H2"/>
    <mergeCell ref="G4:H4"/>
    <mergeCell ref="G5:H5"/>
    <mergeCell ref="G6:H6"/>
    <mergeCell ref="G7:H7"/>
  </mergeCells>
  <printOptions horizontalCentered="1"/>
  <pageMargins left="0.31496062992125984" right="0.31496062992125984" top="0.15748031496062992" bottom="0.15748031496062992" header="0.31496062992125984" footer="0.31496062992125984"/>
  <pageSetup scale="44"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P17"/>
  <sheetViews>
    <sheetView view="pageBreakPreview" zoomScale="90" zoomScaleNormal="100" zoomScaleSheetLayoutView="90" workbookViewId="0">
      <selection activeCell="I1" sqref="A1:XFD6"/>
    </sheetView>
  </sheetViews>
  <sheetFormatPr defaultColWidth="9.140625" defaultRowHeight="15"/>
  <cols>
    <col min="1" max="1" width="22.140625" style="422" customWidth="1"/>
    <col min="2" max="3" width="14.7109375" style="547" customWidth="1"/>
    <col min="4" max="4" width="17" style="1136" customWidth="1"/>
    <col min="5" max="6" width="14.7109375" style="547" customWidth="1"/>
    <col min="7" max="7" width="40.28515625" style="422" customWidth="1"/>
    <col min="8" max="8" width="22" style="547" customWidth="1"/>
    <col min="9" max="9" width="9.140625" style="422"/>
    <col min="10" max="10" width="0" style="422" hidden="1" customWidth="1"/>
    <col min="11" max="11" width="10.42578125" style="422" hidden="1" customWidth="1"/>
    <col min="12" max="16384" width="9.140625" style="422"/>
  </cols>
  <sheetData>
    <row r="1" spans="1:16" s="423" customFormat="1" ht="24.75" customHeight="1" thickBot="1">
      <c r="A1" s="1775" t="s">
        <v>979</v>
      </c>
      <c r="B1" s="1776"/>
      <c r="C1" s="1776"/>
      <c r="D1" s="1776"/>
      <c r="E1" s="1776"/>
      <c r="F1" s="1776"/>
      <c r="G1" s="1776"/>
      <c r="H1" s="1777"/>
    </row>
    <row r="2" spans="1:16" ht="39" customHeight="1">
      <c r="A2" s="1193" t="s">
        <v>545</v>
      </c>
      <c r="B2" s="1172" t="s">
        <v>1134</v>
      </c>
      <c r="C2" s="1172" t="s">
        <v>1135</v>
      </c>
      <c r="D2" s="1172" t="s">
        <v>1136</v>
      </c>
      <c r="E2" s="1038" t="s">
        <v>1137</v>
      </c>
      <c r="F2" s="1813" t="s">
        <v>2</v>
      </c>
      <c r="G2" s="1814"/>
      <c r="H2" s="1173" t="s">
        <v>28</v>
      </c>
    </row>
    <row r="3" spans="1:16" ht="27.75" customHeight="1">
      <c r="A3" s="1194"/>
      <c r="B3" s="1195" t="s">
        <v>1138</v>
      </c>
      <c r="C3" s="1195" t="s">
        <v>1138</v>
      </c>
      <c r="D3" s="1195">
        <f>ROUND(9000*M5,0)</f>
        <v>95733</v>
      </c>
      <c r="E3" s="1196" t="s">
        <v>1139</v>
      </c>
      <c r="F3" s="1815" t="s">
        <v>1140</v>
      </c>
      <c r="G3" s="1815"/>
      <c r="H3" s="1197" t="s">
        <v>1048</v>
      </c>
      <c r="L3" s="337" t="s">
        <v>4411</v>
      </c>
      <c r="M3" s="1130">
        <v>481.9</v>
      </c>
    </row>
    <row r="4" spans="1:16" ht="33.75" customHeight="1">
      <c r="A4" s="1807" t="s">
        <v>1141</v>
      </c>
      <c r="B4" s="1195">
        <f>C4*D4</f>
        <v>430798500</v>
      </c>
      <c r="C4" s="1195">
        <v>4500</v>
      </c>
      <c r="D4" s="1195">
        <f>ROUND(9000*M5,0)</f>
        <v>95733</v>
      </c>
      <c r="E4" s="635" t="s">
        <v>1142</v>
      </c>
      <c r="F4" s="1810" t="s">
        <v>1143</v>
      </c>
      <c r="G4" s="1810"/>
      <c r="H4" s="1198">
        <v>1</v>
      </c>
      <c r="J4" s="349">
        <v>45000</v>
      </c>
      <c r="K4" s="1199">
        <f t="shared" ref="K4:K14" si="0">2*D4</f>
        <v>191466</v>
      </c>
      <c r="L4" s="337" t="s">
        <v>4412</v>
      </c>
      <c r="M4" s="1130">
        <v>5125.7780000000002</v>
      </c>
      <c r="O4" s="424"/>
      <c r="P4" s="424"/>
    </row>
    <row r="5" spans="1:16" ht="33.75" customHeight="1">
      <c r="A5" s="1808"/>
      <c r="B5" s="1195">
        <f t="shared" ref="B5:B14" si="1">C5*D5</f>
        <v>861597000</v>
      </c>
      <c r="C5" s="1195">
        <v>9000</v>
      </c>
      <c r="D5" s="1195">
        <f>ROUND(9000*M5,0)</f>
        <v>95733</v>
      </c>
      <c r="E5" s="635" t="s">
        <v>1075</v>
      </c>
      <c r="F5" s="1810" t="s">
        <v>1144</v>
      </c>
      <c r="G5" s="1810"/>
      <c r="H5" s="1198">
        <v>2</v>
      </c>
      <c r="J5" s="349"/>
      <c r="K5" s="1199">
        <f t="shared" si="0"/>
        <v>191466</v>
      </c>
      <c r="L5" s="1135" t="s">
        <v>4413</v>
      </c>
      <c r="M5" s="479">
        <f>ROUND(M4/M3,3)</f>
        <v>10.637</v>
      </c>
    </row>
    <row r="6" spans="1:16" ht="27.75" customHeight="1">
      <c r="A6" s="1808"/>
      <c r="B6" s="1195">
        <f t="shared" si="1"/>
        <v>86159700</v>
      </c>
      <c r="C6" s="1195">
        <v>900</v>
      </c>
      <c r="D6" s="1195">
        <f>ROUND(9000*M5,0)</f>
        <v>95733</v>
      </c>
      <c r="E6" s="635" t="s">
        <v>1142</v>
      </c>
      <c r="F6" s="1810" t="s">
        <v>1145</v>
      </c>
      <c r="G6" s="1810"/>
      <c r="H6" s="1198">
        <v>3</v>
      </c>
      <c r="J6" s="349"/>
      <c r="K6" s="1199">
        <f t="shared" si="0"/>
        <v>191466</v>
      </c>
    </row>
    <row r="7" spans="1:16" ht="29.25" customHeight="1">
      <c r="A7" s="1808"/>
      <c r="B7" s="1195">
        <f t="shared" si="1"/>
        <v>861597000</v>
      </c>
      <c r="C7" s="1195">
        <v>9000</v>
      </c>
      <c r="D7" s="1195">
        <f>ROUND(9000*M5,0)</f>
        <v>95733</v>
      </c>
      <c r="E7" s="635" t="s">
        <v>1142</v>
      </c>
      <c r="F7" s="1810" t="s">
        <v>1146</v>
      </c>
      <c r="G7" s="1810"/>
      <c r="H7" s="1198">
        <v>4</v>
      </c>
      <c r="J7" s="348"/>
      <c r="K7" s="1199">
        <f t="shared" si="0"/>
        <v>191466</v>
      </c>
    </row>
    <row r="8" spans="1:16" ht="33.75" customHeight="1">
      <c r="A8" s="1808"/>
      <c r="B8" s="1195">
        <f t="shared" si="1"/>
        <v>861597000</v>
      </c>
      <c r="C8" s="1195">
        <v>9000</v>
      </c>
      <c r="D8" s="1195">
        <f>ROUND(9000*M5,0)</f>
        <v>95733</v>
      </c>
      <c r="E8" s="635" t="s">
        <v>1075</v>
      </c>
      <c r="F8" s="1810" t="s">
        <v>1147</v>
      </c>
      <c r="G8" s="1810"/>
      <c r="H8" s="1198">
        <v>5</v>
      </c>
      <c r="J8" s="349"/>
      <c r="K8" s="1199">
        <f t="shared" si="0"/>
        <v>191466</v>
      </c>
    </row>
    <row r="9" spans="1:16" ht="33.75" customHeight="1">
      <c r="A9" s="1808"/>
      <c r="B9" s="1195">
        <f t="shared" si="1"/>
        <v>670131000</v>
      </c>
      <c r="C9" s="1195">
        <v>7000</v>
      </c>
      <c r="D9" s="1195">
        <f>ROUND(9000*M5,0)</f>
        <v>95733</v>
      </c>
      <c r="E9" s="635" t="s">
        <v>1075</v>
      </c>
      <c r="F9" s="1810" t="s">
        <v>1148</v>
      </c>
      <c r="G9" s="1810"/>
      <c r="H9" s="1198">
        <v>6</v>
      </c>
      <c r="J9" s="349"/>
      <c r="K9" s="1199">
        <f t="shared" si="0"/>
        <v>191466</v>
      </c>
    </row>
    <row r="10" spans="1:16" ht="27.75" customHeight="1">
      <c r="A10" s="1808"/>
      <c r="B10" s="1195">
        <f t="shared" si="1"/>
        <v>670131000</v>
      </c>
      <c r="C10" s="1195">
        <v>7000</v>
      </c>
      <c r="D10" s="1195">
        <f>ROUND(9000*M5,0)</f>
        <v>95733</v>
      </c>
      <c r="E10" s="635" t="s">
        <v>1075</v>
      </c>
      <c r="F10" s="1810" t="s">
        <v>1149</v>
      </c>
      <c r="G10" s="1810"/>
      <c r="H10" s="1198">
        <v>7</v>
      </c>
      <c r="J10" s="349"/>
      <c r="K10" s="1199">
        <f t="shared" si="0"/>
        <v>191466</v>
      </c>
    </row>
    <row r="11" spans="1:16" ht="27.75" customHeight="1">
      <c r="A11" s="1809"/>
      <c r="B11" s="1195">
        <f t="shared" si="1"/>
        <v>670131000</v>
      </c>
      <c r="C11" s="1195">
        <v>7000</v>
      </c>
      <c r="D11" s="1195">
        <f>ROUND(9000*M5,0)</f>
        <v>95733</v>
      </c>
      <c r="E11" s="635" t="s">
        <v>1075</v>
      </c>
      <c r="F11" s="1810" t="s">
        <v>1150</v>
      </c>
      <c r="G11" s="1810"/>
      <c r="H11" s="1198">
        <v>8</v>
      </c>
      <c r="J11" s="349"/>
      <c r="K11" s="1199">
        <f t="shared" si="0"/>
        <v>191466</v>
      </c>
    </row>
    <row r="12" spans="1:16" ht="27.75" customHeight="1">
      <c r="A12" s="1194" t="s">
        <v>1151</v>
      </c>
      <c r="B12" s="1195">
        <f t="shared" si="1"/>
        <v>382932000</v>
      </c>
      <c r="C12" s="1195">
        <v>4000</v>
      </c>
      <c r="D12" s="1195">
        <f>ROUND(9000*M5,0)</f>
        <v>95733</v>
      </c>
      <c r="E12" s="1196" t="s">
        <v>1152</v>
      </c>
      <c r="F12" s="1810" t="s">
        <v>1153</v>
      </c>
      <c r="G12" s="1810"/>
      <c r="H12" s="1198">
        <v>9</v>
      </c>
      <c r="J12" s="349"/>
      <c r="K12" s="1199">
        <f t="shared" si="0"/>
        <v>191466</v>
      </c>
    </row>
    <row r="13" spans="1:16" ht="27.75" customHeight="1">
      <c r="A13" s="1194"/>
      <c r="B13" s="1195">
        <f t="shared" si="1"/>
        <v>191466000</v>
      </c>
      <c r="C13" s="1195">
        <v>2000</v>
      </c>
      <c r="D13" s="1195">
        <f>ROUND(9000*M5,0)</f>
        <v>95733</v>
      </c>
      <c r="E13" s="1196" t="s">
        <v>1154</v>
      </c>
      <c r="F13" s="1810" t="s">
        <v>1155</v>
      </c>
      <c r="G13" s="1810"/>
      <c r="H13" s="1198">
        <v>10</v>
      </c>
      <c r="J13" s="349"/>
      <c r="K13" s="1199">
        <f t="shared" si="0"/>
        <v>191466</v>
      </c>
    </row>
    <row r="14" spans="1:16" ht="27.75" customHeight="1">
      <c r="A14" s="1194"/>
      <c r="B14" s="1195">
        <f t="shared" si="1"/>
        <v>191466000</v>
      </c>
      <c r="C14" s="1195">
        <v>2000</v>
      </c>
      <c r="D14" s="1195">
        <f>ROUND(9000*M5,0)</f>
        <v>95733</v>
      </c>
      <c r="E14" s="1196" t="s">
        <v>1075</v>
      </c>
      <c r="F14" s="1810" t="s">
        <v>1156</v>
      </c>
      <c r="G14" s="1810"/>
      <c r="H14" s="1198">
        <v>11</v>
      </c>
      <c r="J14" s="349"/>
      <c r="K14" s="1199">
        <f t="shared" si="0"/>
        <v>191466</v>
      </c>
    </row>
    <row r="15" spans="1:16" ht="27.75" customHeight="1">
      <c r="A15" s="1194"/>
      <c r="B15" s="1195">
        <f>ROUND(200000000*M5,0)</f>
        <v>2127400000</v>
      </c>
      <c r="C15" s="1811" t="s">
        <v>1157</v>
      </c>
      <c r="D15" s="1117" t="s">
        <v>1158</v>
      </c>
      <c r="E15" s="1196" t="s">
        <v>1158</v>
      </c>
      <c r="F15" s="1810" t="s">
        <v>1159</v>
      </c>
      <c r="G15" s="1810"/>
      <c r="H15" s="1197" t="s">
        <v>1048</v>
      </c>
      <c r="J15" s="1200"/>
    </row>
    <row r="16" spans="1:16" ht="27.75" customHeight="1">
      <c r="A16" s="1194"/>
      <c r="B16" s="1195">
        <f>ROUND(20000000*M5,0)</f>
        <v>212740000</v>
      </c>
      <c r="C16" s="1812"/>
      <c r="D16" s="1117" t="s">
        <v>1158</v>
      </c>
      <c r="E16" s="1196" t="s">
        <v>1158</v>
      </c>
      <c r="F16" s="1810" t="s">
        <v>1160</v>
      </c>
      <c r="G16" s="1810"/>
      <c r="H16" s="1197" t="s">
        <v>1048</v>
      </c>
    </row>
    <row r="17" spans="1:8" ht="27.75" customHeight="1" thickBot="1">
      <c r="A17" s="1201"/>
      <c r="B17" s="1202">
        <f>SUM(B3:B16)</f>
        <v>8218146200</v>
      </c>
      <c r="C17" s="1203"/>
      <c r="D17" s="1204"/>
      <c r="E17" s="1205"/>
      <c r="F17" s="1816" t="s">
        <v>1010</v>
      </c>
      <c r="G17" s="1816"/>
      <c r="H17" s="1206"/>
    </row>
  </sheetData>
  <mergeCells count="19">
    <mergeCell ref="F17:G17"/>
    <mergeCell ref="F11:G11"/>
    <mergeCell ref="F12:G12"/>
    <mergeCell ref="F13:G13"/>
    <mergeCell ref="F14:G14"/>
    <mergeCell ref="C15:C16"/>
    <mergeCell ref="F15:G15"/>
    <mergeCell ref="F16:G16"/>
    <mergeCell ref="F2:G2"/>
    <mergeCell ref="F3:G3"/>
    <mergeCell ref="A1:H1"/>
    <mergeCell ref="A4:A11"/>
    <mergeCell ref="F4:G4"/>
    <mergeCell ref="F5:G5"/>
    <mergeCell ref="F6:G6"/>
    <mergeCell ref="F7:G7"/>
    <mergeCell ref="F8:G8"/>
    <mergeCell ref="F9:G9"/>
    <mergeCell ref="F10:G10"/>
  </mergeCells>
  <printOptions horizontalCentered="1"/>
  <pageMargins left="0.31496062992125984" right="0.31496062992125984" top="0.35433070866141736" bottom="0.35433070866141736" header="0.31496062992125984" footer="0.31496062992125984"/>
  <pageSetup scale="53"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Q31"/>
  <sheetViews>
    <sheetView view="pageBreakPreview" topLeftCell="A19" zoomScale="80" zoomScaleNormal="100" zoomScaleSheetLayoutView="80" workbookViewId="0">
      <selection activeCell="A2" sqref="A2:XFD2"/>
    </sheetView>
  </sheetViews>
  <sheetFormatPr defaultColWidth="9.140625" defaultRowHeight="15"/>
  <cols>
    <col min="1" max="2" width="25.42578125" style="422" customWidth="1"/>
    <col min="3" max="4" width="14.7109375" style="547" customWidth="1"/>
    <col min="5" max="5" width="14.7109375" style="1136" customWidth="1"/>
    <col min="6" max="6" width="14.7109375" style="547" customWidth="1"/>
    <col min="7" max="7" width="31" style="547" customWidth="1"/>
    <col min="8" max="8" width="21.7109375" style="422" customWidth="1"/>
    <col min="9" max="9" width="20.85546875" style="547" customWidth="1"/>
    <col min="10" max="16384" width="9.140625" style="422"/>
  </cols>
  <sheetData>
    <row r="1" spans="1:17" s="423" customFormat="1" ht="24.75" customHeight="1" thickBot="1">
      <c r="A1" s="1763" t="s">
        <v>4418</v>
      </c>
      <c r="B1" s="1764"/>
      <c r="C1" s="1764"/>
      <c r="D1" s="1764"/>
      <c r="E1" s="1764"/>
      <c r="F1" s="1764"/>
      <c r="G1" s="1764"/>
      <c r="H1" s="1764"/>
      <c r="I1" s="1765"/>
    </row>
    <row r="2" spans="1:17" ht="45">
      <c r="A2" s="1178" t="s">
        <v>1043</v>
      </c>
      <c r="B2" s="1111" t="s">
        <v>4402</v>
      </c>
      <c r="C2" s="1124" t="s">
        <v>1044</v>
      </c>
      <c r="D2" s="1039" t="s">
        <v>1045</v>
      </c>
      <c r="E2" s="1039" t="s">
        <v>4403</v>
      </c>
      <c r="F2" s="1124" t="s">
        <v>1046</v>
      </c>
      <c r="G2" s="1817" t="s">
        <v>1047</v>
      </c>
      <c r="H2" s="1817"/>
      <c r="I2" s="1179" t="s">
        <v>28</v>
      </c>
    </row>
    <row r="3" spans="1:17" ht="29.25" customHeight="1">
      <c r="A3" s="1115"/>
      <c r="B3" s="1116"/>
      <c r="C3" s="1117"/>
      <c r="D3" s="1117"/>
      <c r="E3" s="1041"/>
      <c r="F3" s="1117" t="s">
        <v>1048</v>
      </c>
      <c r="G3" s="1778" t="s">
        <v>4419</v>
      </c>
      <c r="H3" s="1778"/>
      <c r="I3" s="1207" t="s">
        <v>1048</v>
      </c>
      <c r="K3" s="479">
        <f>ROUND(L6*L7*L8*L9,3)</f>
        <v>1.5369999999999999</v>
      </c>
      <c r="L3" s="422" t="s">
        <v>1050</v>
      </c>
    </row>
    <row r="4" spans="1:17" ht="47.45" customHeight="1">
      <c r="A4" s="1119">
        <f t="shared" ref="A4" si="0">C4*D4</f>
        <v>61042262400</v>
      </c>
      <c r="B4" s="1120">
        <f>ROUND(C4*E4,0)</f>
        <v>39715200000</v>
      </c>
      <c r="C4" s="1041">
        <f>'C.UG CIVIL-1'!F18</f>
        <v>22400</v>
      </c>
      <c r="D4" s="1041">
        <f>E4*$K$3</f>
        <v>2725101</v>
      </c>
      <c r="E4" s="1121">
        <v>1773000</v>
      </c>
      <c r="F4" s="1122" t="s">
        <v>1051</v>
      </c>
      <c r="G4" s="1766" t="s">
        <v>4404</v>
      </c>
      <c r="H4" s="1767"/>
      <c r="I4" s="1123">
        <v>30504</v>
      </c>
      <c r="P4" s="424"/>
      <c r="Q4" s="424"/>
    </row>
    <row r="5" spans="1:17" ht="29.25" customHeight="1">
      <c r="A5" s="1119"/>
      <c r="B5" s="1120"/>
      <c r="C5" s="1117"/>
      <c r="D5" s="1041"/>
      <c r="E5" s="1041"/>
      <c r="F5" s="1117" t="s">
        <v>1048</v>
      </c>
      <c r="G5" s="1782" t="s">
        <v>1072</v>
      </c>
      <c r="H5" s="1782"/>
      <c r="I5" s="1123" t="s">
        <v>1048</v>
      </c>
    </row>
    <row r="6" spans="1:17" ht="33.75" customHeight="1">
      <c r="A6" s="1119">
        <f>C6*D6</f>
        <v>4234742400</v>
      </c>
      <c r="B6" s="1120">
        <f>ROUND(C6*E6,0)</f>
        <v>2755200000</v>
      </c>
      <c r="C6" s="1041">
        <f>SUM(C4:C5)</f>
        <v>22400</v>
      </c>
      <c r="D6" s="1041">
        <f>E6*$K$3</f>
        <v>189051</v>
      </c>
      <c r="E6" s="1121">
        <v>123000</v>
      </c>
      <c r="F6" s="1126" t="s">
        <v>1051</v>
      </c>
      <c r="G6" s="1778" t="s">
        <v>1073</v>
      </c>
      <c r="H6" s="1778"/>
      <c r="I6" s="1123">
        <v>30701</v>
      </c>
      <c r="K6" s="423" t="s">
        <v>4405</v>
      </c>
      <c r="L6" s="479">
        <v>1.0900000000000001</v>
      </c>
    </row>
    <row r="7" spans="1:17" ht="33.75" customHeight="1">
      <c r="A7" s="1119">
        <f>C7*D7</f>
        <v>817684000</v>
      </c>
      <c r="B7" s="1120">
        <f>ROUND(C7*E7,0)</f>
        <v>106400000</v>
      </c>
      <c r="C7" s="1041">
        <f>C6</f>
        <v>22400</v>
      </c>
      <c r="D7" s="1041">
        <f>E7*$K$3*5</f>
        <v>36503.75</v>
      </c>
      <c r="E7" s="1146">
        <v>4750</v>
      </c>
      <c r="F7" s="1126" t="s">
        <v>1062</v>
      </c>
      <c r="G7" s="1781" t="s">
        <v>1080</v>
      </c>
      <c r="H7" s="1781"/>
      <c r="I7" s="1123">
        <v>30702</v>
      </c>
      <c r="K7" s="422" t="s">
        <v>4406</v>
      </c>
      <c r="L7" s="479">
        <v>1.41</v>
      </c>
    </row>
    <row r="8" spans="1:17" ht="37.5" customHeight="1">
      <c r="A8" s="1119">
        <f>C8*D8</f>
        <v>8366198400</v>
      </c>
      <c r="B8" s="1120">
        <f>ROUND(C8*E8,0)</f>
        <v>544320000</v>
      </c>
      <c r="C8" s="1041">
        <f>C6</f>
        <v>22400</v>
      </c>
      <c r="D8" s="1041">
        <f>E8*$K$3*10</f>
        <v>373491</v>
      </c>
      <c r="E8" s="1146">
        <v>24300</v>
      </c>
      <c r="F8" s="1126" t="s">
        <v>1062</v>
      </c>
      <c r="G8" s="1781" t="s">
        <v>1063</v>
      </c>
      <c r="H8" s="1781"/>
      <c r="I8" s="1123">
        <v>30703</v>
      </c>
      <c r="K8" s="422" t="s">
        <v>4407</v>
      </c>
      <c r="L8" s="479">
        <v>1</v>
      </c>
    </row>
    <row r="9" spans="1:17" ht="29.25" customHeight="1">
      <c r="A9" s="1119"/>
      <c r="B9" s="1120"/>
      <c r="C9" s="1124"/>
      <c r="D9" s="1041"/>
      <c r="E9" s="1039"/>
      <c r="F9" s="1124" t="s">
        <v>1048</v>
      </c>
      <c r="G9" s="1778" t="s">
        <v>1052</v>
      </c>
      <c r="H9" s="1778"/>
      <c r="I9" s="1207" t="s">
        <v>1048</v>
      </c>
      <c r="K9" s="424" t="s">
        <v>4408</v>
      </c>
      <c r="L9" s="479">
        <v>1</v>
      </c>
    </row>
    <row r="10" spans="1:17" ht="29.25" customHeight="1">
      <c r="A10" s="1119">
        <f t="shared" ref="A10:A19" si="1">C10*D10</f>
        <v>3117958200</v>
      </c>
      <c r="B10" s="1120">
        <f>ROUND(C10*E10,0)</f>
        <v>2028600000</v>
      </c>
      <c r="C10" s="1043">
        <f>'C.UG CIVIL-1'!H18</f>
        <v>1400</v>
      </c>
      <c r="D10" s="1041">
        <f t="shared" ref="D10:D21" si="2">E10*$K$3</f>
        <v>2227113</v>
      </c>
      <c r="E10" s="1125">
        <v>1449000</v>
      </c>
      <c r="F10" s="1126" t="s">
        <v>1053</v>
      </c>
      <c r="G10" s="1778" t="s">
        <v>1054</v>
      </c>
      <c r="H10" s="1778"/>
      <c r="I10" s="1123">
        <v>60101</v>
      </c>
    </row>
    <row r="11" spans="1:17" ht="36.75" customHeight="1">
      <c r="A11" s="1119">
        <f t="shared" si="1"/>
        <v>15354630</v>
      </c>
      <c r="B11" s="1120">
        <f>ROUND(C11*E11,0)</f>
        <v>9990000</v>
      </c>
      <c r="C11" s="1043">
        <f>'C.UG CIVIL-1'!N18</f>
        <v>450</v>
      </c>
      <c r="D11" s="1041">
        <f t="shared" si="2"/>
        <v>34121.4</v>
      </c>
      <c r="E11" s="1043">
        <v>22200</v>
      </c>
      <c r="F11" s="1126" t="s">
        <v>1081</v>
      </c>
      <c r="G11" s="1778" t="s">
        <v>4414</v>
      </c>
      <c r="H11" s="1778"/>
      <c r="I11" s="1147">
        <v>60912</v>
      </c>
    </row>
    <row r="12" spans="1:17" ht="29.25" customHeight="1">
      <c r="A12" s="1119"/>
      <c r="B12" s="1120"/>
      <c r="C12" s="1047"/>
      <c r="D12" s="1041"/>
      <c r="E12" s="1043"/>
      <c r="F12" s="1047" t="s">
        <v>1048</v>
      </c>
      <c r="G12" s="1778" t="s">
        <v>1055</v>
      </c>
      <c r="H12" s="1778"/>
      <c r="I12" s="1207" t="s">
        <v>1048</v>
      </c>
    </row>
    <row r="13" spans="1:17" ht="29.25" customHeight="1">
      <c r="A13" s="1119">
        <f t="shared" si="1"/>
        <v>14147931300</v>
      </c>
      <c r="B13" s="1120">
        <f>ROUND(C13*E13,0)</f>
        <v>9204900000</v>
      </c>
      <c r="C13" s="1043">
        <f>'C.UG CIVIL-1'!K18</f>
        <v>36600</v>
      </c>
      <c r="D13" s="1041">
        <f t="shared" si="2"/>
        <v>386555.5</v>
      </c>
      <c r="E13" s="1125">
        <v>251500</v>
      </c>
      <c r="F13" s="1125" t="s">
        <v>1056</v>
      </c>
      <c r="G13" s="1766" t="s">
        <v>4416</v>
      </c>
      <c r="H13" s="1767"/>
      <c r="I13" s="1123">
        <v>70202</v>
      </c>
    </row>
    <row r="14" spans="1:17" ht="29.25" customHeight="1">
      <c r="A14" s="1119">
        <f t="shared" si="1"/>
        <v>15177552230</v>
      </c>
      <c r="B14" s="1120">
        <f>ROUND(C14*E14,0)</f>
        <v>9874790000</v>
      </c>
      <c r="C14" s="1043">
        <f>'C.UG CIVIL-1'!J18</f>
        <v>986</v>
      </c>
      <c r="D14" s="1041">
        <f t="shared" si="2"/>
        <v>15393055</v>
      </c>
      <c r="E14" s="1125">
        <v>10015000</v>
      </c>
      <c r="F14" s="1126" t="s">
        <v>1051</v>
      </c>
      <c r="G14" s="1778" t="s">
        <v>1057</v>
      </c>
      <c r="H14" s="1778"/>
      <c r="I14" s="1123">
        <v>80106</v>
      </c>
    </row>
    <row r="15" spans="1:17" ht="27.75" customHeight="1">
      <c r="A15" s="1119">
        <f t="shared" si="1"/>
        <v>65917011.599999994</v>
      </c>
      <c r="B15" s="1120">
        <f>ROUND(C15*E15,0)</f>
        <v>42886800</v>
      </c>
      <c r="C15" s="1043">
        <f>'C.UG CIVIL-1'!J16/0.15</f>
        <v>1800</v>
      </c>
      <c r="D15" s="1041">
        <f t="shared" si="2"/>
        <v>36620.561999999998</v>
      </c>
      <c r="E15" s="1043">
        <f>ROUND(2240*M18,0)</f>
        <v>23826</v>
      </c>
      <c r="F15" s="1126" t="s">
        <v>1083</v>
      </c>
      <c r="G15" s="1778" t="s">
        <v>1084</v>
      </c>
      <c r="H15" s="1778"/>
      <c r="I15" s="1147">
        <v>80306</v>
      </c>
    </row>
    <row r="16" spans="1:17" ht="29.25" customHeight="1">
      <c r="A16" s="1119"/>
      <c r="B16" s="1120"/>
      <c r="C16" s="1041"/>
      <c r="D16" s="1041"/>
      <c r="E16" s="1041"/>
      <c r="F16" s="1047" t="s">
        <v>1048</v>
      </c>
      <c r="G16" s="1781" t="s">
        <v>1060</v>
      </c>
      <c r="H16" s="1781"/>
      <c r="I16" s="1123" t="s">
        <v>1048</v>
      </c>
      <c r="L16" s="337" t="s">
        <v>4411</v>
      </c>
      <c r="M16" s="1130">
        <v>481.9</v>
      </c>
    </row>
    <row r="17" spans="1:17" ht="39" customHeight="1">
      <c r="A17" s="1119">
        <f t="shared" si="1"/>
        <v>3166197559.8000002</v>
      </c>
      <c r="B17" s="1120">
        <f>ROUND(C17*E17,0)</f>
        <v>2059985400</v>
      </c>
      <c r="C17" s="1041">
        <f>'C.UG CIVIL-1'!G18</f>
        <v>10700</v>
      </c>
      <c r="D17" s="1041">
        <f t="shared" si="2"/>
        <v>295906.31400000001</v>
      </c>
      <c r="E17" s="1041">
        <f>ROUND(18100*M18,0)</f>
        <v>192522</v>
      </c>
      <c r="F17" s="1126" t="s">
        <v>1051</v>
      </c>
      <c r="G17" s="1781" t="s">
        <v>1061</v>
      </c>
      <c r="H17" s="1781"/>
      <c r="I17" s="1123">
        <v>31002</v>
      </c>
      <c r="L17" s="337" t="s">
        <v>4412</v>
      </c>
      <c r="M17" s="1130">
        <v>5125.7780000000002</v>
      </c>
    </row>
    <row r="18" spans="1:17" ht="33.75" customHeight="1">
      <c r="A18" s="1119">
        <f t="shared" si="1"/>
        <v>3996353700</v>
      </c>
      <c r="B18" s="1120">
        <f>ROUND(C18*E18,0)</f>
        <v>260010000</v>
      </c>
      <c r="C18" s="1041">
        <f>C17</f>
        <v>10700</v>
      </c>
      <c r="D18" s="1041">
        <f>E18*$K$3*10</f>
        <v>373491</v>
      </c>
      <c r="E18" s="1192">
        <v>24300</v>
      </c>
      <c r="F18" s="1126" t="s">
        <v>1062</v>
      </c>
      <c r="G18" s="1781" t="s">
        <v>1063</v>
      </c>
      <c r="H18" s="1781"/>
      <c r="I18" s="1123">
        <v>30703</v>
      </c>
      <c r="L18" s="1135" t="s">
        <v>4413</v>
      </c>
      <c r="M18" s="479">
        <f>M17/M16</f>
        <v>10.636600954554888</v>
      </c>
    </row>
    <row r="19" spans="1:17" ht="33.75" customHeight="1">
      <c r="A19" s="1119">
        <f t="shared" si="1"/>
        <v>1628144100</v>
      </c>
      <c r="B19" s="1120">
        <f>ROUND(C19*E19,0)</f>
        <v>211860000</v>
      </c>
      <c r="C19" s="1041">
        <f>C18</f>
        <v>10700</v>
      </c>
      <c r="D19" s="1041">
        <f>E19*$K$3*5</f>
        <v>152163</v>
      </c>
      <c r="E19" s="1192">
        <v>19800</v>
      </c>
      <c r="F19" s="1126" t="s">
        <v>1062</v>
      </c>
      <c r="G19" s="1781" t="s">
        <v>1064</v>
      </c>
      <c r="H19" s="1781"/>
      <c r="I19" s="1123">
        <v>30704</v>
      </c>
    </row>
    <row r="20" spans="1:17" ht="29.25" customHeight="1">
      <c r="A20" s="1119"/>
      <c r="B20" s="1120"/>
      <c r="C20" s="1041"/>
      <c r="D20" s="1041"/>
      <c r="E20" s="1041"/>
      <c r="F20" s="1117" t="s">
        <v>1048</v>
      </c>
      <c r="G20" s="1781" t="s">
        <v>1069</v>
      </c>
      <c r="H20" s="1781"/>
      <c r="I20" s="1123" t="s">
        <v>1048</v>
      </c>
    </row>
    <row r="21" spans="1:17" ht="29.25" customHeight="1">
      <c r="A21" s="1119">
        <f>C21*D21</f>
        <v>2145719628</v>
      </c>
      <c r="B21" s="1120">
        <f>ROUND(C21*E21,0)</f>
        <v>1396044000</v>
      </c>
      <c r="C21" s="1041">
        <f>'C.UG CIVIL-1'!I18</f>
        <v>156</v>
      </c>
      <c r="D21" s="1041">
        <f t="shared" si="2"/>
        <v>13754613</v>
      </c>
      <c r="E21" s="1121">
        <v>8949000</v>
      </c>
      <c r="F21" s="1126" t="s">
        <v>1051</v>
      </c>
      <c r="G21" s="1781" t="s">
        <v>1070</v>
      </c>
      <c r="H21" s="1781"/>
      <c r="I21" s="1123">
        <v>80102</v>
      </c>
    </row>
    <row r="22" spans="1:17" ht="29.25" customHeight="1">
      <c r="A22" s="1119"/>
      <c r="B22" s="1120"/>
      <c r="C22" s="1041"/>
      <c r="D22" s="1041"/>
      <c r="E22" s="1041"/>
      <c r="F22" s="1126"/>
      <c r="G22" s="1818" t="s">
        <v>1161</v>
      </c>
      <c r="H22" s="1818"/>
      <c r="I22" s="1123" t="s">
        <v>1048</v>
      </c>
    </row>
    <row r="23" spans="1:17" ht="29.25" customHeight="1">
      <c r="A23" s="1119">
        <f>C23*D23</f>
        <v>52226337800</v>
      </c>
      <c r="B23" s="1120">
        <f>ROUND(C23*E23,0)</f>
        <v>33979400000</v>
      </c>
      <c r="C23" s="1041">
        <f>'C.UG CIVIL-1'!L18</f>
        <v>9100</v>
      </c>
      <c r="D23" s="1041">
        <f>E23*$K$3</f>
        <v>5739158</v>
      </c>
      <c r="E23" s="1041">
        <v>3734000</v>
      </c>
      <c r="F23" s="1126" t="s">
        <v>1051</v>
      </c>
      <c r="G23" s="1781" t="s">
        <v>1162</v>
      </c>
      <c r="H23" s="1781"/>
      <c r="I23" s="1123">
        <v>40503</v>
      </c>
    </row>
    <row r="24" spans="1:17" ht="27.75" customHeight="1">
      <c r="A24" s="1119"/>
      <c r="B24" s="1120"/>
      <c r="C24" s="1041"/>
      <c r="D24" s="1041"/>
      <c r="E24" s="1041"/>
      <c r="F24" s="1129"/>
      <c r="G24" s="1781" t="s">
        <v>1086</v>
      </c>
      <c r="H24" s="1781"/>
      <c r="I24" s="1147" t="s">
        <v>1048</v>
      </c>
    </row>
    <row r="25" spans="1:17" ht="27.75" customHeight="1">
      <c r="A25" s="1119">
        <f>C25*D25</f>
        <v>4525880940</v>
      </c>
      <c r="B25" s="1120">
        <f>ROUND(C25*E25,0)</f>
        <v>2944620000</v>
      </c>
      <c r="C25" s="1041">
        <f>'C.UG CIVIL-1'!M18</f>
        <v>540</v>
      </c>
      <c r="D25" s="1041">
        <f>E25*$K$3</f>
        <v>8381261</v>
      </c>
      <c r="E25" s="1041">
        <v>5453000</v>
      </c>
      <c r="F25" s="1126" t="s">
        <v>1051</v>
      </c>
      <c r="G25" s="1781" t="s">
        <v>1087</v>
      </c>
      <c r="H25" s="1781"/>
      <c r="I25" s="1147">
        <v>40102</v>
      </c>
    </row>
    <row r="26" spans="1:17" ht="29.25" customHeight="1">
      <c r="A26" s="1142"/>
      <c r="B26" s="1143"/>
      <c r="C26" s="1144"/>
      <c r="D26" s="1144"/>
      <c r="E26" s="509"/>
      <c r="F26" s="1144" t="s">
        <v>1048</v>
      </c>
      <c r="G26" s="1819" t="s">
        <v>1163</v>
      </c>
      <c r="H26" s="1820"/>
      <c r="I26" s="1208" t="s">
        <v>1048</v>
      </c>
      <c r="K26" s="1209">
        <f>ROUND(L28*L27*L29*L30,3)</f>
        <v>1.6419999999999999</v>
      </c>
      <c r="L26" s="422" t="s">
        <v>1050</v>
      </c>
    </row>
    <row r="27" spans="1:17" ht="29.25" customHeight="1">
      <c r="A27" s="1119">
        <f>C27*D27</f>
        <v>11075290000</v>
      </c>
      <c r="B27" s="1120">
        <f>ROUND(C27*E27,0)</f>
        <v>6745000000</v>
      </c>
      <c r="C27" s="1041">
        <f>'C.UG CIVIL-1'!O18</f>
        <v>1000</v>
      </c>
      <c r="D27" s="1041">
        <f>E27*K26</f>
        <v>11075290</v>
      </c>
      <c r="E27" s="1192">
        <v>6745000</v>
      </c>
      <c r="F27" s="1210" t="s">
        <v>1133</v>
      </c>
      <c r="G27" s="1821" t="s">
        <v>1164</v>
      </c>
      <c r="H27" s="1822"/>
      <c r="I27" s="1197">
        <v>60203</v>
      </c>
      <c r="K27" s="423" t="s">
        <v>4405</v>
      </c>
      <c r="L27" s="479">
        <v>1.1200000000000001</v>
      </c>
      <c r="P27" s="424"/>
      <c r="Q27" s="424"/>
    </row>
    <row r="28" spans="1:17" ht="29.25" customHeight="1">
      <c r="A28" s="1119">
        <f t="shared" ref="A28:A29" si="3">C28*D28</f>
        <v>2755276000</v>
      </c>
      <c r="B28" s="1120">
        <f>ROUND(C28*E28,0)</f>
        <v>1678000000</v>
      </c>
      <c r="C28" s="1041">
        <f>'C.UG CIVIL-1'!O18</f>
        <v>1000</v>
      </c>
      <c r="D28" s="1041">
        <f>E28*K26</f>
        <v>2755276</v>
      </c>
      <c r="E28" s="1192">
        <v>1678000</v>
      </c>
      <c r="F28" s="1210" t="s">
        <v>1133</v>
      </c>
      <c r="G28" s="1821" t="s">
        <v>1165</v>
      </c>
      <c r="H28" s="1822"/>
      <c r="I28" s="1197">
        <v>60301</v>
      </c>
      <c r="K28" s="422" t="s">
        <v>4406</v>
      </c>
      <c r="L28" s="479">
        <v>1.41</v>
      </c>
    </row>
    <row r="29" spans="1:17" ht="33.75" customHeight="1">
      <c r="A29" s="1119">
        <f t="shared" si="3"/>
        <v>245479000</v>
      </c>
      <c r="B29" s="1120">
        <f>ROUND(C29*E29,0)</f>
        <v>149500000</v>
      </c>
      <c r="C29" s="1041">
        <f>'C.UG CIVIL-1'!O18</f>
        <v>1000</v>
      </c>
      <c r="D29" s="1041">
        <f>E29*K26</f>
        <v>245479</v>
      </c>
      <c r="E29" s="1192">
        <v>149500</v>
      </c>
      <c r="F29" s="1210" t="s">
        <v>1075</v>
      </c>
      <c r="G29" s="1821" t="s">
        <v>1166</v>
      </c>
      <c r="H29" s="1822"/>
      <c r="I29" s="1197">
        <v>60403</v>
      </c>
      <c r="K29" s="422" t="s">
        <v>4407</v>
      </c>
      <c r="L29" s="479">
        <v>1.04</v>
      </c>
    </row>
    <row r="30" spans="1:17" ht="29.25" customHeight="1" thickBot="1">
      <c r="A30" s="1211">
        <f>SUM(A3:A29)</f>
        <v>188750279299.40002</v>
      </c>
      <c r="B30" s="1211">
        <f>SUM(B3:B29)</f>
        <v>113706706200</v>
      </c>
      <c r="C30" s="1212"/>
      <c r="D30" s="1212"/>
      <c r="E30" s="1213"/>
      <c r="F30" s="1212"/>
      <c r="G30" s="1823" t="s">
        <v>1010</v>
      </c>
      <c r="H30" s="1823"/>
      <c r="I30" s="1214"/>
      <c r="K30" s="424" t="s">
        <v>4408</v>
      </c>
      <c r="L30" s="479">
        <v>1</v>
      </c>
    </row>
    <row r="31" spans="1:17" ht="29.25" customHeight="1"/>
  </sheetData>
  <mergeCells count="30">
    <mergeCell ref="G26:H26"/>
    <mergeCell ref="G27:H27"/>
    <mergeCell ref="G28:H28"/>
    <mergeCell ref="G29:H29"/>
    <mergeCell ref="G30:H30"/>
    <mergeCell ref="G25:H25"/>
    <mergeCell ref="G14:H14"/>
    <mergeCell ref="G15:H15"/>
    <mergeCell ref="G16:H16"/>
    <mergeCell ref="G17:H17"/>
    <mergeCell ref="G18:H18"/>
    <mergeCell ref="G19:H19"/>
    <mergeCell ref="G20:H20"/>
    <mergeCell ref="G21:H21"/>
    <mergeCell ref="G22:H22"/>
    <mergeCell ref="G23:H23"/>
    <mergeCell ref="G24:H24"/>
    <mergeCell ref="A1:I1"/>
    <mergeCell ref="G13:H13"/>
    <mergeCell ref="G2:H2"/>
    <mergeCell ref="G3:H3"/>
    <mergeCell ref="G4:H4"/>
    <mergeCell ref="G5:H5"/>
    <mergeCell ref="G6:H6"/>
    <mergeCell ref="G7:H7"/>
    <mergeCell ref="G8:H8"/>
    <mergeCell ref="G9:H9"/>
    <mergeCell ref="G10:H10"/>
    <mergeCell ref="G11:H11"/>
    <mergeCell ref="G12:H12"/>
  </mergeCells>
  <printOptions horizontalCentered="1"/>
  <pageMargins left="0.31496062992125984" right="0.31496062992125984" top="0.15748031496062992" bottom="0.35433070866141736" header="0.31496062992125984" footer="0.31496062992125984"/>
  <pageSetup scale="45"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Q29"/>
  <sheetViews>
    <sheetView view="pageBreakPreview" topLeftCell="A25" zoomScale="80" zoomScaleNormal="100" zoomScaleSheetLayoutView="80" workbookViewId="0">
      <selection sqref="A1:XFD6"/>
    </sheetView>
  </sheetViews>
  <sheetFormatPr defaultColWidth="9.140625" defaultRowHeight="15"/>
  <cols>
    <col min="1" max="2" width="22.140625" style="422" customWidth="1"/>
    <col min="3" max="4" width="14.7109375" style="547" customWidth="1"/>
    <col min="5" max="5" width="14.7109375" style="1136" customWidth="1"/>
    <col min="6" max="7" width="14.7109375" style="547" customWidth="1"/>
    <col min="8" max="8" width="25.42578125" style="422" customWidth="1"/>
    <col min="9" max="9" width="18.5703125" style="547" customWidth="1"/>
    <col min="10" max="16384" width="9.140625" style="422"/>
  </cols>
  <sheetData>
    <row r="1" spans="1:17" s="423" customFormat="1" ht="24.75" customHeight="1" thickBot="1">
      <c r="A1" s="1826" t="s">
        <v>4349</v>
      </c>
      <c r="B1" s="1827"/>
      <c r="C1" s="1827"/>
      <c r="D1" s="1827"/>
      <c r="E1" s="1827"/>
      <c r="F1" s="1827"/>
      <c r="G1" s="1827"/>
      <c r="H1" s="1827"/>
      <c r="I1" s="1828"/>
    </row>
    <row r="2" spans="1:17" ht="45">
      <c r="A2" s="1215" t="s">
        <v>1043</v>
      </c>
      <c r="B2" s="1111" t="s">
        <v>4402</v>
      </c>
      <c r="C2" s="1216" t="s">
        <v>1044</v>
      </c>
      <c r="D2" s="1216" t="s">
        <v>1045</v>
      </c>
      <c r="E2" s="1216" t="s">
        <v>4403</v>
      </c>
      <c r="F2" s="1216" t="s">
        <v>1046</v>
      </c>
      <c r="G2" s="1829" t="s">
        <v>1047</v>
      </c>
      <c r="H2" s="1830"/>
      <c r="I2" s="1217" t="s">
        <v>28</v>
      </c>
    </row>
    <row r="3" spans="1:17" ht="20.100000000000001" customHeight="1">
      <c r="A3" s="1218"/>
      <c r="B3" s="1219"/>
      <c r="C3" s="1121"/>
      <c r="D3" s="1121"/>
      <c r="E3" s="1121"/>
      <c r="F3" s="1121" t="s">
        <v>1048</v>
      </c>
      <c r="G3" s="1831" t="s">
        <v>1049</v>
      </c>
      <c r="H3" s="1832"/>
      <c r="I3" s="1220" t="s">
        <v>1048</v>
      </c>
      <c r="K3" s="479">
        <f>ROUND(M5*M6*M7*M8,3)</f>
        <v>1.5369999999999999</v>
      </c>
      <c r="L3" s="422" t="s">
        <v>1050</v>
      </c>
    </row>
    <row r="4" spans="1:17" ht="51.6" customHeight="1">
      <c r="A4" s="1221">
        <f>C4*D4</f>
        <v>12017695410</v>
      </c>
      <c r="B4" s="1222">
        <f>ROUND(C4*E4,0)</f>
        <v>7818930000</v>
      </c>
      <c r="C4" s="1121">
        <f>'C.STEEL STRUCTURE-1'!F17</f>
        <v>4410</v>
      </c>
      <c r="D4" s="1121">
        <f>E4*$K$3</f>
        <v>2725101</v>
      </c>
      <c r="E4" s="1121">
        <v>1773000</v>
      </c>
      <c r="F4" s="1122" t="s">
        <v>1051</v>
      </c>
      <c r="G4" s="1766" t="s">
        <v>4420</v>
      </c>
      <c r="H4" s="1767"/>
      <c r="I4" s="1123">
        <v>30504</v>
      </c>
      <c r="P4" s="424"/>
      <c r="Q4" s="424"/>
    </row>
    <row r="5" spans="1:17" ht="20.100000000000001" customHeight="1">
      <c r="A5" s="1221">
        <f t="shared" ref="A5" si="0">C5*D5</f>
        <v>0</v>
      </c>
      <c r="B5" s="1222"/>
      <c r="C5" s="1121"/>
      <c r="D5" s="1121"/>
      <c r="E5" s="1121"/>
      <c r="F5" s="1121" t="s">
        <v>1048</v>
      </c>
      <c r="G5" s="1833" t="s">
        <v>1072</v>
      </c>
      <c r="H5" s="1834"/>
      <c r="I5" s="1123" t="s">
        <v>1048</v>
      </c>
      <c r="L5" s="423" t="s">
        <v>4405</v>
      </c>
      <c r="M5" s="479">
        <v>1.0900000000000001</v>
      </c>
    </row>
    <row r="6" spans="1:17" ht="33.75" customHeight="1">
      <c r="A6" s="1221">
        <f>C6*D6</f>
        <v>833714910</v>
      </c>
      <c r="B6" s="1222">
        <f>ROUND(C6*E6,0)</f>
        <v>542430000</v>
      </c>
      <c r="C6" s="1121">
        <f>C4</f>
        <v>4410</v>
      </c>
      <c r="D6" s="1121">
        <f>E6*$K$3</f>
        <v>189051</v>
      </c>
      <c r="E6" s="1121">
        <v>123000</v>
      </c>
      <c r="F6" s="1122" t="s">
        <v>1051</v>
      </c>
      <c r="G6" s="1766" t="s">
        <v>1073</v>
      </c>
      <c r="H6" s="1767"/>
      <c r="I6" s="1123">
        <v>30701</v>
      </c>
      <c r="L6" s="422" t="s">
        <v>4406</v>
      </c>
      <c r="M6" s="479">
        <v>1.41</v>
      </c>
    </row>
    <row r="7" spans="1:17" ht="33.75" customHeight="1">
      <c r="A7" s="1221">
        <f>C8*D7</f>
        <v>160981537.5</v>
      </c>
      <c r="B7" s="1222">
        <f t="shared" ref="B7:B28" si="1">ROUND(C7*E7,0)</f>
        <v>20947500</v>
      </c>
      <c r="C7" s="1121">
        <f>C6</f>
        <v>4410</v>
      </c>
      <c r="D7" s="1121">
        <f>E7*$K$3*5</f>
        <v>36503.75</v>
      </c>
      <c r="E7" s="1146">
        <v>4750</v>
      </c>
      <c r="F7" s="1122" t="s">
        <v>1062</v>
      </c>
      <c r="G7" s="1824" t="s">
        <v>1080</v>
      </c>
      <c r="H7" s="1825"/>
      <c r="I7" s="1123">
        <v>30702</v>
      </c>
      <c r="L7" s="422" t="s">
        <v>4407</v>
      </c>
      <c r="M7" s="479">
        <v>1</v>
      </c>
    </row>
    <row r="8" spans="1:17" ht="33.75" customHeight="1">
      <c r="A8" s="1221">
        <f t="shared" ref="A8" si="2">C8*D8</f>
        <v>1647095310</v>
      </c>
      <c r="B8" s="1222">
        <f t="shared" si="1"/>
        <v>107163000</v>
      </c>
      <c r="C8" s="1121">
        <f>C7</f>
        <v>4410</v>
      </c>
      <c r="D8" s="1121">
        <f>E8*$K$3*10</f>
        <v>373491</v>
      </c>
      <c r="E8" s="1146">
        <v>24300</v>
      </c>
      <c r="F8" s="1122" t="s">
        <v>1062</v>
      </c>
      <c r="G8" s="1824" t="s">
        <v>1063</v>
      </c>
      <c r="H8" s="1825"/>
      <c r="I8" s="1123">
        <v>30703</v>
      </c>
      <c r="L8" s="424" t="s">
        <v>4408</v>
      </c>
      <c r="M8" s="479">
        <v>1</v>
      </c>
    </row>
    <row r="9" spans="1:17" ht="20.100000000000001" customHeight="1">
      <c r="A9" s="1221"/>
      <c r="B9" s="1222"/>
      <c r="C9" s="1223"/>
      <c r="D9" s="1121"/>
      <c r="E9" s="1223"/>
      <c r="F9" s="1223" t="s">
        <v>1048</v>
      </c>
      <c r="G9" s="1766" t="s">
        <v>1052</v>
      </c>
      <c r="H9" s="1767"/>
      <c r="I9" s="1123" t="s">
        <v>1048</v>
      </c>
    </row>
    <row r="10" spans="1:17" ht="20.100000000000001" customHeight="1">
      <c r="A10" s="1221">
        <f t="shared" ref="A10:A17" si="3">C10*D10</f>
        <v>29981395206</v>
      </c>
      <c r="B10" s="1222">
        <f t="shared" si="1"/>
        <v>19506438000</v>
      </c>
      <c r="C10" s="1125">
        <f>'C.STEEL STRUCTURE-1'!H17</f>
        <v>13462</v>
      </c>
      <c r="D10" s="1121">
        <f>E10*$K$3</f>
        <v>2227113</v>
      </c>
      <c r="E10" s="1125">
        <v>1449000</v>
      </c>
      <c r="F10" s="1122" t="s">
        <v>1053</v>
      </c>
      <c r="G10" s="1766" t="s">
        <v>1054</v>
      </c>
      <c r="H10" s="1767"/>
      <c r="I10" s="1123">
        <v>60101</v>
      </c>
    </row>
    <row r="11" spans="1:17" ht="20.100000000000001" customHeight="1">
      <c r="A11" s="1221"/>
      <c r="B11" s="1222"/>
      <c r="C11" s="1125"/>
      <c r="D11" s="1121"/>
      <c r="E11" s="1125"/>
      <c r="F11" s="1125" t="s">
        <v>1048</v>
      </c>
      <c r="G11" s="1766" t="s">
        <v>1055</v>
      </c>
      <c r="H11" s="1767"/>
      <c r="I11" s="1123" t="s">
        <v>1048</v>
      </c>
    </row>
    <row r="12" spans="1:17" ht="37.9" customHeight="1">
      <c r="A12" s="1221">
        <f t="shared" si="3"/>
        <v>152426564760</v>
      </c>
      <c r="B12" s="1222">
        <f t="shared" si="1"/>
        <v>99171480000</v>
      </c>
      <c r="C12" s="1125">
        <f>'C.STEEL STRUCTURE-1'!K17</f>
        <v>394320</v>
      </c>
      <c r="D12" s="1121">
        <f>E12*$K$3</f>
        <v>386555.5</v>
      </c>
      <c r="E12" s="1125">
        <v>251500</v>
      </c>
      <c r="F12" s="1125" t="s">
        <v>1056</v>
      </c>
      <c r="G12" s="1766" t="s">
        <v>4409</v>
      </c>
      <c r="H12" s="1767"/>
      <c r="I12" s="1123">
        <v>70202</v>
      </c>
    </row>
    <row r="13" spans="1:17" ht="28.15" customHeight="1">
      <c r="A13" s="1221">
        <f t="shared" si="3"/>
        <v>46764101090</v>
      </c>
      <c r="B13" s="1222">
        <f t="shared" si="1"/>
        <v>30425570000</v>
      </c>
      <c r="C13" s="1125">
        <f>'C.STEEL STRUCTURE-1'!I17</f>
        <v>3038</v>
      </c>
      <c r="D13" s="1121">
        <f>E13*$K$3</f>
        <v>15393055</v>
      </c>
      <c r="E13" s="1125">
        <v>10015000</v>
      </c>
      <c r="F13" s="1122" t="s">
        <v>1051</v>
      </c>
      <c r="G13" s="1766" t="s">
        <v>1057</v>
      </c>
      <c r="H13" s="1767"/>
      <c r="I13" s="1123">
        <v>80106</v>
      </c>
    </row>
    <row r="14" spans="1:17" ht="20.100000000000001" customHeight="1">
      <c r="A14" s="1221">
        <f t="shared" si="3"/>
        <v>375420242.39999998</v>
      </c>
      <c r="B14" s="1222">
        <f t="shared" si="1"/>
        <v>244255200</v>
      </c>
      <c r="C14" s="1125">
        <f>C13</f>
        <v>3038</v>
      </c>
      <c r="D14" s="1121">
        <f>E14*$K$3</f>
        <v>123574.79999999999</v>
      </c>
      <c r="E14" s="1125">
        <v>80400</v>
      </c>
      <c r="F14" s="1122" t="s">
        <v>1051</v>
      </c>
      <c r="G14" s="1766" t="s">
        <v>1058</v>
      </c>
      <c r="H14" s="1767"/>
      <c r="I14" s="1123">
        <v>80310</v>
      </c>
    </row>
    <row r="15" spans="1:17" ht="20.100000000000001" customHeight="1">
      <c r="A15" s="1221">
        <f t="shared" si="3"/>
        <v>0</v>
      </c>
      <c r="B15" s="1222"/>
      <c r="C15" s="1121"/>
      <c r="D15" s="1121"/>
      <c r="E15" s="1121"/>
      <c r="F15" s="1121" t="s">
        <v>1048</v>
      </c>
      <c r="G15" s="1824" t="s">
        <v>1069</v>
      </c>
      <c r="H15" s="1825"/>
      <c r="I15" s="1123" t="s">
        <v>1048</v>
      </c>
    </row>
    <row r="16" spans="1:17" ht="29.25" customHeight="1">
      <c r="A16" s="1221">
        <f t="shared" si="3"/>
        <v>14893494956.4</v>
      </c>
      <c r="B16" s="1222">
        <f t="shared" si="1"/>
        <v>9689977200</v>
      </c>
      <c r="C16" s="1121">
        <f>'C.STEEL STRUCTURE-1'!J17</f>
        <v>1082.8</v>
      </c>
      <c r="D16" s="1121">
        <f>E16*$K$3</f>
        <v>13754613</v>
      </c>
      <c r="E16" s="1121">
        <v>8949000</v>
      </c>
      <c r="F16" s="1122" t="s">
        <v>1051</v>
      </c>
      <c r="G16" s="1824" t="s">
        <v>1070</v>
      </c>
      <c r="H16" s="1825"/>
      <c r="I16" s="1123">
        <v>80102</v>
      </c>
    </row>
    <row r="17" spans="1:13" ht="20.100000000000001" customHeight="1">
      <c r="A17" s="1221">
        <f t="shared" si="3"/>
        <v>282092680.19999999</v>
      </c>
      <c r="B17" s="1222">
        <f t="shared" si="1"/>
        <v>183534600</v>
      </c>
      <c r="C17" s="1121">
        <f>C16</f>
        <v>1082.8</v>
      </c>
      <c r="D17" s="1121">
        <f>E17*$K$3</f>
        <v>260521.5</v>
      </c>
      <c r="E17" s="1121">
        <v>169500</v>
      </c>
      <c r="F17" s="1122" t="s">
        <v>1051</v>
      </c>
      <c r="G17" s="1824" t="s">
        <v>1071</v>
      </c>
      <c r="H17" s="1825"/>
      <c r="I17" s="1123">
        <v>80304</v>
      </c>
    </row>
    <row r="18" spans="1:13" ht="20.100000000000001" customHeight="1">
      <c r="A18" s="1221"/>
      <c r="B18" s="1222"/>
      <c r="C18" s="1121"/>
      <c r="D18" s="1121"/>
      <c r="E18" s="1121"/>
      <c r="F18" s="1122"/>
      <c r="G18" s="1224"/>
      <c r="H18" s="1225" t="s">
        <v>1167</v>
      </c>
      <c r="I18" s="1123" t="s">
        <v>1048</v>
      </c>
    </row>
    <row r="19" spans="1:13" ht="99" customHeight="1">
      <c r="A19" s="1221">
        <f t="shared" ref="A19" si="4">C19*D19</f>
        <v>76579488</v>
      </c>
      <c r="B19" s="1222">
        <f t="shared" si="1"/>
        <v>49824000</v>
      </c>
      <c r="C19" s="1121">
        <f>'C.STEEL STRUCTURE-1'!M13+'C.STEEL STRUCTURE-1'!M14</f>
        <v>144</v>
      </c>
      <c r="D19" s="1121">
        <f>E19*$K$3</f>
        <v>531802</v>
      </c>
      <c r="E19" s="1226">
        <v>346000</v>
      </c>
      <c r="F19" s="1125" t="s">
        <v>1056</v>
      </c>
      <c r="G19" s="1836" t="s">
        <v>1168</v>
      </c>
      <c r="H19" s="1837"/>
      <c r="I19" s="1123" t="s">
        <v>1169</v>
      </c>
    </row>
    <row r="20" spans="1:13" ht="24" customHeight="1">
      <c r="A20" s="1221"/>
      <c r="B20" s="1222"/>
      <c r="C20" s="1121"/>
      <c r="D20" s="1121"/>
      <c r="E20" s="1121"/>
      <c r="F20" s="1227"/>
      <c r="G20" s="1835" t="s">
        <v>1170</v>
      </c>
      <c r="H20" s="1835"/>
      <c r="I20" s="1123" t="s">
        <v>1048</v>
      </c>
    </row>
    <row r="21" spans="1:13" ht="54.75" customHeight="1">
      <c r="A21" s="1221">
        <f t="shared" ref="A21" si="5">C21*D21</f>
        <v>44726700000</v>
      </c>
      <c r="B21" s="1222">
        <f t="shared" si="1"/>
        <v>29100000000</v>
      </c>
      <c r="C21" s="1121">
        <f>'C.STEEL STRUCTURE-1'!M9*1000</f>
        <v>60000</v>
      </c>
      <c r="D21" s="1121">
        <f>E21*$K$3</f>
        <v>745445</v>
      </c>
      <c r="E21" s="1121">
        <v>485000</v>
      </c>
      <c r="F21" s="1125" t="s">
        <v>1056</v>
      </c>
      <c r="G21" s="1824" t="s">
        <v>1171</v>
      </c>
      <c r="H21" s="1825"/>
      <c r="I21" s="1123">
        <v>90501</v>
      </c>
    </row>
    <row r="22" spans="1:13" ht="32.25" customHeight="1">
      <c r="A22" s="1221"/>
      <c r="B22" s="1222"/>
      <c r="C22" s="1121"/>
      <c r="D22" s="1121"/>
      <c r="E22" s="1121"/>
      <c r="F22" s="1122"/>
      <c r="G22" s="1766" t="s">
        <v>1172</v>
      </c>
      <c r="H22" s="1767"/>
      <c r="I22" s="1123" t="s">
        <v>1048</v>
      </c>
    </row>
    <row r="23" spans="1:13" ht="92.25" customHeight="1">
      <c r="A23" s="1221">
        <f t="shared" ref="A23" si="6">C23*D23</f>
        <v>248625120000</v>
      </c>
      <c r="B23" s="1222">
        <f t="shared" si="1"/>
        <v>161760000000</v>
      </c>
      <c r="C23" s="1121">
        <f>'C.STEEL STRUCTURE-1'!M12*1000</f>
        <v>480000</v>
      </c>
      <c r="D23" s="1121">
        <f>E23*$K$3</f>
        <v>517969</v>
      </c>
      <c r="E23" s="1121">
        <v>337000</v>
      </c>
      <c r="F23" s="1125" t="s">
        <v>1056</v>
      </c>
      <c r="G23" s="1836" t="s">
        <v>4421</v>
      </c>
      <c r="H23" s="1837"/>
      <c r="I23" s="1123">
        <v>90305</v>
      </c>
    </row>
    <row r="24" spans="1:13" ht="38.25" customHeight="1">
      <c r="A24" s="1221"/>
      <c r="B24" s="1222"/>
      <c r="C24" s="1121"/>
      <c r="D24" s="1121"/>
      <c r="E24" s="1121"/>
      <c r="F24" s="1122"/>
      <c r="G24" s="1766" t="s">
        <v>1173</v>
      </c>
      <c r="H24" s="1767"/>
      <c r="I24" s="1150" t="s">
        <v>1048</v>
      </c>
    </row>
    <row r="25" spans="1:13" ht="36.75" customHeight="1">
      <c r="A25" s="1221">
        <f t="shared" ref="A25" si="7">C25*D25</f>
        <v>165756228000</v>
      </c>
      <c r="B25" s="1222">
        <f t="shared" si="1"/>
        <v>107844000000</v>
      </c>
      <c r="C25" s="1121">
        <f>SUM('C.STEEL STRUCTURE-1'!L9:L11)*1000</f>
        <v>264000</v>
      </c>
      <c r="D25" s="1121">
        <f>E25*$K$3</f>
        <v>627864.5</v>
      </c>
      <c r="E25" s="1121">
        <v>408500</v>
      </c>
      <c r="F25" s="1125" t="s">
        <v>1056</v>
      </c>
      <c r="G25" s="1836" t="s">
        <v>1174</v>
      </c>
      <c r="H25" s="1837"/>
      <c r="I25" s="1123">
        <v>90401</v>
      </c>
    </row>
    <row r="26" spans="1:13" ht="27.75" customHeight="1">
      <c r="A26" s="1119"/>
      <c r="B26" s="1120"/>
      <c r="C26" s="1041"/>
      <c r="D26" s="1041"/>
      <c r="E26" s="1041"/>
      <c r="F26" s="1129"/>
      <c r="G26" s="1781" t="s">
        <v>1097</v>
      </c>
      <c r="H26" s="1781"/>
      <c r="I26" s="1150" t="s">
        <v>1048</v>
      </c>
    </row>
    <row r="27" spans="1:13" ht="39" customHeight="1">
      <c r="A27" s="1119">
        <f t="shared" ref="A27:A28" si="8">C27*D27</f>
        <v>210458336000</v>
      </c>
      <c r="B27" s="1222">
        <f t="shared" si="1"/>
        <v>136928000000</v>
      </c>
      <c r="C27" s="1041">
        <f>'C.STEEL STRUCTURE-1'!L17*1000</f>
        <v>352000</v>
      </c>
      <c r="D27" s="1041">
        <f t="shared" ref="D27:D28" si="9">E27*$K$3</f>
        <v>597893</v>
      </c>
      <c r="E27" s="1041">
        <v>389000</v>
      </c>
      <c r="F27" s="1129" t="s">
        <v>135</v>
      </c>
      <c r="G27" s="1769" t="s">
        <v>1098</v>
      </c>
      <c r="H27" s="1772"/>
      <c r="I27" s="1150">
        <v>250104</v>
      </c>
      <c r="L27" s="337" t="s">
        <v>4411</v>
      </c>
      <c r="M27" s="1130">
        <v>481.9</v>
      </c>
    </row>
    <row r="28" spans="1:13" ht="36" customHeight="1" thickBot="1">
      <c r="A28" s="1119">
        <f t="shared" si="8"/>
        <v>6875508824.8000002</v>
      </c>
      <c r="B28" s="1222">
        <f t="shared" si="1"/>
        <v>4473330400</v>
      </c>
      <c r="C28" s="1041">
        <f>'C.STEEL STRUCTURE-1'!N17</f>
        <v>5600</v>
      </c>
      <c r="D28" s="1041">
        <f t="shared" si="9"/>
        <v>1227769.433</v>
      </c>
      <c r="E28" s="1041">
        <f>ROUND(75100*M29,0)</f>
        <v>798809</v>
      </c>
      <c r="F28" s="1126" t="s">
        <v>1053</v>
      </c>
      <c r="G28" s="1769" t="s">
        <v>1099</v>
      </c>
      <c r="H28" s="1772"/>
      <c r="I28" s="1150">
        <v>250303</v>
      </c>
      <c r="L28" s="337" t="s">
        <v>4412</v>
      </c>
      <c r="M28" s="1130">
        <v>5125.7780000000002</v>
      </c>
    </row>
    <row r="29" spans="1:13" ht="29.25" customHeight="1" thickBot="1">
      <c r="A29" s="1165">
        <f>SUM(A4:A28)</f>
        <v>935901028415.30005</v>
      </c>
      <c r="B29" s="1165">
        <f>SUM(B4:B28)</f>
        <v>607865879900</v>
      </c>
      <c r="C29" s="1166"/>
      <c r="D29" s="1166"/>
      <c r="E29" s="1167"/>
      <c r="F29" s="1166"/>
      <c r="G29" s="1799" t="s">
        <v>1100</v>
      </c>
      <c r="H29" s="1800"/>
      <c r="I29" s="1228"/>
      <c r="L29" s="1135" t="s">
        <v>4413</v>
      </c>
      <c r="M29" s="479">
        <f>M28/M27</f>
        <v>10.636600954554888</v>
      </c>
    </row>
  </sheetData>
  <mergeCells count="28">
    <mergeCell ref="G27:H27"/>
    <mergeCell ref="G28:H28"/>
    <mergeCell ref="G29:H29"/>
    <mergeCell ref="G21:H21"/>
    <mergeCell ref="G22:H22"/>
    <mergeCell ref="G23:H23"/>
    <mergeCell ref="G24:H24"/>
    <mergeCell ref="G25:H25"/>
    <mergeCell ref="G26:H26"/>
    <mergeCell ref="G20:H20"/>
    <mergeCell ref="G8:H8"/>
    <mergeCell ref="G9:H9"/>
    <mergeCell ref="G10:H10"/>
    <mergeCell ref="G11:H11"/>
    <mergeCell ref="G12:H12"/>
    <mergeCell ref="G13:H13"/>
    <mergeCell ref="G14:H14"/>
    <mergeCell ref="G15:H15"/>
    <mergeCell ref="G16:H16"/>
    <mergeCell ref="G17:H17"/>
    <mergeCell ref="G19:H19"/>
    <mergeCell ref="G7:H7"/>
    <mergeCell ref="A1:I1"/>
    <mergeCell ref="G2:H2"/>
    <mergeCell ref="G3:H3"/>
    <mergeCell ref="G4:H4"/>
    <mergeCell ref="G5:H5"/>
    <mergeCell ref="G6:H6"/>
  </mergeCells>
  <printOptions horizontalCentered="1"/>
  <pageMargins left="0.31496062992125984" right="0.31496062992125984" top="0.35433070866141736" bottom="0.35433070866141736" header="0.31496062992125984" footer="0.31496062992125984"/>
  <pageSetup scale="50"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T64"/>
  <sheetViews>
    <sheetView view="pageBreakPreview" topLeftCell="A25" zoomScale="90" zoomScaleSheetLayoutView="90" workbookViewId="0">
      <selection activeCell="S37" sqref="S37:T37"/>
    </sheetView>
  </sheetViews>
  <sheetFormatPr defaultColWidth="6.140625" defaultRowHeight="12.75"/>
  <cols>
    <col min="1" max="4" width="6.140625" style="575"/>
    <col min="5" max="5" width="3.140625" style="575" customWidth="1"/>
    <col min="6" max="6" width="7" style="575" hidden="1" customWidth="1"/>
    <col min="7" max="7" width="9.7109375" style="575" customWidth="1"/>
    <col min="8" max="8" width="5.28515625" style="575" customWidth="1"/>
    <col min="9" max="9" width="6.140625" style="575"/>
    <col min="10" max="10" width="6.85546875" style="575" customWidth="1"/>
    <col min="11" max="11" width="6.140625" style="575"/>
    <col min="12" max="12" width="6.85546875" style="575" customWidth="1"/>
    <col min="13" max="13" width="10.140625" style="575" customWidth="1"/>
    <col min="14" max="14" width="8.140625" style="575" customWidth="1"/>
    <col min="15" max="16" width="6.140625" style="575"/>
    <col min="17" max="17" width="8.140625" style="575" customWidth="1"/>
    <col min="18" max="18" width="6.140625" style="337"/>
    <col min="19" max="19" width="17.140625" style="337" customWidth="1"/>
    <col min="20" max="20" width="10.28515625" style="337" customWidth="1"/>
    <col min="21" max="21" width="13.42578125" style="337" bestFit="1" customWidth="1"/>
    <col min="22" max="168" width="6.140625" style="337"/>
    <col min="169" max="169" width="8.42578125" style="337" customWidth="1"/>
    <col min="170" max="173" width="6.140625" style="337"/>
    <col min="174" max="174" width="8.85546875" style="337" customWidth="1"/>
    <col min="175" max="176" width="6.140625" style="337"/>
    <col min="177" max="177" width="5.28515625" style="337" customWidth="1"/>
    <col min="178" max="181" width="6.140625" style="337"/>
    <col min="182" max="182" width="7.5703125" style="337" customWidth="1"/>
    <col min="183" max="16384" width="6.140625" style="337"/>
  </cols>
  <sheetData>
    <row r="1" spans="1:20" s="423" customFormat="1" ht="24.75" customHeight="1" thickBot="1">
      <c r="A1" s="1840" t="s">
        <v>4422</v>
      </c>
      <c r="B1" s="1841"/>
      <c r="C1" s="1841"/>
      <c r="D1" s="1841"/>
      <c r="E1" s="1841"/>
      <c r="F1" s="1841"/>
      <c r="G1" s="1841"/>
      <c r="H1" s="1841"/>
      <c r="I1" s="1841"/>
      <c r="J1" s="1841"/>
      <c r="K1" s="1841"/>
      <c r="L1" s="1841"/>
      <c r="M1" s="1841"/>
      <c r="N1" s="1841"/>
      <c r="O1" s="1841"/>
      <c r="P1" s="1841"/>
      <c r="Q1" s="1842"/>
    </row>
    <row r="2" spans="1:20" ht="20.100000000000001" customHeight="1" thickBot="1">
      <c r="A2" s="350"/>
      <c r="B2" s="337"/>
      <c r="C2" s="337"/>
      <c r="D2" s="337"/>
      <c r="E2" s="337"/>
      <c r="F2" s="337"/>
      <c r="G2" s="337"/>
      <c r="H2" s="337"/>
      <c r="I2" s="337"/>
      <c r="J2" s="337"/>
      <c r="K2" s="337"/>
      <c r="L2" s="337"/>
      <c r="M2" s="337"/>
      <c r="N2" s="1229"/>
      <c r="O2" s="1229"/>
      <c r="P2" s="337"/>
      <c r="Q2" s="390"/>
    </row>
    <row r="3" spans="1:20" ht="20.100000000000001" customHeight="1" thickBot="1">
      <c r="A3" s="350"/>
      <c r="B3" s="337"/>
      <c r="C3" s="337"/>
      <c r="D3" s="337"/>
      <c r="E3" s="337"/>
      <c r="F3" s="337"/>
      <c r="G3" s="351"/>
      <c r="H3" s="352" t="s">
        <v>1175</v>
      </c>
      <c r="I3" s="353"/>
      <c r="J3" s="354" t="s">
        <v>1176</v>
      </c>
      <c r="K3" s="353"/>
      <c r="L3" s="355"/>
      <c r="M3" s="355"/>
      <c r="N3" s="356"/>
      <c r="O3" s="357"/>
      <c r="P3" s="358" t="s">
        <v>28</v>
      </c>
      <c r="Q3" s="390"/>
    </row>
    <row r="4" spans="1:20" ht="20.100000000000001" customHeight="1">
      <c r="A4" s="350"/>
      <c r="B4" s="337"/>
      <c r="C4" s="337"/>
      <c r="D4" s="337"/>
      <c r="E4" s="337"/>
      <c r="F4" s="337"/>
      <c r="G4" s="1843">
        <f>$S$4*J4*$S$5</f>
        <v>294344107200</v>
      </c>
      <c r="H4" s="1844"/>
      <c r="I4" s="359"/>
      <c r="J4" s="1230">
        <v>936</v>
      </c>
      <c r="K4" s="360"/>
      <c r="L4" s="361"/>
      <c r="M4" s="361"/>
      <c r="N4" s="362"/>
      <c r="O4" s="363" t="s">
        <v>1177</v>
      </c>
      <c r="P4" s="364">
        <v>1</v>
      </c>
      <c r="Q4" s="390"/>
      <c r="S4" s="1518">
        <v>93000000</v>
      </c>
    </row>
    <row r="5" spans="1:20" ht="20.100000000000001" customHeight="1">
      <c r="A5" s="350"/>
      <c r="B5" s="337"/>
      <c r="C5" s="337"/>
      <c r="D5" s="337"/>
      <c r="E5" s="337"/>
      <c r="F5" s="337"/>
      <c r="G5" s="1838">
        <f>$S$4*(790+J5+790)*$S$5</f>
        <v>647808612000</v>
      </c>
      <c r="H5" s="1845"/>
      <c r="I5" s="1231" t="s">
        <v>1178</v>
      </c>
      <c r="J5" s="1232">
        <v>480</v>
      </c>
      <c r="K5" s="365"/>
      <c r="L5" s="366"/>
      <c r="M5" s="366"/>
      <c r="N5" s="367"/>
      <c r="O5" s="368" t="s">
        <v>1179</v>
      </c>
      <c r="P5" s="369">
        <v>2</v>
      </c>
      <c r="Q5" s="390"/>
      <c r="S5" s="1233">
        <f>ROUND(T8*T9*T10*T11*T12,3)*1.1</f>
        <v>3.3814000000000002</v>
      </c>
    </row>
    <row r="6" spans="1:20" ht="20.100000000000001" customHeight="1">
      <c r="A6" s="1234"/>
      <c r="B6" s="337"/>
      <c r="C6" s="337"/>
      <c r="D6" s="337"/>
      <c r="E6" s="337"/>
      <c r="F6" s="337"/>
      <c r="G6" s="1838">
        <f t="shared" ref="G6:G14" si="0">$S$4*J6*$S$5</f>
        <v>17610331200</v>
      </c>
      <c r="H6" s="1839"/>
      <c r="I6" s="370"/>
      <c r="J6" s="1235">
        <v>56</v>
      </c>
      <c r="K6" s="371"/>
      <c r="L6" s="366"/>
      <c r="M6" s="366"/>
      <c r="N6" s="372"/>
      <c r="O6" s="368" t="s">
        <v>1180</v>
      </c>
      <c r="P6" s="369">
        <v>3</v>
      </c>
      <c r="Q6" s="390"/>
    </row>
    <row r="7" spans="1:20" ht="24.75" customHeight="1">
      <c r="A7" s="1234"/>
      <c r="B7" s="1236"/>
      <c r="C7" s="1236"/>
      <c r="D7" s="1236"/>
      <c r="E7" s="1236"/>
      <c r="G7" s="1838">
        <f t="shared" si="0"/>
        <v>73271556600</v>
      </c>
      <c r="H7" s="1839"/>
      <c r="I7" s="371"/>
      <c r="J7" s="1232">
        <v>233</v>
      </c>
      <c r="K7" s="371"/>
      <c r="L7" s="366"/>
      <c r="M7" s="366"/>
      <c r="N7" s="372"/>
      <c r="O7" s="368" t="s">
        <v>1181</v>
      </c>
      <c r="P7" s="369">
        <v>4</v>
      </c>
      <c r="Q7" s="390"/>
    </row>
    <row r="8" spans="1:20" ht="20.100000000000001" customHeight="1">
      <c r="A8" s="350"/>
      <c r="B8" s="618"/>
      <c r="C8" s="1237"/>
      <c r="D8" s="1237"/>
      <c r="G8" s="1838">
        <f t="shared" si="0"/>
        <v>81762252000</v>
      </c>
      <c r="H8" s="1839"/>
      <c r="I8" s="371"/>
      <c r="J8" s="1232">
        <v>260</v>
      </c>
      <c r="K8" s="371"/>
      <c r="L8" s="366"/>
      <c r="M8" s="366"/>
      <c r="N8" s="372"/>
      <c r="O8" s="368" t="s">
        <v>1182</v>
      </c>
      <c r="P8" s="369">
        <v>5</v>
      </c>
      <c r="Q8" s="390"/>
      <c r="S8" s="423" t="s">
        <v>4405</v>
      </c>
      <c r="T8" s="1517">
        <v>1.0900000000000001</v>
      </c>
    </row>
    <row r="9" spans="1:20" ht="20.100000000000001" customHeight="1">
      <c r="A9" s="350"/>
      <c r="B9" s="618"/>
      <c r="C9" s="1237"/>
      <c r="D9" s="1237"/>
      <c r="G9" s="1838">
        <f t="shared" si="0"/>
        <v>7861755000</v>
      </c>
      <c r="H9" s="1839"/>
      <c r="I9" s="371"/>
      <c r="J9" s="1232">
        <v>25</v>
      </c>
      <c r="K9" s="371"/>
      <c r="L9" s="366"/>
      <c r="M9" s="366"/>
      <c r="N9" s="372"/>
      <c r="O9" s="368" t="s">
        <v>1183</v>
      </c>
      <c r="P9" s="369">
        <v>6</v>
      </c>
      <c r="Q9" s="390"/>
      <c r="S9" s="422" t="s">
        <v>4406</v>
      </c>
      <c r="T9" s="1517">
        <v>1.41</v>
      </c>
    </row>
    <row r="10" spans="1:20" ht="20.100000000000001" customHeight="1">
      <c r="A10" s="373"/>
      <c r="B10" s="618"/>
      <c r="C10" s="1237"/>
      <c r="D10" s="1237"/>
      <c r="G10" s="1838">
        <f t="shared" si="0"/>
        <v>20755033200</v>
      </c>
      <c r="H10" s="1839"/>
      <c r="I10" s="371"/>
      <c r="J10" s="1232">
        <v>66</v>
      </c>
      <c r="K10" s="371"/>
      <c r="L10" s="366"/>
      <c r="M10" s="366"/>
      <c r="N10" s="372"/>
      <c r="O10" s="368" t="s">
        <v>1184</v>
      </c>
      <c r="P10" s="369">
        <v>7</v>
      </c>
      <c r="Q10" s="390"/>
      <c r="S10" s="422" t="s">
        <v>4407</v>
      </c>
      <c r="T10" s="1517">
        <v>1</v>
      </c>
    </row>
    <row r="11" spans="1:20" ht="20.100000000000001" customHeight="1">
      <c r="A11" s="350"/>
      <c r="B11" s="618"/>
      <c r="C11" s="1237"/>
      <c r="D11" s="1237"/>
      <c r="G11" s="1838">
        <f t="shared" si="0"/>
        <v>41824536600</v>
      </c>
      <c r="H11" s="1839"/>
      <c r="I11" s="371"/>
      <c r="J11" s="1232">
        <v>133</v>
      </c>
      <c r="K11" s="371"/>
      <c r="L11" s="366"/>
      <c r="M11" s="366"/>
      <c r="N11" s="372"/>
      <c r="O11" s="368" t="s">
        <v>1185</v>
      </c>
      <c r="P11" s="369">
        <v>8</v>
      </c>
      <c r="Q11" s="390"/>
      <c r="S11" s="424" t="s">
        <v>4408</v>
      </c>
      <c r="T11" s="1517">
        <v>1</v>
      </c>
    </row>
    <row r="12" spans="1:20" ht="20.100000000000001" customHeight="1">
      <c r="A12" s="373"/>
      <c r="B12" s="618"/>
      <c r="C12" s="1237"/>
      <c r="D12" s="1237"/>
      <c r="G12" s="1838">
        <f t="shared" si="0"/>
        <v>61950629400</v>
      </c>
      <c r="H12" s="1839"/>
      <c r="I12" s="371"/>
      <c r="J12" s="1232">
        <v>197</v>
      </c>
      <c r="K12" s="371"/>
      <c r="L12" s="366"/>
      <c r="M12" s="366"/>
      <c r="N12" s="372"/>
      <c r="O12" s="368" t="s">
        <v>1186</v>
      </c>
      <c r="P12" s="369">
        <v>9</v>
      </c>
      <c r="Q12" s="390"/>
      <c r="S12" s="337" t="s">
        <v>4476</v>
      </c>
      <c r="T12" s="1517">
        <v>2</v>
      </c>
    </row>
    <row r="13" spans="1:20" ht="20.100000000000001" customHeight="1">
      <c r="A13" s="373"/>
      <c r="B13" s="618"/>
      <c r="C13" s="1237"/>
      <c r="D13" s="1237"/>
      <c r="G13" s="1838">
        <f t="shared" si="0"/>
        <v>133649835000</v>
      </c>
      <c r="H13" s="1839"/>
      <c r="I13" s="371"/>
      <c r="J13" s="1232">
        <v>425</v>
      </c>
      <c r="K13" s="371"/>
      <c r="L13" s="366"/>
      <c r="M13" s="366"/>
      <c r="N13" s="372"/>
      <c r="O13" s="368" t="s">
        <v>1187</v>
      </c>
      <c r="P13" s="369">
        <v>10</v>
      </c>
      <c r="Q13" s="390"/>
      <c r="S13" s="337" t="s">
        <v>4411</v>
      </c>
      <c r="T13" s="1130">
        <v>481.9</v>
      </c>
    </row>
    <row r="14" spans="1:20" ht="20.100000000000001" customHeight="1">
      <c r="A14" s="373"/>
      <c r="B14" s="618"/>
      <c r="C14" s="1237"/>
      <c r="D14" s="1237"/>
      <c r="G14" s="1838">
        <f t="shared" si="0"/>
        <v>93397649400</v>
      </c>
      <c r="H14" s="1839"/>
      <c r="I14" s="371"/>
      <c r="J14" s="1232">
        <v>297</v>
      </c>
      <c r="K14" s="371"/>
      <c r="L14" s="366"/>
      <c r="M14" s="366"/>
      <c r="N14" s="372"/>
      <c r="O14" s="368" t="s">
        <v>1188</v>
      </c>
      <c r="P14" s="369">
        <v>11</v>
      </c>
      <c r="Q14" s="1238"/>
      <c r="S14" s="337" t="s">
        <v>4412</v>
      </c>
      <c r="T14" s="1130">
        <v>5125.7780000000002</v>
      </c>
    </row>
    <row r="15" spans="1:20" ht="20.100000000000001" customHeight="1">
      <c r="A15" s="373"/>
      <c r="B15" s="618"/>
      <c r="C15" s="1237"/>
      <c r="D15" s="1237"/>
      <c r="G15" s="1838">
        <f>$S$4*J15*$S$5</f>
        <v>15094569600</v>
      </c>
      <c r="H15" s="1839"/>
      <c r="I15" s="371"/>
      <c r="J15" s="1232">
        <v>48</v>
      </c>
      <c r="K15" s="371"/>
      <c r="L15" s="366"/>
      <c r="M15" s="366"/>
      <c r="N15" s="372"/>
      <c r="O15" s="368" t="s">
        <v>1189</v>
      </c>
      <c r="P15" s="369">
        <v>12</v>
      </c>
      <c r="Q15" s="1239"/>
      <c r="S15" s="1135" t="s">
        <v>4413</v>
      </c>
      <c r="T15" s="479">
        <f>T14/T13</f>
        <v>10.636600954554888</v>
      </c>
    </row>
    <row r="16" spans="1:20" ht="20.100000000000001" customHeight="1">
      <c r="A16" s="373"/>
      <c r="B16" s="618"/>
      <c r="C16" s="1237"/>
      <c r="D16" s="1237"/>
      <c r="G16" s="1838">
        <f>$S$4*J16*$S$5</f>
        <v>9119635800</v>
      </c>
      <c r="H16" s="1839"/>
      <c r="I16" s="371"/>
      <c r="J16" s="1232">
        <v>29</v>
      </c>
      <c r="K16" s="371"/>
      <c r="L16" s="366"/>
      <c r="M16" s="366"/>
      <c r="N16" s="372"/>
      <c r="O16" s="368" t="s">
        <v>1190</v>
      </c>
      <c r="P16" s="369">
        <v>13</v>
      </c>
      <c r="Q16" s="1239"/>
    </row>
    <row r="17" spans="1:17" ht="20.100000000000001" customHeight="1">
      <c r="A17" s="373"/>
      <c r="B17" s="618"/>
      <c r="C17" s="1237"/>
      <c r="D17" s="1237"/>
      <c r="G17" s="1838">
        <f>$S$4*J17*$S$5</f>
        <v>71699205600</v>
      </c>
      <c r="H17" s="1839"/>
      <c r="I17" s="1240"/>
      <c r="J17" s="1241">
        <v>228</v>
      </c>
      <c r="K17" s="1240"/>
      <c r="L17" s="1242"/>
      <c r="M17" s="1242"/>
      <c r="N17" s="1243"/>
      <c r="O17" s="1244" t="s">
        <v>1191</v>
      </c>
      <c r="P17" s="369">
        <v>14</v>
      </c>
      <c r="Q17" s="1239"/>
    </row>
    <row r="18" spans="1:17" ht="20.100000000000001" customHeight="1">
      <c r="A18" s="373"/>
      <c r="B18" s="618"/>
      <c r="C18" s="1237"/>
      <c r="D18" s="1237"/>
      <c r="G18" s="1838">
        <f>$S$4*J18*$S$5</f>
        <v>21383973600</v>
      </c>
      <c r="H18" s="1839"/>
      <c r="I18" s="1240"/>
      <c r="J18" s="1241">
        <v>68</v>
      </c>
      <c r="K18" s="1240"/>
      <c r="L18" s="1242"/>
      <c r="M18" s="1242"/>
      <c r="N18" s="1243"/>
      <c r="O18" s="1244" t="s">
        <v>1192</v>
      </c>
      <c r="P18" s="1245">
        <v>15</v>
      </c>
      <c r="Q18" s="1239"/>
    </row>
    <row r="19" spans="1:17" ht="20.100000000000001" customHeight="1" thickBot="1">
      <c r="A19" s="350"/>
      <c r="B19" s="618"/>
      <c r="C19" s="1237"/>
      <c r="D19" s="1237"/>
      <c r="G19" s="1846">
        <f>$S$4*J19*$S$5</f>
        <v>21383973600</v>
      </c>
      <c r="H19" s="1847"/>
      <c r="I19" s="374"/>
      <c r="J19" s="1246">
        <v>68</v>
      </c>
      <c r="K19" s="374"/>
      <c r="L19" s="375"/>
      <c r="M19" s="375"/>
      <c r="N19" s="376"/>
      <c r="O19" s="377" t="s">
        <v>1193</v>
      </c>
      <c r="P19" s="378">
        <v>16</v>
      </c>
      <c r="Q19" s="1239"/>
    </row>
    <row r="20" spans="1:17" ht="20.100000000000001" customHeight="1" thickBot="1">
      <c r="A20" s="350"/>
      <c r="B20" s="618"/>
      <c r="C20" s="1237"/>
      <c r="D20" s="1237"/>
      <c r="G20" s="1848">
        <f>SUM(G4:H19)</f>
        <v>1612917655800</v>
      </c>
      <c r="H20" s="1849"/>
      <c r="I20" s="379"/>
      <c r="J20" s="1247"/>
      <c r="K20" s="379"/>
      <c r="L20" s="380"/>
      <c r="M20" s="380"/>
      <c r="N20" s="382"/>
      <c r="O20" s="383"/>
      <c r="P20" s="384"/>
      <c r="Q20" s="1239"/>
    </row>
    <row r="21" spans="1:17" ht="20.100000000000001" customHeight="1">
      <c r="A21" s="350"/>
      <c r="Q21" s="1239"/>
    </row>
    <row r="22" spans="1:17" ht="20.100000000000001" customHeight="1">
      <c r="A22" s="350"/>
      <c r="Q22" s="390"/>
    </row>
    <row r="23" spans="1:17" ht="20.100000000000001" customHeight="1">
      <c r="A23" s="350"/>
      <c r="B23" s="1850" t="s">
        <v>4423</v>
      </c>
      <c r="C23" s="1850"/>
      <c r="D23" s="1850"/>
      <c r="E23" s="1850"/>
      <c r="F23" s="1850"/>
      <c r="G23" s="1850"/>
      <c r="H23" s="1850"/>
      <c r="I23" s="1850"/>
      <c r="J23" s="1850"/>
      <c r="K23" s="1850"/>
      <c r="L23" s="1850"/>
      <c r="M23" s="1850"/>
      <c r="N23" s="1850"/>
      <c r="O23" s="1850"/>
      <c r="P23" s="1850"/>
      <c r="Q23" s="390"/>
    </row>
    <row r="24" spans="1:17" ht="20.100000000000001" customHeight="1">
      <c r="A24" s="373"/>
      <c r="B24" s="1850"/>
      <c r="C24" s="1850"/>
      <c r="D24" s="1850"/>
      <c r="E24" s="1850"/>
      <c r="F24" s="1850"/>
      <c r="G24" s="1850"/>
      <c r="H24" s="1850"/>
      <c r="I24" s="1850"/>
      <c r="J24" s="1850"/>
      <c r="K24" s="1850"/>
      <c r="L24" s="1850"/>
      <c r="M24" s="1850"/>
      <c r="N24" s="1850"/>
      <c r="O24" s="1850"/>
      <c r="P24" s="1850"/>
      <c r="Q24" s="390"/>
    </row>
    <row r="25" spans="1:17" ht="20.100000000000001" customHeight="1">
      <c r="A25" s="373"/>
      <c r="B25" s="1850"/>
      <c r="C25" s="1850"/>
      <c r="D25" s="1850"/>
      <c r="E25" s="1850"/>
      <c r="F25" s="1850"/>
      <c r="G25" s="1850"/>
      <c r="H25" s="1850"/>
      <c r="I25" s="1850"/>
      <c r="J25" s="1850"/>
      <c r="K25" s="1850"/>
      <c r="L25" s="1850"/>
      <c r="M25" s="1850"/>
      <c r="N25" s="1850"/>
      <c r="O25" s="1850"/>
      <c r="P25" s="1850"/>
      <c r="Q25" s="390"/>
    </row>
    <row r="26" spans="1:17" ht="20.100000000000001" customHeight="1">
      <c r="A26" s="373"/>
      <c r="B26" s="1850"/>
      <c r="C26" s="1850"/>
      <c r="D26" s="1850"/>
      <c r="E26" s="1850"/>
      <c r="F26" s="1850"/>
      <c r="G26" s="1850"/>
      <c r="H26" s="1850"/>
      <c r="I26" s="1850"/>
      <c r="J26" s="1850"/>
      <c r="K26" s="1850"/>
      <c r="L26" s="1850"/>
      <c r="M26" s="1850"/>
      <c r="N26" s="1850"/>
      <c r="O26" s="1850"/>
      <c r="P26" s="1850"/>
      <c r="Q26" s="390"/>
    </row>
    <row r="27" spans="1:17" ht="20.100000000000001" customHeight="1">
      <c r="A27" s="373"/>
      <c r="B27" s="1850"/>
      <c r="C27" s="1850"/>
      <c r="D27" s="1850"/>
      <c r="E27" s="1850"/>
      <c r="F27" s="1850"/>
      <c r="G27" s="1850"/>
      <c r="H27" s="1850"/>
      <c r="I27" s="1850"/>
      <c r="J27" s="1850"/>
      <c r="K27" s="1850"/>
      <c r="L27" s="1850"/>
      <c r="M27" s="1850"/>
      <c r="N27" s="1850"/>
      <c r="O27" s="1850"/>
      <c r="P27" s="1850"/>
      <c r="Q27" s="1248"/>
    </row>
    <row r="28" spans="1:17" ht="20.100000000000001" customHeight="1">
      <c r="A28" s="373"/>
      <c r="B28" s="1850"/>
      <c r="C28" s="1850"/>
      <c r="D28" s="1850"/>
      <c r="E28" s="1850"/>
      <c r="F28" s="1850"/>
      <c r="G28" s="1850"/>
      <c r="H28" s="1850"/>
      <c r="I28" s="1850"/>
      <c r="J28" s="1850"/>
      <c r="K28" s="1850"/>
      <c r="L28" s="1850"/>
      <c r="M28" s="1850"/>
      <c r="N28" s="1850"/>
      <c r="O28" s="1850"/>
      <c r="P28" s="1850"/>
      <c r="Q28" s="1249"/>
    </row>
    <row r="29" spans="1:17" ht="20.100000000000001" customHeight="1">
      <c r="A29" s="373"/>
      <c r="B29" s="1850"/>
      <c r="C29" s="1850"/>
      <c r="D29" s="1850"/>
      <c r="E29" s="1850"/>
      <c r="F29" s="1850"/>
      <c r="G29" s="1850"/>
      <c r="H29" s="1850"/>
      <c r="I29" s="1850"/>
      <c r="J29" s="1850"/>
      <c r="K29" s="1850"/>
      <c r="L29" s="1850"/>
      <c r="M29" s="1850"/>
      <c r="N29" s="1850"/>
      <c r="O29" s="1850"/>
      <c r="P29" s="1850"/>
      <c r="Q29" s="1239"/>
    </row>
    <row r="30" spans="1:17" ht="20.100000000000001" customHeight="1">
      <c r="A30" s="373"/>
      <c r="B30" s="1850"/>
      <c r="C30" s="1850"/>
      <c r="D30" s="1850"/>
      <c r="E30" s="1850"/>
      <c r="F30" s="1850"/>
      <c r="G30" s="1850"/>
      <c r="H30" s="1850"/>
      <c r="I30" s="1850"/>
      <c r="J30" s="1850"/>
      <c r="K30" s="1850"/>
      <c r="L30" s="1850"/>
      <c r="M30" s="1850"/>
      <c r="N30" s="1850"/>
      <c r="O30" s="1850"/>
      <c r="P30" s="1850"/>
      <c r="Q30" s="1248"/>
    </row>
    <row r="31" spans="1:17" ht="20.100000000000001" customHeight="1">
      <c r="A31" s="373"/>
      <c r="B31" s="1850"/>
      <c r="C31" s="1850"/>
      <c r="D31" s="1850"/>
      <c r="E31" s="1850"/>
      <c r="F31" s="1850"/>
      <c r="G31" s="1850"/>
      <c r="H31" s="1850"/>
      <c r="I31" s="1850"/>
      <c r="J31" s="1850"/>
      <c r="K31" s="1850"/>
      <c r="L31" s="1850"/>
      <c r="M31" s="1850"/>
      <c r="N31" s="1850"/>
      <c r="O31" s="1850"/>
      <c r="P31" s="1850"/>
      <c r="Q31" s="385"/>
    </row>
    <row r="32" spans="1:17" ht="20.100000000000001" customHeight="1">
      <c r="A32" s="373"/>
      <c r="B32" s="1850"/>
      <c r="C32" s="1850"/>
      <c r="D32" s="1850"/>
      <c r="E32" s="1850"/>
      <c r="F32" s="1850"/>
      <c r="G32" s="1850"/>
      <c r="H32" s="1850"/>
      <c r="I32" s="1850"/>
      <c r="J32" s="1850"/>
      <c r="K32" s="1850"/>
      <c r="L32" s="1850"/>
      <c r="M32" s="1850"/>
      <c r="N32" s="1850"/>
      <c r="O32" s="1850"/>
      <c r="P32" s="1850"/>
      <c r="Q32" s="386"/>
    </row>
    <row r="33" spans="1:20" ht="26.25" customHeight="1">
      <c r="A33" s="350"/>
      <c r="B33" s="1850"/>
      <c r="C33" s="1850"/>
      <c r="D33" s="1850"/>
      <c r="E33" s="1850"/>
      <c r="F33" s="1850"/>
      <c r="G33" s="1850"/>
      <c r="H33" s="1850"/>
      <c r="I33" s="1850"/>
      <c r="J33" s="1850"/>
      <c r="K33" s="1850"/>
      <c r="L33" s="1850"/>
      <c r="M33" s="1850"/>
      <c r="N33" s="1850"/>
      <c r="O33" s="1850"/>
      <c r="P33" s="1850"/>
      <c r="Q33" s="386"/>
    </row>
    <row r="34" spans="1:20" ht="20.100000000000001" customHeight="1">
      <c r="A34" s="350"/>
      <c r="B34" s="618"/>
      <c r="C34" s="1237"/>
      <c r="D34" s="1237"/>
      <c r="G34" s="337"/>
      <c r="H34" s="337"/>
      <c r="I34" s="337"/>
      <c r="J34" s="337"/>
      <c r="K34" s="337"/>
      <c r="L34" s="337"/>
      <c r="M34" s="337"/>
      <c r="N34" s="337"/>
      <c r="O34" s="337"/>
      <c r="P34" s="337"/>
      <c r="Q34" s="386"/>
    </row>
    <row r="35" spans="1:20" ht="19.5" customHeight="1">
      <c r="A35" s="387"/>
      <c r="B35" s="618"/>
      <c r="C35" s="1237"/>
      <c r="D35" s="1237"/>
      <c r="G35" s="337"/>
      <c r="H35" s="337"/>
      <c r="I35" s="337"/>
      <c r="J35" s="337"/>
      <c r="K35" s="337"/>
      <c r="L35" s="337"/>
      <c r="M35" s="337"/>
      <c r="N35" s="337"/>
      <c r="O35" s="337"/>
      <c r="P35" s="337"/>
      <c r="Q35" s="386"/>
    </row>
    <row r="36" spans="1:20" ht="21" customHeight="1">
      <c r="A36" s="388"/>
      <c r="B36" s="618"/>
      <c r="C36" s="1237"/>
      <c r="D36" s="1237"/>
      <c r="G36" s="337"/>
      <c r="H36" s="337"/>
      <c r="I36" s="337"/>
      <c r="J36" s="337"/>
      <c r="K36" s="337"/>
      <c r="L36" s="337"/>
      <c r="M36" s="337"/>
      <c r="N36" s="337"/>
      <c r="O36" s="337"/>
      <c r="P36" s="337"/>
      <c r="Q36" s="386"/>
    </row>
    <row r="37" spans="1:20" ht="21" customHeight="1">
      <c r="A37" s="388"/>
      <c r="B37" s="618"/>
      <c r="C37" s="1237"/>
      <c r="D37" s="1237"/>
      <c r="I37" s="337"/>
      <c r="J37" s="1250"/>
      <c r="K37" s="337"/>
      <c r="L37" s="1251"/>
      <c r="M37" s="1251"/>
      <c r="N37" s="1252"/>
      <c r="O37" s="1252"/>
      <c r="P37" s="1253"/>
      <c r="Q37" s="386"/>
      <c r="S37" s="1838"/>
      <c r="T37" s="1839"/>
    </row>
    <row r="38" spans="1:20" ht="24.75" customHeight="1">
      <c r="A38" s="389"/>
      <c r="B38" s="618"/>
      <c r="C38" s="1237"/>
      <c r="D38" s="1237"/>
      <c r="I38" s="337"/>
      <c r="J38" s="1250"/>
      <c r="K38" s="337"/>
      <c r="L38" s="1251"/>
      <c r="M38" s="1251"/>
      <c r="N38" s="1252"/>
      <c r="O38" s="1252"/>
      <c r="P38" s="1253"/>
      <c r="Q38" s="390"/>
    </row>
    <row r="39" spans="1:20" ht="28.5" customHeight="1">
      <c r="A39" s="389"/>
      <c r="B39" s="1254"/>
      <c r="C39" s="1255"/>
      <c r="D39" s="1255"/>
      <c r="E39" s="1255"/>
      <c r="F39" s="1256"/>
      <c r="G39" s="1257"/>
      <c r="H39" s="1257"/>
      <c r="I39" s="337"/>
      <c r="J39" s="1250"/>
      <c r="K39" s="337"/>
      <c r="L39" s="1251"/>
      <c r="M39" s="1251"/>
      <c r="N39" s="1252"/>
      <c r="O39" s="1252"/>
      <c r="P39" s="1253"/>
      <c r="Q39" s="390"/>
    </row>
    <row r="40" spans="1:20" ht="23.25" customHeight="1">
      <c r="A40" s="389"/>
      <c r="B40" s="1254"/>
      <c r="C40" s="1255"/>
      <c r="D40" s="1255"/>
      <c r="E40" s="1255"/>
      <c r="F40" s="1256"/>
      <c r="G40" s="1257"/>
      <c r="H40" s="1257"/>
      <c r="I40" s="337"/>
      <c r="J40" s="1250"/>
      <c r="K40" s="337"/>
      <c r="L40" s="1251"/>
      <c r="M40" s="1251"/>
      <c r="N40" s="1252"/>
      <c r="O40" s="1252"/>
      <c r="P40" s="1253"/>
      <c r="Q40" s="391"/>
    </row>
    <row r="41" spans="1:20" ht="15" customHeight="1">
      <c r="A41" s="389"/>
      <c r="B41" s="1254"/>
      <c r="C41" s="1255"/>
      <c r="D41" s="1255"/>
      <c r="E41" s="1255"/>
      <c r="F41" s="1256"/>
      <c r="G41" s="1257"/>
      <c r="H41" s="1257"/>
      <c r="Q41" s="391"/>
    </row>
    <row r="42" spans="1:20" ht="15" customHeight="1">
      <c r="A42" s="392"/>
      <c r="B42" s="1258"/>
      <c r="C42" s="1258"/>
      <c r="D42" s="1258"/>
      <c r="E42" s="1258"/>
      <c r="F42" s="1258"/>
      <c r="G42" s="1258"/>
      <c r="H42" s="1258"/>
      <c r="Q42" s="391"/>
    </row>
    <row r="43" spans="1:20" ht="15" customHeight="1">
      <c r="A43" s="392"/>
      <c r="B43" s="1258"/>
      <c r="C43" s="1258"/>
      <c r="D43" s="1258"/>
      <c r="E43" s="1258"/>
      <c r="F43" s="1258"/>
      <c r="G43" s="1258"/>
      <c r="H43" s="1258"/>
      <c r="Q43" s="391"/>
    </row>
    <row r="44" spans="1:20" ht="15" customHeight="1" thickBot="1">
      <c r="A44" s="393"/>
      <c r="B44" s="394"/>
      <c r="C44" s="394"/>
      <c r="D44" s="394"/>
      <c r="E44" s="394"/>
      <c r="F44" s="394"/>
      <c r="G44" s="394"/>
      <c r="H44" s="394"/>
      <c r="I44" s="1259"/>
      <c r="J44" s="1259"/>
      <c r="K44" s="1259"/>
      <c r="L44" s="1259"/>
      <c r="M44" s="1259"/>
      <c r="N44" s="1259"/>
      <c r="O44" s="1259"/>
      <c r="P44" s="1259"/>
      <c r="Q44" s="1260"/>
    </row>
    <row r="55" spans="18:20" s="575" customFormat="1" ht="15" customHeight="1">
      <c r="R55" s="337"/>
      <c r="S55" s="337"/>
      <c r="T55" s="337"/>
    </row>
    <row r="56" spans="18:20" s="575" customFormat="1" ht="15" customHeight="1">
      <c r="R56" s="337"/>
      <c r="S56" s="337"/>
      <c r="T56" s="337"/>
    </row>
    <row r="57" spans="18:20" s="575" customFormat="1" ht="15" customHeight="1">
      <c r="R57" s="337"/>
      <c r="S57" s="337"/>
      <c r="T57" s="337"/>
    </row>
    <row r="58" spans="18:20" s="575" customFormat="1" ht="15" customHeight="1">
      <c r="R58" s="337"/>
      <c r="S58" s="337"/>
      <c r="T58" s="337"/>
    </row>
    <row r="59" spans="18:20" s="575" customFormat="1" ht="15" customHeight="1">
      <c r="R59" s="337"/>
      <c r="S59" s="337"/>
      <c r="T59" s="337"/>
    </row>
    <row r="60" spans="18:20" s="575" customFormat="1" ht="15" customHeight="1">
      <c r="R60" s="337"/>
      <c r="S60" s="337"/>
      <c r="T60" s="337"/>
    </row>
    <row r="61" spans="18:20" s="575" customFormat="1" ht="15" customHeight="1">
      <c r="R61" s="337"/>
      <c r="S61" s="337"/>
      <c r="T61" s="337"/>
    </row>
    <row r="62" spans="18:20" s="575" customFormat="1" ht="15" customHeight="1">
      <c r="R62" s="337"/>
      <c r="S62" s="337"/>
      <c r="T62" s="337"/>
    </row>
    <row r="63" spans="18:20" s="575" customFormat="1" ht="15" customHeight="1">
      <c r="R63" s="337"/>
      <c r="S63" s="337"/>
      <c r="T63" s="337"/>
    </row>
    <row r="64" spans="18:20" s="575" customFormat="1" ht="12.75" customHeight="1">
      <c r="R64" s="337"/>
      <c r="S64" s="337"/>
      <c r="T64" s="337"/>
    </row>
  </sheetData>
  <mergeCells count="20">
    <mergeCell ref="S37:T37"/>
    <mergeCell ref="G11:H11"/>
    <mergeCell ref="G12:H12"/>
    <mergeCell ref="G13:H13"/>
    <mergeCell ref="G14:H14"/>
    <mergeCell ref="G15:H15"/>
    <mergeCell ref="G16:H16"/>
    <mergeCell ref="G17:H17"/>
    <mergeCell ref="G18:H18"/>
    <mergeCell ref="G19:H19"/>
    <mergeCell ref="G20:H20"/>
    <mergeCell ref="B23:P33"/>
    <mergeCell ref="G10:H10"/>
    <mergeCell ref="A1:Q1"/>
    <mergeCell ref="G4:H4"/>
    <mergeCell ref="G5:H5"/>
    <mergeCell ref="G6:H6"/>
    <mergeCell ref="G7:H7"/>
    <mergeCell ref="G8:H8"/>
    <mergeCell ref="G9:H9"/>
  </mergeCells>
  <printOptions horizontalCentered="1"/>
  <pageMargins left="0.19685039370078741" right="0.19685039370078741" top="0.19685039370078741" bottom="0.19685039370078741" header="0" footer="0"/>
  <pageSetup paperSize="9" scale="71" orientation="portrait" horizontalDpi="4294967295"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Q41"/>
  <sheetViews>
    <sheetView view="pageBreakPreview" zoomScale="90" zoomScaleNormal="100" zoomScaleSheetLayoutView="90" workbookViewId="0">
      <selection activeCell="A2" sqref="A2:XFD2"/>
    </sheetView>
  </sheetViews>
  <sheetFormatPr defaultColWidth="9.140625" defaultRowHeight="15"/>
  <cols>
    <col min="1" max="2" width="25.42578125" style="422" customWidth="1"/>
    <col min="3" max="4" width="14.7109375" style="547" customWidth="1"/>
    <col min="5" max="5" width="14.7109375" style="1136" customWidth="1"/>
    <col min="6" max="6" width="14.7109375" style="547" customWidth="1"/>
    <col min="7" max="7" width="31" style="547" customWidth="1"/>
    <col min="8" max="8" width="21.7109375" style="422" customWidth="1"/>
    <col min="9" max="9" width="18" style="547" customWidth="1"/>
    <col min="10" max="13" width="9.140625" style="422"/>
    <col min="14" max="14" width="15.28515625" style="422" customWidth="1"/>
    <col min="15" max="16384" width="9.140625" style="422"/>
  </cols>
  <sheetData>
    <row r="1" spans="1:17" s="423" customFormat="1" ht="24.75" customHeight="1" thickBot="1">
      <c r="A1" s="1851" t="s">
        <v>4350</v>
      </c>
      <c r="B1" s="1852"/>
      <c r="C1" s="1852"/>
      <c r="D1" s="1852"/>
      <c r="E1" s="1852"/>
      <c r="F1" s="1852"/>
      <c r="G1" s="1852"/>
      <c r="H1" s="1852"/>
      <c r="I1" s="1853"/>
    </row>
    <row r="2" spans="1:17" ht="45.75" thickBot="1">
      <c r="A2" s="1261" t="s">
        <v>1043</v>
      </c>
      <c r="B2" s="1111" t="s">
        <v>4402</v>
      </c>
      <c r="C2" s="1139" t="s">
        <v>1044</v>
      </c>
      <c r="D2" s="1140" t="s">
        <v>1045</v>
      </c>
      <c r="E2" s="1140" t="s">
        <v>4424</v>
      </c>
      <c r="F2" s="1139" t="s">
        <v>1046</v>
      </c>
      <c r="G2" s="1857" t="s">
        <v>1047</v>
      </c>
      <c r="H2" s="1858"/>
      <c r="I2" s="1262" t="s">
        <v>28</v>
      </c>
    </row>
    <row r="3" spans="1:17" ht="29.25" customHeight="1">
      <c r="A3" s="1142"/>
      <c r="B3" s="1143"/>
      <c r="C3" s="1144"/>
      <c r="D3" s="1144"/>
      <c r="E3" s="509"/>
      <c r="F3" s="1144" t="s">
        <v>1048</v>
      </c>
      <c r="G3" s="1819" t="s">
        <v>1163</v>
      </c>
      <c r="H3" s="1820"/>
      <c r="I3" s="1208" t="s">
        <v>1048</v>
      </c>
      <c r="K3" s="479">
        <f>ROUND(N4*N5*N7,3)</f>
        <v>1.579</v>
      </c>
      <c r="L3" s="422" t="s">
        <v>1050</v>
      </c>
    </row>
    <row r="4" spans="1:17" ht="29.25" customHeight="1">
      <c r="A4" s="1119">
        <f>C4*D4</f>
        <v>127804260000</v>
      </c>
      <c r="B4" s="1120">
        <f>ROUND(C4*E4,0)</f>
        <v>80940000000</v>
      </c>
      <c r="C4" s="1041">
        <v>12000</v>
      </c>
      <c r="D4" s="1041">
        <f>E4*$K$3</f>
        <v>10650355</v>
      </c>
      <c r="E4" s="1192">
        <v>6745000</v>
      </c>
      <c r="F4" s="1210" t="s">
        <v>1133</v>
      </c>
      <c r="G4" s="1821" t="s">
        <v>1164</v>
      </c>
      <c r="H4" s="1822"/>
      <c r="I4" s="1189">
        <v>60203</v>
      </c>
      <c r="K4" s="1189"/>
      <c r="M4" s="423" t="s">
        <v>4405</v>
      </c>
      <c r="N4" s="479">
        <v>1.1200000000000001</v>
      </c>
      <c r="P4" s="424"/>
      <c r="Q4" s="424"/>
    </row>
    <row r="5" spans="1:17" ht="29.25" customHeight="1">
      <c r="A5" s="1119">
        <f t="shared" ref="A5:A6" si="0">C5*D5</f>
        <v>31794744000</v>
      </c>
      <c r="B5" s="1120">
        <f t="shared" ref="B5:B6" si="1">ROUND(C5*E5,0)</f>
        <v>20136000000</v>
      </c>
      <c r="C5" s="1041">
        <v>12000</v>
      </c>
      <c r="D5" s="1041">
        <f t="shared" ref="D5:D6" si="2">E5*$K$3</f>
        <v>2649562</v>
      </c>
      <c r="E5" s="1192">
        <v>1678000</v>
      </c>
      <c r="F5" s="1210" t="s">
        <v>1133</v>
      </c>
      <c r="G5" s="1821" t="s">
        <v>1165</v>
      </c>
      <c r="H5" s="1822"/>
      <c r="I5" s="1189">
        <v>60301</v>
      </c>
      <c r="K5" s="1189"/>
      <c r="M5" s="422" t="s">
        <v>4406</v>
      </c>
      <c r="N5" s="479">
        <v>1.41</v>
      </c>
    </row>
    <row r="6" spans="1:17" ht="33.75" customHeight="1" thickBot="1">
      <c r="A6" s="1119">
        <f t="shared" si="0"/>
        <v>2124544500</v>
      </c>
      <c r="B6" s="1120">
        <f t="shared" si="1"/>
        <v>1345500000</v>
      </c>
      <c r="C6" s="1041">
        <v>9000</v>
      </c>
      <c r="D6" s="1041">
        <f t="shared" si="2"/>
        <v>236060.5</v>
      </c>
      <c r="E6" s="1192">
        <v>149500</v>
      </c>
      <c r="F6" s="1210" t="s">
        <v>1075</v>
      </c>
      <c r="G6" s="1821" t="s">
        <v>1166</v>
      </c>
      <c r="H6" s="1822"/>
      <c r="I6" s="1189">
        <v>60403</v>
      </c>
      <c r="K6" s="1189"/>
      <c r="M6" s="422" t="s">
        <v>4407</v>
      </c>
      <c r="N6" s="479">
        <v>1</v>
      </c>
    </row>
    <row r="7" spans="1:17" ht="33.75" customHeight="1">
      <c r="A7" s="1263">
        <f>SUM(A3:A6)</f>
        <v>161723548500</v>
      </c>
      <c r="B7" s="1263">
        <f>SUM(B3:B6)</f>
        <v>102421500000</v>
      </c>
      <c r="C7" s="1264"/>
      <c r="D7" s="1264"/>
      <c r="E7" s="1265"/>
      <c r="F7" s="1264"/>
      <c r="G7" s="1859" t="s">
        <v>1010</v>
      </c>
      <c r="H7" s="1859"/>
      <c r="I7" s="1266"/>
      <c r="M7" s="424" t="s">
        <v>4408</v>
      </c>
      <c r="N7" s="479">
        <v>1</v>
      </c>
    </row>
    <row r="8" spans="1:17" ht="48" customHeight="1">
      <c r="A8" s="1267"/>
      <c r="B8" s="1268"/>
      <c r="C8" s="1269"/>
      <c r="D8" s="1269"/>
      <c r="E8" s="1270"/>
      <c r="F8" s="1269"/>
      <c r="G8" s="1271"/>
      <c r="H8" s="1271"/>
      <c r="I8" s="1272"/>
    </row>
    <row r="9" spans="1:17" s="423" customFormat="1" ht="24.75" customHeight="1" thickBot="1">
      <c r="A9" s="1851" t="s">
        <v>4425</v>
      </c>
      <c r="B9" s="1852"/>
      <c r="C9" s="1852"/>
      <c r="D9" s="1852"/>
      <c r="E9" s="1852"/>
      <c r="F9" s="1852"/>
      <c r="G9" s="1852"/>
      <c r="H9" s="1852"/>
      <c r="I9" s="1853"/>
    </row>
    <row r="10" spans="1:17" ht="39" customHeight="1" thickBot="1">
      <c r="A10" s="1860" t="s">
        <v>1194</v>
      </c>
      <c r="B10" s="1861"/>
      <c r="C10" s="1779"/>
      <c r="D10" s="1779"/>
      <c r="E10" s="1139" t="s">
        <v>1195</v>
      </c>
      <c r="F10" s="1140" t="s">
        <v>1137</v>
      </c>
      <c r="G10" s="1862" t="s">
        <v>2</v>
      </c>
      <c r="H10" s="1861"/>
      <c r="I10" s="1262" t="s">
        <v>28</v>
      </c>
      <c r="M10" s="1273" t="s">
        <v>4426</v>
      </c>
      <c r="N10" s="462">
        <v>469.7</v>
      </c>
    </row>
    <row r="11" spans="1:17" ht="27.75" customHeight="1">
      <c r="A11" s="1863" t="s">
        <v>1196</v>
      </c>
      <c r="B11" s="1864"/>
      <c r="C11" s="1865"/>
      <c r="D11" s="1865"/>
      <c r="E11" s="1274">
        <f>30*20000000*N12</f>
        <v>7167099567.0995684</v>
      </c>
      <c r="F11" s="1275" t="s">
        <v>1197</v>
      </c>
      <c r="G11" s="1866" t="s">
        <v>1198</v>
      </c>
      <c r="H11" s="1866"/>
      <c r="I11" s="1276">
        <v>420101</v>
      </c>
      <c r="M11" s="1273" t="s">
        <v>4427</v>
      </c>
      <c r="N11" s="462">
        <v>5610.6444444444451</v>
      </c>
    </row>
    <row r="12" spans="1:17" ht="33.75" customHeight="1">
      <c r="A12" s="1854" t="s">
        <v>1199</v>
      </c>
      <c r="B12" s="1855"/>
      <c r="C12" s="1856"/>
      <c r="D12" s="1856"/>
      <c r="E12" s="1195">
        <f>200*4000000*N12</f>
        <v>9556132756.1327572</v>
      </c>
      <c r="F12" s="1196" t="s">
        <v>1197</v>
      </c>
      <c r="G12" s="1815" t="s">
        <v>1200</v>
      </c>
      <c r="H12" s="1815"/>
      <c r="I12" s="1197">
        <v>420103</v>
      </c>
      <c r="N12" s="462">
        <f>N11/N10</f>
        <v>11.945165945165947</v>
      </c>
      <c r="P12" s="424"/>
      <c r="Q12" s="424"/>
    </row>
    <row r="13" spans="1:17" ht="33.75" customHeight="1">
      <c r="A13" s="1854" t="s">
        <v>1201</v>
      </c>
      <c r="B13" s="1855"/>
      <c r="C13" s="1856"/>
      <c r="D13" s="1856"/>
      <c r="E13" s="1195">
        <f>30*30*100*100000*N12</f>
        <v>107506493506.49352</v>
      </c>
      <c r="F13" s="1196" t="s">
        <v>1197</v>
      </c>
      <c r="G13" s="1815" t="s">
        <v>1202</v>
      </c>
      <c r="H13" s="1815"/>
      <c r="I13" s="1197">
        <v>420201</v>
      </c>
    </row>
    <row r="14" spans="1:17" ht="27.75" customHeight="1">
      <c r="A14" s="1854"/>
      <c r="B14" s="1855"/>
      <c r="C14" s="1856"/>
      <c r="D14" s="1856"/>
      <c r="E14" s="1195">
        <f>500000*N12</f>
        <v>5972582.9725829735</v>
      </c>
      <c r="F14" s="1196" t="s">
        <v>1197</v>
      </c>
      <c r="G14" s="1815" t="s">
        <v>1203</v>
      </c>
      <c r="H14" s="1815"/>
      <c r="I14" s="1197">
        <v>420302</v>
      </c>
    </row>
    <row r="15" spans="1:17" ht="29.25" customHeight="1">
      <c r="A15" s="1854" t="s">
        <v>1204</v>
      </c>
      <c r="B15" s="1855"/>
      <c r="C15" s="1856"/>
      <c r="D15" s="1856"/>
      <c r="E15" s="1195">
        <f>500*2500000*N12</f>
        <v>14931457431.457434</v>
      </c>
      <c r="F15" s="1196" t="s">
        <v>1197</v>
      </c>
      <c r="G15" s="1815" t="s">
        <v>1205</v>
      </c>
      <c r="H15" s="1815"/>
      <c r="I15" s="1197">
        <v>420401</v>
      </c>
    </row>
    <row r="16" spans="1:17" ht="33.75" customHeight="1">
      <c r="A16" s="1854"/>
      <c r="B16" s="1855"/>
      <c r="C16" s="1856"/>
      <c r="D16" s="1856"/>
      <c r="E16" s="1195">
        <f>300000000*N12</f>
        <v>3583549783.5497842</v>
      </c>
      <c r="F16" s="1196" t="s">
        <v>1197</v>
      </c>
      <c r="G16" s="1815" t="s">
        <v>1206</v>
      </c>
      <c r="H16" s="1815"/>
      <c r="I16" s="1197">
        <v>420403</v>
      </c>
    </row>
    <row r="17" spans="1:11" ht="33.75" customHeight="1">
      <c r="A17" s="1854" t="s">
        <v>1207</v>
      </c>
      <c r="B17" s="1855"/>
      <c r="C17" s="1856"/>
      <c r="D17" s="1856"/>
      <c r="E17" s="1195">
        <f>200000000*N12</f>
        <v>2389033189.0331893</v>
      </c>
      <c r="F17" s="1196" t="s">
        <v>1197</v>
      </c>
      <c r="G17" s="1815" t="s">
        <v>1208</v>
      </c>
      <c r="H17" s="1815"/>
      <c r="I17" s="1197">
        <v>420404</v>
      </c>
    </row>
    <row r="18" spans="1:11" ht="27.75" customHeight="1">
      <c r="A18" s="1854" t="s">
        <v>1209</v>
      </c>
      <c r="B18" s="1855"/>
      <c r="C18" s="1856"/>
      <c r="D18" s="1856"/>
      <c r="E18" s="1200">
        <f>30*300000*N12</f>
        <v>107506493.50649352</v>
      </c>
      <c r="F18" s="1196" t="s">
        <v>1197</v>
      </c>
      <c r="G18" s="1815" t="s">
        <v>1210</v>
      </c>
      <c r="H18" s="1815"/>
      <c r="I18" s="1197">
        <v>420601</v>
      </c>
    </row>
    <row r="19" spans="1:11" ht="27.75" customHeight="1">
      <c r="A19" s="1854" t="s">
        <v>1213</v>
      </c>
      <c r="B19" s="1855"/>
      <c r="C19" s="1856"/>
      <c r="D19" s="1856"/>
      <c r="E19" s="1200">
        <f>30*30000000*N12</f>
        <v>10750649350.649351</v>
      </c>
      <c r="F19" s="1196" t="s">
        <v>1197</v>
      </c>
      <c r="G19" s="1815" t="s">
        <v>1211</v>
      </c>
      <c r="H19" s="1815"/>
      <c r="I19" s="1197">
        <v>420602</v>
      </c>
    </row>
    <row r="20" spans="1:11" ht="27.75" customHeight="1">
      <c r="A20" s="1867"/>
      <c r="B20" s="1868"/>
      <c r="C20" s="1869"/>
      <c r="D20" s="1869"/>
      <c r="E20" s="1200">
        <f>50000000*N12</f>
        <v>597258297.25829732</v>
      </c>
      <c r="F20" s="1196" t="s">
        <v>1197</v>
      </c>
      <c r="G20" s="1815" t="s">
        <v>1212</v>
      </c>
      <c r="H20" s="1815"/>
      <c r="I20" s="1197">
        <v>420603</v>
      </c>
    </row>
    <row r="21" spans="1:11" ht="27.75" customHeight="1">
      <c r="A21" s="1854" t="s">
        <v>1213</v>
      </c>
      <c r="B21" s="1855"/>
      <c r="C21" s="1856"/>
      <c r="D21" s="1856"/>
      <c r="E21" s="1200">
        <f>30*30000000*N12</f>
        <v>10750649350.649351</v>
      </c>
      <c r="F21" s="1196" t="s">
        <v>1197</v>
      </c>
      <c r="G21" s="1815" t="s">
        <v>1214</v>
      </c>
      <c r="H21" s="1815"/>
      <c r="I21" s="1197">
        <v>420605</v>
      </c>
    </row>
    <row r="22" spans="1:11" ht="27.75" customHeight="1">
      <c r="A22" s="1867"/>
      <c r="B22" s="1868"/>
      <c r="C22" s="1869"/>
      <c r="D22" s="1869"/>
      <c r="E22" s="1200"/>
      <c r="F22" s="1196" t="s">
        <v>1197</v>
      </c>
      <c r="G22" s="1815" t="s">
        <v>1215</v>
      </c>
      <c r="H22" s="1815"/>
      <c r="I22" s="1197">
        <v>420701</v>
      </c>
    </row>
    <row r="23" spans="1:11" ht="27.75" customHeight="1">
      <c r="A23" s="1867"/>
      <c r="B23" s="1868"/>
      <c r="C23" s="1869"/>
      <c r="D23" s="1869"/>
      <c r="E23" s="1200"/>
      <c r="F23" s="1196" t="s">
        <v>1197</v>
      </c>
      <c r="G23" s="1815" t="s">
        <v>1216</v>
      </c>
      <c r="H23" s="1815"/>
      <c r="I23" s="1197">
        <v>421301</v>
      </c>
    </row>
    <row r="24" spans="1:11" ht="27.75" customHeight="1">
      <c r="A24" s="1854"/>
      <c r="B24" s="1855"/>
      <c r="C24" s="1856"/>
      <c r="D24" s="1856"/>
      <c r="E24" s="1200">
        <f>600000000*N12</f>
        <v>7167099567.0995684</v>
      </c>
      <c r="F24" s="1196" t="s">
        <v>1197</v>
      </c>
      <c r="G24" s="1815" t="s">
        <v>1217</v>
      </c>
      <c r="H24" s="1815"/>
      <c r="I24" s="1197">
        <v>421302</v>
      </c>
    </row>
    <row r="25" spans="1:11" ht="27.75" customHeight="1" thickBot="1">
      <c r="A25" s="1870"/>
      <c r="B25" s="1871"/>
      <c r="C25" s="1872"/>
      <c r="D25" s="1872"/>
      <c r="E25" s="1204">
        <f>SUM(E11:E24)</f>
        <v>174512901875.90192</v>
      </c>
      <c r="F25" s="1205"/>
      <c r="G25" s="1873" t="s">
        <v>1100</v>
      </c>
      <c r="H25" s="1873"/>
      <c r="I25" s="1206"/>
      <c r="K25" s="1277"/>
    </row>
    <row r="26" spans="1:11" ht="37.5" customHeight="1"/>
    <row r="27" spans="1:11" ht="29.25" customHeight="1"/>
    <row r="28" spans="1:11" ht="29.25" customHeight="1"/>
    <row r="29" spans="1:11" ht="29.25" customHeight="1"/>
    <row r="30" spans="1:11" ht="29.25" customHeight="1"/>
    <row r="31" spans="1:11" ht="29.25" customHeight="1"/>
    <row r="32" spans="1:11" ht="29.25" customHeight="1"/>
    <row r="33" ht="39" customHeight="1"/>
    <row r="34" ht="33.75" customHeight="1"/>
    <row r="35" ht="33.75" customHeight="1"/>
    <row r="36" ht="29.25" customHeight="1"/>
    <row r="37" ht="29.25" customHeight="1"/>
    <row r="38" ht="29.25" customHeight="1"/>
    <row r="39" ht="29.25" customHeight="1"/>
    <row r="40" ht="29.25" customHeight="1"/>
    <row r="41" ht="29.25" customHeight="1"/>
  </sheetData>
  <mergeCells count="40">
    <mergeCell ref="A25:D25"/>
    <mergeCell ref="G25:H25"/>
    <mergeCell ref="A22:D22"/>
    <mergeCell ref="G22:H22"/>
    <mergeCell ref="A23:D23"/>
    <mergeCell ref="G23:H23"/>
    <mergeCell ref="A24:D24"/>
    <mergeCell ref="G24:H24"/>
    <mergeCell ref="A19:D19"/>
    <mergeCell ref="G19:H19"/>
    <mergeCell ref="A20:D20"/>
    <mergeCell ref="G20:H20"/>
    <mergeCell ref="A21:D21"/>
    <mergeCell ref="G21:H21"/>
    <mergeCell ref="A16:D16"/>
    <mergeCell ref="G16:H16"/>
    <mergeCell ref="A17:D17"/>
    <mergeCell ref="G17:H17"/>
    <mergeCell ref="A18:D18"/>
    <mergeCell ref="G18:H18"/>
    <mergeCell ref="A13:D13"/>
    <mergeCell ref="G13:H13"/>
    <mergeCell ref="A14:D14"/>
    <mergeCell ref="G14:H14"/>
    <mergeCell ref="A15:D15"/>
    <mergeCell ref="G15:H15"/>
    <mergeCell ref="A1:I1"/>
    <mergeCell ref="A12:D12"/>
    <mergeCell ref="G12:H12"/>
    <mergeCell ref="G2:H2"/>
    <mergeCell ref="G3:H3"/>
    <mergeCell ref="G4:H4"/>
    <mergeCell ref="G5:H5"/>
    <mergeCell ref="G6:H6"/>
    <mergeCell ref="G7:H7"/>
    <mergeCell ref="A9:I9"/>
    <mergeCell ref="A10:D10"/>
    <mergeCell ref="G10:H10"/>
    <mergeCell ref="A11:D11"/>
    <mergeCell ref="G11:H11"/>
  </mergeCells>
  <printOptions horizontalCentered="1"/>
  <pageMargins left="0.31496062992125984" right="0.31496062992125984" top="0.15748031496062992" bottom="0.35433070866141736" header="0.31496062992125984" footer="0.31496062992125984"/>
  <pageSetup scale="43"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88"/>
  <sheetViews>
    <sheetView view="pageBreakPreview" zoomScale="60" zoomScaleNormal="50" workbookViewId="0">
      <selection activeCell="A2" sqref="A1:P1048576"/>
    </sheetView>
  </sheetViews>
  <sheetFormatPr defaultColWidth="9.140625" defaultRowHeight="15"/>
  <cols>
    <col min="1" max="2" width="30.85546875" style="1284" customWidth="1"/>
    <col min="3" max="3" width="22.7109375" style="1284" customWidth="1"/>
    <col min="4" max="4" width="21.42578125" style="547" customWidth="1"/>
    <col min="5" max="5" width="12.7109375" style="1285" customWidth="1"/>
    <col min="6" max="6" width="23.140625" style="547" customWidth="1"/>
    <col min="7" max="7" width="20.5703125" style="1284" customWidth="1"/>
    <col min="8" max="8" width="23.5703125" style="547" customWidth="1"/>
    <col min="9" max="9" width="60.28515625" style="547" customWidth="1"/>
    <col min="10" max="10" width="81.42578125" style="546" customWidth="1"/>
    <col min="11" max="20" width="9.140625" style="422"/>
    <col min="21" max="21" width="18.7109375" style="422" customWidth="1"/>
    <col min="22" max="16384" width="9.140625" style="422"/>
  </cols>
  <sheetData>
    <row r="1" spans="1:21" s="423" customFormat="1" ht="42.75" customHeight="1" thickBot="1">
      <c r="A1" s="1874" t="s">
        <v>4352</v>
      </c>
      <c r="B1" s="1875"/>
      <c r="C1" s="1875"/>
      <c r="D1" s="1875"/>
      <c r="E1" s="1875"/>
      <c r="F1" s="1875"/>
      <c r="G1" s="1875"/>
      <c r="H1" s="1875"/>
      <c r="I1" s="1875"/>
      <c r="J1" s="1876"/>
    </row>
    <row r="2" spans="1:21" s="547" customFormat="1" ht="63" customHeight="1" thickBot="1">
      <c r="A2" s="1111" t="s">
        <v>1218</v>
      </c>
      <c r="B2" s="1111" t="s">
        <v>4402</v>
      </c>
      <c r="C2" s="1111" t="s">
        <v>1219</v>
      </c>
      <c r="D2" s="1111" t="s">
        <v>1220</v>
      </c>
      <c r="E2" s="1278" t="s">
        <v>28</v>
      </c>
      <c r="F2" s="1111" t="s">
        <v>4428</v>
      </c>
      <c r="G2" s="1279" t="s">
        <v>1135</v>
      </c>
      <c r="H2" s="1280" t="s">
        <v>1221</v>
      </c>
      <c r="I2" s="1280" t="s">
        <v>1222</v>
      </c>
      <c r="J2" s="1280" t="s">
        <v>1223</v>
      </c>
    </row>
    <row r="3" spans="1:21" s="547" customFormat="1" ht="65.25" customHeight="1" thickBot="1">
      <c r="A3" s="395">
        <f>C3*G3</f>
        <v>21563274290.25</v>
      </c>
      <c r="B3" s="1281">
        <f>ROUND(G3*D3,0)</f>
        <v>8614971750</v>
      </c>
      <c r="C3" s="396">
        <f>D3*$K$4</f>
        <v>3733900.31</v>
      </c>
      <c r="D3" s="397">
        <v>1491770</v>
      </c>
      <c r="E3" s="398">
        <v>1.01</v>
      </c>
      <c r="F3" s="399">
        <v>590101101</v>
      </c>
      <c r="G3" s="396">
        <v>5775</v>
      </c>
      <c r="H3" s="400" t="s">
        <v>1224</v>
      </c>
      <c r="I3" s="401" t="s">
        <v>1225</v>
      </c>
      <c r="J3" s="402" t="s">
        <v>1226</v>
      </c>
      <c r="U3" s="396">
        <f>G3*1.5</f>
        <v>8662.5</v>
      </c>
    </row>
    <row r="4" spans="1:21" s="547" customFormat="1" ht="65.25" customHeight="1" thickBot="1">
      <c r="A4" s="403">
        <f t="shared" ref="A4:A67" si="0">C4*G4</f>
        <v>12233985687</v>
      </c>
      <c r="B4" s="1281">
        <f t="shared" ref="B4:B67" si="1">ROUND(G4*D4,0)</f>
        <v>4887729000</v>
      </c>
      <c r="C4" s="404">
        <f>D4*$K$4</f>
        <v>2118439.08</v>
      </c>
      <c r="D4" s="405">
        <v>846360</v>
      </c>
      <c r="E4" s="406">
        <v>1.02</v>
      </c>
      <c r="F4" s="407">
        <v>590111101</v>
      </c>
      <c r="G4" s="404">
        <v>5775</v>
      </c>
      <c r="H4" s="408" t="s">
        <v>1224</v>
      </c>
      <c r="I4" s="409" t="s">
        <v>1225</v>
      </c>
      <c r="J4" s="410" t="s">
        <v>1227</v>
      </c>
      <c r="K4" s="1282">
        <f>ROUND(P4*P5*P6*P7,3)</f>
        <v>2.5030000000000001</v>
      </c>
      <c r="O4" s="423" t="s">
        <v>4405</v>
      </c>
      <c r="P4" s="479">
        <v>1.1200000000000001</v>
      </c>
      <c r="Q4" s="1283"/>
      <c r="U4" s="396">
        <f t="shared" ref="U4:U67" si="2">G4*1.5</f>
        <v>8662.5</v>
      </c>
    </row>
    <row r="5" spans="1:21" s="547" customFormat="1" ht="65.25" customHeight="1" thickBot="1">
      <c r="A5" s="403">
        <f t="shared" si="0"/>
        <v>41196251250</v>
      </c>
      <c r="B5" s="1281">
        <f t="shared" si="1"/>
        <v>16458750000</v>
      </c>
      <c r="C5" s="404">
        <f>D5*$K$4</f>
        <v>23778.5</v>
      </c>
      <c r="D5" s="405">
        <v>9500</v>
      </c>
      <c r="E5" s="406">
        <v>1.03</v>
      </c>
      <c r="F5" s="407">
        <v>590142101</v>
      </c>
      <c r="G5" s="404">
        <v>1732500</v>
      </c>
      <c r="H5" s="408" t="s">
        <v>1228</v>
      </c>
      <c r="I5" s="409" t="s">
        <v>1225</v>
      </c>
      <c r="J5" s="410" t="s">
        <v>1229</v>
      </c>
      <c r="O5" s="422" t="s">
        <v>4406</v>
      </c>
      <c r="P5" s="479">
        <v>1.48</v>
      </c>
      <c r="U5" s="396">
        <f t="shared" si="2"/>
        <v>2598750</v>
      </c>
    </row>
    <row r="6" spans="1:21" s="547" customFormat="1" ht="65.25" customHeight="1" thickBot="1">
      <c r="A6" s="403">
        <f t="shared" si="0"/>
        <v>101993467729.21501</v>
      </c>
      <c r="B6" s="1281">
        <f t="shared" si="1"/>
        <v>40748488905</v>
      </c>
      <c r="C6" s="404">
        <f t="shared" ref="C6:C67" si="3">D6*$K$4</f>
        <v>14657392.790000001</v>
      </c>
      <c r="D6" s="405">
        <v>5855930</v>
      </c>
      <c r="E6" s="406">
        <v>3.01</v>
      </c>
      <c r="F6" s="407">
        <v>590301101</v>
      </c>
      <c r="G6" s="404">
        <v>6958.5</v>
      </c>
      <c r="H6" s="408" t="s">
        <v>1230</v>
      </c>
      <c r="I6" s="411" t="s">
        <v>1231</v>
      </c>
      <c r="J6" s="410" t="s">
        <v>1232</v>
      </c>
      <c r="O6" s="422" t="s">
        <v>4407</v>
      </c>
      <c r="P6" s="479">
        <v>1</v>
      </c>
      <c r="U6" s="396">
        <f t="shared" si="2"/>
        <v>10437.75</v>
      </c>
    </row>
    <row r="7" spans="1:21" s="547" customFormat="1" ht="65.25" customHeight="1" thickBot="1">
      <c r="A7" s="403">
        <f t="shared" si="0"/>
        <v>34083235586.670006</v>
      </c>
      <c r="B7" s="1281">
        <f t="shared" si="1"/>
        <v>13616953890</v>
      </c>
      <c r="C7" s="404">
        <f t="shared" si="3"/>
        <v>18353923.310000002</v>
      </c>
      <c r="D7" s="405">
        <v>7332770</v>
      </c>
      <c r="E7" s="406">
        <v>3.02</v>
      </c>
      <c r="F7" s="407">
        <v>590301102</v>
      </c>
      <c r="G7" s="404">
        <v>1857</v>
      </c>
      <c r="H7" s="408" t="s">
        <v>1230</v>
      </c>
      <c r="I7" s="411" t="s">
        <v>1231</v>
      </c>
      <c r="J7" s="410" t="s">
        <v>1233</v>
      </c>
      <c r="O7" s="424" t="s">
        <v>4408</v>
      </c>
      <c r="P7" s="479">
        <v>1.51</v>
      </c>
      <c r="U7" s="396">
        <f t="shared" si="2"/>
        <v>2785.5</v>
      </c>
    </row>
    <row r="8" spans="1:21" s="547" customFormat="1" ht="65.25" customHeight="1" thickBot="1">
      <c r="A8" s="403">
        <f t="shared" si="0"/>
        <v>26619702957.120003</v>
      </c>
      <c r="B8" s="1281">
        <f t="shared" si="1"/>
        <v>10635119040</v>
      </c>
      <c r="C8" s="404">
        <f t="shared" si="3"/>
        <v>21329890.190000001</v>
      </c>
      <c r="D8" s="405">
        <v>8521730</v>
      </c>
      <c r="E8" s="406">
        <v>3.03</v>
      </c>
      <c r="F8" s="407">
        <v>590301103</v>
      </c>
      <c r="G8" s="404">
        <v>1248</v>
      </c>
      <c r="H8" s="408" t="s">
        <v>1230</v>
      </c>
      <c r="I8" s="411" t="s">
        <v>1231</v>
      </c>
      <c r="J8" s="410" t="s">
        <v>1234</v>
      </c>
      <c r="U8" s="396">
        <f t="shared" si="2"/>
        <v>1872</v>
      </c>
    </row>
    <row r="9" spans="1:21" s="547" customFormat="1" ht="65.25" customHeight="1" thickBot="1">
      <c r="A9" s="403">
        <f t="shared" si="0"/>
        <v>37122439510.169998</v>
      </c>
      <c r="B9" s="1281">
        <f t="shared" si="1"/>
        <v>14831178390</v>
      </c>
      <c r="C9" s="404">
        <f t="shared" si="3"/>
        <v>27682654.370000001</v>
      </c>
      <c r="D9" s="405">
        <v>11059790</v>
      </c>
      <c r="E9" s="406">
        <v>3.04</v>
      </c>
      <c r="F9" s="407">
        <v>590301105</v>
      </c>
      <c r="G9" s="404">
        <v>1341</v>
      </c>
      <c r="H9" s="408" t="s">
        <v>1230</v>
      </c>
      <c r="I9" s="411" t="s">
        <v>1231</v>
      </c>
      <c r="J9" s="410" t="s">
        <v>1235</v>
      </c>
      <c r="U9" s="396">
        <f t="shared" si="2"/>
        <v>2011.5</v>
      </c>
    </row>
    <row r="10" spans="1:21" s="547" customFormat="1" ht="65.25" customHeight="1" thickBot="1">
      <c r="A10" s="403">
        <f t="shared" si="0"/>
        <v>28336381477.290001</v>
      </c>
      <c r="B10" s="1281">
        <f t="shared" si="1"/>
        <v>11320967430</v>
      </c>
      <c r="C10" s="404">
        <f t="shared" si="3"/>
        <v>34409692.140000001</v>
      </c>
      <c r="D10" s="405">
        <v>13747380</v>
      </c>
      <c r="E10" s="406">
        <v>3.05</v>
      </c>
      <c r="F10" s="407">
        <v>590301106</v>
      </c>
      <c r="G10" s="404">
        <v>823.5</v>
      </c>
      <c r="H10" s="408" t="s">
        <v>1230</v>
      </c>
      <c r="I10" s="411" t="s">
        <v>1231</v>
      </c>
      <c r="J10" s="410" t="s">
        <v>1236</v>
      </c>
      <c r="U10" s="396">
        <f t="shared" si="2"/>
        <v>1235.25</v>
      </c>
    </row>
    <row r="11" spans="1:21" s="547" customFormat="1" ht="65.25" customHeight="1" thickBot="1">
      <c r="A11" s="403">
        <f t="shared" si="0"/>
        <v>44400741779.700005</v>
      </c>
      <c r="B11" s="1281">
        <f t="shared" si="1"/>
        <v>17739009900</v>
      </c>
      <c r="C11" s="404">
        <f t="shared" si="3"/>
        <v>42899267.420000002</v>
      </c>
      <c r="D11" s="405">
        <v>17139140</v>
      </c>
      <c r="E11" s="406">
        <v>3.06</v>
      </c>
      <c r="F11" s="407">
        <v>590301107</v>
      </c>
      <c r="G11" s="404">
        <v>1035</v>
      </c>
      <c r="H11" s="408" t="s">
        <v>1230</v>
      </c>
      <c r="I11" s="411" t="s">
        <v>1231</v>
      </c>
      <c r="J11" s="410" t="s">
        <v>1237</v>
      </c>
      <c r="U11" s="396">
        <f t="shared" si="2"/>
        <v>1552.5</v>
      </c>
    </row>
    <row r="12" spans="1:21" s="547" customFormat="1" ht="65.25" customHeight="1" thickBot="1">
      <c r="A12" s="403">
        <f t="shared" si="0"/>
        <v>43514433559.589996</v>
      </c>
      <c r="B12" s="1281">
        <f t="shared" si="1"/>
        <v>17384911530</v>
      </c>
      <c r="C12" s="404">
        <f t="shared" si="3"/>
        <v>50804942.859999999</v>
      </c>
      <c r="D12" s="405">
        <v>20297620</v>
      </c>
      <c r="E12" s="406">
        <v>3.07</v>
      </c>
      <c r="F12" s="407">
        <v>590301108</v>
      </c>
      <c r="G12" s="404">
        <v>856.5</v>
      </c>
      <c r="H12" s="408" t="s">
        <v>1230</v>
      </c>
      <c r="I12" s="411" t="s">
        <v>1231</v>
      </c>
      <c r="J12" s="410" t="s">
        <v>1238</v>
      </c>
      <c r="U12" s="396">
        <f t="shared" si="2"/>
        <v>1284.75</v>
      </c>
    </row>
    <row r="13" spans="1:21" s="547" customFormat="1" ht="65.25" customHeight="1" thickBot="1">
      <c r="A13" s="403">
        <f t="shared" si="0"/>
        <v>711205623.84000003</v>
      </c>
      <c r="B13" s="1281">
        <f t="shared" si="1"/>
        <v>284141280</v>
      </c>
      <c r="C13" s="404">
        <f t="shared" si="3"/>
        <v>59267135.32</v>
      </c>
      <c r="D13" s="405">
        <v>23678440</v>
      </c>
      <c r="E13" s="406">
        <v>3.08</v>
      </c>
      <c r="F13" s="407">
        <v>590301109</v>
      </c>
      <c r="G13" s="404">
        <v>12</v>
      </c>
      <c r="H13" s="408" t="s">
        <v>1230</v>
      </c>
      <c r="I13" s="411" t="s">
        <v>1231</v>
      </c>
      <c r="J13" s="410" t="s">
        <v>1239</v>
      </c>
      <c r="U13" s="396">
        <f t="shared" si="2"/>
        <v>18</v>
      </c>
    </row>
    <row r="14" spans="1:21" s="547" customFormat="1" ht="65.25" customHeight="1" thickBot="1">
      <c r="A14" s="403">
        <f t="shared" si="0"/>
        <v>24887957853.720001</v>
      </c>
      <c r="B14" s="1281">
        <f t="shared" si="1"/>
        <v>9943251240</v>
      </c>
      <c r="C14" s="404">
        <f t="shared" si="3"/>
        <v>66903112.510000005</v>
      </c>
      <c r="D14" s="405">
        <v>26729170</v>
      </c>
      <c r="E14" s="406">
        <v>3.09</v>
      </c>
      <c r="F14" s="407">
        <v>590301110</v>
      </c>
      <c r="G14" s="404">
        <v>372</v>
      </c>
      <c r="H14" s="408" t="s">
        <v>1230</v>
      </c>
      <c r="I14" s="411" t="s">
        <v>1231</v>
      </c>
      <c r="J14" s="410" t="s">
        <v>1240</v>
      </c>
      <c r="U14" s="396">
        <f t="shared" si="2"/>
        <v>558</v>
      </c>
    </row>
    <row r="15" spans="1:21" s="547" customFormat="1" ht="65.25" customHeight="1" thickBot="1">
      <c r="A15" s="403">
        <f t="shared" si="0"/>
        <v>894858342.96000004</v>
      </c>
      <c r="B15" s="1281">
        <f t="shared" si="1"/>
        <v>357514320</v>
      </c>
      <c r="C15" s="404">
        <f>D15*$K$4</f>
        <v>74571528.579999998</v>
      </c>
      <c r="D15" s="405">
        <v>29792860</v>
      </c>
      <c r="E15" s="406">
        <v>3.1</v>
      </c>
      <c r="F15" s="407">
        <v>590301111</v>
      </c>
      <c r="G15" s="404">
        <v>12</v>
      </c>
      <c r="H15" s="408" t="s">
        <v>1230</v>
      </c>
      <c r="I15" s="411" t="s">
        <v>1231</v>
      </c>
      <c r="J15" s="410" t="s">
        <v>1241</v>
      </c>
      <c r="U15" s="396">
        <f t="shared" si="2"/>
        <v>18</v>
      </c>
    </row>
    <row r="16" spans="1:21" s="547" customFormat="1" ht="65.25" customHeight="1" thickBot="1">
      <c r="A16" s="403">
        <f t="shared" si="0"/>
        <v>52165665094.589996</v>
      </c>
      <c r="B16" s="1281">
        <f t="shared" si="1"/>
        <v>20841256530</v>
      </c>
      <c r="C16" s="404">
        <f>D16*$K$4</f>
        <v>82215390.219999999</v>
      </c>
      <c r="D16" s="405">
        <v>32846740</v>
      </c>
      <c r="E16" s="406">
        <v>3.11</v>
      </c>
      <c r="F16" s="407">
        <v>590301112</v>
      </c>
      <c r="G16" s="404">
        <v>634.5</v>
      </c>
      <c r="H16" s="408" t="s">
        <v>1230</v>
      </c>
      <c r="I16" s="411" t="s">
        <v>1231</v>
      </c>
      <c r="J16" s="410" t="s">
        <v>1242</v>
      </c>
      <c r="K16" s="547">
        <v>1.5289999999999999</v>
      </c>
      <c r="U16" s="396">
        <f t="shared" si="2"/>
        <v>951.75</v>
      </c>
    </row>
    <row r="17" spans="1:21" s="547" customFormat="1" ht="65.25" customHeight="1" thickBot="1">
      <c r="A17" s="403">
        <f t="shared" si="0"/>
        <v>315590129.25</v>
      </c>
      <c r="B17" s="1281">
        <f t="shared" si="1"/>
        <v>126084750</v>
      </c>
      <c r="C17" s="404">
        <f t="shared" si="3"/>
        <v>105196709.75</v>
      </c>
      <c r="D17" s="405">
        <v>42028250</v>
      </c>
      <c r="E17" s="406">
        <v>3.12</v>
      </c>
      <c r="F17" s="407">
        <v>590301114</v>
      </c>
      <c r="G17" s="404">
        <v>3</v>
      </c>
      <c r="H17" s="408" t="s">
        <v>1230</v>
      </c>
      <c r="I17" s="411" t="s">
        <v>1231</v>
      </c>
      <c r="J17" s="410" t="s">
        <v>1243</v>
      </c>
      <c r="U17" s="396">
        <f t="shared" si="2"/>
        <v>4.5</v>
      </c>
    </row>
    <row r="18" spans="1:21" s="547" customFormat="1" ht="65.25" customHeight="1" thickBot="1">
      <c r="A18" s="403">
        <f t="shared" si="0"/>
        <v>72910587.840000004</v>
      </c>
      <c r="B18" s="1281">
        <f t="shared" si="1"/>
        <v>29129280</v>
      </c>
      <c r="C18" s="404">
        <f t="shared" si="3"/>
        <v>759485.29</v>
      </c>
      <c r="D18" s="405">
        <v>303430</v>
      </c>
      <c r="E18" s="406">
        <v>3.13</v>
      </c>
      <c r="F18" s="407">
        <v>590326101</v>
      </c>
      <c r="G18" s="404">
        <v>96</v>
      </c>
      <c r="H18" s="408" t="s">
        <v>1230</v>
      </c>
      <c r="I18" s="411" t="s">
        <v>1231</v>
      </c>
      <c r="J18" s="412" t="s">
        <v>1244</v>
      </c>
      <c r="U18" s="396">
        <f t="shared" si="2"/>
        <v>144</v>
      </c>
    </row>
    <row r="19" spans="1:21" s="547" customFormat="1" ht="65.25" customHeight="1" thickBot="1">
      <c r="A19" s="403">
        <f t="shared" si="0"/>
        <v>50126029.140000001</v>
      </c>
      <c r="B19" s="1281">
        <f t="shared" si="1"/>
        <v>20026380</v>
      </c>
      <c r="C19" s="404">
        <f t="shared" si="3"/>
        <v>1518970.58</v>
      </c>
      <c r="D19" s="405">
        <v>606860</v>
      </c>
      <c r="E19" s="406">
        <v>3.14</v>
      </c>
      <c r="F19" s="407">
        <v>590326103</v>
      </c>
      <c r="G19" s="404">
        <v>33</v>
      </c>
      <c r="H19" s="408" t="s">
        <v>1230</v>
      </c>
      <c r="I19" s="411" t="s">
        <v>1231</v>
      </c>
      <c r="J19" s="412" t="s">
        <v>1245</v>
      </c>
      <c r="U19" s="396">
        <f t="shared" si="2"/>
        <v>49.5</v>
      </c>
    </row>
    <row r="20" spans="1:21" s="547" customFormat="1" ht="65.25" customHeight="1" thickBot="1">
      <c r="A20" s="403">
        <f t="shared" si="0"/>
        <v>243979048.95000002</v>
      </c>
      <c r="B20" s="1281">
        <f t="shared" si="1"/>
        <v>97474650</v>
      </c>
      <c r="C20" s="404">
        <f t="shared" si="3"/>
        <v>2198009.4500000002</v>
      </c>
      <c r="D20" s="405">
        <v>878150</v>
      </c>
      <c r="E20" s="406">
        <v>3.15</v>
      </c>
      <c r="F20" s="407">
        <v>590326105</v>
      </c>
      <c r="G20" s="404">
        <v>111</v>
      </c>
      <c r="H20" s="408" t="s">
        <v>1230</v>
      </c>
      <c r="I20" s="411" t="s">
        <v>1231</v>
      </c>
      <c r="J20" s="412" t="s">
        <v>1246</v>
      </c>
      <c r="U20" s="396">
        <f t="shared" si="2"/>
        <v>166.5</v>
      </c>
    </row>
    <row r="21" spans="1:21" s="547" customFormat="1" ht="65.25" customHeight="1" thickBot="1">
      <c r="A21" s="403">
        <f t="shared" si="0"/>
        <v>2083612638.3600001</v>
      </c>
      <c r="B21" s="1281">
        <f t="shared" si="1"/>
        <v>832446120</v>
      </c>
      <c r="C21" s="404">
        <f t="shared" si="3"/>
        <v>2869989.8600000003</v>
      </c>
      <c r="D21" s="405">
        <v>1146620</v>
      </c>
      <c r="E21" s="406">
        <v>3.16</v>
      </c>
      <c r="F21" s="407">
        <v>590326106</v>
      </c>
      <c r="G21" s="404">
        <v>726</v>
      </c>
      <c r="H21" s="408" t="s">
        <v>1230</v>
      </c>
      <c r="I21" s="411" t="s">
        <v>1231</v>
      </c>
      <c r="J21" s="412" t="s">
        <v>1247</v>
      </c>
      <c r="U21" s="396">
        <f t="shared" si="2"/>
        <v>1089</v>
      </c>
    </row>
    <row r="22" spans="1:21" s="547" customFormat="1" ht="65.25" customHeight="1" thickBot="1">
      <c r="A22" s="403">
        <f t="shared" si="0"/>
        <v>174912843.84</v>
      </c>
      <c r="B22" s="1281">
        <f t="shared" si="1"/>
        <v>69881280</v>
      </c>
      <c r="C22" s="404">
        <f t="shared" si="3"/>
        <v>3644017.58</v>
      </c>
      <c r="D22" s="405">
        <v>1455860</v>
      </c>
      <c r="E22" s="406">
        <v>3.17</v>
      </c>
      <c r="F22" s="407">
        <v>590326107</v>
      </c>
      <c r="G22" s="404">
        <v>48</v>
      </c>
      <c r="H22" s="408" t="s">
        <v>1230</v>
      </c>
      <c r="I22" s="411" t="s">
        <v>1231</v>
      </c>
      <c r="J22" s="412" t="s">
        <v>1248</v>
      </c>
      <c r="U22" s="396">
        <f t="shared" si="2"/>
        <v>72</v>
      </c>
    </row>
    <row r="23" spans="1:21" s="547" customFormat="1" ht="65.25" customHeight="1" thickBot="1">
      <c r="A23" s="403">
        <f t="shared" si="0"/>
        <v>984047541.72000003</v>
      </c>
      <c r="B23" s="1281">
        <f t="shared" si="1"/>
        <v>393147240</v>
      </c>
      <c r="C23" s="404">
        <f t="shared" si="3"/>
        <v>4315997.99</v>
      </c>
      <c r="D23" s="405">
        <v>1724330</v>
      </c>
      <c r="E23" s="406">
        <v>3.18</v>
      </c>
      <c r="F23" s="407">
        <v>590326108</v>
      </c>
      <c r="G23" s="404">
        <v>228</v>
      </c>
      <c r="H23" s="408" t="s">
        <v>1230</v>
      </c>
      <c r="I23" s="411" t="s">
        <v>1231</v>
      </c>
      <c r="J23" s="412" t="s">
        <v>1249</v>
      </c>
      <c r="U23" s="396">
        <f t="shared" si="2"/>
        <v>342</v>
      </c>
    </row>
    <row r="24" spans="1:21" s="547" customFormat="1" ht="65.25" customHeight="1" thickBot="1">
      <c r="A24" s="403">
        <f t="shared" si="0"/>
        <v>1326082041.1800001</v>
      </c>
      <c r="B24" s="1281">
        <f t="shared" si="1"/>
        <v>529797060</v>
      </c>
      <c r="C24" s="404">
        <f t="shared" si="3"/>
        <v>5667017.2700000005</v>
      </c>
      <c r="D24" s="405">
        <v>2264090</v>
      </c>
      <c r="E24" s="406">
        <v>3.19</v>
      </c>
      <c r="F24" s="407">
        <v>590326109</v>
      </c>
      <c r="G24" s="404">
        <v>234</v>
      </c>
      <c r="H24" s="408" t="s">
        <v>1230</v>
      </c>
      <c r="I24" s="411" t="s">
        <v>1231</v>
      </c>
      <c r="J24" s="412" t="s">
        <v>1250</v>
      </c>
      <c r="U24" s="396">
        <f t="shared" si="2"/>
        <v>351</v>
      </c>
    </row>
    <row r="25" spans="1:21" s="547" customFormat="1" ht="65.25" customHeight="1" thickBot="1">
      <c r="A25" s="403">
        <f t="shared" si="0"/>
        <v>2084356855.3500001</v>
      </c>
      <c r="B25" s="1281">
        <f t="shared" si="1"/>
        <v>832743450</v>
      </c>
      <c r="C25" s="404">
        <f t="shared" si="3"/>
        <v>7018036.5500000007</v>
      </c>
      <c r="D25" s="405">
        <v>2803850</v>
      </c>
      <c r="E25" s="406">
        <v>3.2</v>
      </c>
      <c r="F25" s="407">
        <v>590326110</v>
      </c>
      <c r="G25" s="404">
        <v>297</v>
      </c>
      <c r="H25" s="408" t="s">
        <v>1230</v>
      </c>
      <c r="I25" s="411" t="s">
        <v>1231</v>
      </c>
      <c r="J25" s="412" t="s">
        <v>1251</v>
      </c>
      <c r="U25" s="396">
        <f t="shared" si="2"/>
        <v>445.5</v>
      </c>
    </row>
    <row r="26" spans="1:21" s="547" customFormat="1" ht="65.25" customHeight="1" thickBot="1">
      <c r="A26" s="403">
        <f t="shared" si="0"/>
        <v>281403229.13999999</v>
      </c>
      <c r="B26" s="1281">
        <f t="shared" si="1"/>
        <v>112426380</v>
      </c>
      <c r="C26" s="404">
        <f t="shared" si="3"/>
        <v>8527370.5800000001</v>
      </c>
      <c r="D26" s="405">
        <v>3406860</v>
      </c>
      <c r="E26" s="406">
        <v>3.21</v>
      </c>
      <c r="F26" s="407">
        <v>590326111</v>
      </c>
      <c r="G26" s="404">
        <v>33</v>
      </c>
      <c r="H26" s="408" t="s">
        <v>1230</v>
      </c>
      <c r="I26" s="411" t="s">
        <v>1231</v>
      </c>
      <c r="J26" s="412" t="s">
        <v>1252</v>
      </c>
      <c r="U26" s="396">
        <f t="shared" si="2"/>
        <v>49.5</v>
      </c>
    </row>
    <row r="27" spans="1:21" s="547" customFormat="1" ht="65.25" customHeight="1" thickBot="1">
      <c r="A27" s="403">
        <f t="shared" si="0"/>
        <v>255722148.78</v>
      </c>
      <c r="B27" s="1281">
        <f t="shared" si="1"/>
        <v>102166260</v>
      </c>
      <c r="C27" s="404">
        <f t="shared" si="3"/>
        <v>358154.27</v>
      </c>
      <c r="D27" s="405">
        <v>143090</v>
      </c>
      <c r="E27" s="406">
        <v>3.22</v>
      </c>
      <c r="F27" s="407">
        <v>590303101</v>
      </c>
      <c r="G27" s="404">
        <v>714</v>
      </c>
      <c r="H27" s="408" t="s">
        <v>1230</v>
      </c>
      <c r="I27" s="411" t="s">
        <v>1231</v>
      </c>
      <c r="J27" s="410" t="s">
        <v>1253</v>
      </c>
      <c r="U27" s="396">
        <f t="shared" si="2"/>
        <v>1071</v>
      </c>
    </row>
    <row r="28" spans="1:21" s="547" customFormat="1" ht="65.25" customHeight="1" thickBot="1">
      <c r="A28" s="403">
        <f t="shared" si="0"/>
        <v>298363356.89999998</v>
      </c>
      <c r="B28" s="1281">
        <f t="shared" si="1"/>
        <v>119202300</v>
      </c>
      <c r="C28" s="404">
        <f t="shared" si="3"/>
        <v>536142.6</v>
      </c>
      <c r="D28" s="405">
        <v>214200</v>
      </c>
      <c r="E28" s="406">
        <v>3.23</v>
      </c>
      <c r="F28" s="407">
        <v>590303102</v>
      </c>
      <c r="G28" s="404">
        <v>556.5</v>
      </c>
      <c r="H28" s="408" t="s">
        <v>1230</v>
      </c>
      <c r="I28" s="411" t="s">
        <v>1231</v>
      </c>
      <c r="J28" s="410" t="s">
        <v>1254</v>
      </c>
      <c r="U28" s="396">
        <f t="shared" si="2"/>
        <v>834.75</v>
      </c>
    </row>
    <row r="29" spans="1:21" s="547" customFormat="1" ht="65.25" customHeight="1" thickBot="1">
      <c r="A29" s="403">
        <f t="shared" si="0"/>
        <v>316002936.52500004</v>
      </c>
      <c r="B29" s="1281">
        <f t="shared" si="1"/>
        <v>126249675</v>
      </c>
      <c r="C29" s="404">
        <f t="shared" si="3"/>
        <v>714130.93</v>
      </c>
      <c r="D29" s="405">
        <v>285310</v>
      </c>
      <c r="E29" s="406">
        <v>3.24</v>
      </c>
      <c r="F29" s="407">
        <v>590303103</v>
      </c>
      <c r="G29" s="404">
        <v>442.5</v>
      </c>
      <c r="H29" s="408" t="s">
        <v>1230</v>
      </c>
      <c r="I29" s="411" t="s">
        <v>1231</v>
      </c>
      <c r="J29" s="410" t="s">
        <v>1255</v>
      </c>
      <c r="U29" s="396">
        <f t="shared" si="2"/>
        <v>663.75</v>
      </c>
    </row>
    <row r="30" spans="1:21" s="547" customFormat="1" ht="65.25" customHeight="1" thickBot="1">
      <c r="A30" s="403">
        <f t="shared" si="0"/>
        <v>42715997.759999998</v>
      </c>
      <c r="B30" s="1281">
        <f t="shared" si="1"/>
        <v>17065920</v>
      </c>
      <c r="C30" s="404">
        <f t="shared" si="3"/>
        <v>889916.62</v>
      </c>
      <c r="D30" s="405">
        <v>355540</v>
      </c>
      <c r="E30" s="406">
        <v>3.25</v>
      </c>
      <c r="F30" s="407">
        <v>590303104</v>
      </c>
      <c r="G30" s="404">
        <v>48</v>
      </c>
      <c r="H30" s="408" t="s">
        <v>1230</v>
      </c>
      <c r="I30" s="411" t="s">
        <v>1231</v>
      </c>
      <c r="J30" s="410" t="s">
        <v>1256</v>
      </c>
      <c r="U30" s="396">
        <f t="shared" si="2"/>
        <v>72</v>
      </c>
    </row>
    <row r="31" spans="1:21" s="547" customFormat="1" ht="65.25" customHeight="1" thickBot="1">
      <c r="A31" s="403">
        <f t="shared" si="0"/>
        <v>293737662.72000003</v>
      </c>
      <c r="B31" s="1281">
        <f t="shared" si="1"/>
        <v>117354240</v>
      </c>
      <c r="C31" s="404">
        <f t="shared" si="3"/>
        <v>1070082.5600000001</v>
      </c>
      <c r="D31" s="405">
        <v>427520</v>
      </c>
      <c r="E31" s="406">
        <v>3.26</v>
      </c>
      <c r="F31" s="407">
        <v>590303105</v>
      </c>
      <c r="G31" s="404">
        <v>274.5</v>
      </c>
      <c r="H31" s="408" t="s">
        <v>1230</v>
      </c>
      <c r="I31" s="411" t="s">
        <v>1231</v>
      </c>
      <c r="J31" s="410" t="s">
        <v>1257</v>
      </c>
      <c r="U31" s="396">
        <f t="shared" si="2"/>
        <v>411.75</v>
      </c>
    </row>
    <row r="32" spans="1:21" s="547" customFormat="1" ht="65.25" customHeight="1" thickBot="1">
      <c r="A32" s="403">
        <f t="shared" si="0"/>
        <v>280648537.09500003</v>
      </c>
      <c r="B32" s="1281">
        <f t="shared" si="1"/>
        <v>112124865</v>
      </c>
      <c r="C32" s="404">
        <f t="shared" si="3"/>
        <v>1428236.83</v>
      </c>
      <c r="D32" s="405">
        <v>570610</v>
      </c>
      <c r="E32" s="406">
        <v>3.27</v>
      </c>
      <c r="F32" s="407">
        <v>590303106</v>
      </c>
      <c r="G32" s="404">
        <v>196.5</v>
      </c>
      <c r="H32" s="408" t="s">
        <v>1230</v>
      </c>
      <c r="I32" s="411" t="s">
        <v>1231</v>
      </c>
      <c r="J32" s="410" t="s">
        <v>1258</v>
      </c>
      <c r="U32" s="396">
        <f t="shared" si="2"/>
        <v>294.75</v>
      </c>
    </row>
    <row r="33" spans="1:21" s="547" customFormat="1" ht="65.25" customHeight="1" thickBot="1">
      <c r="A33" s="403">
        <f t="shared" si="0"/>
        <v>675255835.80000007</v>
      </c>
      <c r="B33" s="1281">
        <f t="shared" si="1"/>
        <v>269778600</v>
      </c>
      <c r="C33" s="404">
        <f t="shared" si="3"/>
        <v>1786391.1</v>
      </c>
      <c r="D33" s="405">
        <v>713700</v>
      </c>
      <c r="E33" s="406">
        <v>3.28</v>
      </c>
      <c r="F33" s="407">
        <v>590303107</v>
      </c>
      <c r="G33" s="404">
        <v>378</v>
      </c>
      <c r="H33" s="408" t="s">
        <v>1230</v>
      </c>
      <c r="I33" s="411" t="s">
        <v>1231</v>
      </c>
      <c r="J33" s="410" t="s">
        <v>1259</v>
      </c>
      <c r="U33" s="396">
        <f t="shared" si="2"/>
        <v>567</v>
      </c>
    </row>
    <row r="34" spans="1:21" s="547" customFormat="1" ht="65.25" customHeight="1" thickBot="1">
      <c r="A34" s="403">
        <f t="shared" si="0"/>
        <v>491673400.92000008</v>
      </c>
      <c r="B34" s="1281">
        <f t="shared" si="1"/>
        <v>196433640</v>
      </c>
      <c r="C34" s="404">
        <f t="shared" si="3"/>
        <v>2142367.7600000002</v>
      </c>
      <c r="D34" s="405">
        <v>855920</v>
      </c>
      <c r="E34" s="406">
        <v>3.29</v>
      </c>
      <c r="F34" s="407">
        <v>590303108</v>
      </c>
      <c r="G34" s="404">
        <v>229.5</v>
      </c>
      <c r="H34" s="408" t="s">
        <v>1230</v>
      </c>
      <c r="I34" s="411" t="s">
        <v>1231</v>
      </c>
      <c r="J34" s="410" t="s">
        <v>1260</v>
      </c>
      <c r="U34" s="396">
        <f t="shared" si="2"/>
        <v>344.25</v>
      </c>
    </row>
    <row r="35" spans="1:21" s="547" customFormat="1" ht="65.25" customHeight="1" thickBot="1">
      <c r="A35" s="403">
        <f t="shared" si="0"/>
        <v>14989916.34</v>
      </c>
      <c r="B35" s="1281">
        <f t="shared" si="1"/>
        <v>5988780</v>
      </c>
      <c r="C35" s="404">
        <f t="shared" si="3"/>
        <v>2498319.39</v>
      </c>
      <c r="D35" s="405">
        <v>998130</v>
      </c>
      <c r="E35" s="406">
        <v>3.3</v>
      </c>
      <c r="F35" s="407">
        <v>590303109</v>
      </c>
      <c r="G35" s="404">
        <v>6</v>
      </c>
      <c r="H35" s="408" t="s">
        <v>1230</v>
      </c>
      <c r="I35" s="411" t="s">
        <v>1231</v>
      </c>
      <c r="J35" s="410" t="s">
        <v>1261</v>
      </c>
      <c r="U35" s="396">
        <f t="shared" si="2"/>
        <v>9</v>
      </c>
    </row>
    <row r="36" spans="1:21" s="547" customFormat="1" ht="65.25" customHeight="1" thickBot="1">
      <c r="A36" s="403">
        <f t="shared" si="0"/>
        <v>111317545.95000002</v>
      </c>
      <c r="B36" s="1281">
        <f t="shared" si="1"/>
        <v>44473650</v>
      </c>
      <c r="C36" s="404">
        <f t="shared" si="3"/>
        <v>2854296.0500000003</v>
      </c>
      <c r="D36" s="405">
        <v>1140350</v>
      </c>
      <c r="E36" s="406">
        <v>3.31</v>
      </c>
      <c r="F36" s="407">
        <v>590303110</v>
      </c>
      <c r="G36" s="404">
        <v>39</v>
      </c>
      <c r="H36" s="408" t="s">
        <v>1230</v>
      </c>
      <c r="I36" s="411" t="s">
        <v>1231</v>
      </c>
      <c r="J36" s="410" t="s">
        <v>1262</v>
      </c>
      <c r="U36" s="396">
        <f t="shared" si="2"/>
        <v>58.5</v>
      </c>
    </row>
    <row r="37" spans="1:21" s="547" customFormat="1" ht="65.25" customHeight="1" thickBot="1">
      <c r="A37" s="403">
        <f t="shared" si="0"/>
        <v>19274701.920000002</v>
      </c>
      <c r="B37" s="1281">
        <f t="shared" si="1"/>
        <v>7700640</v>
      </c>
      <c r="C37" s="404">
        <f t="shared" si="3"/>
        <v>3212450.3200000003</v>
      </c>
      <c r="D37" s="405">
        <v>1283440</v>
      </c>
      <c r="E37" s="406">
        <v>3.32</v>
      </c>
      <c r="F37" s="407">
        <v>590303111</v>
      </c>
      <c r="G37" s="404">
        <v>6</v>
      </c>
      <c r="H37" s="408" t="s">
        <v>1230</v>
      </c>
      <c r="I37" s="411" t="s">
        <v>1231</v>
      </c>
      <c r="J37" s="410" t="s">
        <v>1263</v>
      </c>
      <c r="U37" s="396">
        <f t="shared" si="2"/>
        <v>9</v>
      </c>
    </row>
    <row r="38" spans="1:21" s="547" customFormat="1" ht="65.25" customHeight="1" thickBot="1">
      <c r="A38" s="403">
        <f t="shared" si="0"/>
        <v>181988499.45000002</v>
      </c>
      <c r="B38" s="1281">
        <f t="shared" si="1"/>
        <v>72708150</v>
      </c>
      <c r="C38" s="404">
        <f t="shared" si="3"/>
        <v>3568401.95</v>
      </c>
      <c r="D38" s="405">
        <v>1425650</v>
      </c>
      <c r="E38" s="406">
        <v>3.33</v>
      </c>
      <c r="F38" s="407">
        <v>590303112</v>
      </c>
      <c r="G38" s="404">
        <v>51</v>
      </c>
      <c r="H38" s="408" t="s">
        <v>1230</v>
      </c>
      <c r="I38" s="411" t="s">
        <v>1231</v>
      </c>
      <c r="J38" s="410" t="s">
        <v>1264</v>
      </c>
      <c r="U38" s="396">
        <f t="shared" si="2"/>
        <v>76.5</v>
      </c>
    </row>
    <row r="39" spans="1:21" s="547" customFormat="1" ht="65.25" customHeight="1" thickBot="1">
      <c r="A39" s="403">
        <f t="shared" si="0"/>
        <v>6961030.7250000006</v>
      </c>
      <c r="B39" s="1281">
        <f t="shared" si="1"/>
        <v>2781075</v>
      </c>
      <c r="C39" s="404">
        <f t="shared" si="3"/>
        <v>4640687.1500000004</v>
      </c>
      <c r="D39" s="405">
        <v>1854050</v>
      </c>
      <c r="E39" s="406">
        <v>3.34</v>
      </c>
      <c r="F39" s="407">
        <v>590303114</v>
      </c>
      <c r="G39" s="404">
        <v>1.5</v>
      </c>
      <c r="H39" s="408" t="s">
        <v>1230</v>
      </c>
      <c r="I39" s="411" t="s">
        <v>1231</v>
      </c>
      <c r="J39" s="410" t="s">
        <v>1265</v>
      </c>
      <c r="U39" s="396">
        <f t="shared" si="2"/>
        <v>2.25</v>
      </c>
    </row>
    <row r="40" spans="1:21" s="547" customFormat="1" ht="65.25" customHeight="1" thickBot="1">
      <c r="A40" s="403">
        <f t="shared" si="0"/>
        <v>520937438.17500007</v>
      </c>
      <c r="B40" s="1281">
        <f t="shared" si="1"/>
        <v>208125225</v>
      </c>
      <c r="C40" s="404">
        <f t="shared" si="3"/>
        <v>564701.83000000007</v>
      </c>
      <c r="D40" s="405">
        <v>225610</v>
      </c>
      <c r="E40" s="406">
        <v>3.35</v>
      </c>
      <c r="F40" s="407">
        <v>590331101</v>
      </c>
      <c r="G40" s="404">
        <v>922.5</v>
      </c>
      <c r="H40" s="408" t="s">
        <v>1152</v>
      </c>
      <c r="I40" s="411" t="s">
        <v>1231</v>
      </c>
      <c r="J40" s="410" t="s">
        <v>1266</v>
      </c>
      <c r="U40" s="396">
        <f t="shared" si="2"/>
        <v>1383.75</v>
      </c>
    </row>
    <row r="41" spans="1:21" s="547" customFormat="1" ht="65.25" customHeight="1" thickBot="1">
      <c r="A41" s="403">
        <f t="shared" si="0"/>
        <v>185266102.86000001</v>
      </c>
      <c r="B41" s="1281">
        <f t="shared" si="1"/>
        <v>74017620</v>
      </c>
      <c r="C41" s="404">
        <f t="shared" si="3"/>
        <v>845963.94000000006</v>
      </c>
      <c r="D41" s="405">
        <v>337980</v>
      </c>
      <c r="E41" s="406">
        <v>3.36</v>
      </c>
      <c r="F41" s="407">
        <v>590331102</v>
      </c>
      <c r="G41" s="404">
        <v>219</v>
      </c>
      <c r="H41" s="408" t="s">
        <v>1152</v>
      </c>
      <c r="I41" s="411" t="s">
        <v>1231</v>
      </c>
      <c r="J41" s="410" t="s">
        <v>1267</v>
      </c>
      <c r="U41" s="396">
        <f t="shared" si="2"/>
        <v>328.5</v>
      </c>
    </row>
    <row r="42" spans="1:21" s="547" customFormat="1" ht="65.25" customHeight="1" thickBot="1">
      <c r="A42" s="403">
        <f t="shared" si="0"/>
        <v>200816678.68500003</v>
      </c>
      <c r="B42" s="1281">
        <f t="shared" si="1"/>
        <v>80230395</v>
      </c>
      <c r="C42" s="404">
        <f t="shared" si="3"/>
        <v>1125023.4100000001</v>
      </c>
      <c r="D42" s="405">
        <v>449470</v>
      </c>
      <c r="E42" s="406">
        <v>3.37</v>
      </c>
      <c r="F42" s="407">
        <v>590331103</v>
      </c>
      <c r="G42" s="404">
        <v>178.5</v>
      </c>
      <c r="H42" s="408" t="s">
        <v>1152</v>
      </c>
      <c r="I42" s="411" t="s">
        <v>1231</v>
      </c>
      <c r="J42" s="410" t="s">
        <v>1268</v>
      </c>
      <c r="U42" s="396">
        <f t="shared" si="2"/>
        <v>267.75</v>
      </c>
    </row>
    <row r="43" spans="1:21" s="547" customFormat="1" ht="65.25" customHeight="1" thickBot="1">
      <c r="A43" s="403">
        <f t="shared" si="0"/>
        <v>25312688.82</v>
      </c>
      <c r="B43" s="1281">
        <f t="shared" si="1"/>
        <v>10112940</v>
      </c>
      <c r="C43" s="404">
        <f t="shared" si="3"/>
        <v>1406260.49</v>
      </c>
      <c r="D43" s="405">
        <v>561830</v>
      </c>
      <c r="E43" s="406">
        <v>3.38</v>
      </c>
      <c r="F43" s="407">
        <v>590331104</v>
      </c>
      <c r="G43" s="404">
        <v>18</v>
      </c>
      <c r="H43" s="408" t="s">
        <v>1152</v>
      </c>
      <c r="I43" s="411" t="s">
        <v>1231</v>
      </c>
      <c r="J43" s="410" t="s">
        <v>1269</v>
      </c>
      <c r="U43" s="396">
        <f t="shared" si="2"/>
        <v>27</v>
      </c>
    </row>
    <row r="44" spans="1:21" s="547" customFormat="1" ht="65.25" customHeight="1" thickBot="1">
      <c r="A44" s="403">
        <f t="shared" si="0"/>
        <v>129263980.86</v>
      </c>
      <c r="B44" s="1281">
        <f t="shared" si="1"/>
        <v>51643620</v>
      </c>
      <c r="C44" s="404">
        <f t="shared" si="3"/>
        <v>1689725.24</v>
      </c>
      <c r="D44" s="405">
        <v>675080</v>
      </c>
      <c r="E44" s="406">
        <v>3.39</v>
      </c>
      <c r="F44" s="407">
        <v>590331105</v>
      </c>
      <c r="G44" s="404">
        <v>76.5</v>
      </c>
      <c r="H44" s="408" t="s">
        <v>1270</v>
      </c>
      <c r="I44" s="411" t="s">
        <v>1231</v>
      </c>
      <c r="J44" s="410" t="s">
        <v>1271</v>
      </c>
      <c r="U44" s="396">
        <f t="shared" si="2"/>
        <v>114.75</v>
      </c>
    </row>
    <row r="45" spans="1:21" s="547" customFormat="1" ht="65.25" customHeight="1" thickBot="1">
      <c r="A45" s="403">
        <f t="shared" si="0"/>
        <v>207542602.62</v>
      </c>
      <c r="B45" s="1281">
        <f t="shared" si="1"/>
        <v>82917540</v>
      </c>
      <c r="C45" s="404">
        <f t="shared" si="3"/>
        <v>3843381.5300000003</v>
      </c>
      <c r="D45" s="405">
        <v>1535510</v>
      </c>
      <c r="E45" s="406">
        <v>3.4</v>
      </c>
      <c r="F45" s="407">
        <v>590331106</v>
      </c>
      <c r="G45" s="404">
        <v>54</v>
      </c>
      <c r="H45" s="408" t="s">
        <v>1152</v>
      </c>
      <c r="I45" s="411" t="s">
        <v>1231</v>
      </c>
      <c r="J45" s="410" t="s">
        <v>1272</v>
      </c>
      <c r="U45" s="396">
        <f t="shared" si="2"/>
        <v>81</v>
      </c>
    </row>
    <row r="46" spans="1:21" s="547" customFormat="1" ht="65.25" customHeight="1" thickBot="1">
      <c r="A46" s="403">
        <f t="shared" si="0"/>
        <v>670413995.05499995</v>
      </c>
      <c r="B46" s="1281">
        <f t="shared" si="1"/>
        <v>267844185</v>
      </c>
      <c r="C46" s="404">
        <f t="shared" si="3"/>
        <v>4805835.09</v>
      </c>
      <c r="D46" s="405">
        <v>1920030</v>
      </c>
      <c r="E46" s="406">
        <v>3.41</v>
      </c>
      <c r="F46" s="407">
        <v>590331107</v>
      </c>
      <c r="G46" s="404">
        <v>139.5</v>
      </c>
      <c r="H46" s="408" t="s">
        <v>1152</v>
      </c>
      <c r="I46" s="411" t="s">
        <v>1231</v>
      </c>
      <c r="J46" s="410" t="s">
        <v>1273</v>
      </c>
      <c r="U46" s="396">
        <f t="shared" si="2"/>
        <v>209.25</v>
      </c>
    </row>
    <row r="47" spans="1:21" s="547" customFormat="1" ht="65.25" customHeight="1" thickBot="1">
      <c r="A47" s="403">
        <f t="shared" si="0"/>
        <v>449926514.70000005</v>
      </c>
      <c r="B47" s="1281">
        <f t="shared" si="1"/>
        <v>179754900</v>
      </c>
      <c r="C47" s="404">
        <f t="shared" si="3"/>
        <v>5768288.6500000004</v>
      </c>
      <c r="D47" s="405">
        <v>2304550</v>
      </c>
      <c r="E47" s="406">
        <v>3.42</v>
      </c>
      <c r="F47" s="407">
        <v>590331108</v>
      </c>
      <c r="G47" s="404">
        <v>78</v>
      </c>
      <c r="H47" s="408" t="s">
        <v>1152</v>
      </c>
      <c r="I47" s="411" t="s">
        <v>1231</v>
      </c>
      <c r="J47" s="410" t="s">
        <v>1274</v>
      </c>
      <c r="U47" s="396">
        <f t="shared" si="2"/>
        <v>117</v>
      </c>
    </row>
    <row r="48" spans="1:21" s="547" customFormat="1" ht="65.25" customHeight="1" thickBot="1">
      <c r="A48" s="403">
        <f t="shared" si="0"/>
        <v>10096113.314999999</v>
      </c>
      <c r="B48" s="1281">
        <f t="shared" si="1"/>
        <v>4033605</v>
      </c>
      <c r="C48" s="404">
        <f t="shared" si="3"/>
        <v>6730742.21</v>
      </c>
      <c r="D48" s="405">
        <v>2689070</v>
      </c>
      <c r="E48" s="406">
        <v>3.43</v>
      </c>
      <c r="F48" s="407">
        <v>590331109</v>
      </c>
      <c r="G48" s="404">
        <v>1.5</v>
      </c>
      <c r="H48" s="408" t="s">
        <v>1152</v>
      </c>
      <c r="I48" s="411" t="s">
        <v>1231</v>
      </c>
      <c r="J48" s="410" t="s">
        <v>1275</v>
      </c>
      <c r="U48" s="396">
        <f t="shared" si="2"/>
        <v>2.25</v>
      </c>
    </row>
    <row r="49" spans="1:21" s="547" customFormat="1" ht="65.25" customHeight="1" thickBot="1">
      <c r="A49" s="403">
        <f t="shared" si="0"/>
        <v>103858142.89500001</v>
      </c>
      <c r="B49" s="1281">
        <f t="shared" si="1"/>
        <v>41493465</v>
      </c>
      <c r="C49" s="404">
        <f t="shared" si="3"/>
        <v>7693195.7700000005</v>
      </c>
      <c r="D49" s="405">
        <v>3073590</v>
      </c>
      <c r="E49" s="406">
        <v>3.44</v>
      </c>
      <c r="F49" s="407">
        <v>590331110</v>
      </c>
      <c r="G49" s="404">
        <v>13.5</v>
      </c>
      <c r="H49" s="408" t="s">
        <v>1152</v>
      </c>
      <c r="I49" s="411" t="s">
        <v>1231</v>
      </c>
      <c r="J49" s="410" t="s">
        <v>1276</v>
      </c>
      <c r="U49" s="396">
        <f t="shared" si="2"/>
        <v>20.25</v>
      </c>
    </row>
    <row r="50" spans="1:21" s="547" customFormat="1" ht="65.25" customHeight="1" thickBot="1">
      <c r="A50" s="403">
        <f t="shared" si="0"/>
        <v>12983473.995000001</v>
      </c>
      <c r="B50" s="1281">
        <f t="shared" si="1"/>
        <v>5187165</v>
      </c>
      <c r="C50" s="404">
        <f t="shared" si="3"/>
        <v>8655649.3300000001</v>
      </c>
      <c r="D50" s="405">
        <v>3458110</v>
      </c>
      <c r="E50" s="406">
        <v>3.45</v>
      </c>
      <c r="F50" s="407">
        <v>590331111</v>
      </c>
      <c r="G50" s="404">
        <v>1.5</v>
      </c>
      <c r="H50" s="408" t="s">
        <v>1152</v>
      </c>
      <c r="I50" s="411" t="s">
        <v>1231</v>
      </c>
      <c r="J50" s="410" t="s">
        <v>1277</v>
      </c>
      <c r="U50" s="396">
        <f t="shared" si="2"/>
        <v>2.25</v>
      </c>
    </row>
    <row r="51" spans="1:21" s="547" customFormat="1" ht="65.25" customHeight="1" thickBot="1">
      <c r="A51" s="403">
        <f>C51*G51</f>
        <v>187553006.35500002</v>
      </c>
      <c r="B51" s="1281">
        <f t="shared" si="1"/>
        <v>74931285</v>
      </c>
      <c r="C51" s="404">
        <f t="shared" si="3"/>
        <v>9618102.8900000006</v>
      </c>
      <c r="D51" s="405">
        <v>3842630</v>
      </c>
      <c r="E51" s="406">
        <v>3.46</v>
      </c>
      <c r="F51" s="407">
        <v>590331112</v>
      </c>
      <c r="G51" s="404">
        <v>19.5</v>
      </c>
      <c r="H51" s="408" t="s">
        <v>1152</v>
      </c>
      <c r="I51" s="411" t="s">
        <v>1231</v>
      </c>
      <c r="J51" s="410" t="s">
        <v>1278</v>
      </c>
      <c r="U51" s="396">
        <f t="shared" si="2"/>
        <v>29.25</v>
      </c>
    </row>
    <row r="52" spans="1:21" s="547" customFormat="1" ht="65.25" customHeight="1" thickBot="1">
      <c r="A52" s="403">
        <f t="shared" si="0"/>
        <v>59568146.100000001</v>
      </c>
      <c r="B52" s="1281">
        <f t="shared" si="1"/>
        <v>23798700</v>
      </c>
      <c r="C52" s="404">
        <f t="shared" si="3"/>
        <v>661868.29</v>
      </c>
      <c r="D52" s="405">
        <v>264430</v>
      </c>
      <c r="E52" s="406">
        <v>4.01</v>
      </c>
      <c r="F52" s="407">
        <v>590404101</v>
      </c>
      <c r="G52" s="404">
        <v>90</v>
      </c>
      <c r="H52" s="408" t="s">
        <v>1230</v>
      </c>
      <c r="I52" s="411" t="s">
        <v>1280</v>
      </c>
      <c r="J52" s="410" t="s">
        <v>1281</v>
      </c>
      <c r="U52" s="396">
        <f t="shared" si="2"/>
        <v>135</v>
      </c>
    </row>
    <row r="53" spans="1:21" s="547" customFormat="1" ht="65.25" customHeight="1" thickBot="1">
      <c r="A53" s="403">
        <f t="shared" si="0"/>
        <v>560745913.59000003</v>
      </c>
      <c r="B53" s="1281">
        <f t="shared" si="1"/>
        <v>224029530</v>
      </c>
      <c r="C53" s="404">
        <f t="shared" si="3"/>
        <v>843861.42</v>
      </c>
      <c r="D53" s="405">
        <v>337140</v>
      </c>
      <c r="E53" s="406">
        <v>4.0199999999999996</v>
      </c>
      <c r="F53" s="407">
        <v>590404104</v>
      </c>
      <c r="G53" s="404">
        <v>664.5</v>
      </c>
      <c r="H53" s="408" t="s">
        <v>1230</v>
      </c>
      <c r="I53" s="411" t="s">
        <v>1280</v>
      </c>
      <c r="J53" s="410" t="s">
        <v>1282</v>
      </c>
      <c r="U53" s="396">
        <f t="shared" si="2"/>
        <v>996.75</v>
      </c>
    </row>
    <row r="54" spans="1:21" s="547" customFormat="1" ht="65.25" customHeight="1" thickBot="1">
      <c r="A54" s="403">
        <f t="shared" si="0"/>
        <v>552487590.48000002</v>
      </c>
      <c r="B54" s="1281">
        <f t="shared" si="1"/>
        <v>220730160</v>
      </c>
      <c r="C54" s="404">
        <f t="shared" si="3"/>
        <v>868691.18</v>
      </c>
      <c r="D54" s="405">
        <v>347060</v>
      </c>
      <c r="E54" s="406">
        <v>4.03</v>
      </c>
      <c r="F54" s="407">
        <v>590404106</v>
      </c>
      <c r="G54" s="404">
        <v>636</v>
      </c>
      <c r="H54" s="408" t="s">
        <v>1230</v>
      </c>
      <c r="I54" s="411" t="s">
        <v>1280</v>
      </c>
      <c r="J54" s="410" t="s">
        <v>1283</v>
      </c>
      <c r="U54" s="396">
        <f t="shared" si="2"/>
        <v>954</v>
      </c>
    </row>
    <row r="55" spans="1:21" s="547" customFormat="1" ht="65.25" customHeight="1" thickBot="1">
      <c r="A55" s="403">
        <f t="shared" si="0"/>
        <v>778555496.81999993</v>
      </c>
      <c r="B55" s="1281">
        <f t="shared" si="1"/>
        <v>311048940</v>
      </c>
      <c r="C55" s="404">
        <f t="shared" si="3"/>
        <v>1085851.46</v>
      </c>
      <c r="D55" s="405">
        <v>433820</v>
      </c>
      <c r="E55" s="406">
        <v>4.04</v>
      </c>
      <c r="F55" s="407">
        <v>590404107</v>
      </c>
      <c r="G55" s="404">
        <v>717</v>
      </c>
      <c r="H55" s="408" t="s">
        <v>1230</v>
      </c>
      <c r="I55" s="411" t="s">
        <v>1280</v>
      </c>
      <c r="J55" s="410" t="s">
        <v>1284</v>
      </c>
      <c r="U55" s="396">
        <f t="shared" si="2"/>
        <v>1075.5</v>
      </c>
    </row>
    <row r="56" spans="1:21" s="547" customFormat="1" ht="65.25" customHeight="1" thickBot="1">
      <c r="A56" s="403">
        <f t="shared" si="0"/>
        <v>129336517.80000001</v>
      </c>
      <c r="B56" s="1281">
        <f t="shared" si="1"/>
        <v>51672600</v>
      </c>
      <c r="C56" s="404">
        <f t="shared" si="3"/>
        <v>1197560.3500000001</v>
      </c>
      <c r="D56" s="405">
        <v>478450</v>
      </c>
      <c r="E56" s="406">
        <v>4.05</v>
      </c>
      <c r="F56" s="407">
        <v>590404108</v>
      </c>
      <c r="G56" s="404">
        <v>108</v>
      </c>
      <c r="H56" s="408" t="s">
        <v>1230</v>
      </c>
      <c r="I56" s="411" t="s">
        <v>1280</v>
      </c>
      <c r="J56" s="410" t="s">
        <v>1285</v>
      </c>
      <c r="U56" s="396">
        <f t="shared" si="2"/>
        <v>162</v>
      </c>
    </row>
    <row r="57" spans="1:21" s="547" customFormat="1" ht="65.25" customHeight="1" thickBot="1">
      <c r="A57" s="403">
        <f t="shared" si="0"/>
        <v>260197174.87500003</v>
      </c>
      <c r="B57" s="1281">
        <f t="shared" si="1"/>
        <v>103954125</v>
      </c>
      <c r="C57" s="404">
        <f t="shared" si="3"/>
        <v>1196308.8500000001</v>
      </c>
      <c r="D57" s="405">
        <v>477950</v>
      </c>
      <c r="E57" s="406">
        <v>4.0599999999999996</v>
      </c>
      <c r="F57" s="407">
        <v>590404109</v>
      </c>
      <c r="G57" s="404">
        <v>217.5</v>
      </c>
      <c r="H57" s="408" t="s">
        <v>1230</v>
      </c>
      <c r="I57" s="411" t="s">
        <v>1280</v>
      </c>
      <c r="J57" s="410" t="s">
        <v>1286</v>
      </c>
      <c r="U57" s="396">
        <f t="shared" si="2"/>
        <v>326.25</v>
      </c>
    </row>
    <row r="58" spans="1:21" s="547" customFormat="1" ht="65.25" customHeight="1" thickBot="1">
      <c r="A58" s="403">
        <f t="shared" si="0"/>
        <v>82873453.950000003</v>
      </c>
      <c r="B58" s="1281">
        <f t="shared" si="1"/>
        <v>33109650</v>
      </c>
      <c r="C58" s="404">
        <f t="shared" si="3"/>
        <v>1315451.6500000001</v>
      </c>
      <c r="D58" s="405">
        <v>525550</v>
      </c>
      <c r="E58" s="406">
        <v>4.07</v>
      </c>
      <c r="F58" s="407">
        <v>590404110</v>
      </c>
      <c r="G58" s="404">
        <v>63</v>
      </c>
      <c r="H58" s="408" t="s">
        <v>1230</v>
      </c>
      <c r="I58" s="411" t="s">
        <v>1280</v>
      </c>
      <c r="J58" s="410" t="s">
        <v>1287</v>
      </c>
      <c r="U58" s="396">
        <f t="shared" si="2"/>
        <v>94.5</v>
      </c>
    </row>
    <row r="59" spans="1:21" s="547" customFormat="1" ht="65.25" customHeight="1" thickBot="1">
      <c r="A59" s="403">
        <f t="shared" si="0"/>
        <v>1618154508.0600002</v>
      </c>
      <c r="B59" s="1281">
        <f t="shared" si="1"/>
        <v>646486020</v>
      </c>
      <c r="C59" s="404">
        <f t="shared" si="3"/>
        <v>1494140.82</v>
      </c>
      <c r="D59" s="405">
        <v>596940</v>
      </c>
      <c r="E59" s="406">
        <v>4.08</v>
      </c>
      <c r="F59" s="407">
        <v>590404111</v>
      </c>
      <c r="G59" s="404">
        <v>1083</v>
      </c>
      <c r="H59" s="408" t="s">
        <v>1230</v>
      </c>
      <c r="I59" s="411" t="s">
        <v>1280</v>
      </c>
      <c r="J59" s="410" t="s">
        <v>1288</v>
      </c>
      <c r="U59" s="396">
        <f t="shared" si="2"/>
        <v>1624.5</v>
      </c>
    </row>
    <row r="60" spans="1:21" s="547" customFormat="1" ht="65.25" customHeight="1" thickBot="1">
      <c r="A60" s="403">
        <f t="shared" si="0"/>
        <v>217793288.70000002</v>
      </c>
      <c r="B60" s="1281">
        <f t="shared" si="1"/>
        <v>87012900</v>
      </c>
      <c r="C60" s="404">
        <f t="shared" si="3"/>
        <v>1613283.62</v>
      </c>
      <c r="D60" s="405">
        <v>644540</v>
      </c>
      <c r="E60" s="406">
        <v>4.09</v>
      </c>
      <c r="F60" s="407">
        <v>590404112</v>
      </c>
      <c r="G60" s="404">
        <v>135</v>
      </c>
      <c r="H60" s="408" t="s">
        <v>1230</v>
      </c>
      <c r="I60" s="411" t="s">
        <v>1280</v>
      </c>
      <c r="J60" s="410" t="s">
        <v>1289</v>
      </c>
      <c r="U60" s="396">
        <f t="shared" si="2"/>
        <v>202.5</v>
      </c>
    </row>
    <row r="61" spans="1:21" s="547" customFormat="1" ht="65.25" customHeight="1" thickBot="1">
      <c r="A61" s="403">
        <f t="shared" si="0"/>
        <v>19323683127</v>
      </c>
      <c r="B61" s="1281">
        <f t="shared" si="1"/>
        <v>7720209000</v>
      </c>
      <c r="C61" s="404">
        <f t="shared" si="3"/>
        <v>1484153.85</v>
      </c>
      <c r="D61" s="405">
        <v>592950</v>
      </c>
      <c r="E61" s="406">
        <v>5.01</v>
      </c>
      <c r="F61" s="407">
        <v>590501101</v>
      </c>
      <c r="G61" s="404">
        <v>13020</v>
      </c>
      <c r="H61" s="408" t="s">
        <v>1290</v>
      </c>
      <c r="I61" s="411" t="s">
        <v>1291</v>
      </c>
      <c r="J61" s="410" t="s">
        <v>1292</v>
      </c>
      <c r="U61" s="396">
        <f t="shared" si="2"/>
        <v>19530</v>
      </c>
    </row>
    <row r="62" spans="1:21" s="547" customFormat="1" ht="65.25" customHeight="1" thickBot="1">
      <c r="A62" s="403">
        <f t="shared" si="0"/>
        <v>49956835000.380005</v>
      </c>
      <c r="B62" s="1281">
        <f t="shared" si="1"/>
        <v>19958783460</v>
      </c>
      <c r="C62" s="404">
        <f t="shared" si="3"/>
        <v>196335.32</v>
      </c>
      <c r="D62" s="405">
        <v>78440</v>
      </c>
      <c r="E62" s="406">
        <v>5.0199999999999996</v>
      </c>
      <c r="F62" s="407">
        <v>590541101</v>
      </c>
      <c r="G62" s="404">
        <v>254446.5</v>
      </c>
      <c r="H62" s="408" t="s">
        <v>1293</v>
      </c>
      <c r="I62" s="411" t="s">
        <v>1291</v>
      </c>
      <c r="J62" s="410" t="s">
        <v>1294</v>
      </c>
      <c r="U62" s="396">
        <f t="shared" si="2"/>
        <v>381669.75</v>
      </c>
    </row>
    <row r="63" spans="1:21" s="547" customFormat="1" ht="65.25" customHeight="1" thickBot="1">
      <c r="A63" s="403">
        <f t="shared" si="0"/>
        <v>18730628727.195004</v>
      </c>
      <c r="B63" s="1281">
        <f t="shared" si="1"/>
        <v>7483271565</v>
      </c>
      <c r="C63" s="404">
        <f t="shared" si="3"/>
        <v>73613.23000000001</v>
      </c>
      <c r="D63" s="405">
        <v>29410</v>
      </c>
      <c r="E63" s="406">
        <v>6.01</v>
      </c>
      <c r="F63" s="407">
        <v>590641101</v>
      </c>
      <c r="G63" s="404">
        <v>254446.5</v>
      </c>
      <c r="H63" s="408" t="s">
        <v>1295</v>
      </c>
      <c r="I63" s="409" t="s">
        <v>1296</v>
      </c>
      <c r="J63" s="410" t="s">
        <v>1297</v>
      </c>
      <c r="U63" s="396">
        <f t="shared" si="2"/>
        <v>381669.75</v>
      </c>
    </row>
    <row r="64" spans="1:21" s="547" customFormat="1" ht="65.25" customHeight="1" thickBot="1">
      <c r="A64" s="403">
        <f t="shared" si="0"/>
        <v>2907514836</v>
      </c>
      <c r="B64" s="1281">
        <f t="shared" si="1"/>
        <v>1161612000</v>
      </c>
      <c r="C64" s="404">
        <f t="shared" si="3"/>
        <v>157588.88</v>
      </c>
      <c r="D64" s="405">
        <v>62960</v>
      </c>
      <c r="E64" s="406">
        <v>15.01</v>
      </c>
      <c r="F64" s="407">
        <v>591501101</v>
      </c>
      <c r="G64" s="404">
        <v>18450</v>
      </c>
      <c r="H64" s="408" t="s">
        <v>1298</v>
      </c>
      <c r="I64" s="411" t="s">
        <v>1299</v>
      </c>
      <c r="J64" s="410" t="s">
        <v>1300</v>
      </c>
      <c r="U64" s="396">
        <f t="shared" si="2"/>
        <v>27675</v>
      </c>
    </row>
    <row r="65" spans="1:21" s="547" customFormat="1" ht="65.25" customHeight="1" thickBot="1">
      <c r="A65" s="403">
        <f t="shared" si="0"/>
        <v>3324140437.5</v>
      </c>
      <c r="B65" s="1281">
        <f t="shared" si="1"/>
        <v>1328062500</v>
      </c>
      <c r="C65" s="404">
        <f t="shared" si="3"/>
        <v>118191.66</v>
      </c>
      <c r="D65" s="405">
        <v>47220</v>
      </c>
      <c r="E65" s="406">
        <v>15.02</v>
      </c>
      <c r="F65" s="407">
        <v>591501102</v>
      </c>
      <c r="G65" s="404">
        <v>28125</v>
      </c>
      <c r="H65" s="408" t="s">
        <v>1298</v>
      </c>
      <c r="I65" s="411" t="s">
        <v>1299</v>
      </c>
      <c r="J65" s="410" t="s">
        <v>1301</v>
      </c>
      <c r="U65" s="396">
        <f t="shared" si="2"/>
        <v>42187.5</v>
      </c>
    </row>
    <row r="66" spans="1:21" s="547" customFormat="1" ht="65.25" customHeight="1" thickBot="1">
      <c r="A66" s="403">
        <f t="shared" si="0"/>
        <v>3192909399</v>
      </c>
      <c r="B66" s="1281">
        <f t="shared" si="1"/>
        <v>1275633000</v>
      </c>
      <c r="C66" s="404">
        <f t="shared" si="3"/>
        <v>173057.42</v>
      </c>
      <c r="D66" s="405">
        <v>69140</v>
      </c>
      <c r="E66" s="406">
        <v>15.03</v>
      </c>
      <c r="F66" s="407">
        <v>591511101</v>
      </c>
      <c r="G66" s="404">
        <v>18450</v>
      </c>
      <c r="H66" s="408" t="s">
        <v>1298</v>
      </c>
      <c r="I66" s="411" t="s">
        <v>1299</v>
      </c>
      <c r="J66" s="410" t="s">
        <v>1302</v>
      </c>
      <c r="U66" s="396">
        <f t="shared" si="2"/>
        <v>27675</v>
      </c>
    </row>
    <row r="67" spans="1:21" s="547" customFormat="1" ht="65.25" customHeight="1" thickBot="1">
      <c r="A67" s="403">
        <f t="shared" si="0"/>
        <v>3607839843.75</v>
      </c>
      <c r="B67" s="1281">
        <f t="shared" si="1"/>
        <v>1441406250</v>
      </c>
      <c r="C67" s="404">
        <f t="shared" si="3"/>
        <v>128278.75</v>
      </c>
      <c r="D67" s="405">
        <v>51250</v>
      </c>
      <c r="E67" s="406">
        <v>15.04</v>
      </c>
      <c r="F67" s="407">
        <v>591511102</v>
      </c>
      <c r="G67" s="404">
        <v>28125</v>
      </c>
      <c r="H67" s="408" t="s">
        <v>1298</v>
      </c>
      <c r="I67" s="411" t="s">
        <v>1299</v>
      </c>
      <c r="J67" s="410" t="s">
        <v>1303</v>
      </c>
      <c r="U67" s="396">
        <f t="shared" si="2"/>
        <v>42187.5</v>
      </c>
    </row>
    <row r="68" spans="1:21" s="547" customFormat="1" ht="65.25" customHeight="1" thickBot="1">
      <c r="A68" s="403">
        <f>C68*G68</f>
        <v>1300389096.6000001</v>
      </c>
      <c r="B68" s="1281">
        <f t="shared" ref="B68:B86" si="4">ROUND(G68*D68,0)</f>
        <v>519532200</v>
      </c>
      <c r="C68" s="404">
        <f>D68*$K$4</f>
        <v>1520922.9200000002</v>
      </c>
      <c r="D68" s="405">
        <v>607640</v>
      </c>
      <c r="E68" s="406">
        <v>15.05</v>
      </c>
      <c r="F68" s="407">
        <v>591531101</v>
      </c>
      <c r="G68" s="404">
        <v>855</v>
      </c>
      <c r="H68" s="408" t="s">
        <v>1152</v>
      </c>
      <c r="I68" s="411" t="s">
        <v>1299</v>
      </c>
      <c r="J68" s="410" t="s">
        <v>1304</v>
      </c>
      <c r="U68" s="396">
        <f t="shared" ref="U68:U86" si="5">G68*1.5</f>
        <v>1282.5</v>
      </c>
    </row>
    <row r="69" spans="1:21" s="547" customFormat="1" ht="65.25" customHeight="1" thickBot="1">
      <c r="A69" s="403">
        <f t="shared" ref="A69:A74" si="6">C69*G69</f>
        <v>2810012348.2500005</v>
      </c>
      <c r="B69" s="1281">
        <f t="shared" si="4"/>
        <v>1122657750</v>
      </c>
      <c r="C69" s="404">
        <f t="shared" ref="C69:C86" si="7">D69*$K$4</f>
        <v>3286564.1500000004</v>
      </c>
      <c r="D69" s="405">
        <v>1313050</v>
      </c>
      <c r="E69" s="406">
        <v>15.06</v>
      </c>
      <c r="F69" s="407">
        <v>591531102</v>
      </c>
      <c r="G69" s="404">
        <v>855</v>
      </c>
      <c r="H69" s="408" t="s">
        <v>1152</v>
      </c>
      <c r="I69" s="411" t="s">
        <v>1299</v>
      </c>
      <c r="J69" s="410" t="s">
        <v>1305</v>
      </c>
      <c r="U69" s="396">
        <f t="shared" si="5"/>
        <v>1282.5</v>
      </c>
    </row>
    <row r="70" spans="1:21" s="547" customFormat="1" ht="65.25" customHeight="1" thickBot="1">
      <c r="A70" s="403">
        <f t="shared" si="6"/>
        <v>49796529339.150009</v>
      </c>
      <c r="B70" s="1281">
        <f t="shared" si="4"/>
        <v>19894738050</v>
      </c>
      <c r="C70" s="404">
        <f t="shared" si="7"/>
        <v>1156310.9100000001</v>
      </c>
      <c r="D70" s="405">
        <v>461970</v>
      </c>
      <c r="E70" s="406">
        <v>17.010000000000002</v>
      </c>
      <c r="F70" s="407">
        <v>591701101</v>
      </c>
      <c r="G70" s="1560">
        <f>14355*3</f>
        <v>43065</v>
      </c>
      <c r="H70" s="408" t="s">
        <v>1154</v>
      </c>
      <c r="I70" s="409" t="s">
        <v>1306</v>
      </c>
      <c r="J70" s="412" t="s">
        <v>1307</v>
      </c>
      <c r="U70" s="396">
        <f t="shared" si="5"/>
        <v>64597.5</v>
      </c>
    </row>
    <row r="71" spans="1:21" s="547" customFormat="1" ht="65.25" customHeight="1" thickBot="1">
      <c r="A71" s="403">
        <f t="shared" si="6"/>
        <v>12114425887.200001</v>
      </c>
      <c r="B71" s="1281">
        <f t="shared" si="4"/>
        <v>4839962400</v>
      </c>
      <c r="C71" s="404">
        <f t="shared" si="7"/>
        <v>349018.32</v>
      </c>
      <c r="D71" s="405">
        <v>139440</v>
      </c>
      <c r="E71" s="406">
        <v>17.02</v>
      </c>
      <c r="F71" s="407">
        <v>591702101</v>
      </c>
      <c r="G71" s="1560">
        <f>17355*2</f>
        <v>34710</v>
      </c>
      <c r="H71" s="408" t="s">
        <v>1154</v>
      </c>
      <c r="I71" s="409" t="s">
        <v>1306</v>
      </c>
      <c r="J71" s="410" t="s">
        <v>1308</v>
      </c>
      <c r="U71" s="396">
        <f t="shared" si="5"/>
        <v>52065</v>
      </c>
    </row>
    <row r="72" spans="1:21" s="547" customFormat="1" ht="65.25" customHeight="1" thickBot="1">
      <c r="A72" s="403">
        <f t="shared" si="6"/>
        <v>2869390141.2000003</v>
      </c>
      <c r="B72" s="1281">
        <f t="shared" si="4"/>
        <v>1146380400</v>
      </c>
      <c r="C72" s="404">
        <f t="shared" si="7"/>
        <v>724593.47000000009</v>
      </c>
      <c r="D72" s="405">
        <v>289490</v>
      </c>
      <c r="E72" s="406">
        <v>17.03</v>
      </c>
      <c r="F72" s="407">
        <v>591703101</v>
      </c>
      <c r="G72" s="1560">
        <f>1980*2</f>
        <v>3960</v>
      </c>
      <c r="H72" s="408" t="s">
        <v>1154</v>
      </c>
      <c r="I72" s="409" t="s">
        <v>1306</v>
      </c>
      <c r="J72" s="410" t="s">
        <v>1309</v>
      </c>
      <c r="U72" s="396">
        <f t="shared" si="5"/>
        <v>5940</v>
      </c>
    </row>
    <row r="73" spans="1:21" s="547" customFormat="1" ht="65.25" customHeight="1" thickBot="1">
      <c r="A73" s="403">
        <f t="shared" si="6"/>
        <v>29598309400.799999</v>
      </c>
      <c r="B73" s="1281">
        <f t="shared" si="4"/>
        <v>11825133600</v>
      </c>
      <c r="C73" s="404">
        <f t="shared" si="7"/>
        <v>623647.48</v>
      </c>
      <c r="D73" s="405">
        <v>249160</v>
      </c>
      <c r="E73" s="406">
        <v>17.04</v>
      </c>
      <c r="F73" s="407">
        <v>591704101</v>
      </c>
      <c r="G73" s="1560">
        <f>23730*2</f>
        <v>47460</v>
      </c>
      <c r="H73" s="408" t="s">
        <v>1154</v>
      </c>
      <c r="I73" s="409" t="s">
        <v>1306</v>
      </c>
      <c r="J73" s="410" t="s">
        <v>1310</v>
      </c>
      <c r="U73" s="396">
        <f t="shared" si="5"/>
        <v>71190</v>
      </c>
    </row>
    <row r="74" spans="1:21" s="547" customFormat="1" ht="65.25" customHeight="1" thickBot="1">
      <c r="A74" s="403">
        <f t="shared" si="6"/>
        <v>33593742423.900002</v>
      </c>
      <c r="B74" s="1281">
        <f t="shared" si="4"/>
        <v>13421391300</v>
      </c>
      <c r="C74" s="404">
        <f t="shared" si="7"/>
        <v>871094.06</v>
      </c>
      <c r="D74" s="405">
        <v>348020</v>
      </c>
      <c r="E74" s="406">
        <v>17.05</v>
      </c>
      <c r="F74" s="407">
        <v>591731103</v>
      </c>
      <c r="G74" s="1560">
        <f>12855*3</f>
        <v>38565</v>
      </c>
      <c r="H74" s="408" t="s">
        <v>1154</v>
      </c>
      <c r="I74" s="409" t="s">
        <v>1306</v>
      </c>
      <c r="J74" s="410" t="s">
        <v>1311</v>
      </c>
      <c r="U74" s="396">
        <f t="shared" si="5"/>
        <v>57847.5</v>
      </c>
    </row>
    <row r="75" spans="1:21" s="547" customFormat="1" ht="65.25" customHeight="1" thickBot="1">
      <c r="A75" s="403">
        <f>C75*G75</f>
        <v>93136194227.699997</v>
      </c>
      <c r="B75" s="1281">
        <f t="shared" si="4"/>
        <v>37209825900</v>
      </c>
      <c r="C75" s="404">
        <f t="shared" si="7"/>
        <v>1207522.29</v>
      </c>
      <c r="D75" s="405">
        <v>482430</v>
      </c>
      <c r="E75" s="406">
        <v>17.059999999999999</v>
      </c>
      <c r="F75" s="407">
        <v>591731112</v>
      </c>
      <c r="G75" s="1560">
        <f>25710*3</f>
        <v>77130</v>
      </c>
      <c r="H75" s="408" t="s">
        <v>1154</v>
      </c>
      <c r="I75" s="409" t="s">
        <v>1306</v>
      </c>
      <c r="J75" s="410" t="s">
        <v>1311</v>
      </c>
      <c r="U75" s="396">
        <f t="shared" si="5"/>
        <v>115695</v>
      </c>
    </row>
    <row r="76" spans="1:21" s="547" customFormat="1" ht="65.25" customHeight="1" thickBot="1">
      <c r="A76" s="403">
        <f t="shared" ref="A76:A86" si="8">C76*G76</f>
        <v>75415800.491999999</v>
      </c>
      <c r="B76" s="1281">
        <f t="shared" si="4"/>
        <v>30130164</v>
      </c>
      <c r="C76" s="404">
        <f t="shared" si="7"/>
        <v>1107427.32</v>
      </c>
      <c r="D76" s="405">
        <v>442440</v>
      </c>
      <c r="E76" s="406">
        <v>18.010000000000002</v>
      </c>
      <c r="F76" s="407">
        <v>591801102</v>
      </c>
      <c r="G76" s="413">
        <v>68.099999999999994</v>
      </c>
      <c r="H76" s="408" t="s">
        <v>1279</v>
      </c>
      <c r="I76" s="409" t="s">
        <v>1312</v>
      </c>
      <c r="J76" s="410" t="s">
        <v>1313</v>
      </c>
      <c r="U76" s="396">
        <f t="shared" si="5"/>
        <v>102.14999999999999</v>
      </c>
    </row>
    <row r="77" spans="1:21" s="547" customFormat="1" ht="65.25" customHeight="1" thickBot="1">
      <c r="A77" s="403">
        <f t="shared" si="8"/>
        <v>990456593.36399996</v>
      </c>
      <c r="B77" s="1281">
        <f t="shared" si="4"/>
        <v>395707788</v>
      </c>
      <c r="C77" s="404">
        <f t="shared" si="7"/>
        <v>1360330.4400000002</v>
      </c>
      <c r="D77" s="405">
        <v>543480</v>
      </c>
      <c r="E77" s="406">
        <v>18.02</v>
      </c>
      <c r="F77" s="407">
        <v>591801103</v>
      </c>
      <c r="G77" s="413">
        <v>728.09999999999991</v>
      </c>
      <c r="H77" s="408" t="s">
        <v>1152</v>
      </c>
      <c r="I77" s="409" t="s">
        <v>1312</v>
      </c>
      <c r="J77" s="410" t="s">
        <v>1314</v>
      </c>
      <c r="U77" s="396">
        <f t="shared" si="5"/>
        <v>1092.1499999999999</v>
      </c>
    </row>
    <row r="78" spans="1:21" s="547" customFormat="1" ht="65.25" customHeight="1" thickBot="1">
      <c r="A78" s="403">
        <f t="shared" si="8"/>
        <v>172176113.70000002</v>
      </c>
      <c r="B78" s="1281">
        <f t="shared" si="4"/>
        <v>68787900</v>
      </c>
      <c r="C78" s="404">
        <f t="shared" si="7"/>
        <v>1275378.6200000001</v>
      </c>
      <c r="D78" s="405">
        <v>509540</v>
      </c>
      <c r="E78" s="406">
        <v>18.03</v>
      </c>
      <c r="F78" s="407">
        <v>591802101</v>
      </c>
      <c r="G78" s="404">
        <v>135</v>
      </c>
      <c r="H78" s="408" t="s">
        <v>1152</v>
      </c>
      <c r="I78" s="409" t="s">
        <v>1312</v>
      </c>
      <c r="J78" s="410" t="s">
        <v>1315</v>
      </c>
      <c r="U78" s="396">
        <f t="shared" si="5"/>
        <v>202.5</v>
      </c>
    </row>
    <row r="79" spans="1:21" s="547" customFormat="1" ht="65.25" customHeight="1" thickBot="1">
      <c r="A79" s="403">
        <f t="shared" si="8"/>
        <v>213296448.96000001</v>
      </c>
      <c r="B79" s="1281">
        <f t="shared" si="4"/>
        <v>85216320</v>
      </c>
      <c r="C79" s="404">
        <f t="shared" si="7"/>
        <v>2539243.44</v>
      </c>
      <c r="D79" s="405">
        <v>1014480</v>
      </c>
      <c r="E79" s="406">
        <v>18.04</v>
      </c>
      <c r="F79" s="407">
        <v>591802102</v>
      </c>
      <c r="G79" s="404">
        <v>84</v>
      </c>
      <c r="H79" s="408" t="s">
        <v>1152</v>
      </c>
      <c r="I79" s="409" t="s">
        <v>1312</v>
      </c>
      <c r="J79" s="410" t="s">
        <v>1316</v>
      </c>
      <c r="U79" s="396">
        <f t="shared" si="5"/>
        <v>126</v>
      </c>
    </row>
    <row r="80" spans="1:21" s="547" customFormat="1" ht="65.25" customHeight="1" thickBot="1">
      <c r="A80" s="403">
        <f t="shared" si="8"/>
        <v>1197979101.9000001</v>
      </c>
      <c r="B80" s="1281">
        <f t="shared" si="4"/>
        <v>478617300</v>
      </c>
      <c r="C80" s="404">
        <f t="shared" si="7"/>
        <v>3803108.2600000002</v>
      </c>
      <c r="D80" s="405">
        <v>1519420</v>
      </c>
      <c r="E80" s="406">
        <v>18.05</v>
      </c>
      <c r="F80" s="407">
        <v>591802103</v>
      </c>
      <c r="G80" s="404">
        <v>315</v>
      </c>
      <c r="H80" s="408" t="s">
        <v>1152</v>
      </c>
      <c r="I80" s="409" t="s">
        <v>1312</v>
      </c>
      <c r="J80" s="410" t="s">
        <v>1317</v>
      </c>
      <c r="U80" s="396">
        <f t="shared" si="5"/>
        <v>472.5</v>
      </c>
    </row>
    <row r="81" spans="1:21" s="547" customFormat="1" ht="65.25" customHeight="1" thickBot="1">
      <c r="A81" s="403">
        <f t="shared" si="8"/>
        <v>30672763.200000003</v>
      </c>
      <c r="B81" s="1281">
        <f t="shared" si="4"/>
        <v>12254400</v>
      </c>
      <c r="C81" s="404">
        <f t="shared" si="7"/>
        <v>639015.9</v>
      </c>
      <c r="D81" s="405">
        <v>255300</v>
      </c>
      <c r="E81" s="406">
        <v>18.059999999999999</v>
      </c>
      <c r="F81" s="407">
        <v>591803101</v>
      </c>
      <c r="G81" s="404">
        <v>48</v>
      </c>
      <c r="H81" s="408" t="s">
        <v>1152</v>
      </c>
      <c r="I81" s="409" t="s">
        <v>1312</v>
      </c>
      <c r="J81" s="410" t="s">
        <v>1318</v>
      </c>
      <c r="U81" s="396">
        <f t="shared" si="5"/>
        <v>72</v>
      </c>
    </row>
    <row r="82" spans="1:21" s="547" customFormat="1" ht="65.25" customHeight="1" thickBot="1">
      <c r="A82" s="403">
        <f t="shared" si="8"/>
        <v>41897516.759999998</v>
      </c>
      <c r="B82" s="1281">
        <f t="shared" si="4"/>
        <v>16738920</v>
      </c>
      <c r="C82" s="404">
        <f t="shared" si="7"/>
        <v>1269621.72</v>
      </c>
      <c r="D82" s="405">
        <v>507240</v>
      </c>
      <c r="E82" s="406">
        <v>18.07</v>
      </c>
      <c r="F82" s="407">
        <v>591803102</v>
      </c>
      <c r="G82" s="404">
        <v>33</v>
      </c>
      <c r="H82" s="408" t="s">
        <v>1152</v>
      </c>
      <c r="I82" s="409" t="s">
        <v>1312</v>
      </c>
      <c r="J82" s="410" t="s">
        <v>1319</v>
      </c>
      <c r="U82" s="396">
        <f t="shared" si="5"/>
        <v>49.5</v>
      </c>
    </row>
    <row r="83" spans="1:21" s="547" customFormat="1" ht="65.25" customHeight="1" thickBot="1">
      <c r="A83" s="403">
        <f t="shared" si="8"/>
        <v>468108657.12</v>
      </c>
      <c r="B83" s="1281">
        <f t="shared" si="4"/>
        <v>187019040</v>
      </c>
      <c r="C83" s="404">
        <f t="shared" si="7"/>
        <v>1902880.72</v>
      </c>
      <c r="D83" s="405">
        <v>760240</v>
      </c>
      <c r="E83" s="406">
        <v>18.079999999999998</v>
      </c>
      <c r="F83" s="407">
        <v>591803103</v>
      </c>
      <c r="G83" s="404">
        <v>246</v>
      </c>
      <c r="H83" s="408" t="s">
        <v>1152</v>
      </c>
      <c r="I83" s="409" t="s">
        <v>1312</v>
      </c>
      <c r="J83" s="410" t="s">
        <v>1320</v>
      </c>
      <c r="U83" s="396">
        <f t="shared" si="5"/>
        <v>369</v>
      </c>
    </row>
    <row r="84" spans="1:21" s="547" customFormat="1" ht="65.25" customHeight="1" thickBot="1">
      <c r="A84" s="403">
        <f t="shared" si="8"/>
        <v>2910203058</v>
      </c>
      <c r="B84" s="1281">
        <f t="shared" si="4"/>
        <v>1162686000</v>
      </c>
      <c r="C84" s="404">
        <f t="shared" si="7"/>
        <v>357628.64</v>
      </c>
      <c r="D84" s="404">
        <v>142880</v>
      </c>
      <c r="E84" s="406">
        <v>18.09</v>
      </c>
      <c r="F84" s="407">
        <v>591861101</v>
      </c>
      <c r="G84" s="404">
        <v>8137.5</v>
      </c>
      <c r="H84" s="408" t="s">
        <v>1321</v>
      </c>
      <c r="I84" s="409" t="s">
        <v>1312</v>
      </c>
      <c r="J84" s="410" t="s">
        <v>1322</v>
      </c>
      <c r="U84" s="396">
        <f t="shared" si="5"/>
        <v>12206.25</v>
      </c>
    </row>
    <row r="85" spans="1:21" s="547" customFormat="1" ht="65.25" customHeight="1" thickBot="1">
      <c r="A85" s="403">
        <f t="shared" si="8"/>
        <v>3193751420.7150002</v>
      </c>
      <c r="B85" s="1281">
        <f t="shared" si="4"/>
        <v>1275969405</v>
      </c>
      <c r="C85" s="404">
        <f t="shared" si="7"/>
        <v>863059.43</v>
      </c>
      <c r="D85" s="404">
        <v>344810</v>
      </c>
      <c r="E85" s="406">
        <v>18.100000000000001</v>
      </c>
      <c r="F85" s="407">
        <v>591862101</v>
      </c>
      <c r="G85" s="404">
        <v>3700.5</v>
      </c>
      <c r="H85" s="408" t="s">
        <v>1323</v>
      </c>
      <c r="I85" s="409" t="s">
        <v>1312</v>
      </c>
      <c r="J85" s="410" t="s">
        <v>1324</v>
      </c>
      <c r="U85" s="396">
        <f t="shared" si="5"/>
        <v>5550.75</v>
      </c>
    </row>
    <row r="86" spans="1:21" s="547" customFormat="1" ht="65.25" customHeight="1">
      <c r="A86" s="403">
        <f t="shared" si="8"/>
        <v>551624506.01999998</v>
      </c>
      <c r="B86" s="1281">
        <f t="shared" si="4"/>
        <v>220385340</v>
      </c>
      <c r="C86" s="404">
        <f t="shared" si="7"/>
        <v>208474.87</v>
      </c>
      <c r="D86" s="404">
        <v>83290</v>
      </c>
      <c r="E86" s="406">
        <v>18.11</v>
      </c>
      <c r="F86" s="407">
        <v>591863101</v>
      </c>
      <c r="G86" s="404">
        <v>2646</v>
      </c>
      <c r="H86" s="408" t="s">
        <v>1323</v>
      </c>
      <c r="I86" s="409" t="s">
        <v>1312</v>
      </c>
      <c r="J86" s="410" t="s">
        <v>1325</v>
      </c>
      <c r="U86" s="396">
        <f t="shared" si="5"/>
        <v>3969</v>
      </c>
    </row>
    <row r="87" spans="1:21" ht="65.25" customHeight="1" thickBot="1">
      <c r="A87" s="414">
        <f>SUM(A3:A86)</f>
        <v>823401082302.33582</v>
      </c>
      <c r="B87" s="414">
        <f>SUM(B3:B86)</f>
        <v>328965674112</v>
      </c>
      <c r="C87" s="415"/>
      <c r="D87" s="416"/>
      <c r="E87" s="417"/>
      <c r="F87" s="418"/>
      <c r="G87" s="415"/>
      <c r="H87" s="419"/>
      <c r="I87" s="420"/>
      <c r="J87" s="421" t="s">
        <v>1010</v>
      </c>
    </row>
    <row r="88" spans="1:21" ht="30" customHeight="1"/>
  </sheetData>
  <mergeCells count="1">
    <mergeCell ref="A1:J1"/>
  </mergeCells>
  <printOptions horizontalCentered="1"/>
  <pageMargins left="0" right="0" top="0" bottom="0" header="0" footer="0"/>
  <pageSetup scale="31"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W271"/>
  <sheetViews>
    <sheetView view="pageBreakPreview" topLeftCell="A100" zoomScale="80" zoomScaleNormal="90" zoomScaleSheetLayoutView="80" workbookViewId="0">
      <selection activeCell="A100" sqref="A1:P1048576"/>
    </sheetView>
  </sheetViews>
  <sheetFormatPr defaultColWidth="9.140625" defaultRowHeight="15"/>
  <cols>
    <col min="1" max="2" width="20" style="422" customWidth="1"/>
    <col min="3" max="3" width="15.7109375" style="422" customWidth="1"/>
    <col min="4" max="4" width="15.42578125" style="422" customWidth="1"/>
    <col min="5" max="5" width="20.140625" style="422" bestFit="1" customWidth="1"/>
    <col min="6" max="6" width="9" style="422" customWidth="1"/>
    <col min="7" max="7" width="9.7109375" style="460" customWidth="1"/>
    <col min="8" max="8" width="8.140625" style="460" customWidth="1"/>
    <col min="9" max="9" width="10.28515625" style="460" customWidth="1"/>
    <col min="10" max="10" width="40.7109375" style="460" customWidth="1"/>
    <col min="11" max="11" width="7.5703125" style="460" customWidth="1"/>
    <col min="12" max="12" width="9.140625" style="422"/>
    <col min="13" max="15" width="9.140625" style="422" customWidth="1"/>
    <col min="16" max="16384" width="9.140625" style="422"/>
  </cols>
  <sheetData>
    <row r="1" spans="1:19" s="423" customFormat="1" ht="24.75" customHeight="1" thickBot="1">
      <c r="A1" s="1884" t="s">
        <v>4353</v>
      </c>
      <c r="B1" s="1885"/>
      <c r="C1" s="1885"/>
      <c r="D1" s="1885"/>
      <c r="E1" s="1885"/>
      <c r="F1" s="1885"/>
      <c r="G1" s="1885"/>
      <c r="H1" s="1885"/>
      <c r="I1" s="1885"/>
      <c r="J1" s="1885"/>
      <c r="K1" s="1886"/>
    </row>
    <row r="2" spans="1:19" ht="15.75" customHeight="1">
      <c r="A2" s="1887" t="s">
        <v>1218</v>
      </c>
      <c r="B2" s="1889" t="s">
        <v>4402</v>
      </c>
      <c r="C2" s="1892" t="s">
        <v>1219</v>
      </c>
      <c r="D2" s="1892" t="s">
        <v>1220</v>
      </c>
      <c r="E2" s="1892" t="s">
        <v>4428</v>
      </c>
      <c r="F2" s="1894" t="s">
        <v>1135</v>
      </c>
      <c r="G2" s="1894" t="s">
        <v>1221</v>
      </c>
      <c r="H2" s="1877" t="s">
        <v>1326</v>
      </c>
      <c r="I2" s="1877"/>
      <c r="J2" s="1877" t="s">
        <v>2</v>
      </c>
      <c r="K2" s="1879" t="s">
        <v>28</v>
      </c>
      <c r="M2" s="423"/>
      <c r="N2" s="423"/>
      <c r="O2" s="1881" t="s">
        <v>1327</v>
      </c>
    </row>
    <row r="3" spans="1:19" ht="18.600000000000001" customHeight="1">
      <c r="A3" s="1888"/>
      <c r="B3" s="1890"/>
      <c r="C3" s="1893"/>
      <c r="D3" s="1893"/>
      <c r="E3" s="1893"/>
      <c r="F3" s="1895"/>
      <c r="G3" s="1895"/>
      <c r="H3" s="1878"/>
      <c r="I3" s="1878"/>
      <c r="J3" s="1878"/>
      <c r="K3" s="1880"/>
      <c r="M3" s="423"/>
      <c r="N3" s="423"/>
      <c r="O3" s="1882"/>
    </row>
    <row r="4" spans="1:19" ht="18.600000000000001" customHeight="1">
      <c r="A4" s="1888"/>
      <c r="B4" s="1891"/>
      <c r="C4" s="1893"/>
      <c r="D4" s="1893"/>
      <c r="E4" s="1893"/>
      <c r="F4" s="1895"/>
      <c r="G4" s="1895"/>
      <c r="H4" s="1878"/>
      <c r="I4" s="1878"/>
      <c r="J4" s="1878"/>
      <c r="K4" s="1880"/>
      <c r="M4" s="423"/>
      <c r="N4" s="423"/>
      <c r="O4" s="1883"/>
      <c r="P4" s="424"/>
      <c r="Q4" s="424"/>
    </row>
    <row r="5" spans="1:19" ht="15.75">
      <c r="A5" s="1036"/>
      <c r="B5" s="1286"/>
      <c r="C5" s="1037"/>
      <c r="D5" s="1037"/>
      <c r="E5" s="1037"/>
      <c r="F5" s="1040"/>
      <c r="G5" s="1040"/>
      <c r="H5" s="425"/>
      <c r="I5" s="426"/>
      <c r="J5" s="427" t="s">
        <v>1328</v>
      </c>
      <c r="K5" s="476">
        <v>1</v>
      </c>
      <c r="M5" s="423"/>
      <c r="N5" s="423"/>
      <c r="O5" s="1040"/>
    </row>
    <row r="6" spans="1:19" ht="17.45" customHeight="1">
      <c r="A6" s="471">
        <f>C6*F6</f>
        <v>6172791300</v>
      </c>
      <c r="B6" s="1287">
        <f>ROUND(F6*D6,0)</f>
        <v>2458300000</v>
      </c>
      <c r="C6" s="472">
        <f>D6*$N$19</f>
        <v>47483.01</v>
      </c>
      <c r="D6" s="472">
        <v>18910</v>
      </c>
      <c r="E6" s="428" t="s">
        <v>1350</v>
      </c>
      <c r="F6" s="472">
        <f>O6*2</f>
        <v>130000</v>
      </c>
      <c r="G6" s="429" t="s">
        <v>135</v>
      </c>
      <c r="H6" s="430" t="s">
        <v>113</v>
      </c>
      <c r="I6" s="431" t="s">
        <v>114</v>
      </c>
      <c r="J6" s="432" t="s">
        <v>1329</v>
      </c>
      <c r="K6" s="1288">
        <v>1.1000000000000001</v>
      </c>
      <c r="M6" s="423"/>
      <c r="N6" s="423"/>
      <c r="O6" s="433">
        <v>65000</v>
      </c>
    </row>
    <row r="7" spans="1:19" ht="17.45" customHeight="1">
      <c r="A7" s="471">
        <f>C7*F7</f>
        <v>6172791300</v>
      </c>
      <c r="B7" s="1287">
        <f t="shared" ref="B7:B70" si="0">ROUND(F7*D7,0)</f>
        <v>2458300000</v>
      </c>
      <c r="C7" s="472">
        <f>D7*$N$19</f>
        <v>47483.01</v>
      </c>
      <c r="D7" s="472">
        <v>18910</v>
      </c>
      <c r="E7" s="428" t="s">
        <v>1350</v>
      </c>
      <c r="F7" s="472">
        <f>O7*2</f>
        <v>130000</v>
      </c>
      <c r="G7" s="429" t="s">
        <v>135</v>
      </c>
      <c r="H7" s="430" t="s">
        <v>113</v>
      </c>
      <c r="I7" s="431" t="s">
        <v>118</v>
      </c>
      <c r="J7" s="434" t="s">
        <v>1330</v>
      </c>
      <c r="K7" s="1288">
        <v>1.2</v>
      </c>
      <c r="M7" s="423"/>
      <c r="N7" s="423"/>
      <c r="O7" s="433">
        <v>65000</v>
      </c>
    </row>
    <row r="8" spans="1:19" ht="17.45" customHeight="1">
      <c r="A8" s="471">
        <f>C8*F8</f>
        <v>4902205212</v>
      </c>
      <c r="B8" s="1287">
        <f t="shared" si="0"/>
        <v>1952292000</v>
      </c>
      <c r="C8" s="472">
        <f>D8*$N$19</f>
        <v>40851710.100000001</v>
      </c>
      <c r="D8" s="472">
        <v>16269100</v>
      </c>
      <c r="E8" s="428" t="s">
        <v>4429</v>
      </c>
      <c r="F8" s="472">
        <f>O8*2</f>
        <v>120</v>
      </c>
      <c r="G8" s="429" t="s">
        <v>1331</v>
      </c>
      <c r="H8" s="430" t="s">
        <v>126</v>
      </c>
      <c r="I8" s="431" t="s">
        <v>127</v>
      </c>
      <c r="J8" s="432" t="s">
        <v>128</v>
      </c>
      <c r="K8" s="1288">
        <v>1.3</v>
      </c>
      <c r="M8" s="423"/>
      <c r="N8" s="423"/>
      <c r="O8" s="433">
        <v>60</v>
      </c>
    </row>
    <row r="9" spans="1:19" ht="17.45" customHeight="1">
      <c r="A9" s="471">
        <f>C9*F9</f>
        <v>4902205212</v>
      </c>
      <c r="B9" s="1287">
        <f t="shared" si="0"/>
        <v>1952292000</v>
      </c>
      <c r="C9" s="472">
        <f>D9*$N$19</f>
        <v>40851710.100000001</v>
      </c>
      <c r="D9" s="472">
        <v>16269100</v>
      </c>
      <c r="E9" s="428" t="s">
        <v>4430</v>
      </c>
      <c r="F9" s="472">
        <f>O9*2</f>
        <v>120</v>
      </c>
      <c r="G9" s="429" t="s">
        <v>1331</v>
      </c>
      <c r="H9" s="430" t="s">
        <v>126</v>
      </c>
      <c r="I9" s="431" t="s">
        <v>130</v>
      </c>
      <c r="J9" s="432" t="s">
        <v>128</v>
      </c>
      <c r="K9" s="1288">
        <v>1.4</v>
      </c>
      <c r="M9" s="423"/>
      <c r="N9" s="423"/>
      <c r="O9" s="433">
        <v>60</v>
      </c>
    </row>
    <row r="10" spans="1:19" ht="17.45" customHeight="1">
      <c r="A10" s="471"/>
      <c r="B10" s="1287">
        <f t="shared" si="0"/>
        <v>0</v>
      </c>
      <c r="C10" s="472"/>
      <c r="D10" s="472"/>
      <c r="E10" s="428"/>
      <c r="F10" s="472"/>
      <c r="G10" s="429"/>
      <c r="H10" s="430"/>
      <c r="I10" s="431"/>
      <c r="J10" s="434" t="s">
        <v>1332</v>
      </c>
      <c r="K10" s="476">
        <v>2</v>
      </c>
      <c r="M10" s="423"/>
      <c r="N10" s="423"/>
      <c r="O10" s="433"/>
      <c r="R10" s="423" t="s">
        <v>4405</v>
      </c>
      <c r="S10" s="479">
        <v>1.1200000000000001</v>
      </c>
    </row>
    <row r="11" spans="1:19" ht="17.45" customHeight="1">
      <c r="A11" s="471">
        <f>C11*F11</f>
        <v>205525350</v>
      </c>
      <c r="B11" s="1287">
        <f t="shared" si="0"/>
        <v>81850000</v>
      </c>
      <c r="C11" s="472">
        <f>D11*$N$19</f>
        <v>41105.07</v>
      </c>
      <c r="D11" s="472">
        <v>16370</v>
      </c>
      <c r="E11" s="428" t="s">
        <v>1333</v>
      </c>
      <c r="F11" s="472">
        <f>2*O11</f>
        <v>5000</v>
      </c>
      <c r="G11" s="429" t="s">
        <v>135</v>
      </c>
      <c r="H11" s="430" t="s">
        <v>37</v>
      </c>
      <c r="I11" s="431" t="s">
        <v>114</v>
      </c>
      <c r="J11" s="435" t="s">
        <v>121</v>
      </c>
      <c r="K11" s="1288">
        <v>2.1</v>
      </c>
      <c r="M11" s="423"/>
      <c r="N11" s="423"/>
      <c r="O11" s="433">
        <v>2500</v>
      </c>
      <c r="R11" s="422" t="s">
        <v>4406</v>
      </c>
      <c r="S11" s="479">
        <v>1.48</v>
      </c>
    </row>
    <row r="12" spans="1:19" ht="17.45" customHeight="1">
      <c r="A12" s="471">
        <f>C12*F12</f>
        <v>164420280</v>
      </c>
      <c r="B12" s="1287">
        <f t="shared" si="0"/>
        <v>65480000</v>
      </c>
      <c r="C12" s="472">
        <f>D12*$N$19</f>
        <v>41105.07</v>
      </c>
      <c r="D12" s="472">
        <v>16370</v>
      </c>
      <c r="E12" s="428" t="s">
        <v>1333</v>
      </c>
      <c r="F12" s="472">
        <f>2*O12</f>
        <v>4000</v>
      </c>
      <c r="G12" s="429" t="s">
        <v>135</v>
      </c>
      <c r="H12" s="430" t="s">
        <v>37</v>
      </c>
      <c r="I12" s="431" t="s">
        <v>118</v>
      </c>
      <c r="J12" s="432" t="s">
        <v>124</v>
      </c>
      <c r="K12" s="1288">
        <v>2.2000000000000002</v>
      </c>
      <c r="M12" s="423"/>
      <c r="N12" s="423"/>
      <c r="O12" s="433">
        <v>2000</v>
      </c>
      <c r="R12" s="422" t="s">
        <v>4407</v>
      </c>
      <c r="S12" s="479">
        <v>1</v>
      </c>
    </row>
    <row r="13" spans="1:19" ht="17.45" customHeight="1">
      <c r="A13" s="471"/>
      <c r="B13" s="1287">
        <f t="shared" si="0"/>
        <v>0</v>
      </c>
      <c r="C13" s="472"/>
      <c r="D13" s="472"/>
      <c r="E13" s="428"/>
      <c r="F13" s="472"/>
      <c r="G13" s="429"/>
      <c r="H13" s="430"/>
      <c r="I13" s="431"/>
      <c r="J13" s="432" t="s">
        <v>1334</v>
      </c>
      <c r="K13" s="476">
        <v>3</v>
      </c>
      <c r="M13" s="423"/>
      <c r="N13" s="423"/>
      <c r="O13" s="433"/>
      <c r="R13" s="424" t="s">
        <v>4408</v>
      </c>
      <c r="S13" s="479">
        <v>1.5149999999999999</v>
      </c>
    </row>
    <row r="14" spans="1:19" ht="17.45" customHeight="1">
      <c r="A14" s="471">
        <f t="shared" ref="A14:A38" si="1">C14*F14</f>
        <v>540768960.00000012</v>
      </c>
      <c r="B14" s="1287">
        <f t="shared" si="0"/>
        <v>215360000</v>
      </c>
      <c r="C14" s="472">
        <f t="shared" ref="C14:C38" si="2">D14*$N$19</f>
        <v>67596.12000000001</v>
      </c>
      <c r="D14" s="472">
        <v>26920</v>
      </c>
      <c r="E14" s="428" t="s">
        <v>1335</v>
      </c>
      <c r="F14" s="472">
        <f>O14*2</f>
        <v>8000</v>
      </c>
      <c r="G14" s="429" t="s">
        <v>135</v>
      </c>
      <c r="H14" s="430" t="s">
        <v>38</v>
      </c>
      <c r="I14" s="431" t="s">
        <v>114</v>
      </c>
      <c r="J14" s="432" t="s">
        <v>137</v>
      </c>
      <c r="K14" s="1288">
        <v>3.1</v>
      </c>
      <c r="M14" s="423"/>
      <c r="N14" s="423"/>
      <c r="O14" s="433">
        <v>4000</v>
      </c>
    </row>
    <row r="15" spans="1:19" ht="17.45" customHeight="1">
      <c r="A15" s="471">
        <f t="shared" si="1"/>
        <v>378538272.00000006</v>
      </c>
      <c r="B15" s="1287">
        <f t="shared" si="0"/>
        <v>150752000</v>
      </c>
      <c r="C15" s="472">
        <f t="shared" si="2"/>
        <v>67596.12000000001</v>
      </c>
      <c r="D15" s="472">
        <v>26920</v>
      </c>
      <c r="E15" s="428" t="s">
        <v>1335</v>
      </c>
      <c r="F15" s="472">
        <f>O15*2</f>
        <v>5600</v>
      </c>
      <c r="G15" s="429" t="s">
        <v>135</v>
      </c>
      <c r="H15" s="430" t="s">
        <v>38</v>
      </c>
      <c r="I15" s="431" t="s">
        <v>118</v>
      </c>
      <c r="J15" s="432" t="s">
        <v>139</v>
      </c>
      <c r="K15" s="1288">
        <v>3.2</v>
      </c>
      <c r="M15" s="423"/>
      <c r="N15" s="423"/>
      <c r="O15" s="433">
        <v>2800</v>
      </c>
    </row>
    <row r="16" spans="1:19" ht="17.45" customHeight="1">
      <c r="A16" s="471">
        <f t="shared" si="1"/>
        <v>270058050</v>
      </c>
      <c r="B16" s="1287">
        <f t="shared" si="0"/>
        <v>107550000</v>
      </c>
      <c r="C16" s="472">
        <f t="shared" si="2"/>
        <v>90019.35</v>
      </c>
      <c r="D16" s="472">
        <v>35850</v>
      </c>
      <c r="E16" s="428" t="s">
        <v>1336</v>
      </c>
      <c r="F16" s="472">
        <f>O16*2</f>
        <v>3000</v>
      </c>
      <c r="G16" s="429" t="s">
        <v>135</v>
      </c>
      <c r="H16" s="430" t="s">
        <v>38</v>
      </c>
      <c r="I16" s="431" t="s">
        <v>141</v>
      </c>
      <c r="J16" s="432" t="s">
        <v>142</v>
      </c>
      <c r="K16" s="1288">
        <v>3.3</v>
      </c>
      <c r="M16" s="423"/>
      <c r="N16" s="423"/>
      <c r="O16" s="433">
        <v>1500</v>
      </c>
    </row>
    <row r="17" spans="1:15" ht="17.45" customHeight="1">
      <c r="A17" s="471">
        <f t="shared" si="1"/>
        <v>159699600</v>
      </c>
      <c r="B17" s="1287">
        <f t="shared" si="0"/>
        <v>63600000</v>
      </c>
      <c r="C17" s="472">
        <f t="shared" si="2"/>
        <v>159699.6</v>
      </c>
      <c r="D17" s="472">
        <v>63600</v>
      </c>
      <c r="E17" s="428" t="s">
        <v>1337</v>
      </c>
      <c r="F17" s="472">
        <f>O17*2</f>
        <v>1000</v>
      </c>
      <c r="G17" s="429" t="s">
        <v>135</v>
      </c>
      <c r="H17" s="430" t="s">
        <v>38</v>
      </c>
      <c r="I17" s="431" t="s">
        <v>144</v>
      </c>
      <c r="J17" s="432" t="s">
        <v>145</v>
      </c>
      <c r="K17" s="1288">
        <v>3.4</v>
      </c>
      <c r="M17" s="423"/>
      <c r="N17" s="423"/>
      <c r="O17" s="433">
        <v>500</v>
      </c>
    </row>
    <row r="18" spans="1:15" ht="17.45" customHeight="1">
      <c r="A18" s="471">
        <f t="shared" si="1"/>
        <v>125298900.00000001</v>
      </c>
      <c r="B18" s="1287">
        <f t="shared" si="0"/>
        <v>49900000</v>
      </c>
      <c r="C18" s="472">
        <f t="shared" si="2"/>
        <v>125298.90000000001</v>
      </c>
      <c r="D18" s="472">
        <v>49900</v>
      </c>
      <c r="E18" s="428" t="s">
        <v>1338</v>
      </c>
      <c r="F18" s="472">
        <f>O18*1</f>
        <v>1000</v>
      </c>
      <c r="G18" s="429" t="s">
        <v>135</v>
      </c>
      <c r="H18" s="430" t="s">
        <v>38</v>
      </c>
      <c r="I18" s="431" t="s">
        <v>153</v>
      </c>
      <c r="J18" s="432" t="s">
        <v>154</v>
      </c>
      <c r="K18" s="1288">
        <v>3.5</v>
      </c>
      <c r="M18" s="423"/>
      <c r="N18" s="423"/>
      <c r="O18" s="433">
        <v>1000</v>
      </c>
    </row>
    <row r="19" spans="1:15" ht="17.45" customHeight="1">
      <c r="A19" s="471">
        <f t="shared" si="1"/>
        <v>187948350</v>
      </c>
      <c r="B19" s="1287">
        <f t="shared" si="0"/>
        <v>74850000</v>
      </c>
      <c r="C19" s="472">
        <f t="shared" si="2"/>
        <v>125298.90000000001</v>
      </c>
      <c r="D19" s="472">
        <v>49900</v>
      </c>
      <c r="E19" s="428" t="s">
        <v>1338</v>
      </c>
      <c r="F19" s="472">
        <f>O19*2</f>
        <v>1500</v>
      </c>
      <c r="G19" s="429" t="s">
        <v>135</v>
      </c>
      <c r="H19" s="430" t="s">
        <v>38</v>
      </c>
      <c r="I19" s="431" t="s">
        <v>156</v>
      </c>
      <c r="J19" s="432" t="s">
        <v>154</v>
      </c>
      <c r="K19" s="1288">
        <v>3.6</v>
      </c>
      <c r="M19" s="423" t="s">
        <v>1339</v>
      </c>
      <c r="N19" s="1282">
        <f>ROUND(S10*S11*S12*S13,3)</f>
        <v>2.5110000000000001</v>
      </c>
      <c r="O19" s="433">
        <v>750</v>
      </c>
    </row>
    <row r="20" spans="1:15" ht="17.45" customHeight="1">
      <c r="A20" s="471">
        <f t="shared" si="1"/>
        <v>79849800</v>
      </c>
      <c r="B20" s="1287">
        <f t="shared" si="0"/>
        <v>31800000</v>
      </c>
      <c r="C20" s="472">
        <f t="shared" si="2"/>
        <v>159699.6</v>
      </c>
      <c r="D20" s="472">
        <v>63600</v>
      </c>
      <c r="E20" s="428" t="s">
        <v>1337</v>
      </c>
      <c r="F20" s="472">
        <f>O20*2</f>
        <v>500</v>
      </c>
      <c r="G20" s="429" t="s">
        <v>135</v>
      </c>
      <c r="H20" s="430" t="s">
        <v>38</v>
      </c>
      <c r="I20" s="431" t="s">
        <v>229</v>
      </c>
      <c r="J20" s="432" t="s">
        <v>230</v>
      </c>
      <c r="K20" s="1288">
        <v>3.7</v>
      </c>
      <c r="M20" s="423"/>
      <c r="N20" s="423"/>
      <c r="O20" s="433">
        <v>250</v>
      </c>
    </row>
    <row r="21" spans="1:15" ht="17.45" customHeight="1">
      <c r="A21" s="471">
        <f t="shared" si="1"/>
        <v>95819760</v>
      </c>
      <c r="B21" s="1287">
        <f t="shared" si="0"/>
        <v>38160000</v>
      </c>
      <c r="C21" s="472">
        <f t="shared" si="2"/>
        <v>159699.6</v>
      </c>
      <c r="D21" s="472">
        <v>63600</v>
      </c>
      <c r="E21" s="428" t="s">
        <v>1337</v>
      </c>
      <c r="F21" s="472">
        <f>O21*2</f>
        <v>600</v>
      </c>
      <c r="G21" s="429" t="s">
        <v>135</v>
      </c>
      <c r="H21" s="430" t="s">
        <v>38</v>
      </c>
      <c r="I21" s="431" t="s">
        <v>161</v>
      </c>
      <c r="J21" s="432" t="s">
        <v>162</v>
      </c>
      <c r="K21" s="1288">
        <v>3.8</v>
      </c>
      <c r="M21" s="423"/>
      <c r="N21" s="423"/>
      <c r="O21" s="433">
        <v>300</v>
      </c>
    </row>
    <row r="22" spans="1:15" ht="17.45" customHeight="1">
      <c r="A22" s="471">
        <f t="shared" si="1"/>
        <v>63879840</v>
      </c>
      <c r="B22" s="1287">
        <f t="shared" si="0"/>
        <v>25440000</v>
      </c>
      <c r="C22" s="472">
        <f t="shared" si="2"/>
        <v>159699.6</v>
      </c>
      <c r="D22" s="472">
        <v>63600</v>
      </c>
      <c r="E22" s="428" t="s">
        <v>1337</v>
      </c>
      <c r="F22" s="472">
        <f>O22</f>
        <v>400</v>
      </c>
      <c r="G22" s="429" t="s">
        <v>135</v>
      </c>
      <c r="H22" s="430" t="s">
        <v>38</v>
      </c>
      <c r="I22" s="431" t="s">
        <v>164</v>
      </c>
      <c r="J22" s="432" t="s">
        <v>162</v>
      </c>
      <c r="K22" s="1288">
        <v>3.9</v>
      </c>
      <c r="M22" s="423"/>
      <c r="N22" s="423"/>
      <c r="O22" s="433">
        <v>400</v>
      </c>
    </row>
    <row r="23" spans="1:15" ht="17.45" customHeight="1">
      <c r="A23" s="471">
        <f t="shared" si="1"/>
        <v>47909880</v>
      </c>
      <c r="B23" s="1287">
        <f t="shared" si="0"/>
        <v>19080000</v>
      </c>
      <c r="C23" s="472">
        <f t="shared" si="2"/>
        <v>159699.6</v>
      </c>
      <c r="D23" s="472">
        <v>63600</v>
      </c>
      <c r="E23" s="428" t="s">
        <v>1337</v>
      </c>
      <c r="F23" s="472">
        <f>O23</f>
        <v>300</v>
      </c>
      <c r="G23" s="429" t="s">
        <v>135</v>
      </c>
      <c r="H23" s="430" t="s">
        <v>38</v>
      </c>
      <c r="I23" s="431" t="s">
        <v>169</v>
      </c>
      <c r="J23" s="432" t="s">
        <v>170</v>
      </c>
      <c r="K23" s="1288" t="s">
        <v>1340</v>
      </c>
      <c r="M23" s="423"/>
      <c r="N23" s="423"/>
      <c r="O23" s="433">
        <v>300</v>
      </c>
    </row>
    <row r="24" spans="1:15" ht="17.45" customHeight="1">
      <c r="A24" s="471">
        <f t="shared" si="1"/>
        <v>378081270</v>
      </c>
      <c r="B24" s="1287">
        <f t="shared" si="0"/>
        <v>150570000</v>
      </c>
      <c r="C24" s="472">
        <f t="shared" si="2"/>
        <v>90019.35</v>
      </c>
      <c r="D24" s="472">
        <v>35850</v>
      </c>
      <c r="E24" s="428" t="s">
        <v>1336</v>
      </c>
      <c r="F24" s="472">
        <f>O24*2</f>
        <v>4200</v>
      </c>
      <c r="G24" s="429" t="s">
        <v>135</v>
      </c>
      <c r="H24" s="430" t="s">
        <v>38</v>
      </c>
      <c r="I24" s="431" t="s">
        <v>182</v>
      </c>
      <c r="J24" s="432" t="s">
        <v>173</v>
      </c>
      <c r="K24" s="1288">
        <v>3.11</v>
      </c>
      <c r="M24" s="423"/>
      <c r="N24" s="423"/>
      <c r="O24" s="433">
        <v>2100</v>
      </c>
    </row>
    <row r="25" spans="1:15" ht="17.45" customHeight="1">
      <c r="A25" s="471">
        <f t="shared" si="1"/>
        <v>252054180.00000003</v>
      </c>
      <c r="B25" s="1287">
        <f t="shared" si="0"/>
        <v>100380000</v>
      </c>
      <c r="C25" s="472">
        <f t="shared" si="2"/>
        <v>90019.35</v>
      </c>
      <c r="D25" s="472">
        <v>35850</v>
      </c>
      <c r="E25" s="428" t="s">
        <v>1336</v>
      </c>
      <c r="F25" s="472">
        <f>O25*2</f>
        <v>2800</v>
      </c>
      <c r="G25" s="429" t="s">
        <v>135</v>
      </c>
      <c r="H25" s="430" t="s">
        <v>38</v>
      </c>
      <c r="I25" s="431" t="s">
        <v>175</v>
      </c>
      <c r="J25" s="432" t="s">
        <v>176</v>
      </c>
      <c r="K25" s="1288">
        <v>3.12</v>
      </c>
      <c r="M25" s="423"/>
      <c r="N25" s="423"/>
      <c r="O25" s="433">
        <v>1400</v>
      </c>
    </row>
    <row r="26" spans="1:15" ht="17.45" customHeight="1">
      <c r="A26" s="471">
        <f t="shared" si="1"/>
        <v>79849800</v>
      </c>
      <c r="B26" s="1287">
        <f t="shared" si="0"/>
        <v>31800000</v>
      </c>
      <c r="C26" s="472">
        <f t="shared" si="2"/>
        <v>159699.6</v>
      </c>
      <c r="D26" s="472">
        <v>63600</v>
      </c>
      <c r="E26" s="428" t="s">
        <v>1337</v>
      </c>
      <c r="F26" s="472">
        <f>O26*2</f>
        <v>500</v>
      </c>
      <c r="G26" s="429" t="s">
        <v>135</v>
      </c>
      <c r="H26" s="430" t="s">
        <v>38</v>
      </c>
      <c r="I26" s="431" t="s">
        <v>205</v>
      </c>
      <c r="J26" s="432" t="s">
        <v>206</v>
      </c>
      <c r="K26" s="1288">
        <v>3.13</v>
      </c>
      <c r="M26" s="423"/>
      <c r="N26" s="423"/>
      <c r="O26" s="433">
        <v>250</v>
      </c>
    </row>
    <row r="27" spans="1:15" ht="17.45" customHeight="1">
      <c r="A27" s="471">
        <f t="shared" si="1"/>
        <v>143729640</v>
      </c>
      <c r="B27" s="1287">
        <f t="shared" si="0"/>
        <v>57240000</v>
      </c>
      <c r="C27" s="472">
        <f t="shared" si="2"/>
        <v>159699.6</v>
      </c>
      <c r="D27" s="472">
        <v>63600</v>
      </c>
      <c r="E27" s="428" t="s">
        <v>1337</v>
      </c>
      <c r="F27" s="472">
        <f>O27*2</f>
        <v>900</v>
      </c>
      <c r="G27" s="429" t="s">
        <v>135</v>
      </c>
      <c r="H27" s="430" t="s">
        <v>38</v>
      </c>
      <c r="I27" s="431" t="s">
        <v>235</v>
      </c>
      <c r="J27" s="432" t="s">
        <v>236</v>
      </c>
      <c r="K27" s="1288">
        <v>3.14</v>
      </c>
      <c r="M27" s="423"/>
      <c r="N27" s="423"/>
      <c r="O27" s="433">
        <v>450</v>
      </c>
    </row>
    <row r="28" spans="1:15" ht="17.45" customHeight="1">
      <c r="A28" s="471">
        <f t="shared" si="1"/>
        <v>39924900</v>
      </c>
      <c r="B28" s="1287">
        <f t="shared" si="0"/>
        <v>15900000</v>
      </c>
      <c r="C28" s="472">
        <f t="shared" si="2"/>
        <v>159699.6</v>
      </c>
      <c r="D28" s="472">
        <v>63600</v>
      </c>
      <c r="E28" s="428" t="s">
        <v>1337</v>
      </c>
      <c r="F28" s="472">
        <f>O28</f>
        <v>250</v>
      </c>
      <c r="G28" s="429" t="s">
        <v>135</v>
      </c>
      <c r="H28" s="430" t="s">
        <v>38</v>
      </c>
      <c r="I28" s="431">
        <v>-702</v>
      </c>
      <c r="J28" s="432" t="s">
        <v>239</v>
      </c>
      <c r="K28" s="1288">
        <v>3.15</v>
      </c>
      <c r="M28" s="423"/>
      <c r="N28" s="423"/>
      <c r="O28" s="433">
        <v>250</v>
      </c>
    </row>
    <row r="29" spans="1:15" ht="17.45" customHeight="1">
      <c r="A29" s="471">
        <f t="shared" si="1"/>
        <v>79849800</v>
      </c>
      <c r="B29" s="1287">
        <f t="shared" si="0"/>
        <v>31800000</v>
      </c>
      <c r="C29" s="472">
        <f t="shared" si="2"/>
        <v>159699.6</v>
      </c>
      <c r="D29" s="472">
        <v>63600</v>
      </c>
      <c r="E29" s="428" t="s">
        <v>1337</v>
      </c>
      <c r="F29" s="472">
        <f>O29*2</f>
        <v>500</v>
      </c>
      <c r="G29" s="429" t="s">
        <v>135</v>
      </c>
      <c r="H29" s="430" t="s">
        <v>38</v>
      </c>
      <c r="I29" s="431" t="s">
        <v>244</v>
      </c>
      <c r="J29" s="432" t="s">
        <v>245</v>
      </c>
      <c r="K29" s="1288">
        <v>3.16</v>
      </c>
      <c r="M29" s="423"/>
      <c r="N29" s="423"/>
      <c r="O29" s="433">
        <v>250</v>
      </c>
    </row>
    <row r="30" spans="1:15" ht="17.45" customHeight="1">
      <c r="A30" s="471">
        <f t="shared" si="1"/>
        <v>95819760</v>
      </c>
      <c r="B30" s="1287">
        <f t="shared" si="0"/>
        <v>38160000</v>
      </c>
      <c r="C30" s="472">
        <f t="shared" si="2"/>
        <v>159699.6</v>
      </c>
      <c r="D30" s="472">
        <v>63600</v>
      </c>
      <c r="E30" s="428" t="s">
        <v>1337</v>
      </c>
      <c r="F30" s="472">
        <f>O30*2</f>
        <v>600</v>
      </c>
      <c r="G30" s="429" t="s">
        <v>135</v>
      </c>
      <c r="H30" s="430" t="s">
        <v>38</v>
      </c>
      <c r="I30" s="431" t="s">
        <v>247</v>
      </c>
      <c r="J30" s="432" t="s">
        <v>248</v>
      </c>
      <c r="K30" s="1288">
        <v>3.17</v>
      </c>
      <c r="M30" s="423"/>
      <c r="N30" s="423"/>
      <c r="O30" s="433">
        <v>300</v>
      </c>
    </row>
    <row r="31" spans="1:15" ht="17.45" customHeight="1">
      <c r="A31" s="471">
        <f t="shared" si="1"/>
        <v>39924900</v>
      </c>
      <c r="B31" s="1287">
        <f t="shared" si="0"/>
        <v>15900000</v>
      </c>
      <c r="C31" s="472">
        <f t="shared" si="2"/>
        <v>159699.6</v>
      </c>
      <c r="D31" s="472">
        <v>63600</v>
      </c>
      <c r="E31" s="428" t="s">
        <v>1337</v>
      </c>
      <c r="F31" s="472">
        <f>O31</f>
        <v>250</v>
      </c>
      <c r="G31" s="429" t="s">
        <v>135</v>
      </c>
      <c r="H31" s="430" t="s">
        <v>38</v>
      </c>
      <c r="I31" s="431" t="s">
        <v>250</v>
      </c>
      <c r="J31" s="432" t="s">
        <v>251</v>
      </c>
      <c r="K31" s="1288">
        <v>3.18</v>
      </c>
      <c r="M31" s="423"/>
      <c r="N31" s="423"/>
      <c r="O31" s="433">
        <v>250</v>
      </c>
    </row>
    <row r="32" spans="1:15" ht="17.45" customHeight="1">
      <c r="A32" s="471">
        <f t="shared" si="1"/>
        <v>79849800</v>
      </c>
      <c r="B32" s="1287">
        <f t="shared" si="0"/>
        <v>31800000</v>
      </c>
      <c r="C32" s="472">
        <f t="shared" si="2"/>
        <v>159699.6</v>
      </c>
      <c r="D32" s="472">
        <v>63600</v>
      </c>
      <c r="E32" s="428" t="s">
        <v>1337</v>
      </c>
      <c r="F32" s="472">
        <f>O32*2</f>
        <v>500</v>
      </c>
      <c r="G32" s="429" t="s">
        <v>135</v>
      </c>
      <c r="H32" s="430" t="s">
        <v>38</v>
      </c>
      <c r="I32" s="431" t="s">
        <v>255</v>
      </c>
      <c r="J32" s="432" t="s">
        <v>256</v>
      </c>
      <c r="K32" s="1288">
        <v>3.19</v>
      </c>
      <c r="M32" s="423"/>
      <c r="N32" s="423"/>
      <c r="O32" s="433">
        <v>250</v>
      </c>
    </row>
    <row r="33" spans="1:15" ht="17.45" customHeight="1">
      <c r="A33" s="471">
        <f t="shared" si="1"/>
        <v>95819760</v>
      </c>
      <c r="B33" s="1287">
        <f t="shared" si="0"/>
        <v>38160000</v>
      </c>
      <c r="C33" s="472">
        <f t="shared" si="2"/>
        <v>159699.6</v>
      </c>
      <c r="D33" s="472">
        <v>63600</v>
      </c>
      <c r="E33" s="428" t="s">
        <v>1337</v>
      </c>
      <c r="F33" s="472">
        <f>O33*2</f>
        <v>600</v>
      </c>
      <c r="G33" s="429" t="s">
        <v>135</v>
      </c>
      <c r="H33" s="430" t="s">
        <v>38</v>
      </c>
      <c r="I33" s="431" t="s">
        <v>258</v>
      </c>
      <c r="J33" s="432" t="s">
        <v>259</v>
      </c>
      <c r="K33" s="1288">
        <v>3.2</v>
      </c>
      <c r="M33" s="423"/>
      <c r="N33" s="423"/>
      <c r="O33" s="433">
        <v>300</v>
      </c>
    </row>
    <row r="34" spans="1:15" ht="17.45" customHeight="1">
      <c r="A34" s="471">
        <f t="shared" si="1"/>
        <v>39924900</v>
      </c>
      <c r="B34" s="1287">
        <f t="shared" si="0"/>
        <v>15900000</v>
      </c>
      <c r="C34" s="472">
        <f t="shared" si="2"/>
        <v>159699.6</v>
      </c>
      <c r="D34" s="472">
        <v>63600</v>
      </c>
      <c r="E34" s="428" t="s">
        <v>1337</v>
      </c>
      <c r="F34" s="472">
        <f>O34</f>
        <v>250</v>
      </c>
      <c r="G34" s="429" t="s">
        <v>135</v>
      </c>
      <c r="H34" s="430" t="s">
        <v>38</v>
      </c>
      <c r="I34" s="431" t="s">
        <v>261</v>
      </c>
      <c r="J34" s="432" t="s">
        <v>264</v>
      </c>
      <c r="K34" s="1288">
        <v>3.21</v>
      </c>
      <c r="M34" s="423"/>
      <c r="N34" s="423"/>
      <c r="O34" s="433">
        <v>250</v>
      </c>
    </row>
    <row r="35" spans="1:15" ht="17.45" customHeight="1">
      <c r="A35" s="471">
        <f t="shared" si="1"/>
        <v>360077400</v>
      </c>
      <c r="B35" s="1287">
        <f t="shared" si="0"/>
        <v>143400000</v>
      </c>
      <c r="C35" s="472">
        <f t="shared" si="2"/>
        <v>90019.35</v>
      </c>
      <c r="D35" s="472">
        <v>35850</v>
      </c>
      <c r="E35" s="428" t="s">
        <v>1336</v>
      </c>
      <c r="F35" s="472">
        <f>O35*2</f>
        <v>4000</v>
      </c>
      <c r="G35" s="429" t="s">
        <v>135</v>
      </c>
      <c r="H35" s="430" t="s">
        <v>38</v>
      </c>
      <c r="I35" s="431" t="s">
        <v>276</v>
      </c>
      <c r="J35" s="432" t="s">
        <v>267</v>
      </c>
      <c r="K35" s="1288">
        <v>3.22</v>
      </c>
      <c r="M35" s="423"/>
      <c r="N35" s="423"/>
      <c r="O35" s="433">
        <v>2000</v>
      </c>
    </row>
    <row r="36" spans="1:15" ht="17.45" customHeight="1">
      <c r="A36" s="471">
        <f t="shared" si="1"/>
        <v>288915660</v>
      </c>
      <c r="B36" s="1287">
        <f t="shared" si="0"/>
        <v>115060000</v>
      </c>
      <c r="C36" s="472">
        <f t="shared" si="2"/>
        <v>52530.12</v>
      </c>
      <c r="D36" s="472">
        <v>20920</v>
      </c>
      <c r="E36" s="428" t="s">
        <v>1341</v>
      </c>
      <c r="F36" s="472">
        <f>O36</f>
        <v>5500</v>
      </c>
      <c r="G36" s="429" t="s">
        <v>135</v>
      </c>
      <c r="H36" s="430" t="s">
        <v>38</v>
      </c>
      <c r="I36" s="431" t="s">
        <v>269</v>
      </c>
      <c r="J36" s="432" t="s">
        <v>270</v>
      </c>
      <c r="K36" s="1288">
        <v>3.23</v>
      </c>
      <c r="M36" s="423"/>
      <c r="N36" s="423"/>
      <c r="O36" s="433">
        <v>5500</v>
      </c>
    </row>
    <row r="37" spans="1:15" ht="17.45" customHeight="1">
      <c r="A37" s="471">
        <f t="shared" si="1"/>
        <v>127759680</v>
      </c>
      <c r="B37" s="1287">
        <f t="shared" si="0"/>
        <v>50880000</v>
      </c>
      <c r="C37" s="472">
        <f t="shared" si="2"/>
        <v>159699.6</v>
      </c>
      <c r="D37" s="472">
        <v>63600</v>
      </c>
      <c r="E37" s="428" t="s">
        <v>1337</v>
      </c>
      <c r="F37" s="472">
        <f>O37*2</f>
        <v>800</v>
      </c>
      <c r="G37" s="429" t="s">
        <v>135</v>
      </c>
      <c r="H37" s="430" t="s">
        <v>38</v>
      </c>
      <c r="I37" s="431" t="s">
        <v>271</v>
      </c>
      <c r="J37" s="432" t="s">
        <v>272</v>
      </c>
      <c r="K37" s="1288">
        <v>3.24</v>
      </c>
      <c r="M37" s="423"/>
      <c r="N37" s="423"/>
      <c r="O37" s="433">
        <v>400</v>
      </c>
    </row>
    <row r="38" spans="1:15" ht="17.45" customHeight="1">
      <c r="A38" s="471">
        <f t="shared" si="1"/>
        <v>127759680</v>
      </c>
      <c r="B38" s="1287">
        <f t="shared" si="0"/>
        <v>50880000</v>
      </c>
      <c r="C38" s="472">
        <f t="shared" si="2"/>
        <v>159699.6</v>
      </c>
      <c r="D38" s="472">
        <v>63600</v>
      </c>
      <c r="E38" s="428" t="s">
        <v>1337</v>
      </c>
      <c r="F38" s="472">
        <f>O38*2</f>
        <v>800</v>
      </c>
      <c r="G38" s="429" t="s">
        <v>135</v>
      </c>
      <c r="H38" s="430" t="s">
        <v>38</v>
      </c>
      <c r="I38" s="431" t="s">
        <v>283</v>
      </c>
      <c r="J38" s="432" t="s">
        <v>284</v>
      </c>
      <c r="K38" s="1288">
        <v>3.25</v>
      </c>
      <c r="M38" s="423"/>
      <c r="N38" s="423"/>
      <c r="O38" s="433">
        <v>400</v>
      </c>
    </row>
    <row r="39" spans="1:15" ht="17.45" customHeight="1">
      <c r="A39" s="471"/>
      <c r="B39" s="1287">
        <f t="shared" si="0"/>
        <v>0</v>
      </c>
      <c r="C39" s="472"/>
      <c r="D39" s="472"/>
      <c r="E39" s="428"/>
      <c r="F39" s="472"/>
      <c r="G39" s="429"/>
      <c r="H39" s="430"/>
      <c r="I39" s="431"/>
      <c r="J39" s="432" t="s">
        <v>1342</v>
      </c>
      <c r="K39" s="476">
        <v>4</v>
      </c>
      <c r="M39" s="423"/>
      <c r="N39" s="423"/>
      <c r="O39" s="433"/>
    </row>
    <row r="40" spans="1:15" ht="17.45" customHeight="1">
      <c r="A40" s="471">
        <f t="shared" ref="A40:A54" si="3">C40*F40</f>
        <v>1453241250</v>
      </c>
      <c r="B40" s="1287">
        <f t="shared" si="0"/>
        <v>578750000</v>
      </c>
      <c r="C40" s="472">
        <f t="shared" ref="C40:C54" si="4">D40*$N$19</f>
        <v>58129.65</v>
      </c>
      <c r="D40" s="472">
        <v>23150</v>
      </c>
      <c r="E40" s="436" t="s">
        <v>1343</v>
      </c>
      <c r="F40" s="472">
        <f>O40</f>
        <v>25000</v>
      </c>
      <c r="G40" s="429" t="s">
        <v>123</v>
      </c>
      <c r="H40" s="430" t="s">
        <v>158</v>
      </c>
      <c r="I40" s="431">
        <v>-101</v>
      </c>
      <c r="J40" s="432" t="s">
        <v>159</v>
      </c>
      <c r="K40" s="1288">
        <v>4.0999999999999996</v>
      </c>
      <c r="M40" s="423"/>
      <c r="N40" s="423"/>
      <c r="O40" s="433">
        <v>25000</v>
      </c>
    </row>
    <row r="41" spans="1:15" ht="17.45" customHeight="1">
      <c r="A41" s="471">
        <f t="shared" si="3"/>
        <v>2906482500</v>
      </c>
      <c r="B41" s="1287">
        <f t="shared" si="0"/>
        <v>1157500000</v>
      </c>
      <c r="C41" s="472">
        <f t="shared" si="4"/>
        <v>58129.65</v>
      </c>
      <c r="D41" s="472">
        <v>23150</v>
      </c>
      <c r="E41" s="436" t="s">
        <v>1343</v>
      </c>
      <c r="F41" s="472">
        <f>O41</f>
        <v>50000</v>
      </c>
      <c r="G41" s="429" t="s">
        <v>135</v>
      </c>
      <c r="H41" s="430" t="s">
        <v>158</v>
      </c>
      <c r="I41" s="431" t="s">
        <v>182</v>
      </c>
      <c r="J41" s="432" t="s">
        <v>183</v>
      </c>
      <c r="K41" s="1288">
        <v>4.2</v>
      </c>
      <c r="M41" s="423"/>
      <c r="N41" s="423"/>
      <c r="O41" s="433">
        <v>50000</v>
      </c>
    </row>
    <row r="42" spans="1:15" ht="17.45" customHeight="1">
      <c r="A42" s="471">
        <f t="shared" si="3"/>
        <v>1453241250</v>
      </c>
      <c r="B42" s="1287">
        <f t="shared" si="0"/>
        <v>578750000</v>
      </c>
      <c r="C42" s="472">
        <f t="shared" si="4"/>
        <v>58129.65</v>
      </c>
      <c r="D42" s="472">
        <v>23150</v>
      </c>
      <c r="E42" s="436" t="s">
        <v>1343</v>
      </c>
      <c r="F42" s="472">
        <f>O42</f>
        <v>25000</v>
      </c>
      <c r="G42" s="429" t="s">
        <v>135</v>
      </c>
      <c r="H42" s="430" t="s">
        <v>158</v>
      </c>
      <c r="I42" s="431" t="s">
        <v>185</v>
      </c>
      <c r="J42" s="432" t="s">
        <v>186</v>
      </c>
      <c r="K42" s="1288">
        <v>4.3</v>
      </c>
      <c r="M42" s="423"/>
      <c r="N42" s="423"/>
      <c r="O42" s="433">
        <v>25000</v>
      </c>
    </row>
    <row r="43" spans="1:15" ht="17.45" customHeight="1">
      <c r="A43" s="471">
        <f t="shared" si="3"/>
        <v>846141714</v>
      </c>
      <c r="B43" s="1287">
        <f t="shared" si="0"/>
        <v>336974000</v>
      </c>
      <c r="C43" s="472">
        <f t="shared" si="4"/>
        <v>79824.69</v>
      </c>
      <c r="D43" s="472">
        <v>31790</v>
      </c>
      <c r="E43" s="428" t="s">
        <v>4431</v>
      </c>
      <c r="F43" s="472">
        <f>O43*2</f>
        <v>10600</v>
      </c>
      <c r="G43" s="429" t="s">
        <v>135</v>
      </c>
      <c r="H43" s="430" t="s">
        <v>158</v>
      </c>
      <c r="I43" s="431" t="s">
        <v>197</v>
      </c>
      <c r="J43" s="432" t="s">
        <v>198</v>
      </c>
      <c r="K43" s="1288">
        <v>4.4000000000000004</v>
      </c>
      <c r="M43" s="423"/>
      <c r="N43" s="423"/>
      <c r="O43" s="433">
        <v>5300</v>
      </c>
    </row>
    <row r="44" spans="1:15" ht="17.45" customHeight="1">
      <c r="A44" s="471">
        <f t="shared" si="3"/>
        <v>77037480.000000015</v>
      </c>
      <c r="B44" s="1287">
        <f t="shared" si="0"/>
        <v>30680000</v>
      </c>
      <c r="C44" s="472">
        <f t="shared" si="4"/>
        <v>77037.48000000001</v>
      </c>
      <c r="D44" s="472">
        <v>30680</v>
      </c>
      <c r="E44" s="428" t="s">
        <v>1344</v>
      </c>
      <c r="F44" s="472">
        <f>O44</f>
        <v>1000</v>
      </c>
      <c r="G44" s="429" t="s">
        <v>135</v>
      </c>
      <c r="H44" s="430" t="s">
        <v>158</v>
      </c>
      <c r="I44" s="431" t="s">
        <v>200</v>
      </c>
      <c r="J44" s="432" t="s">
        <v>201</v>
      </c>
      <c r="K44" s="1288">
        <v>4.5</v>
      </c>
      <c r="M44" s="423"/>
      <c r="N44" s="423"/>
      <c r="O44" s="433">
        <v>1000</v>
      </c>
    </row>
    <row r="45" spans="1:15" ht="17.45" customHeight="1">
      <c r="A45" s="471">
        <f t="shared" si="3"/>
        <v>894639168</v>
      </c>
      <c r="B45" s="1287">
        <f t="shared" si="0"/>
        <v>356288000</v>
      </c>
      <c r="C45" s="472">
        <f t="shared" si="4"/>
        <v>117715.68000000001</v>
      </c>
      <c r="D45" s="472">
        <v>46880</v>
      </c>
      <c r="E45" s="428" t="s">
        <v>4432</v>
      </c>
      <c r="F45" s="472">
        <f>O45*2</f>
        <v>7600</v>
      </c>
      <c r="G45" s="429" t="s">
        <v>135</v>
      </c>
      <c r="H45" s="430" t="s">
        <v>158</v>
      </c>
      <c r="I45" s="431" t="s">
        <v>118</v>
      </c>
      <c r="J45" s="432" t="s">
        <v>198</v>
      </c>
      <c r="K45" s="1288">
        <v>4.5999999999999996</v>
      </c>
      <c r="M45" s="423"/>
      <c r="N45" s="423"/>
      <c r="O45" s="433">
        <v>3800</v>
      </c>
    </row>
    <row r="46" spans="1:15" ht="17.45" customHeight="1">
      <c r="A46" s="471">
        <f t="shared" si="3"/>
        <v>77037480.000000015</v>
      </c>
      <c r="B46" s="1287">
        <f t="shared" si="0"/>
        <v>30680000</v>
      </c>
      <c r="C46" s="472">
        <f t="shared" si="4"/>
        <v>77037.48000000001</v>
      </c>
      <c r="D46" s="472">
        <v>30680</v>
      </c>
      <c r="E46" s="428" t="s">
        <v>1344</v>
      </c>
      <c r="F46" s="472">
        <f>O46</f>
        <v>1000</v>
      </c>
      <c r="G46" s="429" t="s">
        <v>135</v>
      </c>
      <c r="H46" s="430" t="s">
        <v>158</v>
      </c>
      <c r="I46" s="431" t="s">
        <v>132</v>
      </c>
      <c r="J46" s="432" t="s">
        <v>201</v>
      </c>
      <c r="K46" s="1288">
        <v>4.7</v>
      </c>
      <c r="M46" s="423"/>
      <c r="N46" s="423"/>
      <c r="O46" s="433">
        <v>1000</v>
      </c>
    </row>
    <row r="47" spans="1:15" ht="17.45" customHeight="1">
      <c r="A47" s="471">
        <f t="shared" si="3"/>
        <v>201959730</v>
      </c>
      <c r="B47" s="1287">
        <f t="shared" si="0"/>
        <v>80430000</v>
      </c>
      <c r="C47" s="472">
        <f t="shared" si="4"/>
        <v>67319.91</v>
      </c>
      <c r="D47" s="472">
        <v>26810</v>
      </c>
      <c r="E47" s="436" t="s">
        <v>1345</v>
      </c>
      <c r="F47" s="472">
        <f>O47</f>
        <v>3000</v>
      </c>
      <c r="G47" s="429" t="s">
        <v>135</v>
      </c>
      <c r="H47" s="430" t="s">
        <v>158</v>
      </c>
      <c r="I47" s="431" t="s">
        <v>208</v>
      </c>
      <c r="J47" s="432" t="s">
        <v>209</v>
      </c>
      <c r="K47" s="1288">
        <v>4.8</v>
      </c>
      <c r="M47" s="423"/>
      <c r="N47" s="423"/>
      <c r="O47" s="433">
        <v>3000</v>
      </c>
    </row>
    <row r="48" spans="1:15" ht="17.45" customHeight="1">
      <c r="A48" s="471">
        <f t="shared" si="3"/>
        <v>403919460</v>
      </c>
      <c r="B48" s="1287">
        <f t="shared" si="0"/>
        <v>160860000</v>
      </c>
      <c r="C48" s="472">
        <f t="shared" si="4"/>
        <v>67319.91</v>
      </c>
      <c r="D48" s="472">
        <v>26810</v>
      </c>
      <c r="E48" s="436" t="s">
        <v>1345</v>
      </c>
      <c r="F48" s="472">
        <f>O48*2</f>
        <v>6000</v>
      </c>
      <c r="G48" s="429" t="s">
        <v>135</v>
      </c>
      <c r="H48" s="430" t="s">
        <v>158</v>
      </c>
      <c r="I48" s="431" t="s">
        <v>211</v>
      </c>
      <c r="J48" s="432" t="s">
        <v>209</v>
      </c>
      <c r="K48" s="1288">
        <v>4.9000000000000004</v>
      </c>
      <c r="M48" s="423"/>
      <c r="N48" s="423"/>
      <c r="O48" s="433">
        <v>3000</v>
      </c>
    </row>
    <row r="49" spans="1:15" ht="17.45" customHeight="1">
      <c r="A49" s="471">
        <f t="shared" si="3"/>
        <v>154074960.00000003</v>
      </c>
      <c r="B49" s="1287">
        <f t="shared" si="0"/>
        <v>61360000</v>
      </c>
      <c r="C49" s="472">
        <f t="shared" si="4"/>
        <v>77037.48000000001</v>
      </c>
      <c r="D49" s="472">
        <v>30680</v>
      </c>
      <c r="E49" s="428" t="s">
        <v>1344</v>
      </c>
      <c r="F49" s="472">
        <f>O49</f>
        <v>2000</v>
      </c>
      <c r="G49" s="429" t="s">
        <v>135</v>
      </c>
      <c r="H49" s="430" t="s">
        <v>158</v>
      </c>
      <c r="I49" s="431">
        <v>-503</v>
      </c>
      <c r="J49" s="435" t="s">
        <v>213</v>
      </c>
      <c r="K49" s="1288" t="s">
        <v>1346</v>
      </c>
      <c r="M49" s="423"/>
      <c r="N49" s="423"/>
      <c r="O49" s="433">
        <v>2000</v>
      </c>
    </row>
    <row r="50" spans="1:15" ht="17.45" customHeight="1">
      <c r="A50" s="471">
        <f t="shared" si="3"/>
        <v>201959730</v>
      </c>
      <c r="B50" s="1287">
        <f t="shared" si="0"/>
        <v>80430000</v>
      </c>
      <c r="C50" s="472">
        <f t="shared" si="4"/>
        <v>67319.91</v>
      </c>
      <c r="D50" s="472">
        <v>26810</v>
      </c>
      <c r="E50" s="436" t="s">
        <v>1345</v>
      </c>
      <c r="F50" s="472">
        <f>O50</f>
        <v>3000</v>
      </c>
      <c r="G50" s="429" t="s">
        <v>135</v>
      </c>
      <c r="H50" s="430" t="s">
        <v>158</v>
      </c>
      <c r="I50" s="431">
        <v>-504</v>
      </c>
      <c r="J50" s="435" t="s">
        <v>215</v>
      </c>
      <c r="K50" s="1288">
        <v>4.1100000000000003</v>
      </c>
      <c r="M50" s="423"/>
      <c r="N50" s="423"/>
      <c r="O50" s="433">
        <v>3000</v>
      </c>
    </row>
    <row r="51" spans="1:15" ht="17.45" customHeight="1">
      <c r="A51" s="471">
        <f t="shared" si="3"/>
        <v>201959730</v>
      </c>
      <c r="B51" s="1287">
        <f t="shared" si="0"/>
        <v>80430000</v>
      </c>
      <c r="C51" s="472">
        <f t="shared" si="4"/>
        <v>67319.91</v>
      </c>
      <c r="D51" s="472">
        <v>26810</v>
      </c>
      <c r="E51" s="436" t="s">
        <v>1345</v>
      </c>
      <c r="F51" s="472">
        <f>O51</f>
        <v>3000</v>
      </c>
      <c r="G51" s="429" t="s">
        <v>135</v>
      </c>
      <c r="H51" s="430" t="s">
        <v>158</v>
      </c>
      <c r="I51" s="431">
        <v>-505</v>
      </c>
      <c r="J51" s="435" t="s">
        <v>217</v>
      </c>
      <c r="K51" s="1288">
        <v>4.12</v>
      </c>
      <c r="M51" s="423"/>
      <c r="N51" s="423"/>
      <c r="O51" s="433">
        <v>3000</v>
      </c>
    </row>
    <row r="52" spans="1:15" ht="17.45" customHeight="1">
      <c r="A52" s="471">
        <f t="shared" si="3"/>
        <v>348777900</v>
      </c>
      <c r="B52" s="1287">
        <f t="shared" si="0"/>
        <v>138900000</v>
      </c>
      <c r="C52" s="472">
        <f t="shared" si="4"/>
        <v>58129.65</v>
      </c>
      <c r="D52" s="472">
        <v>23150</v>
      </c>
      <c r="E52" s="436" t="s">
        <v>1343</v>
      </c>
      <c r="F52" s="472">
        <f>O52*2</f>
        <v>6000</v>
      </c>
      <c r="G52" s="429" t="s">
        <v>135</v>
      </c>
      <c r="H52" s="430" t="s">
        <v>158</v>
      </c>
      <c r="I52" s="431" t="s">
        <v>218</v>
      </c>
      <c r="J52" s="432" t="s">
        <v>219</v>
      </c>
      <c r="K52" s="1288">
        <v>4.13</v>
      </c>
      <c r="M52" s="423"/>
      <c r="N52" s="423"/>
      <c r="O52" s="433">
        <v>3000</v>
      </c>
    </row>
    <row r="53" spans="1:15" ht="17.45" customHeight="1">
      <c r="A53" s="471">
        <f t="shared" si="3"/>
        <v>348777900</v>
      </c>
      <c r="B53" s="1287">
        <f t="shared" si="0"/>
        <v>138900000</v>
      </c>
      <c r="C53" s="472">
        <f t="shared" si="4"/>
        <v>58129.65</v>
      </c>
      <c r="D53" s="472">
        <v>23150</v>
      </c>
      <c r="E53" s="436" t="s">
        <v>1343</v>
      </c>
      <c r="F53" s="472">
        <f>O53*2</f>
        <v>6000</v>
      </c>
      <c r="G53" s="429" t="s">
        <v>135</v>
      </c>
      <c r="H53" s="430" t="s">
        <v>158</v>
      </c>
      <c r="I53" s="431" t="s">
        <v>221</v>
      </c>
      <c r="J53" s="432" t="s">
        <v>222</v>
      </c>
      <c r="K53" s="1288">
        <v>4.1399999999999997</v>
      </c>
      <c r="M53" s="423"/>
      <c r="N53" s="423"/>
      <c r="O53" s="433">
        <v>3000</v>
      </c>
    </row>
    <row r="54" spans="1:15" ht="17.45" customHeight="1">
      <c r="A54" s="471">
        <f t="shared" si="3"/>
        <v>201959730</v>
      </c>
      <c r="B54" s="1287">
        <f t="shared" si="0"/>
        <v>80430000</v>
      </c>
      <c r="C54" s="472">
        <f t="shared" si="4"/>
        <v>67319.91</v>
      </c>
      <c r="D54" s="472">
        <v>26810</v>
      </c>
      <c r="E54" s="436" t="s">
        <v>1345</v>
      </c>
      <c r="F54" s="472">
        <f>O54</f>
        <v>3000</v>
      </c>
      <c r="G54" s="429" t="s">
        <v>135</v>
      </c>
      <c r="H54" s="430" t="s">
        <v>158</v>
      </c>
      <c r="I54" s="431" t="s">
        <v>223</v>
      </c>
      <c r="J54" s="432" t="s">
        <v>224</v>
      </c>
      <c r="K54" s="1288">
        <v>4.1500000000000004</v>
      </c>
      <c r="M54" s="423"/>
      <c r="N54" s="423"/>
      <c r="O54" s="433">
        <v>3000</v>
      </c>
    </row>
    <row r="55" spans="1:15" ht="17.45" customHeight="1">
      <c r="A55" s="471"/>
      <c r="B55" s="1287">
        <f t="shared" si="0"/>
        <v>0</v>
      </c>
      <c r="C55" s="472"/>
      <c r="D55" s="472"/>
      <c r="E55" s="428"/>
      <c r="F55" s="472"/>
      <c r="G55" s="429"/>
      <c r="H55" s="430"/>
      <c r="I55" s="431"/>
      <c r="J55" s="432" t="s">
        <v>1347</v>
      </c>
      <c r="K55" s="476">
        <v>5</v>
      </c>
      <c r="M55" s="423"/>
      <c r="N55" s="423"/>
      <c r="O55" s="433"/>
    </row>
    <row r="56" spans="1:15" ht="17.45" customHeight="1">
      <c r="A56" s="471">
        <f t="shared" ref="A56:A62" si="5">C56*F56</f>
        <v>250740927</v>
      </c>
      <c r="B56" s="1287">
        <f t="shared" si="0"/>
        <v>99857000</v>
      </c>
      <c r="C56" s="472">
        <f t="shared" ref="C56:C62" si="6">D56*$N$19</f>
        <v>41105.07</v>
      </c>
      <c r="D56" s="472">
        <v>16370</v>
      </c>
      <c r="E56" s="428" t="s">
        <v>1333</v>
      </c>
      <c r="F56" s="472">
        <f t="shared" ref="F56:F61" si="7">O56</f>
        <v>6100</v>
      </c>
      <c r="G56" s="437" t="s">
        <v>135</v>
      </c>
      <c r="H56" s="430" t="s">
        <v>147</v>
      </c>
      <c r="I56" s="431" t="s">
        <v>226</v>
      </c>
      <c r="J56" s="432" t="s">
        <v>227</v>
      </c>
      <c r="K56" s="1288">
        <v>5.0999999999999996</v>
      </c>
      <c r="M56" s="423"/>
      <c r="N56" s="423"/>
      <c r="O56" s="433">
        <v>6100</v>
      </c>
    </row>
    <row r="57" spans="1:15" ht="17.45" customHeight="1">
      <c r="A57" s="471">
        <f t="shared" si="5"/>
        <v>49391370</v>
      </c>
      <c r="B57" s="1287">
        <f t="shared" si="0"/>
        <v>19670000</v>
      </c>
      <c r="C57" s="472">
        <f t="shared" si="6"/>
        <v>49391.37</v>
      </c>
      <c r="D57" s="472">
        <v>19670</v>
      </c>
      <c r="E57" s="428" t="s">
        <v>1348</v>
      </c>
      <c r="F57" s="472">
        <f t="shared" si="7"/>
        <v>1000</v>
      </c>
      <c r="G57" s="437" t="s">
        <v>135</v>
      </c>
      <c r="H57" s="430" t="s">
        <v>147</v>
      </c>
      <c r="I57" s="431" t="s">
        <v>191</v>
      </c>
      <c r="J57" s="432" t="s">
        <v>192</v>
      </c>
      <c r="K57" s="1288">
        <v>5.2</v>
      </c>
      <c r="M57" s="423"/>
      <c r="N57" s="423"/>
      <c r="O57" s="433">
        <v>1000</v>
      </c>
    </row>
    <row r="58" spans="1:15" ht="17.45" customHeight="1">
      <c r="A58" s="471">
        <f t="shared" si="5"/>
        <v>702904230</v>
      </c>
      <c r="B58" s="1287">
        <f t="shared" si="0"/>
        <v>279930000</v>
      </c>
      <c r="C58" s="472">
        <f t="shared" si="6"/>
        <v>54488.700000000004</v>
      </c>
      <c r="D58" s="472">
        <v>21700</v>
      </c>
      <c r="E58" s="428" t="s">
        <v>1349</v>
      </c>
      <c r="F58" s="472">
        <f t="shared" si="7"/>
        <v>12900</v>
      </c>
      <c r="G58" s="437" t="s">
        <v>135</v>
      </c>
      <c r="H58" s="430" t="s">
        <v>147</v>
      </c>
      <c r="I58" s="431" t="s">
        <v>194</v>
      </c>
      <c r="J58" s="432" t="s">
        <v>195</v>
      </c>
      <c r="K58" s="1288">
        <v>5.3</v>
      </c>
      <c r="M58" s="423"/>
      <c r="N58" s="423"/>
      <c r="O58" s="433">
        <v>12900</v>
      </c>
    </row>
    <row r="59" spans="1:15" ht="17.45" customHeight="1">
      <c r="A59" s="471">
        <f t="shared" si="5"/>
        <v>11680820460</v>
      </c>
      <c r="B59" s="1287">
        <f t="shared" si="0"/>
        <v>4651860000</v>
      </c>
      <c r="C59" s="472">
        <f t="shared" si="6"/>
        <v>47483.01</v>
      </c>
      <c r="D59" s="472">
        <v>18910</v>
      </c>
      <c r="E59" s="428" t="s">
        <v>1350</v>
      </c>
      <c r="F59" s="472">
        <f t="shared" si="7"/>
        <v>246000</v>
      </c>
      <c r="G59" s="437" t="s">
        <v>135</v>
      </c>
      <c r="H59" s="430" t="s">
        <v>147</v>
      </c>
      <c r="I59" s="431" t="s">
        <v>114</v>
      </c>
      <c r="J59" s="432" t="s">
        <v>148</v>
      </c>
      <c r="K59" s="1288">
        <v>5.4</v>
      </c>
      <c r="M59" s="423"/>
      <c r="N59" s="423"/>
      <c r="O59" s="433">
        <v>246000</v>
      </c>
    </row>
    <row r="60" spans="1:15" ht="17.45" customHeight="1">
      <c r="A60" s="471">
        <f t="shared" si="5"/>
        <v>1091843064</v>
      </c>
      <c r="B60" s="1287">
        <f t="shared" si="0"/>
        <v>434824000</v>
      </c>
      <c r="C60" s="472">
        <f t="shared" si="6"/>
        <v>36886.590000000004</v>
      </c>
      <c r="D60" s="472">
        <v>14690</v>
      </c>
      <c r="E60" s="428" t="s">
        <v>1351</v>
      </c>
      <c r="F60" s="472">
        <f t="shared" si="7"/>
        <v>29600</v>
      </c>
      <c r="G60" s="437" t="s">
        <v>135</v>
      </c>
      <c r="H60" s="430" t="s">
        <v>147</v>
      </c>
      <c r="I60" s="431" t="s">
        <v>241</v>
      </c>
      <c r="J60" s="432" t="s">
        <v>242</v>
      </c>
      <c r="K60" s="1288">
        <v>5.5</v>
      </c>
      <c r="M60" s="423"/>
      <c r="N60" s="423"/>
      <c r="O60" s="433">
        <v>29600</v>
      </c>
    </row>
    <row r="61" spans="1:15" ht="17.45" customHeight="1">
      <c r="A61" s="471">
        <f t="shared" si="5"/>
        <v>171704691</v>
      </c>
      <c r="B61" s="1287">
        <f t="shared" si="0"/>
        <v>68381000</v>
      </c>
      <c r="C61" s="472">
        <f t="shared" si="6"/>
        <v>28148.31</v>
      </c>
      <c r="D61" s="472">
        <v>11210</v>
      </c>
      <c r="E61" s="428" t="s">
        <v>4433</v>
      </c>
      <c r="F61" s="472">
        <f t="shared" si="7"/>
        <v>6100</v>
      </c>
      <c r="G61" s="437" t="s">
        <v>135</v>
      </c>
      <c r="H61" s="430" t="s">
        <v>147</v>
      </c>
      <c r="I61" s="431" t="s">
        <v>261</v>
      </c>
      <c r="J61" s="432" t="s">
        <v>262</v>
      </c>
      <c r="K61" s="1288">
        <v>5.6</v>
      </c>
      <c r="M61" s="423"/>
      <c r="N61" s="423"/>
      <c r="O61" s="433">
        <v>6100</v>
      </c>
    </row>
    <row r="62" spans="1:15" ht="17.45" customHeight="1">
      <c r="A62" s="471">
        <f t="shared" si="5"/>
        <v>811504980.00000012</v>
      </c>
      <c r="B62" s="1287">
        <f t="shared" si="0"/>
        <v>323180000</v>
      </c>
      <c r="C62" s="472">
        <f t="shared" si="6"/>
        <v>36886.590000000004</v>
      </c>
      <c r="D62" s="472">
        <v>14690</v>
      </c>
      <c r="E62" s="428" t="s">
        <v>1351</v>
      </c>
      <c r="F62" s="472">
        <v>22000</v>
      </c>
      <c r="G62" s="437" t="s">
        <v>135</v>
      </c>
      <c r="H62" s="430"/>
      <c r="I62" s="431"/>
      <c r="J62" s="432" t="s">
        <v>1352</v>
      </c>
      <c r="K62" s="1288">
        <v>5.7</v>
      </c>
      <c r="M62" s="423"/>
      <c r="N62" s="423"/>
      <c r="O62" s="433"/>
    </row>
    <row r="63" spans="1:15" ht="17.45" customHeight="1">
      <c r="A63" s="471"/>
      <c r="B63" s="1287">
        <f t="shared" si="0"/>
        <v>0</v>
      </c>
      <c r="C63" s="472"/>
      <c r="D63" s="472"/>
      <c r="E63" s="428"/>
      <c r="F63" s="472"/>
      <c r="G63" s="437"/>
      <c r="H63" s="430"/>
      <c r="I63" s="431"/>
      <c r="J63" s="432" t="s">
        <v>1353</v>
      </c>
      <c r="K63" s="476">
        <v>6</v>
      </c>
      <c r="M63" s="423"/>
      <c r="N63" s="423"/>
      <c r="O63" s="433"/>
    </row>
    <row r="64" spans="1:15" ht="17.45" customHeight="1">
      <c r="A64" s="471">
        <f>C64*F64</f>
        <v>275779288.17000002</v>
      </c>
      <c r="B64" s="1287">
        <f t="shared" si="0"/>
        <v>109828470</v>
      </c>
      <c r="C64" s="472">
        <f>D64*$N$19</f>
        <v>91926429.390000001</v>
      </c>
      <c r="D64" s="472">
        <v>36609490</v>
      </c>
      <c r="E64" s="428" t="s">
        <v>1354</v>
      </c>
      <c r="F64" s="472">
        <v>3</v>
      </c>
      <c r="G64" s="429" t="s">
        <v>135</v>
      </c>
      <c r="H64" s="430" t="s">
        <v>158</v>
      </c>
      <c r="I64" s="431">
        <v>-602</v>
      </c>
      <c r="J64" s="432" t="s">
        <v>232</v>
      </c>
      <c r="K64" s="1288">
        <v>6.1</v>
      </c>
      <c r="M64" s="423"/>
      <c r="N64" s="423"/>
      <c r="O64" s="433">
        <v>3000</v>
      </c>
    </row>
    <row r="65" spans="1:15" ht="17.45" customHeight="1">
      <c r="A65" s="471">
        <f>C65*F65</f>
        <v>229816073.47499999</v>
      </c>
      <c r="B65" s="1287">
        <f t="shared" si="0"/>
        <v>91523725</v>
      </c>
      <c r="C65" s="472">
        <f>D65*$N$19</f>
        <v>91926429.390000001</v>
      </c>
      <c r="D65" s="472">
        <v>36609490</v>
      </c>
      <c r="E65" s="428" t="s">
        <v>1354</v>
      </c>
      <c r="F65" s="472">
        <v>2.5</v>
      </c>
      <c r="G65" s="429" t="s">
        <v>135</v>
      </c>
      <c r="H65" s="430" t="s">
        <v>158</v>
      </c>
      <c r="I65" s="431">
        <v>-603</v>
      </c>
      <c r="J65" s="432" t="s">
        <v>233</v>
      </c>
      <c r="K65" s="1288">
        <v>6.2</v>
      </c>
      <c r="M65" s="423"/>
      <c r="N65" s="423"/>
      <c r="O65" s="433">
        <v>2500</v>
      </c>
    </row>
    <row r="66" spans="1:15" ht="17.45" customHeight="1">
      <c r="A66" s="471"/>
      <c r="B66" s="1287">
        <f t="shared" si="0"/>
        <v>0</v>
      </c>
      <c r="C66" s="472"/>
      <c r="D66" s="472"/>
      <c r="E66" s="428"/>
      <c r="F66" s="472"/>
      <c r="G66" s="429"/>
      <c r="H66" s="430"/>
      <c r="I66" s="431"/>
      <c r="J66" s="432" t="s">
        <v>1355</v>
      </c>
      <c r="K66" s="476">
        <v>7</v>
      </c>
      <c r="M66" s="423"/>
      <c r="N66" s="423"/>
      <c r="O66" s="433"/>
    </row>
    <row r="67" spans="1:15" ht="17.45" customHeight="1">
      <c r="A67" s="471">
        <f>C67*60</f>
        <v>3737274973.2000003</v>
      </c>
      <c r="B67" s="1287">
        <f>ROUND(12*5*D67,0)</f>
        <v>1488361200</v>
      </c>
      <c r="C67" s="472">
        <f>D67*$N$19</f>
        <v>62287916.220000006</v>
      </c>
      <c r="D67" s="472">
        <v>24806020</v>
      </c>
      <c r="E67" s="428" t="s">
        <v>1356</v>
      </c>
      <c r="F67" s="472" t="s">
        <v>1357</v>
      </c>
      <c r="G67" s="429" t="s">
        <v>1331</v>
      </c>
      <c r="H67" s="430" t="s">
        <v>288</v>
      </c>
      <c r="I67" s="431" t="s">
        <v>1358</v>
      </c>
      <c r="J67" s="438" t="s">
        <v>286</v>
      </c>
      <c r="K67" s="1288">
        <v>7.1</v>
      </c>
      <c r="M67" s="423"/>
      <c r="N67" s="423"/>
      <c r="O67" s="433">
        <v>40</v>
      </c>
    </row>
    <row r="68" spans="1:15" ht="17.45" customHeight="1">
      <c r="A68" s="471"/>
      <c r="B68" s="1287">
        <f t="shared" si="0"/>
        <v>0</v>
      </c>
      <c r="C68" s="472"/>
      <c r="D68" s="472"/>
      <c r="E68" s="428"/>
      <c r="F68" s="472"/>
      <c r="G68" s="429"/>
      <c r="H68" s="430"/>
      <c r="I68" s="431"/>
      <c r="J68" s="439" t="s">
        <v>1359</v>
      </c>
      <c r="K68" s="476">
        <v>8</v>
      </c>
      <c r="M68" s="423"/>
      <c r="N68" s="423"/>
      <c r="O68" s="433"/>
    </row>
    <row r="69" spans="1:15" ht="17.45" customHeight="1">
      <c r="A69" s="471"/>
      <c r="B69" s="1287">
        <f t="shared" si="0"/>
        <v>0</v>
      </c>
      <c r="C69" s="472"/>
      <c r="D69" s="472"/>
      <c r="E69" s="428"/>
      <c r="F69" s="472"/>
      <c r="G69" s="437"/>
      <c r="H69" s="430" t="s">
        <v>131</v>
      </c>
      <c r="I69" s="431" t="s">
        <v>132</v>
      </c>
      <c r="J69" s="440" t="s">
        <v>1360</v>
      </c>
      <c r="K69" s="1288">
        <v>8.1</v>
      </c>
      <c r="L69" s="1289" t="s">
        <v>1361</v>
      </c>
      <c r="M69" s="441">
        <v>25</v>
      </c>
      <c r="N69" s="442">
        <v>216500</v>
      </c>
      <c r="O69" s="470"/>
    </row>
    <row r="70" spans="1:15" ht="17.45" customHeight="1">
      <c r="A70" s="471">
        <f t="shared" ref="A70:A190" si="8">C70*F70</f>
        <v>842009085.09000003</v>
      </c>
      <c r="B70" s="1287">
        <f t="shared" si="0"/>
        <v>335328190</v>
      </c>
      <c r="C70" s="472">
        <f t="shared" ref="C70:C225" si="9">D70*$N$19</f>
        <v>3889187.46</v>
      </c>
      <c r="D70" s="472">
        <v>1548860</v>
      </c>
      <c r="E70" s="428" t="s">
        <v>1362</v>
      </c>
      <c r="F70" s="1290">
        <f>N69/1000</f>
        <v>216.5</v>
      </c>
      <c r="G70" s="437" t="s">
        <v>1363</v>
      </c>
      <c r="H70" s="430"/>
      <c r="I70" s="431"/>
      <c r="J70" s="432" t="s">
        <v>1364</v>
      </c>
      <c r="K70" s="476" t="s">
        <v>1365</v>
      </c>
      <c r="L70" s="1289" t="s">
        <v>1366</v>
      </c>
      <c r="M70" s="422">
        <v>15</v>
      </c>
      <c r="N70" s="433"/>
      <c r="O70" s="1291"/>
    </row>
    <row r="71" spans="1:15" ht="17.45" customHeight="1">
      <c r="A71" s="471">
        <f t="shared" si="8"/>
        <v>5492428728.651967</v>
      </c>
      <c r="B71" s="1287">
        <f t="shared" ref="B71:B134" si="10">ROUND(F71*D71,0)</f>
        <v>2187347164</v>
      </c>
      <c r="C71" s="472">
        <f t="shared" si="9"/>
        <v>142540304.84999999</v>
      </c>
      <c r="D71" s="472">
        <v>56766350</v>
      </c>
      <c r="E71" s="428" t="s">
        <v>1367</v>
      </c>
      <c r="F71" s="1290">
        <f>N71/1000</f>
        <v>38.532460937500005</v>
      </c>
      <c r="G71" s="437" t="s">
        <v>1363</v>
      </c>
      <c r="H71" s="430"/>
      <c r="I71" s="431"/>
      <c r="J71" s="432" t="s">
        <v>1368</v>
      </c>
      <c r="K71" s="476" t="s">
        <v>1369</v>
      </c>
      <c r="N71" s="433">
        <f>M69^2*0.25*3.1415*0.01*7850</f>
        <v>38532.460937500007</v>
      </c>
      <c r="O71" s="1291"/>
    </row>
    <row r="72" spans="1:15" ht="17.45" customHeight="1">
      <c r="A72" s="471">
        <f t="shared" si="8"/>
        <v>25098407927.698215</v>
      </c>
      <c r="B72" s="1287">
        <f t="shared" si="10"/>
        <v>9995383484</v>
      </c>
      <c r="C72" s="472">
        <f t="shared" si="9"/>
        <v>215778516.30000001</v>
      </c>
      <c r="D72" s="472">
        <v>85933300</v>
      </c>
      <c r="E72" s="428" t="s">
        <v>1370</v>
      </c>
      <c r="F72" s="1290">
        <f>N72/1000</f>
        <v>116.31560156250001</v>
      </c>
      <c r="G72" s="437" t="s">
        <v>1363</v>
      </c>
      <c r="H72" s="430"/>
      <c r="I72" s="431"/>
      <c r="J72" s="432" t="s">
        <v>1371</v>
      </c>
      <c r="K72" s="476" t="s">
        <v>1372</v>
      </c>
      <c r="N72" s="433">
        <f>N69-N71-N73-N74</f>
        <v>116315.6015625</v>
      </c>
      <c r="O72" s="1291"/>
    </row>
    <row r="73" spans="1:15" ht="17.45" customHeight="1">
      <c r="A73" s="471">
        <f t="shared" si="8"/>
        <v>5560994166.0732422</v>
      </c>
      <c r="B73" s="1287">
        <f t="shared" si="10"/>
        <v>2214653192</v>
      </c>
      <c r="C73" s="472">
        <f t="shared" si="9"/>
        <v>180399656.25</v>
      </c>
      <c r="D73" s="472">
        <v>71843750</v>
      </c>
      <c r="E73" s="428" t="s">
        <v>1373</v>
      </c>
      <c r="F73" s="1290">
        <f>N73/1000</f>
        <v>30.825968750000001</v>
      </c>
      <c r="G73" s="437" t="s">
        <v>1363</v>
      </c>
      <c r="H73" s="430"/>
      <c r="I73" s="431"/>
      <c r="J73" s="432" t="s">
        <v>1374</v>
      </c>
      <c r="K73" s="476" t="s">
        <v>1375</v>
      </c>
      <c r="N73" s="433">
        <f>M69^2*0.25*3.1415*0.008*7850</f>
        <v>30825.96875</v>
      </c>
      <c r="O73" s="1291"/>
    </row>
    <row r="74" spans="1:15" ht="17.45" customHeight="1">
      <c r="A74" s="471">
        <f t="shared" si="8"/>
        <v>7493481969.1003122</v>
      </c>
      <c r="B74" s="1287">
        <f t="shared" si="10"/>
        <v>2984262035</v>
      </c>
      <c r="C74" s="472">
        <f t="shared" si="9"/>
        <v>243089.91</v>
      </c>
      <c r="D74" s="472">
        <v>96810</v>
      </c>
      <c r="E74" s="428" t="s">
        <v>1376</v>
      </c>
      <c r="F74" s="1290">
        <f>N74</f>
        <v>30825.96875</v>
      </c>
      <c r="G74" s="429" t="s">
        <v>135</v>
      </c>
      <c r="H74" s="430"/>
      <c r="I74" s="431"/>
      <c r="J74" s="432" t="s">
        <v>1377</v>
      </c>
      <c r="K74" s="476" t="s">
        <v>1378</v>
      </c>
      <c r="N74" s="433">
        <f>N73</f>
        <v>30825.96875</v>
      </c>
      <c r="O74" s="1291"/>
    </row>
    <row r="75" spans="1:15" ht="17.45" customHeight="1">
      <c r="A75" s="471">
        <f t="shared" si="8"/>
        <v>865466370.00000012</v>
      </c>
      <c r="B75" s="1287">
        <f t="shared" si="10"/>
        <v>344670000</v>
      </c>
      <c r="C75" s="472">
        <f t="shared" si="9"/>
        <v>288488.79000000004</v>
      </c>
      <c r="D75" s="472">
        <v>114890</v>
      </c>
      <c r="E75" s="428" t="s">
        <v>1379</v>
      </c>
      <c r="F75" s="472">
        <v>3000</v>
      </c>
      <c r="G75" s="429" t="s">
        <v>135</v>
      </c>
      <c r="H75" s="430"/>
      <c r="I75" s="431"/>
      <c r="J75" s="432" t="s">
        <v>1380</v>
      </c>
      <c r="K75" s="476" t="s">
        <v>1381</v>
      </c>
      <c r="N75" s="433"/>
      <c r="O75" s="1291"/>
    </row>
    <row r="76" spans="1:15" ht="17.45" customHeight="1">
      <c r="A76" s="471">
        <f t="shared" si="8"/>
        <v>683188970.29453135</v>
      </c>
      <c r="B76" s="1287">
        <f t="shared" si="10"/>
        <v>272078443</v>
      </c>
      <c r="C76" s="472">
        <f t="shared" si="9"/>
        <v>1391822.1900000002</v>
      </c>
      <c r="D76" s="472">
        <v>554290</v>
      </c>
      <c r="E76" s="428" t="s">
        <v>1382</v>
      </c>
      <c r="F76" s="472">
        <f>M69^2*3.1415/4</f>
        <v>490.859375</v>
      </c>
      <c r="G76" s="437" t="s">
        <v>1383</v>
      </c>
      <c r="H76" s="430"/>
      <c r="I76" s="431"/>
      <c r="J76" s="432" t="s">
        <v>1384</v>
      </c>
      <c r="K76" s="476" t="s">
        <v>1385</v>
      </c>
      <c r="N76" s="433"/>
      <c r="O76" s="1291"/>
    </row>
    <row r="77" spans="1:15" ht="17.45" customHeight="1">
      <c r="A77" s="471">
        <f t="shared" si="8"/>
        <v>2951385226.0171881</v>
      </c>
      <c r="B77" s="1287">
        <f t="shared" si="10"/>
        <v>1175382408</v>
      </c>
      <c r="C77" s="472">
        <f t="shared" si="9"/>
        <v>1670191.6500000001</v>
      </c>
      <c r="D77" s="472">
        <v>665150</v>
      </c>
      <c r="E77" s="428" t="s">
        <v>1386</v>
      </c>
      <c r="F77" s="472">
        <f>1.2*F76+3.1415*M69*M70</f>
        <v>1767.0937500000002</v>
      </c>
      <c r="G77" s="437" t="s">
        <v>1383</v>
      </c>
      <c r="H77" s="430"/>
      <c r="I77" s="431"/>
      <c r="J77" s="432" t="s">
        <v>1387</v>
      </c>
      <c r="K77" s="476" t="s">
        <v>1388</v>
      </c>
      <c r="N77" s="433">
        <f>M74^2*0.25*3.1415*0.01*7850*2</f>
        <v>0</v>
      </c>
      <c r="O77" s="1291"/>
    </row>
    <row r="78" spans="1:15" ht="17.45" customHeight="1">
      <c r="A78" s="471">
        <f t="shared" si="8"/>
        <v>163958450.60250002</v>
      </c>
      <c r="B78" s="1287">
        <f t="shared" si="10"/>
        <v>65296078</v>
      </c>
      <c r="C78" s="472">
        <f t="shared" si="9"/>
        <v>208764.54</v>
      </c>
      <c r="D78" s="472">
        <v>83140</v>
      </c>
      <c r="E78" s="428" t="s">
        <v>1389</v>
      </c>
      <c r="F78" s="472">
        <f>3.1415*M69*(M70-5)</f>
        <v>785.37500000000011</v>
      </c>
      <c r="G78" s="437" t="s">
        <v>1383</v>
      </c>
      <c r="H78" s="430"/>
      <c r="I78" s="431"/>
      <c r="J78" s="432" t="s">
        <v>1390</v>
      </c>
      <c r="K78" s="476" t="s">
        <v>1391</v>
      </c>
      <c r="N78" s="433"/>
      <c r="O78" s="1291"/>
    </row>
    <row r="79" spans="1:15" ht="17.45" customHeight="1">
      <c r="A79" s="471">
        <f t="shared" si="8"/>
        <v>2787419380.1273441</v>
      </c>
      <c r="B79" s="1287">
        <f t="shared" si="10"/>
        <v>1110083385</v>
      </c>
      <c r="C79" s="472">
        <f t="shared" si="9"/>
        <v>1670191.6500000001</v>
      </c>
      <c r="D79" s="472">
        <v>665150</v>
      </c>
      <c r="E79" s="428" t="s">
        <v>1386</v>
      </c>
      <c r="F79" s="472">
        <f>F76+3.1415*M69*M70</f>
        <v>1668.9218750000002</v>
      </c>
      <c r="G79" s="437" t="s">
        <v>1383</v>
      </c>
      <c r="H79" s="430"/>
      <c r="I79" s="431"/>
      <c r="J79" s="432" t="s">
        <v>1392</v>
      </c>
      <c r="K79" s="476" t="s">
        <v>1393</v>
      </c>
      <c r="N79" s="433">
        <f>M76^2*0.25*3.1415*0.01*7850*2</f>
        <v>0</v>
      </c>
      <c r="O79" s="1291"/>
    </row>
    <row r="80" spans="1:15" ht="17.45" customHeight="1">
      <c r="A80" s="471">
        <f t="shared" si="8"/>
        <v>163958450.60250002</v>
      </c>
      <c r="B80" s="1287">
        <f t="shared" si="10"/>
        <v>65296078</v>
      </c>
      <c r="C80" s="472">
        <f t="shared" si="9"/>
        <v>208764.54</v>
      </c>
      <c r="D80" s="472">
        <v>83140</v>
      </c>
      <c r="E80" s="428" t="s">
        <v>1389</v>
      </c>
      <c r="F80" s="472">
        <f>F78</f>
        <v>785.37500000000011</v>
      </c>
      <c r="G80" s="437" t="s">
        <v>1383</v>
      </c>
      <c r="H80" s="430"/>
      <c r="I80" s="431"/>
      <c r="J80" s="432" t="s">
        <v>1394</v>
      </c>
      <c r="K80" s="476" t="s">
        <v>1395</v>
      </c>
      <c r="N80" s="433">
        <f>2*N76-N79-N83-N84</f>
        <v>0</v>
      </c>
      <c r="O80" s="1291"/>
    </row>
    <row r="81" spans="1:15" ht="17.45" customHeight="1">
      <c r="A81" s="471">
        <f t="shared" si="8"/>
        <v>1175850687.65625</v>
      </c>
      <c r="B81" s="1287">
        <f t="shared" si="10"/>
        <v>468279844</v>
      </c>
      <c r="C81" s="472">
        <f t="shared" si="9"/>
        <v>299436.75</v>
      </c>
      <c r="D81" s="472">
        <v>119250</v>
      </c>
      <c r="E81" s="428" t="s">
        <v>1396</v>
      </c>
      <c r="F81" s="472">
        <f>F76+F77+F79</f>
        <v>3926.875</v>
      </c>
      <c r="G81" s="437" t="s">
        <v>1383</v>
      </c>
      <c r="H81" s="430"/>
      <c r="I81" s="431"/>
      <c r="J81" s="432" t="s">
        <v>1397</v>
      </c>
      <c r="K81" s="476" t="s">
        <v>1398</v>
      </c>
      <c r="N81" s="433">
        <f>M74^2*0.25*3.1415*0.008*7850*2</f>
        <v>0</v>
      </c>
      <c r="O81" s="1291"/>
    </row>
    <row r="82" spans="1:15" ht="17.45" customHeight="1">
      <c r="A82" s="471">
        <f t="shared" si="8"/>
        <v>56243625.345000006</v>
      </c>
      <c r="B82" s="1287">
        <f t="shared" si="10"/>
        <v>22398895</v>
      </c>
      <c r="C82" s="472">
        <f t="shared" si="9"/>
        <v>35806.86</v>
      </c>
      <c r="D82" s="472">
        <v>14260</v>
      </c>
      <c r="E82" s="428" t="s">
        <v>1399</v>
      </c>
      <c r="F82" s="472">
        <f>F78+F80</f>
        <v>1570.7500000000002</v>
      </c>
      <c r="G82" s="437" t="s">
        <v>1383</v>
      </c>
      <c r="H82" s="430"/>
      <c r="I82" s="431"/>
      <c r="J82" s="432" t="s">
        <v>1400</v>
      </c>
      <c r="K82" s="476" t="s">
        <v>1401</v>
      </c>
      <c r="N82" s="433">
        <f>N81*2</f>
        <v>0</v>
      </c>
      <c r="O82" s="1291"/>
    </row>
    <row r="83" spans="1:15" ht="17.45" customHeight="1">
      <c r="A83" s="471">
        <f t="shared" si="8"/>
        <v>1544224740.8231254</v>
      </c>
      <c r="B83" s="1287">
        <f t="shared" si="10"/>
        <v>614983967</v>
      </c>
      <c r="C83" s="472">
        <f t="shared" si="9"/>
        <v>873878.22000000009</v>
      </c>
      <c r="D83" s="472">
        <v>348020</v>
      </c>
      <c r="E83" s="428" t="s">
        <v>1402</v>
      </c>
      <c r="F83" s="472">
        <f>F77</f>
        <v>1767.0937500000002</v>
      </c>
      <c r="G83" s="437" t="s">
        <v>1383</v>
      </c>
      <c r="H83" s="430"/>
      <c r="I83" s="431"/>
      <c r="J83" s="432" t="s">
        <v>1403</v>
      </c>
      <c r="K83" s="476" t="s">
        <v>1404</v>
      </c>
      <c r="N83" s="1292"/>
      <c r="O83" s="1291"/>
    </row>
    <row r="84" spans="1:15" ht="17.45" customHeight="1">
      <c r="A84" s="471">
        <f t="shared" si="8"/>
        <v>4281250167.8943753</v>
      </c>
      <c r="B84" s="1287">
        <f t="shared" si="10"/>
        <v>1704998076</v>
      </c>
      <c r="C84" s="472">
        <f t="shared" si="9"/>
        <v>1211381.73</v>
      </c>
      <c r="D84" s="472">
        <v>482430</v>
      </c>
      <c r="E84" s="428" t="s">
        <v>1405</v>
      </c>
      <c r="F84" s="472">
        <f>2*F83</f>
        <v>3534.1875000000005</v>
      </c>
      <c r="G84" s="437" t="s">
        <v>1383</v>
      </c>
      <c r="H84" s="430"/>
      <c r="I84" s="431"/>
      <c r="J84" s="432" t="s">
        <v>1406</v>
      </c>
      <c r="K84" s="476" t="s">
        <v>1407</v>
      </c>
      <c r="N84" s="1292"/>
      <c r="O84" s="1291"/>
    </row>
    <row r="85" spans="1:15" ht="17.45" customHeight="1">
      <c r="A85" s="471">
        <f t="shared" si="8"/>
        <v>6065104404.5170326</v>
      </c>
      <c r="B85" s="1287">
        <f t="shared" si="10"/>
        <v>2415413940</v>
      </c>
      <c r="C85" s="472">
        <f t="shared" si="9"/>
        <v>1211381.73</v>
      </c>
      <c r="D85" s="472">
        <v>482430</v>
      </c>
      <c r="E85" s="428" t="s">
        <v>1405</v>
      </c>
      <c r="F85" s="472">
        <f>3*F79</f>
        <v>5006.7656250000009</v>
      </c>
      <c r="G85" s="437" t="s">
        <v>1383</v>
      </c>
      <c r="H85" s="430"/>
      <c r="I85" s="431"/>
      <c r="J85" s="432" t="s">
        <v>1408</v>
      </c>
      <c r="K85" s="476" t="s">
        <v>1409</v>
      </c>
      <c r="N85" s="1292"/>
      <c r="O85" s="1291"/>
    </row>
    <row r="86" spans="1:15" ht="17.45" customHeight="1">
      <c r="A86" s="471">
        <f t="shared" si="8"/>
        <v>1482939994.6054688</v>
      </c>
      <c r="B86" s="1287">
        <f t="shared" si="10"/>
        <v>590577457</v>
      </c>
      <c r="C86" s="472">
        <f t="shared" si="9"/>
        <v>201407.31</v>
      </c>
      <c r="D86" s="472">
        <v>80210</v>
      </c>
      <c r="E86" s="428" t="s">
        <v>1410</v>
      </c>
      <c r="F86" s="472">
        <f>M69^2*3.1415*M70/4</f>
        <v>7362.890625</v>
      </c>
      <c r="G86" s="437" t="s">
        <v>1411</v>
      </c>
      <c r="H86" s="430"/>
      <c r="I86" s="431"/>
      <c r="J86" s="432" t="s">
        <v>1412</v>
      </c>
      <c r="K86" s="476" t="s">
        <v>1413</v>
      </c>
      <c r="N86" s="1292"/>
      <c r="O86" s="1291"/>
    </row>
    <row r="87" spans="1:15" ht="17.45" customHeight="1">
      <c r="A87" s="471">
        <f t="shared" si="8"/>
        <v>39632949.16875001</v>
      </c>
      <c r="B87" s="1287">
        <f t="shared" si="10"/>
        <v>15783731</v>
      </c>
      <c r="C87" s="472">
        <f t="shared" si="9"/>
        <v>53233.200000000004</v>
      </c>
      <c r="D87" s="472">
        <v>21200</v>
      </c>
      <c r="E87" s="428" t="s">
        <v>1414</v>
      </c>
      <c r="F87" s="472">
        <f>15*((M70/1.5)*3+2*M69*3.1415/8)</f>
        <v>744.51562500000011</v>
      </c>
      <c r="G87" s="437" t="s">
        <v>1415</v>
      </c>
      <c r="H87" s="430"/>
      <c r="I87" s="431"/>
      <c r="J87" s="432" t="s">
        <v>1416</v>
      </c>
      <c r="K87" s="476" t="s">
        <v>1417</v>
      </c>
      <c r="N87" s="1292"/>
      <c r="O87" s="1291"/>
    </row>
    <row r="88" spans="1:15" ht="17.45" customHeight="1">
      <c r="A88" s="471">
        <f t="shared" si="8"/>
        <v>0</v>
      </c>
      <c r="B88" s="1287">
        <f t="shared" si="10"/>
        <v>0</v>
      </c>
      <c r="C88" s="472"/>
      <c r="D88" s="472"/>
      <c r="E88" s="428"/>
      <c r="F88" s="1290"/>
      <c r="G88" s="437"/>
      <c r="H88" s="430" t="s">
        <v>131</v>
      </c>
      <c r="I88" s="431" t="s">
        <v>150</v>
      </c>
      <c r="J88" s="443" t="s">
        <v>1418</v>
      </c>
      <c r="K88" s="1293">
        <v>8.1999999999999993</v>
      </c>
      <c r="M88" s="444">
        <v>12.5</v>
      </c>
      <c r="N88" s="444">
        <v>62000</v>
      </c>
      <c r="O88" s="1291"/>
    </row>
    <row r="89" spans="1:15" ht="17.45" customHeight="1">
      <c r="A89" s="471">
        <f t="shared" si="8"/>
        <v>305430958.98000002</v>
      </c>
      <c r="B89" s="1287">
        <f t="shared" si="10"/>
        <v>121637180</v>
      </c>
      <c r="C89" s="472">
        <f t="shared" si="9"/>
        <v>4926305.79</v>
      </c>
      <c r="D89" s="472">
        <v>1961890</v>
      </c>
      <c r="E89" s="428" t="s">
        <v>1419</v>
      </c>
      <c r="F89" s="1290">
        <f>N88/1000</f>
        <v>62</v>
      </c>
      <c r="G89" s="437" t="s">
        <v>1363</v>
      </c>
      <c r="H89" s="430"/>
      <c r="I89" s="431"/>
      <c r="J89" s="432" t="s">
        <v>1364</v>
      </c>
      <c r="K89" s="476" t="s">
        <v>1420</v>
      </c>
      <c r="M89" s="422">
        <v>12</v>
      </c>
      <c r="N89" s="433"/>
      <c r="O89" s="1291"/>
    </row>
    <row r="90" spans="1:15" ht="17.45" customHeight="1">
      <c r="A90" s="471">
        <f t="shared" si="8"/>
        <v>1487241084.480485</v>
      </c>
      <c r="B90" s="1287">
        <f t="shared" si="10"/>
        <v>592290356</v>
      </c>
      <c r="C90" s="472">
        <f t="shared" si="9"/>
        <v>154388383.02000001</v>
      </c>
      <c r="D90" s="472">
        <v>61484820</v>
      </c>
      <c r="E90" s="428" t="s">
        <v>1421</v>
      </c>
      <c r="F90" s="1290">
        <f>N90/1000</f>
        <v>9.6331152343750013</v>
      </c>
      <c r="G90" s="437" t="s">
        <v>1363</v>
      </c>
      <c r="H90" s="430"/>
      <c r="I90" s="431"/>
      <c r="J90" s="432" t="s">
        <v>1368</v>
      </c>
      <c r="K90" s="476" t="s">
        <v>1422</v>
      </c>
      <c r="N90" s="433">
        <f>M88^2*0.25*3.1415*0.01*7850</f>
        <v>9633.1152343750018</v>
      </c>
      <c r="O90" s="1291"/>
    </row>
    <row r="91" spans="1:15" ht="17.45" customHeight="1">
      <c r="A91" s="471">
        <f t="shared" si="8"/>
        <v>8547584202.8775301</v>
      </c>
      <c r="B91" s="1287">
        <f t="shared" si="10"/>
        <v>3404055835</v>
      </c>
      <c r="C91" s="472">
        <f t="shared" si="9"/>
        <v>231303979.08000001</v>
      </c>
      <c r="D91" s="472">
        <v>92116280</v>
      </c>
      <c r="E91" s="428" t="s">
        <v>1423</v>
      </c>
      <c r="F91" s="1290">
        <f>N91/1000</f>
        <v>36.953900390625002</v>
      </c>
      <c r="G91" s="437" t="s">
        <v>1363</v>
      </c>
      <c r="H91" s="430"/>
      <c r="I91" s="431"/>
      <c r="J91" s="432" t="s">
        <v>1371</v>
      </c>
      <c r="K91" s="476" t="s">
        <v>1424</v>
      </c>
      <c r="N91" s="433">
        <f>N88-N90-N92-N93</f>
        <v>36953.900390625</v>
      </c>
      <c r="O91" s="1291"/>
    </row>
    <row r="92" spans="1:15" ht="17.45" customHeight="1">
      <c r="A92" s="471">
        <f t="shared" si="8"/>
        <v>1508333773.2877598</v>
      </c>
      <c r="B92" s="1287">
        <f t="shared" si="10"/>
        <v>600690471</v>
      </c>
      <c r="C92" s="472">
        <f t="shared" si="9"/>
        <v>195722481.33000001</v>
      </c>
      <c r="D92" s="472">
        <v>77946030</v>
      </c>
      <c r="E92" s="428" t="s">
        <v>1425</v>
      </c>
      <c r="F92" s="1290">
        <f>N92/1000</f>
        <v>7.7064921875000003</v>
      </c>
      <c r="G92" s="437" t="s">
        <v>1363</v>
      </c>
      <c r="H92" s="430"/>
      <c r="I92" s="431"/>
      <c r="J92" s="432" t="s">
        <v>1374</v>
      </c>
      <c r="K92" s="476" t="s">
        <v>1426</v>
      </c>
      <c r="N92" s="433">
        <f>M88^2*0.25*3.1415*0.008*7850</f>
        <v>7706.4921875</v>
      </c>
      <c r="O92" s="1291"/>
    </row>
    <row r="93" spans="1:15" ht="17.45" customHeight="1">
      <c r="A93" s="471">
        <f t="shared" si="8"/>
        <v>1873370492.2750781</v>
      </c>
      <c r="B93" s="1287">
        <f t="shared" si="10"/>
        <v>746065509</v>
      </c>
      <c r="C93" s="472">
        <f t="shared" si="9"/>
        <v>243089.91</v>
      </c>
      <c r="D93" s="472">
        <v>96810</v>
      </c>
      <c r="E93" s="428" t="s">
        <v>1376</v>
      </c>
      <c r="F93" s="1290">
        <f>N93</f>
        <v>7706.4921875</v>
      </c>
      <c r="G93" s="429" t="s">
        <v>135</v>
      </c>
      <c r="H93" s="430"/>
      <c r="I93" s="431"/>
      <c r="J93" s="432" t="s">
        <v>1377</v>
      </c>
      <c r="K93" s="476" t="s">
        <v>1427</v>
      </c>
      <c r="N93" s="433">
        <f>N92</f>
        <v>7706.4921875</v>
      </c>
      <c r="O93" s="1291"/>
    </row>
    <row r="94" spans="1:15" ht="17.45" customHeight="1">
      <c r="A94" s="471">
        <f t="shared" si="8"/>
        <v>721221975.00000012</v>
      </c>
      <c r="B94" s="1287">
        <f t="shared" si="10"/>
        <v>287225000</v>
      </c>
      <c r="C94" s="472">
        <f t="shared" si="9"/>
        <v>288488.79000000004</v>
      </c>
      <c r="D94" s="472">
        <v>114890</v>
      </c>
      <c r="E94" s="428" t="s">
        <v>1379</v>
      </c>
      <c r="F94" s="472">
        <v>2500</v>
      </c>
      <c r="G94" s="429" t="s">
        <v>135</v>
      </c>
      <c r="H94" s="430"/>
      <c r="I94" s="431"/>
      <c r="J94" s="432" t="s">
        <v>1380</v>
      </c>
      <c r="K94" s="476" t="s">
        <v>1428</v>
      </c>
      <c r="N94" s="433"/>
      <c r="O94" s="1291"/>
    </row>
    <row r="95" spans="1:15" ht="17.45" customHeight="1">
      <c r="A95" s="471">
        <f t="shared" si="8"/>
        <v>170797242.57363284</v>
      </c>
      <c r="B95" s="1287">
        <f t="shared" si="10"/>
        <v>68019611</v>
      </c>
      <c r="C95" s="472">
        <f t="shared" si="9"/>
        <v>1391822.1900000002</v>
      </c>
      <c r="D95" s="472">
        <v>554290</v>
      </c>
      <c r="E95" s="428" t="s">
        <v>1382</v>
      </c>
      <c r="F95" s="472">
        <f>M88^2*3.1415/4</f>
        <v>122.71484375</v>
      </c>
      <c r="G95" s="437" t="s">
        <v>1383</v>
      </c>
      <c r="H95" s="430"/>
      <c r="I95" s="431"/>
      <c r="J95" s="432" t="s">
        <v>1384</v>
      </c>
      <c r="K95" s="476" t="s">
        <v>1429</v>
      </c>
      <c r="N95" s="433"/>
      <c r="O95" s="1291"/>
    </row>
    <row r="96" spans="1:15" ht="17.45" customHeight="1">
      <c r="A96" s="471">
        <f t="shared" si="8"/>
        <v>1032984829.1060158</v>
      </c>
      <c r="B96" s="1287">
        <f t="shared" si="10"/>
        <v>411383843</v>
      </c>
      <c r="C96" s="472">
        <f t="shared" si="9"/>
        <v>1670191.6500000001</v>
      </c>
      <c r="D96" s="472">
        <v>665150</v>
      </c>
      <c r="E96" s="428" t="s">
        <v>1386</v>
      </c>
      <c r="F96" s="472">
        <f>1.2*F95+3.1415*M88*M89</f>
        <v>618.48281250000002</v>
      </c>
      <c r="G96" s="437" t="s">
        <v>1383</v>
      </c>
      <c r="H96" s="430"/>
      <c r="I96" s="431"/>
      <c r="J96" s="432" t="s">
        <v>1387</v>
      </c>
      <c r="K96" s="476" t="s">
        <v>1430</v>
      </c>
      <c r="N96" s="433">
        <f>M93^2*0.25*3.1415*0.01*7850*2</f>
        <v>0</v>
      </c>
      <c r="O96" s="1291"/>
    </row>
    <row r="97" spans="1:15" ht="17.45" customHeight="1">
      <c r="A97" s="471">
        <f t="shared" si="8"/>
        <v>57385457.710875005</v>
      </c>
      <c r="B97" s="1287">
        <f t="shared" si="10"/>
        <v>22853627</v>
      </c>
      <c r="C97" s="472">
        <f t="shared" si="9"/>
        <v>208764.54</v>
      </c>
      <c r="D97" s="472">
        <v>83140</v>
      </c>
      <c r="E97" s="428" t="s">
        <v>1389</v>
      </c>
      <c r="F97" s="472">
        <f>3.1415*M88*(M89-5)</f>
        <v>274.88125000000002</v>
      </c>
      <c r="G97" s="437" t="s">
        <v>1383</v>
      </c>
      <c r="H97" s="430"/>
      <c r="I97" s="431"/>
      <c r="J97" s="432" t="s">
        <v>1390</v>
      </c>
      <c r="K97" s="476" t="s">
        <v>1431</v>
      </c>
      <c r="N97" s="433"/>
      <c r="O97" s="1291"/>
    </row>
    <row r="98" spans="1:15" ht="17.45" customHeight="1">
      <c r="A98" s="471">
        <f t="shared" si="8"/>
        <v>991993367.63355482</v>
      </c>
      <c r="B98" s="1287">
        <f t="shared" si="10"/>
        <v>395059087</v>
      </c>
      <c r="C98" s="472">
        <f t="shared" si="9"/>
        <v>1670191.6500000001</v>
      </c>
      <c r="D98" s="472">
        <v>665150</v>
      </c>
      <c r="E98" s="428" t="s">
        <v>1386</v>
      </c>
      <c r="F98" s="472">
        <f>F95+3.1415*M88*M89</f>
        <v>593.93984375000002</v>
      </c>
      <c r="G98" s="437" t="s">
        <v>1383</v>
      </c>
      <c r="H98" s="430"/>
      <c r="I98" s="431"/>
      <c r="J98" s="432" t="s">
        <v>1392</v>
      </c>
      <c r="K98" s="476" t="s">
        <v>1432</v>
      </c>
      <c r="N98" s="433">
        <f>M95^2*0.25*3.1415*0.01*7850*2</f>
        <v>0</v>
      </c>
      <c r="O98" s="1291"/>
    </row>
    <row r="99" spans="1:15" ht="17.45" customHeight="1">
      <c r="A99" s="471">
        <f t="shared" si="8"/>
        <v>57385457.710875005</v>
      </c>
      <c r="B99" s="1287">
        <f t="shared" si="10"/>
        <v>22853627</v>
      </c>
      <c r="C99" s="472">
        <f t="shared" si="9"/>
        <v>208764.54</v>
      </c>
      <c r="D99" s="472">
        <v>83140</v>
      </c>
      <c r="E99" s="428" t="s">
        <v>1389</v>
      </c>
      <c r="F99" s="472">
        <f>F97</f>
        <v>274.88125000000002</v>
      </c>
      <c r="G99" s="437" t="s">
        <v>1383</v>
      </c>
      <c r="H99" s="430"/>
      <c r="I99" s="431"/>
      <c r="J99" s="432" t="s">
        <v>1394</v>
      </c>
      <c r="K99" s="476" t="s">
        <v>1433</v>
      </c>
      <c r="N99" s="433">
        <f>2*N95-N98-N102-N103</f>
        <v>0</v>
      </c>
      <c r="O99" s="1291"/>
    </row>
    <row r="100" spans="1:15" ht="17.45" customHeight="1">
      <c r="A100" s="471">
        <f t="shared" si="8"/>
        <v>399789233.80312502</v>
      </c>
      <c r="B100" s="1287">
        <f t="shared" si="10"/>
        <v>159215147</v>
      </c>
      <c r="C100" s="472">
        <f t="shared" si="9"/>
        <v>299436.75</v>
      </c>
      <c r="D100" s="472">
        <v>119250</v>
      </c>
      <c r="E100" s="428" t="s">
        <v>1396</v>
      </c>
      <c r="F100" s="472">
        <f>F95+F96+F98</f>
        <v>1335.1375</v>
      </c>
      <c r="G100" s="437" t="s">
        <v>1383</v>
      </c>
      <c r="H100" s="430"/>
      <c r="I100" s="431"/>
      <c r="J100" s="432" t="s">
        <v>1397</v>
      </c>
      <c r="K100" s="476" t="s">
        <v>1434</v>
      </c>
      <c r="N100" s="433">
        <f>M93^2*0.25*3.1415*0.008*7850*2</f>
        <v>0</v>
      </c>
      <c r="O100" s="1291"/>
    </row>
    <row r="101" spans="1:15" ht="17.45" customHeight="1">
      <c r="A101" s="471">
        <f t="shared" si="8"/>
        <v>19685268.870750003</v>
      </c>
      <c r="B101" s="1287">
        <f t="shared" si="10"/>
        <v>7839613</v>
      </c>
      <c r="C101" s="472">
        <f t="shared" si="9"/>
        <v>35806.86</v>
      </c>
      <c r="D101" s="472">
        <v>14260</v>
      </c>
      <c r="E101" s="428" t="s">
        <v>1399</v>
      </c>
      <c r="F101" s="472">
        <f>F97+F99</f>
        <v>549.76250000000005</v>
      </c>
      <c r="G101" s="437" t="s">
        <v>1383</v>
      </c>
      <c r="H101" s="430"/>
      <c r="I101" s="431"/>
      <c r="J101" s="432" t="s">
        <v>1400</v>
      </c>
      <c r="K101" s="476" t="s">
        <v>1435</v>
      </c>
      <c r="N101" s="433">
        <f>N100*2</f>
        <v>0</v>
      </c>
      <c r="O101" s="1291"/>
    </row>
    <row r="102" spans="1:15" ht="17.45" customHeight="1">
      <c r="A102" s="471">
        <f t="shared" si="8"/>
        <v>540478659.28809381</v>
      </c>
      <c r="B102" s="1287">
        <f t="shared" si="10"/>
        <v>215244388</v>
      </c>
      <c r="C102" s="472">
        <f t="shared" si="9"/>
        <v>873878.22000000009</v>
      </c>
      <c r="D102" s="472">
        <v>348020</v>
      </c>
      <c r="E102" s="428" t="s">
        <v>1402</v>
      </c>
      <c r="F102" s="472">
        <f>F96</f>
        <v>618.48281250000002</v>
      </c>
      <c r="G102" s="437" t="s">
        <v>1383</v>
      </c>
      <c r="H102" s="430"/>
      <c r="I102" s="431"/>
      <c r="J102" s="432" t="s">
        <v>1403</v>
      </c>
      <c r="K102" s="476" t="s">
        <v>1436</v>
      </c>
      <c r="N102" s="1292"/>
      <c r="O102" s="1291"/>
    </row>
    <row r="103" spans="1:15" ht="17.45" customHeight="1">
      <c r="A103" s="471">
        <f t="shared" si="8"/>
        <v>1498437558.7630312</v>
      </c>
      <c r="B103" s="1287">
        <f t="shared" si="10"/>
        <v>596749326</v>
      </c>
      <c r="C103" s="472">
        <f t="shared" si="9"/>
        <v>1211381.73</v>
      </c>
      <c r="D103" s="472">
        <v>482430</v>
      </c>
      <c r="E103" s="428" t="s">
        <v>1405</v>
      </c>
      <c r="F103" s="472">
        <f>2*F102</f>
        <v>1236.965625</v>
      </c>
      <c r="G103" s="437" t="s">
        <v>1383</v>
      </c>
      <c r="H103" s="430"/>
      <c r="I103" s="431"/>
      <c r="J103" s="432" t="s">
        <v>1406</v>
      </c>
      <c r="K103" s="476" t="s">
        <v>1437</v>
      </c>
      <c r="N103" s="1292"/>
      <c r="O103" s="1291"/>
    </row>
    <row r="104" spans="1:15" ht="17.45" customHeight="1">
      <c r="A104" s="471">
        <f t="shared" si="8"/>
        <v>2158463626.3134141</v>
      </c>
      <c r="B104" s="1287">
        <f t="shared" si="10"/>
        <v>859603196</v>
      </c>
      <c r="C104" s="472">
        <f t="shared" si="9"/>
        <v>1211381.73</v>
      </c>
      <c r="D104" s="472">
        <v>482430</v>
      </c>
      <c r="E104" s="428" t="s">
        <v>1405</v>
      </c>
      <c r="F104" s="472">
        <f>3*F98</f>
        <v>1781.8195312500002</v>
      </c>
      <c r="G104" s="437" t="s">
        <v>1383</v>
      </c>
      <c r="H104" s="430"/>
      <c r="I104" s="431"/>
      <c r="J104" s="432" t="s">
        <v>1408</v>
      </c>
      <c r="K104" s="476" t="s">
        <v>1438</v>
      </c>
      <c r="N104" s="1292"/>
      <c r="O104" s="1291"/>
    </row>
    <row r="105" spans="1:15" ht="17.45" customHeight="1">
      <c r="A105" s="471">
        <f t="shared" si="8"/>
        <v>419571627.44765633</v>
      </c>
      <c r="B105" s="1287">
        <f t="shared" si="10"/>
        <v>167093440</v>
      </c>
      <c r="C105" s="472">
        <f t="shared" si="9"/>
        <v>284923.17000000004</v>
      </c>
      <c r="D105" s="472">
        <v>113470</v>
      </c>
      <c r="E105" s="428" t="s">
        <v>1439</v>
      </c>
      <c r="F105" s="472">
        <f>M88^2*3.1415*M89/4</f>
        <v>1472.578125</v>
      </c>
      <c r="G105" s="437" t="s">
        <v>1411</v>
      </c>
      <c r="H105" s="430"/>
      <c r="I105" s="431"/>
      <c r="J105" s="432" t="s">
        <v>1412</v>
      </c>
      <c r="K105" s="476" t="s">
        <v>1440</v>
      </c>
      <c r="N105" s="1292"/>
      <c r="O105" s="1291"/>
    </row>
    <row r="106" spans="1:15" ht="17.45" customHeight="1">
      <c r="A106" s="471">
        <f t="shared" si="8"/>
        <v>27002956.584375005</v>
      </c>
      <c r="B106" s="1287">
        <f t="shared" si="10"/>
        <v>10753866</v>
      </c>
      <c r="C106" s="472">
        <f t="shared" si="9"/>
        <v>53233.200000000004</v>
      </c>
      <c r="D106" s="472">
        <v>21200</v>
      </c>
      <c r="E106" s="428" t="s">
        <v>1414</v>
      </c>
      <c r="F106" s="472">
        <f>15*((M89/1.5)*3+2*M88*3.1415/8)</f>
        <v>507.25781250000006</v>
      </c>
      <c r="G106" s="437" t="s">
        <v>1415</v>
      </c>
      <c r="H106" s="430"/>
      <c r="I106" s="431"/>
      <c r="J106" s="432" t="s">
        <v>1416</v>
      </c>
      <c r="K106" s="476" t="s">
        <v>1441</v>
      </c>
      <c r="N106" s="1292"/>
      <c r="O106" s="1291"/>
    </row>
    <row r="107" spans="1:15" ht="17.45" customHeight="1">
      <c r="A107" s="471">
        <f t="shared" si="8"/>
        <v>0</v>
      </c>
      <c r="B107" s="1287">
        <f t="shared" si="10"/>
        <v>0</v>
      </c>
      <c r="C107" s="472"/>
      <c r="D107" s="472"/>
      <c r="E107" s="428"/>
      <c r="F107" s="1290"/>
      <c r="G107" s="437"/>
      <c r="H107" s="430" t="s">
        <v>131</v>
      </c>
      <c r="I107" s="431" t="s">
        <v>166</v>
      </c>
      <c r="J107" s="443" t="s">
        <v>1442</v>
      </c>
      <c r="K107" s="1293">
        <v>8.3000000000000007</v>
      </c>
      <c r="M107" s="444">
        <v>4</v>
      </c>
      <c r="N107" s="444">
        <v>25500</v>
      </c>
      <c r="O107" s="1291"/>
    </row>
    <row r="108" spans="1:15" ht="17.45" customHeight="1">
      <c r="A108" s="471">
        <f t="shared" si="8"/>
        <v>125620797.645</v>
      </c>
      <c r="B108" s="1287">
        <f t="shared" si="10"/>
        <v>50028195</v>
      </c>
      <c r="C108" s="472">
        <f t="shared" si="9"/>
        <v>4926305.79</v>
      </c>
      <c r="D108" s="472">
        <v>1961890</v>
      </c>
      <c r="E108" s="428" t="s">
        <v>1419</v>
      </c>
      <c r="F108" s="1290">
        <f>N107/1000</f>
        <v>25.5</v>
      </c>
      <c r="G108" s="437" t="s">
        <v>1363</v>
      </c>
      <c r="H108" s="430"/>
      <c r="I108" s="431"/>
      <c r="J108" s="432" t="s">
        <v>1364</v>
      </c>
      <c r="K108" s="476" t="s">
        <v>1443</v>
      </c>
      <c r="M108" s="422">
        <v>2.6</v>
      </c>
      <c r="N108" s="433"/>
      <c r="O108" s="1291"/>
    </row>
    <row r="109" spans="1:15" ht="17.45" customHeight="1">
      <c r="A109" s="471">
        <f t="shared" si="8"/>
        <v>152293487.05080166</v>
      </c>
      <c r="B109" s="1287">
        <f t="shared" si="10"/>
        <v>60650532</v>
      </c>
      <c r="C109" s="472">
        <f t="shared" si="9"/>
        <v>154388383.02000001</v>
      </c>
      <c r="D109" s="472">
        <v>61484820</v>
      </c>
      <c r="E109" s="428" t="s">
        <v>1421</v>
      </c>
      <c r="F109" s="1290">
        <f>N109/1000</f>
        <v>0.98643100000000017</v>
      </c>
      <c r="G109" s="437" t="s">
        <v>1363</v>
      </c>
      <c r="H109" s="430"/>
      <c r="I109" s="431"/>
      <c r="J109" s="432" t="s">
        <v>1368</v>
      </c>
      <c r="K109" s="476" t="s">
        <v>1444</v>
      </c>
      <c r="N109" s="433">
        <f>M107^2*0.25*3.1415*0.01*7850</f>
        <v>986.43100000000015</v>
      </c>
      <c r="O109" s="1291"/>
    </row>
    <row r="110" spans="1:15" ht="17.45" customHeight="1">
      <c r="A110" s="471">
        <f t="shared" si="8"/>
        <v>1324082095.4018462</v>
      </c>
      <c r="B110" s="1287">
        <f t="shared" si="10"/>
        <v>527312662</v>
      </c>
      <c r="C110" s="472">
        <f t="shared" si="9"/>
        <v>231303979.08000001</v>
      </c>
      <c r="D110" s="472">
        <v>92116280</v>
      </c>
      <c r="E110" s="428" t="s">
        <v>1423</v>
      </c>
      <c r="F110" s="1290">
        <f>N110/1000</f>
        <v>5.7244242000000014</v>
      </c>
      <c r="G110" s="437" t="s">
        <v>1363</v>
      </c>
      <c r="H110" s="430"/>
      <c r="I110" s="431"/>
      <c r="J110" s="432" t="s">
        <v>1371</v>
      </c>
      <c r="K110" s="476" t="s">
        <v>1445</v>
      </c>
      <c r="N110" s="433">
        <f>N107-N109-N111-N112</f>
        <v>5724.4242000000013</v>
      </c>
      <c r="O110" s="1291"/>
    </row>
    <row r="111" spans="1:15" ht="17.45" customHeight="1">
      <c r="A111" s="471">
        <f t="shared" si="8"/>
        <v>154453378.38466659</v>
      </c>
      <c r="B111" s="1287">
        <f t="shared" si="10"/>
        <v>61510704</v>
      </c>
      <c r="C111" s="472">
        <f t="shared" si="9"/>
        <v>195722481.33000001</v>
      </c>
      <c r="D111" s="472">
        <v>77946030</v>
      </c>
      <c r="E111" s="428" t="s">
        <v>1425</v>
      </c>
      <c r="F111" s="1290">
        <f>N111/1000</f>
        <v>0.78914479999999998</v>
      </c>
      <c r="G111" s="437" t="s">
        <v>1363</v>
      </c>
      <c r="H111" s="430"/>
      <c r="I111" s="431"/>
      <c r="J111" s="432" t="s">
        <v>1374</v>
      </c>
      <c r="K111" s="476" t="s">
        <v>1446</v>
      </c>
      <c r="N111" s="433">
        <f>M107^2*0.25*3.1415*0.008*7850</f>
        <v>789.14480000000003</v>
      </c>
      <c r="O111" s="1291"/>
    </row>
    <row r="112" spans="1:15" ht="17.45" customHeight="1">
      <c r="A112" s="471">
        <f t="shared" si="8"/>
        <v>1487014200.0000002</v>
      </c>
      <c r="B112" s="1287">
        <f t="shared" si="10"/>
        <v>592200000</v>
      </c>
      <c r="C112" s="472">
        <f t="shared" si="9"/>
        <v>82611.900000000009</v>
      </c>
      <c r="D112" s="472">
        <v>32900</v>
      </c>
      <c r="E112" s="445" t="s">
        <v>1447</v>
      </c>
      <c r="F112" s="472">
        <v>18000</v>
      </c>
      <c r="G112" s="429" t="s">
        <v>135</v>
      </c>
      <c r="H112" s="430"/>
      <c r="I112" s="431"/>
      <c r="J112" s="432" t="s">
        <v>1448</v>
      </c>
      <c r="K112" s="476" t="s">
        <v>1449</v>
      </c>
      <c r="N112" s="433">
        <v>18000</v>
      </c>
      <c r="O112" s="1291"/>
    </row>
    <row r="113" spans="1:15" ht="17.45" customHeight="1">
      <c r="A113" s="471">
        <f t="shared" si="8"/>
        <v>330447600.00000006</v>
      </c>
      <c r="B113" s="1287">
        <f t="shared" si="10"/>
        <v>131600000</v>
      </c>
      <c r="C113" s="472">
        <f t="shared" si="9"/>
        <v>82611.900000000009</v>
      </c>
      <c r="D113" s="472">
        <v>32900</v>
      </c>
      <c r="E113" s="445" t="s">
        <v>1447</v>
      </c>
      <c r="F113" s="472">
        <v>4000</v>
      </c>
      <c r="G113" s="429" t="s">
        <v>135</v>
      </c>
      <c r="H113" s="430"/>
      <c r="I113" s="431"/>
      <c r="J113" s="432" t="s">
        <v>1450</v>
      </c>
      <c r="K113" s="476" t="s">
        <v>1451</v>
      </c>
      <c r="N113" s="433"/>
      <c r="O113" s="1291"/>
    </row>
    <row r="114" spans="1:15" ht="17.45" customHeight="1">
      <c r="A114" s="471">
        <f t="shared" si="8"/>
        <v>17489637.639540002</v>
      </c>
      <c r="B114" s="1287">
        <f t="shared" si="10"/>
        <v>6965208</v>
      </c>
      <c r="C114" s="472">
        <f t="shared" si="9"/>
        <v>1391822.1900000002</v>
      </c>
      <c r="D114" s="472">
        <v>554290</v>
      </c>
      <c r="E114" s="428" t="s">
        <v>1382</v>
      </c>
      <c r="F114" s="472">
        <f>M107^2*3.1415/4</f>
        <v>12.566000000000001</v>
      </c>
      <c r="G114" s="437" t="s">
        <v>1383</v>
      </c>
      <c r="H114" s="430"/>
      <c r="I114" s="431"/>
      <c r="J114" s="432" t="s">
        <v>1384</v>
      </c>
      <c r="K114" s="476" t="s">
        <v>1452</v>
      </c>
      <c r="N114" s="433"/>
      <c r="O114" s="1291"/>
    </row>
    <row r="115" spans="1:15" ht="17.45" customHeight="1">
      <c r="A115" s="471">
        <f t="shared" si="8"/>
        <v>79752987.440820009</v>
      </c>
      <c r="B115" s="1287">
        <f t="shared" si="10"/>
        <v>31761445</v>
      </c>
      <c r="C115" s="472">
        <f t="shared" si="9"/>
        <v>1670191.6500000001</v>
      </c>
      <c r="D115" s="472">
        <v>665150</v>
      </c>
      <c r="E115" s="428" t="s">
        <v>1386</v>
      </c>
      <c r="F115" s="472">
        <f>1.2*F114+3.1415*M107*M108</f>
        <v>47.750800000000005</v>
      </c>
      <c r="G115" s="437" t="s">
        <v>1383</v>
      </c>
      <c r="H115" s="430"/>
      <c r="I115" s="431"/>
      <c r="J115" s="432" t="s">
        <v>1387</v>
      </c>
      <c r="K115" s="476" t="s">
        <v>1453</v>
      </c>
      <c r="N115" s="433">
        <f>M112^2*0.25*3.1415*0.01*7850*2</f>
        <v>0</v>
      </c>
      <c r="O115" s="1291"/>
    </row>
    <row r="116" spans="1:15" ht="17.45" customHeight="1">
      <c r="A116" s="471">
        <f t="shared" si="8"/>
        <v>0</v>
      </c>
      <c r="B116" s="1287">
        <f t="shared" si="10"/>
        <v>0</v>
      </c>
      <c r="C116" s="472">
        <f t="shared" si="9"/>
        <v>208764.54</v>
      </c>
      <c r="D116" s="472">
        <v>83140</v>
      </c>
      <c r="E116" s="428" t="s">
        <v>1389</v>
      </c>
      <c r="F116" s="472">
        <v>0</v>
      </c>
      <c r="G116" s="437" t="s">
        <v>1383</v>
      </c>
      <c r="H116" s="430"/>
      <c r="I116" s="431"/>
      <c r="J116" s="432" t="s">
        <v>1390</v>
      </c>
      <c r="K116" s="476" t="s">
        <v>1454</v>
      </c>
      <c r="N116" s="433"/>
      <c r="O116" s="1291"/>
    </row>
    <row r="117" spans="1:15" ht="17.45" customHeight="1">
      <c r="A117" s="471">
        <f t="shared" si="8"/>
        <v>75555461.786040023</v>
      </c>
      <c r="B117" s="1287">
        <f t="shared" si="10"/>
        <v>30089790</v>
      </c>
      <c r="C117" s="472">
        <f t="shared" si="9"/>
        <v>1670191.6500000001</v>
      </c>
      <c r="D117" s="472">
        <v>665150</v>
      </c>
      <c r="E117" s="428" t="s">
        <v>1386</v>
      </c>
      <c r="F117" s="472">
        <f>F114+3.1415*M107*M108</f>
        <v>45.237600000000008</v>
      </c>
      <c r="G117" s="437" t="s">
        <v>1383</v>
      </c>
      <c r="H117" s="430"/>
      <c r="I117" s="431"/>
      <c r="J117" s="432" t="s">
        <v>1392</v>
      </c>
      <c r="K117" s="476" t="s">
        <v>1455</v>
      </c>
      <c r="N117" s="433">
        <f>M114^2*0.25*3.1415*0.01*7850*2</f>
        <v>0</v>
      </c>
      <c r="O117" s="1291"/>
    </row>
    <row r="118" spans="1:15" ht="17.45" customHeight="1">
      <c r="A118" s="471">
        <f t="shared" si="8"/>
        <v>0</v>
      </c>
      <c r="B118" s="1287">
        <f t="shared" si="10"/>
        <v>0</v>
      </c>
      <c r="C118" s="472">
        <f t="shared" si="9"/>
        <v>208764.54</v>
      </c>
      <c r="D118" s="472">
        <v>83140</v>
      </c>
      <c r="E118" s="428" t="s">
        <v>1389</v>
      </c>
      <c r="F118" s="472">
        <f>F116</f>
        <v>0</v>
      </c>
      <c r="G118" s="437" t="s">
        <v>1383</v>
      </c>
      <c r="H118" s="430"/>
      <c r="I118" s="431"/>
      <c r="J118" s="432" t="s">
        <v>1394</v>
      </c>
      <c r="K118" s="476" t="s">
        <v>1456</v>
      </c>
      <c r="N118" s="433">
        <f>2*N114-N117-N121-N122</f>
        <v>0</v>
      </c>
      <c r="O118" s="1291"/>
    </row>
    <row r="119" spans="1:15" ht="17.45" customHeight="1">
      <c r="A119" s="471">
        <f t="shared" si="8"/>
        <v>31606866.484200004</v>
      </c>
      <c r="B119" s="1287">
        <f t="shared" si="10"/>
        <v>12587362</v>
      </c>
      <c r="C119" s="472">
        <f t="shared" si="9"/>
        <v>299436.75</v>
      </c>
      <c r="D119" s="472">
        <v>119250</v>
      </c>
      <c r="E119" s="428" t="s">
        <v>1396</v>
      </c>
      <c r="F119" s="472">
        <f>F114+F115+F117</f>
        <v>105.55440000000002</v>
      </c>
      <c r="G119" s="437" t="s">
        <v>1383</v>
      </c>
      <c r="H119" s="430"/>
      <c r="I119" s="431"/>
      <c r="J119" s="432" t="s">
        <v>1397</v>
      </c>
      <c r="K119" s="476" t="s">
        <v>1457</v>
      </c>
      <c r="N119" s="433">
        <f>M112^2*0.25*3.1415*0.008*7850*2</f>
        <v>0</v>
      </c>
      <c r="O119" s="1291"/>
    </row>
    <row r="120" spans="1:15" ht="17.45" customHeight="1">
      <c r="A120" s="471">
        <f t="shared" si="8"/>
        <v>0</v>
      </c>
      <c r="B120" s="1287">
        <f t="shared" si="10"/>
        <v>0</v>
      </c>
      <c r="C120" s="472">
        <f t="shared" si="9"/>
        <v>35806.86</v>
      </c>
      <c r="D120" s="472">
        <v>14260</v>
      </c>
      <c r="E120" s="428" t="s">
        <v>1399</v>
      </c>
      <c r="F120" s="472">
        <f>F116+F118</f>
        <v>0</v>
      </c>
      <c r="G120" s="437" t="s">
        <v>1383</v>
      </c>
      <c r="H120" s="430"/>
      <c r="I120" s="431"/>
      <c r="J120" s="432" t="s">
        <v>1400</v>
      </c>
      <c r="K120" s="476" t="s">
        <v>1458</v>
      </c>
      <c r="N120" s="433">
        <f>N119*2</f>
        <v>0</v>
      </c>
      <c r="O120" s="1291"/>
    </row>
    <row r="121" spans="1:15" ht="17.45" customHeight="1">
      <c r="A121" s="471">
        <f t="shared" si="8"/>
        <v>41728384.107576005</v>
      </c>
      <c r="B121" s="1287">
        <f t="shared" si="10"/>
        <v>16618233</v>
      </c>
      <c r="C121" s="472">
        <f t="shared" si="9"/>
        <v>873878.22000000009</v>
      </c>
      <c r="D121" s="472">
        <v>348020</v>
      </c>
      <c r="E121" s="428" t="s">
        <v>1402</v>
      </c>
      <c r="F121" s="472">
        <f>F115</f>
        <v>47.750800000000005</v>
      </c>
      <c r="G121" s="437" t="s">
        <v>1383</v>
      </c>
      <c r="H121" s="430"/>
      <c r="I121" s="431"/>
      <c r="J121" s="432" t="s">
        <v>1403</v>
      </c>
      <c r="K121" s="476" t="s">
        <v>1459</v>
      </c>
      <c r="N121" s="1292"/>
      <c r="O121" s="1291"/>
    </row>
    <row r="122" spans="1:15" ht="17.45" customHeight="1">
      <c r="A122" s="471">
        <f t="shared" si="8"/>
        <v>115688893.42576802</v>
      </c>
      <c r="B122" s="1287">
        <f t="shared" si="10"/>
        <v>46072837</v>
      </c>
      <c r="C122" s="472">
        <f t="shared" si="9"/>
        <v>1211381.73</v>
      </c>
      <c r="D122" s="472">
        <v>482430</v>
      </c>
      <c r="E122" s="428" t="s">
        <v>1405</v>
      </c>
      <c r="F122" s="472">
        <f>2*F121</f>
        <v>95.50160000000001</v>
      </c>
      <c r="G122" s="437" t="s">
        <v>1383</v>
      </c>
      <c r="H122" s="430"/>
      <c r="I122" s="431"/>
      <c r="J122" s="432" t="s">
        <v>1406</v>
      </c>
      <c r="K122" s="476" t="s">
        <v>1460</v>
      </c>
      <c r="N122" s="1292"/>
      <c r="O122" s="1291"/>
    </row>
    <row r="123" spans="1:15" ht="17.45" customHeight="1">
      <c r="A123" s="471">
        <f t="shared" si="8"/>
        <v>164400006.447144</v>
      </c>
      <c r="B123" s="1287">
        <f t="shared" si="10"/>
        <v>65471926</v>
      </c>
      <c r="C123" s="472">
        <f t="shared" si="9"/>
        <v>1211381.73</v>
      </c>
      <c r="D123" s="472">
        <v>482430</v>
      </c>
      <c r="E123" s="428" t="s">
        <v>1405</v>
      </c>
      <c r="F123" s="472">
        <f>3*F117</f>
        <v>135.71280000000002</v>
      </c>
      <c r="G123" s="437" t="s">
        <v>1383</v>
      </c>
      <c r="H123" s="430"/>
      <c r="I123" s="431"/>
      <c r="J123" s="432" t="s">
        <v>1408</v>
      </c>
      <c r="K123" s="476" t="s">
        <v>1461</v>
      </c>
      <c r="N123" s="1292"/>
      <c r="O123" s="1291"/>
    </row>
    <row r="124" spans="1:15" ht="17.45" customHeight="1">
      <c r="A124" s="471">
        <f t="shared" si="8"/>
        <v>9308895.8409720026</v>
      </c>
      <c r="B124" s="1287">
        <f t="shared" si="10"/>
        <v>3707246</v>
      </c>
      <c r="C124" s="472">
        <f t="shared" si="9"/>
        <v>284923.17000000004</v>
      </c>
      <c r="D124" s="472">
        <v>113470</v>
      </c>
      <c r="E124" s="428" t="s">
        <v>1439</v>
      </c>
      <c r="F124" s="472">
        <f>M107^2*3.1415*M108/4</f>
        <v>32.671600000000005</v>
      </c>
      <c r="G124" s="437" t="s">
        <v>1411</v>
      </c>
      <c r="H124" s="430"/>
      <c r="I124" s="431"/>
      <c r="J124" s="432" t="s">
        <v>1412</v>
      </c>
      <c r="K124" s="476" t="s">
        <v>1462</v>
      </c>
      <c r="N124" s="1292"/>
      <c r="O124" s="1291"/>
    </row>
    <row r="125" spans="1:15" ht="17.45" customHeight="1">
      <c r="A125" s="471">
        <f t="shared" si="8"/>
        <v>6660671.0670000007</v>
      </c>
      <c r="B125" s="1287">
        <f t="shared" si="10"/>
        <v>2652597</v>
      </c>
      <c r="C125" s="472">
        <f t="shared" si="9"/>
        <v>53233.200000000004</v>
      </c>
      <c r="D125" s="472">
        <v>21200</v>
      </c>
      <c r="E125" s="428" t="s">
        <v>1414</v>
      </c>
      <c r="F125" s="472">
        <f>15*((M108/1.5)*3+2*M107*3.1415/8)</f>
        <v>125.1225</v>
      </c>
      <c r="G125" s="437" t="s">
        <v>1415</v>
      </c>
      <c r="H125" s="430"/>
      <c r="I125" s="431"/>
      <c r="J125" s="432" t="s">
        <v>1416</v>
      </c>
      <c r="K125" s="476" t="s">
        <v>1463</v>
      </c>
      <c r="N125" s="1292"/>
      <c r="O125" s="1291"/>
    </row>
    <row r="126" spans="1:15" ht="17.45" customHeight="1">
      <c r="A126" s="471">
        <f t="shared" si="8"/>
        <v>0</v>
      </c>
      <c r="B126" s="1287">
        <f t="shared" si="10"/>
        <v>0</v>
      </c>
      <c r="C126" s="472"/>
      <c r="D126" s="472"/>
      <c r="E126" s="428"/>
      <c r="F126" s="1290"/>
      <c r="G126" s="437"/>
      <c r="H126" s="430" t="s">
        <v>131</v>
      </c>
      <c r="I126" s="431" t="s">
        <v>179</v>
      </c>
      <c r="J126" s="443" t="s">
        <v>1464</v>
      </c>
      <c r="K126" s="1293">
        <v>8.4</v>
      </c>
      <c r="M126" s="444">
        <v>10</v>
      </c>
      <c r="N126" s="444">
        <v>40000</v>
      </c>
      <c r="O126" s="1291"/>
    </row>
    <row r="127" spans="1:15" ht="17.45" customHeight="1">
      <c r="A127" s="471">
        <f t="shared" si="8"/>
        <v>197052231.59999999</v>
      </c>
      <c r="B127" s="1287">
        <f t="shared" si="10"/>
        <v>78475600</v>
      </c>
      <c r="C127" s="472">
        <f t="shared" si="9"/>
        <v>4926305.79</v>
      </c>
      <c r="D127" s="472">
        <v>1961890</v>
      </c>
      <c r="E127" s="428" t="s">
        <v>1419</v>
      </c>
      <c r="F127" s="1290">
        <f>N126/1000</f>
        <v>40</v>
      </c>
      <c r="G127" s="437" t="s">
        <v>1363</v>
      </c>
      <c r="H127" s="430"/>
      <c r="I127" s="431"/>
      <c r="J127" s="432" t="s">
        <v>1364</v>
      </c>
      <c r="K127" s="476" t="s">
        <v>1465</v>
      </c>
      <c r="M127" s="422">
        <v>12</v>
      </c>
      <c r="N127" s="433"/>
      <c r="O127" s="1291"/>
    </row>
    <row r="128" spans="1:15" ht="17.45" customHeight="1">
      <c r="A128" s="471">
        <f t="shared" si="8"/>
        <v>951834294.06751037</v>
      </c>
      <c r="B128" s="1287">
        <f t="shared" si="10"/>
        <v>379065828</v>
      </c>
      <c r="C128" s="472">
        <f t="shared" si="9"/>
        <v>154388383.02000001</v>
      </c>
      <c r="D128" s="472">
        <v>61484820</v>
      </c>
      <c r="E128" s="428" t="s">
        <v>1421</v>
      </c>
      <c r="F128" s="1290">
        <f>N128/1000</f>
        <v>6.1651937500000011</v>
      </c>
      <c r="G128" s="437" t="s">
        <v>1363</v>
      </c>
      <c r="H128" s="430"/>
      <c r="I128" s="431"/>
      <c r="J128" s="432" t="s">
        <v>1368</v>
      </c>
      <c r="K128" s="476" t="s">
        <v>1466</v>
      </c>
      <c r="N128" s="433">
        <f>M126^2*0.25*3.1415*0.01*7850</f>
        <v>6165.1937500000013</v>
      </c>
      <c r="O128" s="1291"/>
    </row>
    <row r="129" spans="1:15" ht="17.45" customHeight="1">
      <c r="A129" s="471">
        <f t="shared" si="8"/>
        <v>5544471163.1472197</v>
      </c>
      <c r="B129" s="1287">
        <f t="shared" si="10"/>
        <v>2208072944</v>
      </c>
      <c r="C129" s="472">
        <f t="shared" si="9"/>
        <v>231303979.08000001</v>
      </c>
      <c r="D129" s="472">
        <v>92116280</v>
      </c>
      <c r="E129" s="428" t="s">
        <v>1423</v>
      </c>
      <c r="F129" s="1290">
        <f>N129/1000</f>
        <v>23.970496250000004</v>
      </c>
      <c r="G129" s="437" t="s">
        <v>1363</v>
      </c>
      <c r="H129" s="430"/>
      <c r="I129" s="431"/>
      <c r="J129" s="432" t="s">
        <v>1371</v>
      </c>
      <c r="K129" s="476" t="s">
        <v>1467</v>
      </c>
      <c r="N129" s="433">
        <f>N126-N128-N130-N131</f>
        <v>23970.496250000004</v>
      </c>
      <c r="O129" s="1291"/>
    </row>
    <row r="130" spans="1:15" ht="17.45" customHeight="1">
      <c r="A130" s="471">
        <f t="shared" si="8"/>
        <v>965333614.90416634</v>
      </c>
      <c r="B130" s="1287">
        <f t="shared" si="10"/>
        <v>384441902</v>
      </c>
      <c r="C130" s="472">
        <f t="shared" si="9"/>
        <v>195722481.33000001</v>
      </c>
      <c r="D130" s="472">
        <v>77946030</v>
      </c>
      <c r="E130" s="428" t="s">
        <v>1425</v>
      </c>
      <c r="F130" s="1290">
        <f>N130/1000</f>
        <v>4.9321550000000007</v>
      </c>
      <c r="G130" s="437" t="s">
        <v>1363</v>
      </c>
      <c r="H130" s="430"/>
      <c r="I130" s="431"/>
      <c r="J130" s="432" t="s">
        <v>1374</v>
      </c>
      <c r="K130" s="476" t="s">
        <v>1468</v>
      </c>
      <c r="N130" s="433">
        <f>M126^2*0.25*3.1415*0.008*7850</f>
        <v>4932.1550000000007</v>
      </c>
      <c r="O130" s="1291"/>
    </row>
    <row r="131" spans="1:15" ht="17.45" customHeight="1">
      <c r="A131" s="471">
        <f t="shared" si="8"/>
        <v>1198957115.0560501</v>
      </c>
      <c r="B131" s="1287">
        <f t="shared" si="10"/>
        <v>477481926</v>
      </c>
      <c r="C131" s="472">
        <f t="shared" si="9"/>
        <v>243089.91</v>
      </c>
      <c r="D131" s="472">
        <v>96810</v>
      </c>
      <c r="E131" s="428" t="s">
        <v>1376</v>
      </c>
      <c r="F131" s="1290">
        <f>N131</f>
        <v>4932.1550000000007</v>
      </c>
      <c r="G131" s="429" t="s">
        <v>135</v>
      </c>
      <c r="H131" s="430"/>
      <c r="I131" s="431"/>
      <c r="J131" s="432" t="s">
        <v>1377</v>
      </c>
      <c r="K131" s="476" t="s">
        <v>1469</v>
      </c>
      <c r="N131" s="433">
        <f>N130</f>
        <v>4932.1550000000007</v>
      </c>
      <c r="O131" s="1291"/>
    </row>
    <row r="132" spans="1:15" ht="17.45" customHeight="1">
      <c r="A132" s="471">
        <f t="shared" si="8"/>
        <v>721221975.00000012</v>
      </c>
      <c r="B132" s="1287">
        <f t="shared" si="10"/>
        <v>287225000</v>
      </c>
      <c r="C132" s="472">
        <f t="shared" si="9"/>
        <v>288488.79000000004</v>
      </c>
      <c r="D132" s="472">
        <v>114890</v>
      </c>
      <c r="E132" s="428" t="s">
        <v>1379</v>
      </c>
      <c r="F132" s="472">
        <v>2500</v>
      </c>
      <c r="G132" s="429" t="s">
        <v>135</v>
      </c>
      <c r="H132" s="430"/>
      <c r="I132" s="431"/>
      <c r="J132" s="432" t="s">
        <v>1380</v>
      </c>
      <c r="K132" s="476" t="s">
        <v>1470</v>
      </c>
      <c r="N132" s="433"/>
      <c r="O132" s="1291"/>
    </row>
    <row r="133" spans="1:15" ht="17.45" customHeight="1">
      <c r="A133" s="471">
        <f t="shared" si="8"/>
        <v>109310235.24712503</v>
      </c>
      <c r="B133" s="1287">
        <f t="shared" si="10"/>
        <v>43532551</v>
      </c>
      <c r="C133" s="472">
        <f t="shared" si="9"/>
        <v>1391822.1900000002</v>
      </c>
      <c r="D133" s="472">
        <v>554290</v>
      </c>
      <c r="E133" s="428" t="s">
        <v>1382</v>
      </c>
      <c r="F133" s="472">
        <f>M126^2*3.1415/4</f>
        <v>78.537500000000009</v>
      </c>
      <c r="G133" s="437" t="s">
        <v>1383</v>
      </c>
      <c r="H133" s="430"/>
      <c r="I133" s="431"/>
      <c r="J133" s="432" t="s">
        <v>1384</v>
      </c>
      <c r="K133" s="476" t="s">
        <v>1471</v>
      </c>
      <c r="N133" s="433"/>
      <c r="O133" s="1291"/>
    </row>
    <row r="134" spans="1:15" ht="17.45" customHeight="1">
      <c r="A134" s="471">
        <f t="shared" si="8"/>
        <v>787036060.27125013</v>
      </c>
      <c r="B134" s="1287">
        <f t="shared" si="10"/>
        <v>313435309</v>
      </c>
      <c r="C134" s="472">
        <f t="shared" si="9"/>
        <v>1670191.6500000001</v>
      </c>
      <c r="D134" s="472">
        <v>665150</v>
      </c>
      <c r="E134" s="428" t="s">
        <v>1386</v>
      </c>
      <c r="F134" s="472">
        <f>1.2*F133+3.1415*M126*M127</f>
        <v>471.22500000000002</v>
      </c>
      <c r="G134" s="437" t="s">
        <v>1383</v>
      </c>
      <c r="H134" s="430"/>
      <c r="I134" s="431"/>
      <c r="J134" s="432" t="s">
        <v>1387</v>
      </c>
      <c r="K134" s="476" t="s">
        <v>1472</v>
      </c>
      <c r="N134" s="433">
        <f>M131^2*0.25*3.1415*0.01*7850*2</f>
        <v>0</v>
      </c>
      <c r="O134" s="1291"/>
    </row>
    <row r="135" spans="1:15" ht="17.45" customHeight="1">
      <c r="A135" s="471">
        <f t="shared" si="8"/>
        <v>45908366.16870001</v>
      </c>
      <c r="B135" s="1287">
        <f t="shared" ref="B135:B198" si="11">ROUND(F135*D135,0)</f>
        <v>18282902</v>
      </c>
      <c r="C135" s="472">
        <f t="shared" si="9"/>
        <v>208764.54</v>
      </c>
      <c r="D135" s="472">
        <v>83140</v>
      </c>
      <c r="E135" s="428" t="s">
        <v>1389</v>
      </c>
      <c r="F135" s="472">
        <f>3.1415*M126*(M127-5)</f>
        <v>219.90500000000003</v>
      </c>
      <c r="G135" s="437" t="s">
        <v>1383</v>
      </c>
      <c r="H135" s="430"/>
      <c r="I135" s="431"/>
      <c r="J135" s="432" t="s">
        <v>1390</v>
      </c>
      <c r="K135" s="476" t="s">
        <v>1473</v>
      </c>
      <c r="N135" s="433"/>
      <c r="O135" s="1291"/>
    </row>
    <row r="136" spans="1:15" ht="17.45" customHeight="1">
      <c r="A136" s="471">
        <f t="shared" si="8"/>
        <v>760801524.92887509</v>
      </c>
      <c r="B136" s="1287">
        <f t="shared" si="11"/>
        <v>302987465</v>
      </c>
      <c r="C136" s="472">
        <f t="shared" si="9"/>
        <v>1670191.6500000001</v>
      </c>
      <c r="D136" s="472">
        <v>665150</v>
      </c>
      <c r="E136" s="428" t="s">
        <v>1386</v>
      </c>
      <c r="F136" s="472">
        <f>F133+3.1415*M126*M127</f>
        <v>455.51750000000004</v>
      </c>
      <c r="G136" s="437" t="s">
        <v>1383</v>
      </c>
      <c r="H136" s="430"/>
      <c r="I136" s="431"/>
      <c r="J136" s="432" t="s">
        <v>1392</v>
      </c>
      <c r="K136" s="476" t="s">
        <v>1474</v>
      </c>
      <c r="N136" s="433">
        <f>M133^2*0.25*3.1415*0.01*7850*2</f>
        <v>0</v>
      </c>
      <c r="O136" s="1291"/>
    </row>
    <row r="137" spans="1:15" ht="17.45" customHeight="1">
      <c r="A137" s="471">
        <f t="shared" si="8"/>
        <v>45908366.16870001</v>
      </c>
      <c r="B137" s="1287">
        <f t="shared" si="11"/>
        <v>18282902</v>
      </c>
      <c r="C137" s="472">
        <f t="shared" si="9"/>
        <v>208764.54</v>
      </c>
      <c r="D137" s="472">
        <v>83140</v>
      </c>
      <c r="E137" s="428" t="s">
        <v>1389</v>
      </c>
      <c r="F137" s="472">
        <f>F135</f>
        <v>219.90500000000003</v>
      </c>
      <c r="G137" s="437" t="s">
        <v>1383</v>
      </c>
      <c r="H137" s="430"/>
      <c r="I137" s="431"/>
      <c r="J137" s="432" t="s">
        <v>1394</v>
      </c>
      <c r="K137" s="476" t="s">
        <v>1475</v>
      </c>
      <c r="N137" s="433">
        <f>2*N133-N136-N140-N141</f>
        <v>0</v>
      </c>
      <c r="O137" s="1291"/>
    </row>
    <row r="138" spans="1:15" ht="17.45" customHeight="1">
      <c r="A138" s="471">
        <f t="shared" si="8"/>
        <v>301017776.04000002</v>
      </c>
      <c r="B138" s="1287">
        <f t="shared" si="11"/>
        <v>119879640</v>
      </c>
      <c r="C138" s="472">
        <f t="shared" si="9"/>
        <v>299436.75</v>
      </c>
      <c r="D138" s="472">
        <v>119250</v>
      </c>
      <c r="E138" s="428" t="s">
        <v>1396</v>
      </c>
      <c r="F138" s="472">
        <f>F133+F134+F136</f>
        <v>1005.2800000000001</v>
      </c>
      <c r="G138" s="437" t="s">
        <v>1383</v>
      </c>
      <c r="H138" s="430"/>
      <c r="I138" s="431"/>
      <c r="J138" s="432" t="s">
        <v>1397</v>
      </c>
      <c r="K138" s="476" t="s">
        <v>1476</v>
      </c>
      <c r="N138" s="433">
        <f>M131^2*0.25*3.1415*0.008*7850*2</f>
        <v>0</v>
      </c>
      <c r="O138" s="1291"/>
    </row>
    <row r="139" spans="1:15" ht="17.45" customHeight="1">
      <c r="A139" s="471">
        <f t="shared" si="8"/>
        <v>15748215.096600002</v>
      </c>
      <c r="B139" s="1287">
        <f t="shared" si="11"/>
        <v>6271691</v>
      </c>
      <c r="C139" s="472">
        <f t="shared" si="9"/>
        <v>35806.86</v>
      </c>
      <c r="D139" s="472">
        <v>14260</v>
      </c>
      <c r="E139" s="428" t="s">
        <v>1399</v>
      </c>
      <c r="F139" s="472">
        <f>F135+F137</f>
        <v>439.81000000000006</v>
      </c>
      <c r="G139" s="437" t="s">
        <v>1383</v>
      </c>
      <c r="H139" s="430"/>
      <c r="I139" s="431"/>
      <c r="J139" s="432" t="s">
        <v>1400</v>
      </c>
      <c r="K139" s="476" t="s">
        <v>1477</v>
      </c>
      <c r="N139" s="433">
        <f>N138*2</f>
        <v>0</v>
      </c>
      <c r="O139" s="1291"/>
    </row>
    <row r="140" spans="1:15" ht="17.45" customHeight="1">
      <c r="A140" s="471">
        <f t="shared" si="8"/>
        <v>411793264.21950006</v>
      </c>
      <c r="B140" s="1287">
        <f t="shared" si="11"/>
        <v>163995725</v>
      </c>
      <c r="C140" s="472">
        <f t="shared" si="9"/>
        <v>873878.22000000009</v>
      </c>
      <c r="D140" s="472">
        <v>348020</v>
      </c>
      <c r="E140" s="428" t="s">
        <v>1402</v>
      </c>
      <c r="F140" s="472">
        <f>F134</f>
        <v>471.22500000000002</v>
      </c>
      <c r="G140" s="437" t="s">
        <v>1383</v>
      </c>
      <c r="H140" s="430"/>
      <c r="I140" s="431"/>
      <c r="J140" s="432" t="s">
        <v>1403</v>
      </c>
      <c r="K140" s="476" t="s">
        <v>1478</v>
      </c>
      <c r="N140" s="1292"/>
      <c r="O140" s="1291"/>
    </row>
    <row r="141" spans="1:15" ht="17.45" customHeight="1">
      <c r="A141" s="471">
        <f t="shared" si="8"/>
        <v>1141666711.4384999</v>
      </c>
      <c r="B141" s="1287">
        <f t="shared" si="11"/>
        <v>454666154</v>
      </c>
      <c r="C141" s="472">
        <f t="shared" si="9"/>
        <v>1211381.73</v>
      </c>
      <c r="D141" s="472">
        <v>482430</v>
      </c>
      <c r="E141" s="428" t="s">
        <v>1405</v>
      </c>
      <c r="F141" s="472">
        <f>2*F140</f>
        <v>942.45</v>
      </c>
      <c r="G141" s="437" t="s">
        <v>1383</v>
      </c>
      <c r="H141" s="430"/>
      <c r="I141" s="431"/>
      <c r="J141" s="432" t="s">
        <v>1406</v>
      </c>
      <c r="K141" s="476" t="s">
        <v>1479</v>
      </c>
      <c r="N141" s="1292"/>
      <c r="O141" s="1291"/>
    </row>
    <row r="142" spans="1:15" ht="17.45" customHeight="1">
      <c r="A142" s="471">
        <f t="shared" si="8"/>
        <v>1417173704.2575002</v>
      </c>
      <c r="B142" s="1287">
        <f>ROUND(F142*D142,0)</f>
        <v>564386183</v>
      </c>
      <c r="C142" s="472">
        <f t="shared" si="9"/>
        <v>1037043</v>
      </c>
      <c r="D142" s="472">
        <f>ROUND(50000*U220,0)</f>
        <v>413000</v>
      </c>
      <c r="E142" s="428" t="s">
        <v>1480</v>
      </c>
      <c r="F142" s="472">
        <f>3*F136</f>
        <v>1366.5525000000002</v>
      </c>
      <c r="G142" s="437" t="s">
        <v>1383</v>
      </c>
      <c r="H142" s="430"/>
      <c r="I142" s="431"/>
      <c r="J142" s="432" t="s">
        <v>1481</v>
      </c>
      <c r="K142" s="476" t="s">
        <v>1482</v>
      </c>
      <c r="N142" s="1292"/>
      <c r="O142" s="1291"/>
    </row>
    <row r="143" spans="1:15" ht="17.45" customHeight="1">
      <c r="A143" s="471">
        <f t="shared" si="8"/>
        <v>268525841.56650007</v>
      </c>
      <c r="B143" s="1287">
        <f t="shared" si="11"/>
        <v>106939802</v>
      </c>
      <c r="C143" s="472">
        <f t="shared" si="9"/>
        <v>284923.17000000004</v>
      </c>
      <c r="D143" s="472">
        <v>113470</v>
      </c>
      <c r="E143" s="428" t="s">
        <v>1439</v>
      </c>
      <c r="F143" s="472">
        <f>M126^2*3.1415*M127/4</f>
        <v>942.45</v>
      </c>
      <c r="G143" s="437" t="s">
        <v>1411</v>
      </c>
      <c r="H143" s="430"/>
      <c r="I143" s="431"/>
      <c r="J143" s="432" t="s">
        <v>1412</v>
      </c>
      <c r="K143" s="476" t="s">
        <v>1483</v>
      </c>
      <c r="N143" s="1292"/>
      <c r="O143" s="1291"/>
    </row>
    <row r="144" spans="1:15" ht="17.45" customHeight="1">
      <c r="A144" s="471">
        <f t="shared" si="8"/>
        <v>25435155.667500004</v>
      </c>
      <c r="B144" s="1287">
        <f t="shared" si="11"/>
        <v>10129493</v>
      </c>
      <c r="C144" s="472">
        <f t="shared" si="9"/>
        <v>53233.200000000004</v>
      </c>
      <c r="D144" s="472">
        <v>21200</v>
      </c>
      <c r="E144" s="428" t="s">
        <v>1414</v>
      </c>
      <c r="F144" s="472">
        <f>15*((M127/1.5)*3+2*M126*3.1415/8)</f>
        <v>477.80625000000003</v>
      </c>
      <c r="G144" s="437" t="s">
        <v>1415</v>
      </c>
      <c r="H144" s="430"/>
      <c r="I144" s="431"/>
      <c r="J144" s="432" t="s">
        <v>1416</v>
      </c>
      <c r="K144" s="476" t="s">
        <v>1484</v>
      </c>
      <c r="N144" s="1292"/>
      <c r="O144" s="1291"/>
    </row>
    <row r="145" spans="1:15" ht="17.45" customHeight="1">
      <c r="A145" s="471">
        <f t="shared" si="8"/>
        <v>0</v>
      </c>
      <c r="B145" s="1287">
        <f t="shared" si="11"/>
        <v>0</v>
      </c>
      <c r="C145" s="472"/>
      <c r="D145" s="472"/>
      <c r="E145" s="428"/>
      <c r="F145" s="1290"/>
      <c r="G145" s="437"/>
      <c r="H145" s="430" t="s">
        <v>178</v>
      </c>
      <c r="I145" s="431" t="s">
        <v>179</v>
      </c>
      <c r="J145" s="443" t="s">
        <v>1485</v>
      </c>
      <c r="K145" s="1293">
        <v>8.5</v>
      </c>
      <c r="M145" s="444">
        <v>10</v>
      </c>
      <c r="N145" s="444">
        <v>45900</v>
      </c>
      <c r="O145" s="1291"/>
    </row>
    <row r="146" spans="1:15" ht="17.45" customHeight="1">
      <c r="A146" s="471">
        <f t="shared" si="8"/>
        <v>226117435.76100001</v>
      </c>
      <c r="B146" s="1287">
        <f t="shared" si="11"/>
        <v>90050751</v>
      </c>
      <c r="C146" s="472">
        <f t="shared" si="9"/>
        <v>4926305.79</v>
      </c>
      <c r="D146" s="472">
        <v>1961890</v>
      </c>
      <c r="E146" s="428" t="s">
        <v>1419</v>
      </c>
      <c r="F146" s="1290">
        <f>N145/1000</f>
        <v>45.9</v>
      </c>
      <c r="G146" s="437" t="s">
        <v>1363</v>
      </c>
      <c r="H146" s="430"/>
      <c r="I146" s="431"/>
      <c r="J146" s="432" t="s">
        <v>1364</v>
      </c>
      <c r="K146" s="476" t="s">
        <v>1486</v>
      </c>
      <c r="M146" s="422">
        <v>12</v>
      </c>
      <c r="N146" s="433"/>
      <c r="O146" s="1291"/>
    </row>
    <row r="147" spans="1:15" ht="17.45" customHeight="1">
      <c r="A147" s="471">
        <f t="shared" si="8"/>
        <v>951834294.06751037</v>
      </c>
      <c r="B147" s="1287">
        <f t="shared" si="11"/>
        <v>379065828</v>
      </c>
      <c r="C147" s="472">
        <f t="shared" si="9"/>
        <v>154388383.02000001</v>
      </c>
      <c r="D147" s="472">
        <v>61484820</v>
      </c>
      <c r="E147" s="428" t="s">
        <v>1421</v>
      </c>
      <c r="F147" s="1290">
        <f>N147/1000</f>
        <v>6.1651937500000011</v>
      </c>
      <c r="G147" s="437" t="s">
        <v>1363</v>
      </c>
      <c r="H147" s="430"/>
      <c r="I147" s="431"/>
      <c r="J147" s="432" t="s">
        <v>1368</v>
      </c>
      <c r="K147" s="476" t="s">
        <v>1487</v>
      </c>
      <c r="N147" s="433">
        <f>M145^2*0.25*3.1415*0.01*7850</f>
        <v>6165.1937500000013</v>
      </c>
      <c r="O147" s="1291"/>
    </row>
    <row r="148" spans="1:15" ht="17.45" customHeight="1">
      <c r="A148" s="471">
        <f t="shared" si="8"/>
        <v>6909164639.7192192</v>
      </c>
      <c r="B148" s="1287">
        <f t="shared" si="11"/>
        <v>2751558996</v>
      </c>
      <c r="C148" s="472">
        <f t="shared" si="9"/>
        <v>231303979.08000001</v>
      </c>
      <c r="D148" s="472">
        <v>92116280</v>
      </c>
      <c r="E148" s="428" t="s">
        <v>1423</v>
      </c>
      <c r="F148" s="1290">
        <f>N148/1000</f>
        <v>29.870496250000002</v>
      </c>
      <c r="G148" s="437" t="s">
        <v>1363</v>
      </c>
      <c r="H148" s="430"/>
      <c r="I148" s="431"/>
      <c r="J148" s="432" t="s">
        <v>1371</v>
      </c>
      <c r="K148" s="476" t="s">
        <v>1488</v>
      </c>
      <c r="N148" s="433">
        <f>N145-N147-N149-N150</f>
        <v>29870.496250000004</v>
      </c>
      <c r="O148" s="1291"/>
    </row>
    <row r="149" spans="1:15" ht="17.45" customHeight="1">
      <c r="A149" s="471">
        <f t="shared" si="8"/>
        <v>965333614.90416634</v>
      </c>
      <c r="B149" s="1287">
        <f t="shared" si="11"/>
        <v>384441902</v>
      </c>
      <c r="C149" s="472">
        <f t="shared" si="9"/>
        <v>195722481.33000001</v>
      </c>
      <c r="D149" s="472">
        <v>77946030</v>
      </c>
      <c r="E149" s="428" t="s">
        <v>1425</v>
      </c>
      <c r="F149" s="1290">
        <f>N149/1000</f>
        <v>4.9321550000000007</v>
      </c>
      <c r="G149" s="437" t="s">
        <v>1363</v>
      </c>
      <c r="H149" s="430"/>
      <c r="I149" s="431"/>
      <c r="J149" s="432" t="s">
        <v>1374</v>
      </c>
      <c r="K149" s="476" t="s">
        <v>1489</v>
      </c>
      <c r="N149" s="433">
        <f>M145^2*0.25*3.1415*0.008*7850</f>
        <v>4932.1550000000007</v>
      </c>
      <c r="O149" s="1291"/>
    </row>
    <row r="150" spans="1:15" ht="17.45" customHeight="1">
      <c r="A150" s="471">
        <f t="shared" si="8"/>
        <v>1198957115.0560501</v>
      </c>
      <c r="B150" s="1287">
        <f t="shared" si="11"/>
        <v>477481926</v>
      </c>
      <c r="C150" s="472">
        <f t="shared" si="9"/>
        <v>243089.91</v>
      </c>
      <c r="D150" s="472">
        <v>96810</v>
      </c>
      <c r="E150" s="428" t="s">
        <v>1376</v>
      </c>
      <c r="F150" s="1290">
        <f>N150</f>
        <v>4932.1550000000007</v>
      </c>
      <c r="G150" s="429" t="s">
        <v>135</v>
      </c>
      <c r="H150" s="430"/>
      <c r="I150" s="431"/>
      <c r="J150" s="432" t="s">
        <v>1377</v>
      </c>
      <c r="K150" s="476" t="s">
        <v>1490</v>
      </c>
      <c r="N150" s="433">
        <f>N149</f>
        <v>4932.1550000000007</v>
      </c>
      <c r="O150" s="1291"/>
    </row>
    <row r="151" spans="1:15" ht="17.45" customHeight="1">
      <c r="A151" s="471">
        <f t="shared" si="8"/>
        <v>721221975.00000012</v>
      </c>
      <c r="B151" s="1287">
        <f t="shared" si="11"/>
        <v>287225000</v>
      </c>
      <c r="C151" s="472">
        <f t="shared" si="9"/>
        <v>288488.79000000004</v>
      </c>
      <c r="D151" s="472">
        <v>114890</v>
      </c>
      <c r="E151" s="428" t="s">
        <v>1379</v>
      </c>
      <c r="F151" s="472">
        <v>2500</v>
      </c>
      <c r="G151" s="429" t="s">
        <v>135</v>
      </c>
      <c r="H151" s="430"/>
      <c r="I151" s="431"/>
      <c r="J151" s="432" t="s">
        <v>1380</v>
      </c>
      <c r="K151" s="476" t="s">
        <v>1491</v>
      </c>
      <c r="N151" s="433"/>
      <c r="O151" s="1291"/>
    </row>
    <row r="152" spans="1:15" ht="17.45" customHeight="1">
      <c r="A152" s="471">
        <f t="shared" si="8"/>
        <v>109310235.24712503</v>
      </c>
      <c r="B152" s="1287">
        <f t="shared" si="11"/>
        <v>43532551</v>
      </c>
      <c r="C152" s="472">
        <f t="shared" si="9"/>
        <v>1391822.1900000002</v>
      </c>
      <c r="D152" s="472">
        <v>554290</v>
      </c>
      <c r="E152" s="428" t="s">
        <v>1382</v>
      </c>
      <c r="F152" s="472">
        <f>M145^2*3.1415/4</f>
        <v>78.537500000000009</v>
      </c>
      <c r="G152" s="437" t="s">
        <v>1383</v>
      </c>
      <c r="H152" s="430"/>
      <c r="I152" s="431"/>
      <c r="J152" s="432" t="s">
        <v>1384</v>
      </c>
      <c r="K152" s="476" t="s">
        <v>1492</v>
      </c>
      <c r="N152" s="433"/>
      <c r="O152" s="1291"/>
    </row>
    <row r="153" spans="1:15" ht="17.45" customHeight="1">
      <c r="A153" s="471">
        <f t="shared" si="8"/>
        <v>787036060.27125013</v>
      </c>
      <c r="B153" s="1287">
        <f t="shared" si="11"/>
        <v>313435309</v>
      </c>
      <c r="C153" s="472">
        <f t="shared" si="9"/>
        <v>1670191.6500000001</v>
      </c>
      <c r="D153" s="472">
        <v>665150</v>
      </c>
      <c r="E153" s="428" t="s">
        <v>1386</v>
      </c>
      <c r="F153" s="472">
        <f>1.2*F152+3.1415*M145*M146</f>
        <v>471.22500000000002</v>
      </c>
      <c r="G153" s="437" t="s">
        <v>1383</v>
      </c>
      <c r="H153" s="430"/>
      <c r="I153" s="431"/>
      <c r="J153" s="432" t="s">
        <v>1387</v>
      </c>
      <c r="K153" s="476" t="s">
        <v>1493</v>
      </c>
      <c r="N153" s="433">
        <f>M150^2*0.25*3.1415*0.01*7850*2</f>
        <v>0</v>
      </c>
      <c r="O153" s="1291"/>
    </row>
    <row r="154" spans="1:15" ht="17.45" customHeight="1">
      <c r="A154" s="471">
        <f t="shared" si="8"/>
        <v>45908366.16870001</v>
      </c>
      <c r="B154" s="1287">
        <f t="shared" si="11"/>
        <v>18282902</v>
      </c>
      <c r="C154" s="472">
        <f t="shared" si="9"/>
        <v>208764.54</v>
      </c>
      <c r="D154" s="472">
        <v>83140</v>
      </c>
      <c r="E154" s="428" t="s">
        <v>1389</v>
      </c>
      <c r="F154" s="472">
        <f>3.1415*M145*(M146-5)</f>
        <v>219.90500000000003</v>
      </c>
      <c r="G154" s="437" t="s">
        <v>1383</v>
      </c>
      <c r="H154" s="430"/>
      <c r="I154" s="431"/>
      <c r="J154" s="432" t="s">
        <v>1390</v>
      </c>
      <c r="K154" s="476" t="s">
        <v>1494</v>
      </c>
      <c r="N154" s="433"/>
      <c r="O154" s="1291"/>
    </row>
    <row r="155" spans="1:15" ht="17.45" customHeight="1">
      <c r="A155" s="471">
        <f t="shared" si="8"/>
        <v>760801524.92887509</v>
      </c>
      <c r="B155" s="1287">
        <f t="shared" si="11"/>
        <v>302987465</v>
      </c>
      <c r="C155" s="472">
        <f t="shared" si="9"/>
        <v>1670191.6500000001</v>
      </c>
      <c r="D155" s="472">
        <v>665150</v>
      </c>
      <c r="E155" s="428" t="s">
        <v>1386</v>
      </c>
      <c r="F155" s="472">
        <f>F152+3.1415*M145*M146</f>
        <v>455.51750000000004</v>
      </c>
      <c r="G155" s="437" t="s">
        <v>1383</v>
      </c>
      <c r="H155" s="430"/>
      <c r="I155" s="431"/>
      <c r="J155" s="432" t="s">
        <v>1392</v>
      </c>
      <c r="K155" s="476" t="s">
        <v>1495</v>
      </c>
      <c r="N155" s="433">
        <f>M152^2*0.25*3.1415*0.01*7850*2</f>
        <v>0</v>
      </c>
      <c r="O155" s="1291"/>
    </row>
    <row r="156" spans="1:15" ht="17.45" customHeight="1">
      <c r="A156" s="471">
        <f t="shared" si="8"/>
        <v>45908366.16870001</v>
      </c>
      <c r="B156" s="1287">
        <f t="shared" si="11"/>
        <v>18282902</v>
      </c>
      <c r="C156" s="472">
        <f t="shared" si="9"/>
        <v>208764.54</v>
      </c>
      <c r="D156" s="472">
        <v>83140</v>
      </c>
      <c r="E156" s="428" t="s">
        <v>1389</v>
      </c>
      <c r="F156" s="472">
        <f>F154</f>
        <v>219.90500000000003</v>
      </c>
      <c r="G156" s="437" t="s">
        <v>1383</v>
      </c>
      <c r="H156" s="430"/>
      <c r="I156" s="431"/>
      <c r="J156" s="432" t="s">
        <v>1394</v>
      </c>
      <c r="K156" s="476" t="s">
        <v>1496</v>
      </c>
      <c r="N156" s="433">
        <f>2*N152-N155-N159-N160</f>
        <v>0</v>
      </c>
      <c r="O156" s="1291"/>
    </row>
    <row r="157" spans="1:15" ht="17.45" customHeight="1">
      <c r="A157" s="471">
        <f t="shared" si="8"/>
        <v>301017776.04000002</v>
      </c>
      <c r="B157" s="1287">
        <f t="shared" si="11"/>
        <v>119879640</v>
      </c>
      <c r="C157" s="472">
        <f t="shared" si="9"/>
        <v>299436.75</v>
      </c>
      <c r="D157" s="472">
        <v>119250</v>
      </c>
      <c r="E157" s="428" t="s">
        <v>1396</v>
      </c>
      <c r="F157" s="472">
        <f>F152+F153+F155</f>
        <v>1005.2800000000001</v>
      </c>
      <c r="G157" s="437" t="s">
        <v>1383</v>
      </c>
      <c r="H157" s="430"/>
      <c r="I157" s="431"/>
      <c r="J157" s="432" t="s">
        <v>1397</v>
      </c>
      <c r="K157" s="476" t="s">
        <v>1497</v>
      </c>
      <c r="N157" s="433">
        <f>M150^2*0.25*3.1415*0.008*7850*2</f>
        <v>0</v>
      </c>
      <c r="O157" s="1291"/>
    </row>
    <row r="158" spans="1:15" ht="17.45" customHeight="1">
      <c r="A158" s="471">
        <f t="shared" si="8"/>
        <v>15748215.096600002</v>
      </c>
      <c r="B158" s="1287">
        <f t="shared" si="11"/>
        <v>6271691</v>
      </c>
      <c r="C158" s="472">
        <f t="shared" si="9"/>
        <v>35806.86</v>
      </c>
      <c r="D158" s="472">
        <v>14260</v>
      </c>
      <c r="E158" s="428" t="s">
        <v>1399</v>
      </c>
      <c r="F158" s="472">
        <f>F154+F156</f>
        <v>439.81000000000006</v>
      </c>
      <c r="G158" s="437" t="s">
        <v>1383</v>
      </c>
      <c r="H158" s="430"/>
      <c r="I158" s="431"/>
      <c r="J158" s="432" t="s">
        <v>1400</v>
      </c>
      <c r="K158" s="476" t="s">
        <v>1498</v>
      </c>
      <c r="N158" s="433">
        <f>N157*2</f>
        <v>0</v>
      </c>
      <c r="O158" s="1291"/>
    </row>
    <row r="159" spans="1:15" ht="17.45" customHeight="1">
      <c r="A159" s="471">
        <f t="shared" si="8"/>
        <v>411793264.21950006</v>
      </c>
      <c r="B159" s="1287">
        <f t="shared" si="11"/>
        <v>163995725</v>
      </c>
      <c r="C159" s="472">
        <f t="shared" si="9"/>
        <v>873878.22000000009</v>
      </c>
      <c r="D159" s="472">
        <v>348020</v>
      </c>
      <c r="E159" s="428" t="s">
        <v>1402</v>
      </c>
      <c r="F159" s="472">
        <f>F153</f>
        <v>471.22500000000002</v>
      </c>
      <c r="G159" s="437" t="s">
        <v>1383</v>
      </c>
      <c r="H159" s="430"/>
      <c r="I159" s="431"/>
      <c r="J159" s="432" t="s">
        <v>1403</v>
      </c>
      <c r="K159" s="476" t="s">
        <v>1499</v>
      </c>
      <c r="N159" s="1292"/>
      <c r="O159" s="1291"/>
    </row>
    <row r="160" spans="1:15" ht="17.45" customHeight="1">
      <c r="A160" s="471">
        <f t="shared" si="8"/>
        <v>1141666711.4384999</v>
      </c>
      <c r="B160" s="1287">
        <f t="shared" si="11"/>
        <v>454666154</v>
      </c>
      <c r="C160" s="472">
        <f t="shared" si="9"/>
        <v>1211381.73</v>
      </c>
      <c r="D160" s="472">
        <v>482430</v>
      </c>
      <c r="E160" s="428" t="s">
        <v>1405</v>
      </c>
      <c r="F160" s="472">
        <f>2*F159</f>
        <v>942.45</v>
      </c>
      <c r="G160" s="437" t="s">
        <v>1383</v>
      </c>
      <c r="H160" s="430"/>
      <c r="I160" s="431"/>
      <c r="J160" s="432" t="s">
        <v>1406</v>
      </c>
      <c r="K160" s="476" t="s">
        <v>1500</v>
      </c>
      <c r="N160" s="1292"/>
      <c r="O160" s="1291"/>
    </row>
    <row r="161" spans="1:15" ht="17.45" customHeight="1">
      <c r="A161" s="471">
        <f>C161*F161</f>
        <v>564386182.50000012</v>
      </c>
      <c r="B161" s="1287">
        <f>ROUND(F161*C161,0)</f>
        <v>564386183</v>
      </c>
      <c r="C161" s="472">
        <f>ROUND(50000*U220,0)</f>
        <v>413000</v>
      </c>
      <c r="D161" s="1294" t="s">
        <v>342</v>
      </c>
      <c r="E161" s="428" t="s">
        <v>1480</v>
      </c>
      <c r="F161" s="472">
        <f>3*F155</f>
        <v>1366.5525000000002</v>
      </c>
      <c r="G161" s="437" t="s">
        <v>1383</v>
      </c>
      <c r="H161" s="430"/>
      <c r="I161" s="431"/>
      <c r="J161" s="432" t="s">
        <v>1481</v>
      </c>
      <c r="K161" s="476" t="s">
        <v>1501</v>
      </c>
      <c r="N161" s="1292"/>
      <c r="O161" s="1291"/>
    </row>
    <row r="162" spans="1:15" ht="17.45" customHeight="1">
      <c r="A162" s="471">
        <f t="shared" si="8"/>
        <v>268525841.56650007</v>
      </c>
      <c r="B162" s="1287">
        <f t="shared" si="11"/>
        <v>106939802</v>
      </c>
      <c r="C162" s="472">
        <f t="shared" ref="C162:C163" si="12">D162*$N$19</f>
        <v>284923.17000000004</v>
      </c>
      <c r="D162" s="472">
        <v>113470</v>
      </c>
      <c r="E162" s="428" t="s">
        <v>1439</v>
      </c>
      <c r="F162" s="472">
        <f>M145^2*3.1415*M146/4</f>
        <v>942.45</v>
      </c>
      <c r="G162" s="437" t="s">
        <v>1411</v>
      </c>
      <c r="H162" s="430"/>
      <c r="I162" s="431"/>
      <c r="J162" s="432" t="s">
        <v>1412</v>
      </c>
      <c r="K162" s="476" t="s">
        <v>1502</v>
      </c>
      <c r="N162" s="1292"/>
      <c r="O162" s="1291"/>
    </row>
    <row r="163" spans="1:15" ht="17.45" customHeight="1">
      <c r="A163" s="471">
        <f t="shared" si="8"/>
        <v>25435155.667500004</v>
      </c>
      <c r="B163" s="1287">
        <f t="shared" si="11"/>
        <v>10129493</v>
      </c>
      <c r="C163" s="472">
        <f t="shared" si="12"/>
        <v>53233.200000000004</v>
      </c>
      <c r="D163" s="472">
        <v>21200</v>
      </c>
      <c r="E163" s="428" t="s">
        <v>1414</v>
      </c>
      <c r="F163" s="472">
        <f>15*((M146/1.5)*3+2*M145*3.1415/8)</f>
        <v>477.80625000000003</v>
      </c>
      <c r="G163" s="437" t="s">
        <v>1415</v>
      </c>
      <c r="H163" s="430"/>
      <c r="I163" s="431"/>
      <c r="J163" s="432" t="s">
        <v>1416</v>
      </c>
      <c r="K163" s="476" t="s">
        <v>1503</v>
      </c>
      <c r="N163" s="1292"/>
      <c r="O163" s="1291"/>
    </row>
    <row r="164" spans="1:15" ht="17.45" customHeight="1">
      <c r="A164" s="471">
        <f>C164*F164</f>
        <v>1982400000</v>
      </c>
      <c r="B164" s="1287">
        <f>ROUND(F164*C164,0)</f>
        <v>1982400000</v>
      </c>
      <c r="C164" s="472">
        <f>ROUND(40000*U220,0)</f>
        <v>330400</v>
      </c>
      <c r="D164" s="1294" t="s">
        <v>342</v>
      </c>
      <c r="E164" s="428" t="s">
        <v>1480</v>
      </c>
      <c r="F164" s="472">
        <v>6000</v>
      </c>
      <c r="G164" s="429" t="s">
        <v>135</v>
      </c>
      <c r="H164" s="430"/>
      <c r="I164" s="431"/>
      <c r="J164" s="432" t="s">
        <v>1504</v>
      </c>
      <c r="K164" s="476" t="s">
        <v>1505</v>
      </c>
      <c r="N164" s="1292"/>
      <c r="O164" s="1291"/>
    </row>
    <row r="165" spans="1:15" ht="17.45" customHeight="1">
      <c r="A165" s="471">
        <f t="shared" si="8"/>
        <v>0</v>
      </c>
      <c r="B165" s="1287">
        <f t="shared" si="11"/>
        <v>0</v>
      </c>
      <c r="C165" s="472"/>
      <c r="D165" s="472"/>
      <c r="E165" s="428"/>
      <c r="F165" s="1290"/>
      <c r="G165" s="437"/>
      <c r="H165" s="430" t="s">
        <v>131</v>
      </c>
      <c r="I165" s="431" t="s">
        <v>241</v>
      </c>
      <c r="J165" s="443" t="s">
        <v>1506</v>
      </c>
      <c r="K165" s="1293">
        <v>8.6</v>
      </c>
      <c r="M165" s="444">
        <v>3</v>
      </c>
      <c r="N165" s="444">
        <v>3600</v>
      </c>
      <c r="O165" s="1291"/>
    </row>
    <row r="166" spans="1:15" ht="17.45" customHeight="1">
      <c r="A166" s="471">
        <f t="shared" si="8"/>
        <v>17734700.844000001</v>
      </c>
      <c r="B166" s="1287">
        <f t="shared" si="11"/>
        <v>7062804</v>
      </c>
      <c r="C166" s="472">
        <f t="shared" si="9"/>
        <v>4926305.79</v>
      </c>
      <c r="D166" s="472">
        <v>1961890</v>
      </c>
      <c r="E166" s="428" t="s">
        <v>1419</v>
      </c>
      <c r="F166" s="1290">
        <f>N165/1000</f>
        <v>3.6</v>
      </c>
      <c r="G166" s="437" t="s">
        <v>1363</v>
      </c>
      <c r="H166" s="430"/>
      <c r="I166" s="431"/>
      <c r="J166" s="432" t="s">
        <v>1364</v>
      </c>
      <c r="K166" s="476" t="s">
        <v>1507</v>
      </c>
      <c r="M166" s="422">
        <v>3</v>
      </c>
      <c r="N166" s="433"/>
      <c r="O166" s="1291"/>
    </row>
    <row r="167" spans="1:15" ht="17.45" customHeight="1">
      <c r="A167" s="471">
        <f t="shared" si="8"/>
        <v>85665086.466075912</v>
      </c>
      <c r="B167" s="1287">
        <f t="shared" si="11"/>
        <v>34115925</v>
      </c>
      <c r="C167" s="472">
        <f t="shared" si="9"/>
        <v>154388383.02000001</v>
      </c>
      <c r="D167" s="472">
        <v>61484820</v>
      </c>
      <c r="E167" s="428" t="s">
        <v>1421</v>
      </c>
      <c r="F167" s="1290">
        <f>N167/1000</f>
        <v>0.5548674375</v>
      </c>
      <c r="G167" s="437" t="s">
        <v>1363</v>
      </c>
      <c r="H167" s="430"/>
      <c r="I167" s="431"/>
      <c r="J167" s="432" t="s">
        <v>1368</v>
      </c>
      <c r="K167" s="476" t="s">
        <v>1508</v>
      </c>
      <c r="N167" s="433">
        <f>M165^2*0.25*3.1415*0.01*7850</f>
        <v>554.86743750000005</v>
      </c>
      <c r="O167" s="1291"/>
    </row>
    <row r="168" spans="1:15" ht="17.45" customHeight="1">
      <c r="A168" s="471">
        <f t="shared" si="8"/>
        <v>499002404.68324965</v>
      </c>
      <c r="B168" s="1287">
        <f t="shared" si="11"/>
        <v>198726565</v>
      </c>
      <c r="C168" s="472">
        <f t="shared" si="9"/>
        <v>231303979.08000001</v>
      </c>
      <c r="D168" s="472">
        <v>92116280</v>
      </c>
      <c r="E168" s="428" t="s">
        <v>1423</v>
      </c>
      <c r="F168" s="1290">
        <f>N168/1000</f>
        <v>2.1573446624999999</v>
      </c>
      <c r="G168" s="437" t="s">
        <v>1363</v>
      </c>
      <c r="H168" s="430"/>
      <c r="I168" s="431"/>
      <c r="J168" s="432" t="s">
        <v>1371</v>
      </c>
      <c r="K168" s="476" t="s">
        <v>1509</v>
      </c>
      <c r="N168" s="433">
        <f>N165-N167-N169-N170</f>
        <v>2157.3446624999997</v>
      </c>
      <c r="O168" s="1291"/>
    </row>
    <row r="169" spans="1:15" ht="17.45" customHeight="1">
      <c r="A169" s="471">
        <f t="shared" si="8"/>
        <v>86880025.341374978</v>
      </c>
      <c r="B169" s="1287">
        <f t="shared" si="11"/>
        <v>34599771</v>
      </c>
      <c r="C169" s="472">
        <f t="shared" si="9"/>
        <v>195722481.33000001</v>
      </c>
      <c r="D169" s="472">
        <v>77946030</v>
      </c>
      <c r="E169" s="428" t="s">
        <v>1425</v>
      </c>
      <c r="F169" s="1290">
        <f>N169/1000</f>
        <v>0.44389395000000009</v>
      </c>
      <c r="G169" s="437" t="s">
        <v>1363</v>
      </c>
      <c r="H169" s="430"/>
      <c r="I169" s="431"/>
      <c r="J169" s="432" t="s">
        <v>1374</v>
      </c>
      <c r="K169" s="476" t="s">
        <v>1510</v>
      </c>
      <c r="N169" s="433">
        <f>M165^2*0.25*3.1415*0.008*7850</f>
        <v>443.89395000000007</v>
      </c>
      <c r="O169" s="1291"/>
    </row>
    <row r="170" spans="1:15" ht="17.45" customHeight="1">
      <c r="A170" s="471">
        <f t="shared" si="8"/>
        <v>107906140.35504451</v>
      </c>
      <c r="B170" s="1287">
        <f t="shared" si="11"/>
        <v>42973373</v>
      </c>
      <c r="C170" s="472">
        <f t="shared" si="9"/>
        <v>243089.91</v>
      </c>
      <c r="D170" s="472">
        <v>96810</v>
      </c>
      <c r="E170" s="428" t="s">
        <v>1376</v>
      </c>
      <c r="F170" s="1290">
        <f>N170</f>
        <v>443.89395000000007</v>
      </c>
      <c r="G170" s="429" t="s">
        <v>135</v>
      </c>
      <c r="H170" s="430"/>
      <c r="I170" s="431"/>
      <c r="J170" s="432" t="s">
        <v>1377</v>
      </c>
      <c r="K170" s="476" t="s">
        <v>1511</v>
      </c>
      <c r="N170" s="433">
        <f>N169</f>
        <v>443.89395000000007</v>
      </c>
      <c r="O170" s="1291"/>
    </row>
    <row r="171" spans="1:15" ht="17.45" customHeight="1">
      <c r="A171" s="471">
        <f t="shared" si="8"/>
        <v>86546.637000000002</v>
      </c>
      <c r="B171" s="1287">
        <f t="shared" si="11"/>
        <v>34467</v>
      </c>
      <c r="C171" s="472">
        <f t="shared" si="9"/>
        <v>288488.79000000004</v>
      </c>
      <c r="D171" s="472">
        <v>114890</v>
      </c>
      <c r="E171" s="428" t="s">
        <v>1379</v>
      </c>
      <c r="F171" s="1290">
        <v>0.3</v>
      </c>
      <c r="G171" s="429" t="s">
        <v>135</v>
      </c>
      <c r="H171" s="430"/>
      <c r="I171" s="431"/>
      <c r="J171" s="432" t="s">
        <v>1380</v>
      </c>
      <c r="K171" s="476" t="s">
        <v>1512</v>
      </c>
      <c r="N171" s="433"/>
      <c r="O171" s="1291"/>
    </row>
    <row r="172" spans="1:15" ht="17.45" customHeight="1">
      <c r="A172" s="471">
        <f t="shared" si="8"/>
        <v>9837921.1722412519</v>
      </c>
      <c r="B172" s="1287">
        <f t="shared" si="11"/>
        <v>3917930</v>
      </c>
      <c r="C172" s="472">
        <f t="shared" si="9"/>
        <v>1391822.1900000002</v>
      </c>
      <c r="D172" s="472">
        <v>554290</v>
      </c>
      <c r="E172" s="428" t="s">
        <v>1382</v>
      </c>
      <c r="F172" s="472">
        <f>M165^2*3.1415/4</f>
        <v>7.0683750000000005</v>
      </c>
      <c r="G172" s="437" t="s">
        <v>1383</v>
      </c>
      <c r="H172" s="430"/>
      <c r="I172" s="431"/>
      <c r="J172" s="432" t="s">
        <v>1384</v>
      </c>
      <c r="K172" s="476" t="s">
        <v>1513</v>
      </c>
      <c r="N172" s="433"/>
      <c r="O172" s="1291"/>
    </row>
    <row r="173" spans="1:15" ht="17.45" customHeight="1">
      <c r="A173" s="471">
        <f t="shared" si="8"/>
        <v>61388812.701157503</v>
      </c>
      <c r="B173" s="1287">
        <f t="shared" si="11"/>
        <v>24447954</v>
      </c>
      <c r="C173" s="472">
        <f t="shared" si="9"/>
        <v>1670191.6500000001</v>
      </c>
      <c r="D173" s="472">
        <v>665150</v>
      </c>
      <c r="E173" s="428" t="s">
        <v>1386</v>
      </c>
      <c r="F173" s="472">
        <f>1.2*F172+3.1415*M165*M166</f>
        <v>36.755549999999999</v>
      </c>
      <c r="G173" s="437" t="s">
        <v>1383</v>
      </c>
      <c r="H173" s="430"/>
      <c r="I173" s="431"/>
      <c r="J173" s="432" t="s">
        <v>1387</v>
      </c>
      <c r="K173" s="476" t="s">
        <v>1514</v>
      </c>
      <c r="N173" s="433">
        <f>M170^2*0.25*3.1415*0.01*7850*2</f>
        <v>0</v>
      </c>
      <c r="O173" s="1291"/>
    </row>
    <row r="174" spans="1:15" ht="17.45" customHeight="1">
      <c r="A174" s="471">
        <f t="shared" si="8"/>
        <v>0</v>
      </c>
      <c r="B174" s="1287">
        <f t="shared" si="11"/>
        <v>0</v>
      </c>
      <c r="C174" s="472">
        <f t="shared" si="9"/>
        <v>208764.54</v>
      </c>
      <c r="D174" s="472">
        <v>83140</v>
      </c>
      <c r="E174" s="428" t="s">
        <v>1389</v>
      </c>
      <c r="F174" s="472"/>
      <c r="G174" s="437" t="s">
        <v>1383</v>
      </c>
      <c r="H174" s="430"/>
      <c r="I174" s="431"/>
      <c r="J174" s="432" t="s">
        <v>1390</v>
      </c>
      <c r="K174" s="476" t="s">
        <v>1515</v>
      </c>
      <c r="N174" s="433"/>
      <c r="O174" s="1291"/>
    </row>
    <row r="175" spans="1:15" ht="17.45" customHeight="1">
      <c r="A175" s="471">
        <f t="shared" si="8"/>
        <v>59027704.520343758</v>
      </c>
      <c r="B175" s="1287">
        <f t="shared" si="11"/>
        <v>23507648</v>
      </c>
      <c r="C175" s="472">
        <f t="shared" si="9"/>
        <v>1670191.6500000001</v>
      </c>
      <c r="D175" s="472">
        <v>665150</v>
      </c>
      <c r="E175" s="428" t="s">
        <v>1386</v>
      </c>
      <c r="F175" s="472">
        <f>F172+3.1415*M165*M166</f>
        <v>35.341875000000002</v>
      </c>
      <c r="G175" s="437" t="s">
        <v>1383</v>
      </c>
      <c r="H175" s="430"/>
      <c r="I175" s="431"/>
      <c r="J175" s="432" t="s">
        <v>1392</v>
      </c>
      <c r="K175" s="476" t="s">
        <v>1516</v>
      </c>
      <c r="N175" s="433">
        <f>M172^2*0.25*3.1415*0.01*7850*2</f>
        <v>0</v>
      </c>
      <c r="O175" s="1291"/>
    </row>
    <row r="176" spans="1:15" ht="17.45" customHeight="1">
      <c r="A176" s="471">
        <f t="shared" si="8"/>
        <v>0</v>
      </c>
      <c r="B176" s="1287">
        <f>ROUND(F176*D176,0)</f>
        <v>0</v>
      </c>
      <c r="C176" s="472">
        <f t="shared" si="9"/>
        <v>208764.54</v>
      </c>
      <c r="D176" s="472">
        <v>83140</v>
      </c>
      <c r="E176" s="428" t="s">
        <v>1389</v>
      </c>
      <c r="F176" s="472"/>
      <c r="G176" s="437" t="s">
        <v>1383</v>
      </c>
      <c r="H176" s="430"/>
      <c r="I176" s="431"/>
      <c r="J176" s="432" t="s">
        <v>1394</v>
      </c>
      <c r="K176" s="476" t="s">
        <v>1517</v>
      </c>
      <c r="N176" s="433">
        <f>2*N172-N175-N179-N180</f>
        <v>0</v>
      </c>
      <c r="O176" s="1291"/>
    </row>
    <row r="177" spans="1:15" ht="17.45" customHeight="1">
      <c r="A177" s="471">
        <f t="shared" si="8"/>
        <v>23705149.863150001</v>
      </c>
      <c r="B177" s="1287">
        <f t="shared" si="11"/>
        <v>9440522</v>
      </c>
      <c r="C177" s="472">
        <f t="shared" si="9"/>
        <v>299436.75</v>
      </c>
      <c r="D177" s="472">
        <v>119250</v>
      </c>
      <c r="E177" s="428" t="s">
        <v>1396</v>
      </c>
      <c r="F177" s="472">
        <f>F172+F173+F175</f>
        <v>79.165800000000004</v>
      </c>
      <c r="G177" s="437" t="s">
        <v>1383</v>
      </c>
      <c r="H177" s="430"/>
      <c r="I177" s="431"/>
      <c r="J177" s="432" t="s">
        <v>1397</v>
      </c>
      <c r="K177" s="476" t="s">
        <v>1518</v>
      </c>
      <c r="N177" s="433">
        <f>M170^2*0.25*3.1415*0.008*7850*2</f>
        <v>0</v>
      </c>
      <c r="O177" s="1291"/>
    </row>
    <row r="178" spans="1:15" ht="17.45" customHeight="1">
      <c r="A178" s="471">
        <f t="shared" si="8"/>
        <v>0</v>
      </c>
      <c r="B178" s="1287">
        <f>ROUND(F178*D178,0)</f>
        <v>0</v>
      </c>
      <c r="C178" s="472">
        <f t="shared" si="9"/>
        <v>35806.86</v>
      </c>
      <c r="D178" s="472">
        <v>14260</v>
      </c>
      <c r="E178" s="428" t="s">
        <v>1399</v>
      </c>
      <c r="F178" s="472">
        <f>F174+F176</f>
        <v>0</v>
      </c>
      <c r="G178" s="437" t="s">
        <v>1383</v>
      </c>
      <c r="H178" s="430"/>
      <c r="I178" s="431"/>
      <c r="J178" s="432" t="s">
        <v>1400</v>
      </c>
      <c r="K178" s="476" t="s">
        <v>1519</v>
      </c>
      <c r="N178" s="433">
        <f>N177*2</f>
        <v>0</v>
      </c>
      <c r="O178" s="1291"/>
    </row>
    <row r="179" spans="1:15" ht="17.45" customHeight="1">
      <c r="A179" s="471">
        <f t="shared" si="8"/>
        <v>32119874.609121002</v>
      </c>
      <c r="B179" s="1287">
        <f t="shared" si="11"/>
        <v>12791667</v>
      </c>
      <c r="C179" s="472">
        <f t="shared" si="9"/>
        <v>873878.22000000009</v>
      </c>
      <c r="D179" s="472">
        <v>348020</v>
      </c>
      <c r="E179" s="428" t="s">
        <v>1402</v>
      </c>
      <c r="F179" s="472">
        <f>F173</f>
        <v>36.755549999999999</v>
      </c>
      <c r="G179" s="437" t="s">
        <v>1383</v>
      </c>
      <c r="H179" s="430"/>
      <c r="I179" s="431"/>
      <c r="J179" s="432" t="s">
        <v>1403</v>
      </c>
      <c r="K179" s="476" t="s">
        <v>1520</v>
      </c>
      <c r="N179" s="1292"/>
      <c r="O179" s="1291"/>
    </row>
    <row r="180" spans="1:15" ht="17.45" customHeight="1">
      <c r="A180" s="471">
        <f t="shared" si="8"/>
        <v>89050003.492202997</v>
      </c>
      <c r="B180" s="1287">
        <f t="shared" si="11"/>
        <v>35463960</v>
      </c>
      <c r="C180" s="472">
        <f t="shared" si="9"/>
        <v>1211381.73</v>
      </c>
      <c r="D180" s="472">
        <v>482430</v>
      </c>
      <c r="E180" s="428" t="s">
        <v>1405</v>
      </c>
      <c r="F180" s="472">
        <f>2*F179</f>
        <v>73.511099999999999</v>
      </c>
      <c r="G180" s="437" t="s">
        <v>1383</v>
      </c>
      <c r="H180" s="430"/>
      <c r="I180" s="431"/>
      <c r="J180" s="432" t="s">
        <v>1406</v>
      </c>
      <c r="K180" s="476" t="s">
        <v>1521</v>
      </c>
      <c r="N180" s="1292"/>
      <c r="O180" s="1291"/>
    </row>
    <row r="181" spans="1:15" ht="17.45" customHeight="1">
      <c r="A181" s="471">
        <f>C181*F181</f>
        <v>109953132.22687501</v>
      </c>
      <c r="B181" s="1287">
        <f>ROUND(F181*D181,0)</f>
        <v>43788583</v>
      </c>
      <c r="C181" s="472">
        <f t="shared" si="9"/>
        <v>1037043</v>
      </c>
      <c r="D181" s="472">
        <f>ROUND(50000*U220,0)</f>
        <v>413000</v>
      </c>
      <c r="E181" s="428" t="s">
        <v>1480</v>
      </c>
      <c r="F181" s="472">
        <f>3*F175</f>
        <v>106.02562500000001</v>
      </c>
      <c r="G181" s="437" t="s">
        <v>1383</v>
      </c>
      <c r="H181" s="430"/>
      <c r="I181" s="431"/>
      <c r="J181" s="432" t="s">
        <v>1481</v>
      </c>
      <c r="K181" s="476" t="s">
        <v>1522</v>
      </c>
      <c r="N181" s="1292"/>
      <c r="O181" s="1291"/>
    </row>
    <row r="182" spans="1:15" ht="17.45" customHeight="1">
      <c r="A182" s="471">
        <f t="shared" si="8"/>
        <v>6041831.4352462515</v>
      </c>
      <c r="B182" s="1287">
        <f t="shared" si="11"/>
        <v>2406146</v>
      </c>
      <c r="C182" s="472">
        <f t="shared" si="9"/>
        <v>284923.17000000004</v>
      </c>
      <c r="D182" s="472">
        <v>113470</v>
      </c>
      <c r="E182" s="428" t="s">
        <v>1439</v>
      </c>
      <c r="F182" s="472">
        <f>M165^2*3.1415*M166/4</f>
        <v>21.205125000000002</v>
      </c>
      <c r="G182" s="437" t="s">
        <v>1411</v>
      </c>
      <c r="H182" s="430"/>
      <c r="I182" s="431"/>
      <c r="J182" s="432" t="s">
        <v>1412</v>
      </c>
      <c r="K182" s="476" t="s">
        <v>1523</v>
      </c>
      <c r="N182" s="1292"/>
      <c r="O182" s="1291"/>
    </row>
    <row r="183" spans="1:15" ht="17.45" customHeight="1">
      <c r="A183" s="471">
        <f t="shared" si="8"/>
        <v>6672349.1002500011</v>
      </c>
      <c r="B183" s="1287">
        <f t="shared" si="11"/>
        <v>2657248</v>
      </c>
      <c r="C183" s="472">
        <f t="shared" si="9"/>
        <v>53233.200000000004</v>
      </c>
      <c r="D183" s="472">
        <v>21200</v>
      </c>
      <c r="E183" s="428" t="s">
        <v>1414</v>
      </c>
      <c r="F183" s="472">
        <f>15*((M166/1.5)*3+2*M165*3.1415/8)</f>
        <v>125.341875</v>
      </c>
      <c r="G183" s="437" t="s">
        <v>1415</v>
      </c>
      <c r="H183" s="430"/>
      <c r="I183" s="431"/>
      <c r="J183" s="432" t="s">
        <v>1416</v>
      </c>
      <c r="K183" s="476" t="s">
        <v>1524</v>
      </c>
      <c r="N183" s="1292"/>
      <c r="O183" s="1291"/>
    </row>
    <row r="184" spans="1:15" ht="17.45" customHeight="1">
      <c r="A184" s="471">
        <f t="shared" si="8"/>
        <v>0</v>
      </c>
      <c r="B184" s="1287"/>
      <c r="C184" s="472"/>
      <c r="D184" s="472"/>
      <c r="E184" s="428"/>
      <c r="F184" s="1290"/>
      <c r="G184" s="437"/>
      <c r="H184" s="430" t="s">
        <v>131</v>
      </c>
      <c r="I184" s="431" t="s">
        <v>279</v>
      </c>
      <c r="J184" s="443" t="s">
        <v>1525</v>
      </c>
      <c r="K184" s="1293">
        <v>8.6999999999999993</v>
      </c>
      <c r="M184" s="444">
        <v>11</v>
      </c>
      <c r="N184" s="444">
        <v>144600</v>
      </c>
      <c r="O184" s="1291"/>
    </row>
    <row r="185" spans="1:15" ht="17.45" customHeight="1">
      <c r="A185" s="471">
        <f t="shared" si="8"/>
        <v>712343817.23399997</v>
      </c>
      <c r="B185" s="1287">
        <f t="shared" si="11"/>
        <v>283689294</v>
      </c>
      <c r="C185" s="472">
        <f t="shared" si="9"/>
        <v>4926305.79</v>
      </c>
      <c r="D185" s="472">
        <v>1961890</v>
      </c>
      <c r="E185" s="428" t="s">
        <v>1419</v>
      </c>
      <c r="F185" s="1290">
        <f>N184/1000</f>
        <v>144.6</v>
      </c>
      <c r="G185" s="437" t="s">
        <v>1363</v>
      </c>
      <c r="H185" s="430"/>
      <c r="I185" s="431"/>
      <c r="J185" s="432" t="s">
        <v>1364</v>
      </c>
      <c r="K185" s="476" t="s">
        <v>1526</v>
      </c>
      <c r="M185" s="422">
        <v>12</v>
      </c>
      <c r="N185" s="433"/>
      <c r="O185" s="1291"/>
    </row>
    <row r="186" spans="1:15" ht="17.45" customHeight="1">
      <c r="A186" s="471">
        <f t="shared" si="8"/>
        <v>2303438991.6433749</v>
      </c>
      <c r="B186" s="1287">
        <f t="shared" si="11"/>
        <v>917339304</v>
      </c>
      <c r="C186" s="472">
        <f t="shared" si="9"/>
        <v>154388383.02000001</v>
      </c>
      <c r="D186" s="472">
        <v>61484820</v>
      </c>
      <c r="E186" s="428" t="s">
        <v>1421</v>
      </c>
      <c r="F186" s="1290">
        <f>N186/1000</f>
        <v>14.919768875000001</v>
      </c>
      <c r="G186" s="437" t="s">
        <v>1363</v>
      </c>
      <c r="H186" s="430"/>
      <c r="I186" s="431"/>
      <c r="J186" s="432" t="s">
        <v>1368</v>
      </c>
      <c r="K186" s="476" t="s">
        <v>1527</v>
      </c>
      <c r="N186" s="433">
        <f>M184^2*0.25*3.1415*0.01*7850*2</f>
        <v>14919.768875000002</v>
      </c>
      <c r="O186" s="1291"/>
    </row>
    <row r="187" spans="1:15" ht="17.45" customHeight="1">
      <c r="A187" s="471">
        <f t="shared" si="8"/>
        <v>55159704263.615112</v>
      </c>
      <c r="B187" s="1287">
        <f t="shared" si="11"/>
        <v>21967225911</v>
      </c>
      <c r="C187" s="472">
        <f t="shared" si="9"/>
        <v>231303979.08000001</v>
      </c>
      <c r="D187" s="472">
        <v>92116280</v>
      </c>
      <c r="E187" s="428" t="s">
        <v>1423</v>
      </c>
      <c r="F187" s="1290">
        <f>N187/1000</f>
        <v>238.47278582499996</v>
      </c>
      <c r="G187" s="437" t="s">
        <v>1363</v>
      </c>
      <c r="H187" s="430"/>
      <c r="I187" s="431"/>
      <c r="J187" s="432" t="s">
        <v>1371</v>
      </c>
      <c r="K187" s="476" t="s">
        <v>1528</v>
      </c>
      <c r="N187" s="433">
        <f>2*N184-N186-N188-N189</f>
        <v>238472.78582499997</v>
      </c>
      <c r="O187" s="1291"/>
    </row>
    <row r="188" spans="1:15" ht="17.45" customHeight="1">
      <c r="A188" s="471">
        <f t="shared" si="8"/>
        <v>2336107348.0680823</v>
      </c>
      <c r="B188" s="1287">
        <f t="shared" si="11"/>
        <v>930349402</v>
      </c>
      <c r="C188" s="472">
        <f t="shared" si="9"/>
        <v>195722481.33000001</v>
      </c>
      <c r="D188" s="472">
        <v>77946030</v>
      </c>
      <c r="E188" s="428" t="s">
        <v>1425</v>
      </c>
      <c r="F188" s="1290">
        <f>N188/1000</f>
        <v>11.935815100000001</v>
      </c>
      <c r="G188" s="437" t="s">
        <v>1363</v>
      </c>
      <c r="H188" s="430"/>
      <c r="I188" s="431"/>
      <c r="J188" s="432" t="s">
        <v>1374</v>
      </c>
      <c r="K188" s="476" t="s">
        <v>1529</v>
      </c>
      <c r="N188" s="433">
        <f>M184^2*0.25*3.1415*0.008*7850*2</f>
        <v>11935.815100000002</v>
      </c>
      <c r="O188" s="1291"/>
    </row>
    <row r="189" spans="1:15" ht="17.45" customHeight="1">
      <c r="A189" s="471">
        <f t="shared" si="8"/>
        <v>5802952436.8712826</v>
      </c>
      <c r="B189" s="1287">
        <f t="shared" si="11"/>
        <v>2311012520</v>
      </c>
      <c r="C189" s="472">
        <f t="shared" si="9"/>
        <v>243089.91</v>
      </c>
      <c r="D189" s="472">
        <v>96810</v>
      </c>
      <c r="E189" s="428" t="s">
        <v>1376</v>
      </c>
      <c r="F189" s="1290">
        <f>N189</f>
        <v>23871.630200000003</v>
      </c>
      <c r="G189" s="429" t="s">
        <v>135</v>
      </c>
      <c r="H189" s="430"/>
      <c r="I189" s="431"/>
      <c r="J189" s="432" t="s">
        <v>1377</v>
      </c>
      <c r="K189" s="476" t="s">
        <v>1530</v>
      </c>
      <c r="N189" s="433">
        <f>N188*2</f>
        <v>23871.630200000003</v>
      </c>
      <c r="O189" s="1291"/>
    </row>
    <row r="190" spans="1:15" ht="17.45" customHeight="1">
      <c r="A190" s="471">
        <f t="shared" si="8"/>
        <v>721221975.00000012</v>
      </c>
      <c r="B190" s="1287">
        <f t="shared" si="11"/>
        <v>287225000</v>
      </c>
      <c r="C190" s="472">
        <f t="shared" si="9"/>
        <v>288488.79000000004</v>
      </c>
      <c r="D190" s="472">
        <v>114890</v>
      </c>
      <c r="E190" s="428" t="s">
        <v>1379</v>
      </c>
      <c r="F190" s="472">
        <v>2500</v>
      </c>
      <c r="G190" s="429" t="s">
        <v>135</v>
      </c>
      <c r="H190" s="430"/>
      <c r="I190" s="431"/>
      <c r="J190" s="432" t="s">
        <v>1380</v>
      </c>
      <c r="K190" s="476" t="s">
        <v>1531</v>
      </c>
      <c r="N190" s="433"/>
      <c r="O190" s="1291"/>
    </row>
    <row r="191" spans="1:15" ht="17.45" customHeight="1">
      <c r="A191" s="471">
        <f t="shared" ref="A191:A202" si="13">C191*F191</f>
        <v>132265384.64902128</v>
      </c>
      <c r="B191" s="1287">
        <f t="shared" si="11"/>
        <v>52674387</v>
      </c>
      <c r="C191" s="472">
        <f t="shared" si="9"/>
        <v>1391822.1900000002</v>
      </c>
      <c r="D191" s="472">
        <v>554290</v>
      </c>
      <c r="E191" s="428" t="s">
        <v>1382</v>
      </c>
      <c r="F191" s="472">
        <f>M184^2*3.1415/4</f>
        <v>95.030375000000006</v>
      </c>
      <c r="G191" s="437" t="s">
        <v>1383</v>
      </c>
      <c r="H191" s="430"/>
      <c r="I191" s="431"/>
      <c r="J191" s="432" t="s">
        <v>1384</v>
      </c>
      <c r="K191" s="476" t="s">
        <v>1532</v>
      </c>
      <c r="N191" s="433"/>
      <c r="O191" s="1291"/>
    </row>
    <row r="192" spans="1:15" ht="17.45" customHeight="1">
      <c r="A192" s="471">
        <f t="shared" si="13"/>
        <v>883054459.62434244</v>
      </c>
      <c r="B192" s="1287">
        <f t="shared" si="11"/>
        <v>351674416</v>
      </c>
      <c r="C192" s="472">
        <f t="shared" si="9"/>
        <v>1670191.6500000001</v>
      </c>
      <c r="D192" s="472">
        <v>665150</v>
      </c>
      <c r="E192" s="428" t="s">
        <v>1386</v>
      </c>
      <c r="F192" s="472">
        <f>1.2*F191+3.1415*M184*M185</f>
        <v>528.71444999999994</v>
      </c>
      <c r="G192" s="437" t="s">
        <v>1383</v>
      </c>
      <c r="H192" s="430"/>
      <c r="I192" s="431"/>
      <c r="J192" s="432" t="s">
        <v>1387</v>
      </c>
      <c r="K192" s="476" t="s">
        <v>1533</v>
      </c>
      <c r="N192" s="433"/>
      <c r="O192" s="1291"/>
    </row>
    <row r="193" spans="1:15" ht="17.45" customHeight="1">
      <c r="A193" s="471">
        <f t="shared" si="13"/>
        <v>50499202.785570003</v>
      </c>
      <c r="B193" s="1287">
        <f t="shared" si="11"/>
        <v>20111192</v>
      </c>
      <c r="C193" s="472">
        <f t="shared" si="9"/>
        <v>208764.54</v>
      </c>
      <c r="D193" s="472">
        <v>83140</v>
      </c>
      <c r="E193" s="428" t="s">
        <v>1389</v>
      </c>
      <c r="F193" s="472">
        <f>3.1415*M184*(M185-5)</f>
        <v>241.8955</v>
      </c>
      <c r="G193" s="437" t="s">
        <v>1383</v>
      </c>
      <c r="H193" s="430"/>
      <c r="I193" s="431"/>
      <c r="J193" s="432" t="s">
        <v>1390</v>
      </c>
      <c r="K193" s="476" t="s">
        <v>1534</v>
      </c>
      <c r="N193" s="433"/>
      <c r="O193" s="1291"/>
    </row>
    <row r="194" spans="1:15" ht="17.45" customHeight="1">
      <c r="A194" s="471">
        <f t="shared" si="13"/>
        <v>851310671.8600688</v>
      </c>
      <c r="B194" s="1287">
        <f t="shared" si="11"/>
        <v>339032526</v>
      </c>
      <c r="C194" s="472">
        <f t="shared" si="9"/>
        <v>1670191.6500000001</v>
      </c>
      <c r="D194" s="472">
        <v>665150</v>
      </c>
      <c r="E194" s="428" t="s">
        <v>1386</v>
      </c>
      <c r="F194" s="472">
        <f>F191+3.1415*M184*M185</f>
        <v>509.70837499999999</v>
      </c>
      <c r="G194" s="437" t="s">
        <v>1383</v>
      </c>
      <c r="H194" s="430"/>
      <c r="I194" s="431"/>
      <c r="J194" s="432" t="s">
        <v>1392</v>
      </c>
      <c r="K194" s="476" t="s">
        <v>1535</v>
      </c>
      <c r="N194" s="433"/>
      <c r="O194" s="1291"/>
    </row>
    <row r="195" spans="1:15" ht="17.45" customHeight="1">
      <c r="A195" s="471">
        <f t="shared" si="13"/>
        <v>50499202.785570003</v>
      </c>
      <c r="B195" s="1287">
        <f t="shared" si="11"/>
        <v>20111192</v>
      </c>
      <c r="C195" s="472">
        <f t="shared" si="9"/>
        <v>208764.54</v>
      </c>
      <c r="D195" s="472">
        <v>83140</v>
      </c>
      <c r="E195" s="428" t="s">
        <v>1389</v>
      </c>
      <c r="F195" s="472">
        <f>F193</f>
        <v>241.8955</v>
      </c>
      <c r="G195" s="437" t="s">
        <v>1383</v>
      </c>
      <c r="H195" s="430"/>
      <c r="I195" s="431"/>
      <c r="J195" s="432" t="s">
        <v>1394</v>
      </c>
      <c r="K195" s="476" t="s">
        <v>1536</v>
      </c>
      <c r="N195" s="433"/>
      <c r="O195" s="1291"/>
    </row>
    <row r="196" spans="1:15" ht="17.45" customHeight="1">
      <c r="A196" s="471">
        <f t="shared" si="13"/>
        <v>339397542.48509997</v>
      </c>
      <c r="B196" s="1287">
        <f t="shared" si="11"/>
        <v>135164294</v>
      </c>
      <c r="C196" s="472">
        <f t="shared" si="9"/>
        <v>299436.75</v>
      </c>
      <c r="D196" s="472">
        <v>119250</v>
      </c>
      <c r="E196" s="428" t="s">
        <v>1396</v>
      </c>
      <c r="F196" s="472">
        <f>F191+F192+F194</f>
        <v>1133.4531999999999</v>
      </c>
      <c r="G196" s="437" t="s">
        <v>1383</v>
      </c>
      <c r="H196" s="430"/>
      <c r="I196" s="431"/>
      <c r="J196" s="432" t="s">
        <v>1397</v>
      </c>
      <c r="K196" s="476" t="s">
        <v>1537</v>
      </c>
      <c r="N196" s="433"/>
      <c r="O196" s="1291"/>
    </row>
    <row r="197" spans="1:15" ht="17.45" customHeight="1">
      <c r="A197" s="471">
        <f t="shared" si="13"/>
        <v>17323036.606260002</v>
      </c>
      <c r="B197" s="1287">
        <f t="shared" si="11"/>
        <v>6898860</v>
      </c>
      <c r="C197" s="472">
        <f t="shared" si="9"/>
        <v>35806.86</v>
      </c>
      <c r="D197" s="472">
        <v>14260</v>
      </c>
      <c r="E197" s="428" t="s">
        <v>1399</v>
      </c>
      <c r="F197" s="472">
        <f>F193+F195</f>
        <v>483.791</v>
      </c>
      <c r="G197" s="437" t="s">
        <v>1383</v>
      </c>
      <c r="H197" s="430"/>
      <c r="I197" s="431"/>
      <c r="J197" s="432" t="s">
        <v>1400</v>
      </c>
      <c r="K197" s="476" t="s">
        <v>1538</v>
      </c>
      <c r="N197" s="433"/>
      <c r="O197" s="1291"/>
    </row>
    <row r="198" spans="1:15" ht="17.45" customHeight="1">
      <c r="A198" s="471">
        <f t="shared" si="13"/>
        <v>462032042.45427901</v>
      </c>
      <c r="B198" s="1287">
        <f t="shared" si="11"/>
        <v>184003203</v>
      </c>
      <c r="C198" s="472">
        <f t="shared" si="9"/>
        <v>873878.22000000009</v>
      </c>
      <c r="D198" s="472">
        <v>348020</v>
      </c>
      <c r="E198" s="428" t="s">
        <v>1402</v>
      </c>
      <c r="F198" s="472">
        <f>F192</f>
        <v>528.71444999999994</v>
      </c>
      <c r="G198" s="437" t="s">
        <v>1383</v>
      </c>
      <c r="H198" s="430"/>
      <c r="I198" s="431"/>
      <c r="J198" s="432" t="s">
        <v>1403</v>
      </c>
      <c r="K198" s="476" t="s">
        <v>1539</v>
      </c>
      <c r="N198" s="1292"/>
      <c r="O198" s="1291"/>
    </row>
    <row r="199" spans="1:15" ht="17.45" customHeight="1">
      <c r="A199" s="471">
        <f t="shared" si="13"/>
        <v>1280950050.2339969</v>
      </c>
      <c r="B199" s="1287">
        <f t="shared" ref="B199:B221" si="14">ROUND(F199*D199,0)</f>
        <v>510135424</v>
      </c>
      <c r="C199" s="472">
        <f t="shared" si="9"/>
        <v>1211381.73</v>
      </c>
      <c r="D199" s="472">
        <v>482430</v>
      </c>
      <c r="E199" s="428" t="s">
        <v>1405</v>
      </c>
      <c r="F199" s="472">
        <f>2*F198</f>
        <v>1057.4288999999999</v>
      </c>
      <c r="G199" s="437" t="s">
        <v>1383</v>
      </c>
      <c r="H199" s="430"/>
      <c r="I199" s="431"/>
      <c r="J199" s="432" t="s">
        <v>1406</v>
      </c>
      <c r="K199" s="476" t="s">
        <v>1540</v>
      </c>
      <c r="N199" s="1292"/>
      <c r="O199" s="1291"/>
    </row>
    <row r="200" spans="1:15" ht="17.45" customHeight="1">
      <c r="A200" s="471">
        <f t="shared" si="13"/>
        <v>1852354239.3089662</v>
      </c>
      <c r="B200" s="1287">
        <f t="shared" si="14"/>
        <v>737695834</v>
      </c>
      <c r="C200" s="472">
        <f t="shared" si="9"/>
        <v>1211381.73</v>
      </c>
      <c r="D200" s="472">
        <v>482430</v>
      </c>
      <c r="E200" s="428" t="s">
        <v>1405</v>
      </c>
      <c r="F200" s="472">
        <f>3*F194</f>
        <v>1529.125125</v>
      </c>
      <c r="G200" s="437" t="s">
        <v>1383</v>
      </c>
      <c r="H200" s="430"/>
      <c r="I200" s="431"/>
      <c r="J200" s="432" t="s">
        <v>1408</v>
      </c>
      <c r="K200" s="476" t="s">
        <v>1541</v>
      </c>
      <c r="N200" s="1292"/>
      <c r="O200" s="1291"/>
    </row>
    <row r="201" spans="1:15" ht="17.45" customHeight="1">
      <c r="A201" s="471">
        <f t="shared" si="13"/>
        <v>324916268.29546511</v>
      </c>
      <c r="B201" s="1287">
        <f t="shared" si="14"/>
        <v>129397160</v>
      </c>
      <c r="C201" s="472">
        <f t="shared" si="9"/>
        <v>284923.17000000004</v>
      </c>
      <c r="D201" s="472">
        <v>113470</v>
      </c>
      <c r="E201" s="428" t="s">
        <v>1439</v>
      </c>
      <c r="F201" s="472">
        <f>M184^2*3.1415*M185/4</f>
        <v>1140.3645000000001</v>
      </c>
      <c r="G201" s="437" t="s">
        <v>1411</v>
      </c>
      <c r="H201" s="430"/>
      <c r="I201" s="431"/>
      <c r="J201" s="432" t="s">
        <v>1412</v>
      </c>
      <c r="K201" s="476" t="s">
        <v>1542</v>
      </c>
      <c r="N201" s="1292"/>
      <c r="O201" s="1291"/>
    </row>
    <row r="202" spans="1:15" ht="17.45" customHeight="1">
      <c r="A202" s="471">
        <f t="shared" si="13"/>
        <v>26062276.034250002</v>
      </c>
      <c r="B202" s="1287">
        <f t="shared" si="14"/>
        <v>10379242</v>
      </c>
      <c r="C202" s="472">
        <f t="shared" si="9"/>
        <v>53233.200000000004</v>
      </c>
      <c r="D202" s="472">
        <v>21200</v>
      </c>
      <c r="E202" s="428" t="s">
        <v>1414</v>
      </c>
      <c r="F202" s="472">
        <f>15*((M185/1.5)*3+2*M184*3.1415/8)</f>
        <v>489.58687500000002</v>
      </c>
      <c r="G202" s="437" t="s">
        <v>1415</v>
      </c>
      <c r="H202" s="430"/>
      <c r="I202" s="431"/>
      <c r="J202" s="432" t="s">
        <v>1416</v>
      </c>
      <c r="K202" s="476" t="s">
        <v>1543</v>
      </c>
      <c r="N202" s="1292"/>
      <c r="O202" s="1291"/>
    </row>
    <row r="203" spans="1:15" ht="17.45" customHeight="1">
      <c r="A203" s="471"/>
      <c r="B203" s="1287"/>
      <c r="C203" s="472"/>
      <c r="D203" s="472"/>
      <c r="E203" s="428"/>
      <c r="F203" s="1290"/>
      <c r="G203" s="437"/>
      <c r="H203" s="430" t="s">
        <v>131</v>
      </c>
      <c r="I203" s="431" t="s">
        <v>1544</v>
      </c>
      <c r="J203" s="443" t="s">
        <v>1545</v>
      </c>
      <c r="K203" s="1293">
        <v>8.8000000000000007</v>
      </c>
      <c r="M203" s="444">
        <v>8</v>
      </c>
      <c r="N203" s="444">
        <v>32000</v>
      </c>
      <c r="O203" s="1291"/>
    </row>
    <row r="204" spans="1:15" ht="17.45" customHeight="1">
      <c r="A204" s="471">
        <f t="shared" ref="A204:A208" si="15">C204*F204</f>
        <v>157641785.28</v>
      </c>
      <c r="B204" s="1287">
        <f t="shared" si="14"/>
        <v>62780480</v>
      </c>
      <c r="C204" s="472">
        <f t="shared" ref="C204:C221" si="16">D204*$N$19</f>
        <v>4926305.79</v>
      </c>
      <c r="D204" s="472">
        <v>1961890</v>
      </c>
      <c r="E204" s="428" t="s">
        <v>1419</v>
      </c>
      <c r="F204" s="1290">
        <f>N203/1000</f>
        <v>32</v>
      </c>
      <c r="G204" s="437" t="s">
        <v>1363</v>
      </c>
      <c r="H204" s="430"/>
      <c r="I204" s="431"/>
      <c r="J204" s="432" t="s">
        <v>1364</v>
      </c>
      <c r="K204" s="476" t="s">
        <v>1546</v>
      </c>
      <c r="M204" s="422">
        <v>10</v>
      </c>
      <c r="N204" s="433"/>
      <c r="O204" s="1291"/>
    </row>
    <row r="205" spans="1:15" ht="17.45" customHeight="1">
      <c r="A205" s="471">
        <f t="shared" si="15"/>
        <v>609173948.20320666</v>
      </c>
      <c r="B205" s="1287">
        <f t="shared" si="14"/>
        <v>242602130</v>
      </c>
      <c r="C205" s="472">
        <f t="shared" si="16"/>
        <v>154388383.02000001</v>
      </c>
      <c r="D205" s="472">
        <v>61484820</v>
      </c>
      <c r="E205" s="428" t="s">
        <v>1421</v>
      </c>
      <c r="F205" s="1290">
        <f>N205/1000</f>
        <v>3.9457240000000007</v>
      </c>
      <c r="G205" s="437" t="s">
        <v>1363</v>
      </c>
      <c r="H205" s="430"/>
      <c r="I205" s="431"/>
      <c r="J205" s="432" t="s">
        <v>1368</v>
      </c>
      <c r="K205" s="476" t="s">
        <v>1547</v>
      </c>
      <c r="N205" s="433">
        <f>M203^2*0.25*3.1415*0.01*7850</f>
        <v>3945.7240000000006</v>
      </c>
      <c r="O205" s="1291"/>
    </row>
    <row r="206" spans="1:15" ht="17.45" customHeight="1">
      <c r="A206" s="471">
        <f t="shared" si="15"/>
        <v>5028807010.5262203</v>
      </c>
      <c r="B206" s="1287">
        <f t="shared" si="14"/>
        <v>2002710876</v>
      </c>
      <c r="C206" s="472">
        <f t="shared" si="16"/>
        <v>231303979.08000001</v>
      </c>
      <c r="D206" s="472">
        <v>92116280</v>
      </c>
      <c r="E206" s="428" t="s">
        <v>1423</v>
      </c>
      <c r="F206" s="1290">
        <f>N206/1000</f>
        <v>21.741117599999999</v>
      </c>
      <c r="G206" s="437" t="s">
        <v>1363</v>
      </c>
      <c r="H206" s="430"/>
      <c r="I206" s="431"/>
      <c r="J206" s="432" t="s">
        <v>1371</v>
      </c>
      <c r="K206" s="476" t="s">
        <v>1548</v>
      </c>
      <c r="N206" s="433">
        <f>N203-N205-N207-N208</f>
        <v>21741.117599999998</v>
      </c>
      <c r="O206" s="1291"/>
    </row>
    <row r="207" spans="1:15" ht="17.45" customHeight="1">
      <c r="A207" s="471">
        <f t="shared" si="15"/>
        <v>617813513.53866637</v>
      </c>
      <c r="B207" s="1287">
        <f t="shared" si="14"/>
        <v>246042817</v>
      </c>
      <c r="C207" s="472">
        <f t="shared" si="16"/>
        <v>195722481.33000001</v>
      </c>
      <c r="D207" s="472">
        <v>77946030</v>
      </c>
      <c r="E207" s="428" t="s">
        <v>1425</v>
      </c>
      <c r="F207" s="1290">
        <f>N207/1000</f>
        <v>3.1565791999999999</v>
      </c>
      <c r="G207" s="437" t="s">
        <v>1363</v>
      </c>
      <c r="H207" s="430"/>
      <c r="I207" s="431"/>
      <c r="J207" s="432" t="s">
        <v>1374</v>
      </c>
      <c r="K207" s="476" t="s">
        <v>1549</v>
      </c>
      <c r="N207" s="433">
        <f>M203^2*0.25*3.1415*0.008*7850</f>
        <v>3156.5792000000001</v>
      </c>
      <c r="O207" s="1291"/>
    </row>
    <row r="208" spans="1:15" ht="17.45" customHeight="1">
      <c r="A208" s="471">
        <f t="shared" si="15"/>
        <v>767332553.63587201</v>
      </c>
      <c r="B208" s="1287">
        <f t="shared" si="14"/>
        <v>305588432</v>
      </c>
      <c r="C208" s="472">
        <f t="shared" si="16"/>
        <v>243089.91</v>
      </c>
      <c r="D208" s="472">
        <v>96810</v>
      </c>
      <c r="E208" s="428" t="s">
        <v>1376</v>
      </c>
      <c r="F208" s="1290">
        <f>N208</f>
        <v>3156.5792000000001</v>
      </c>
      <c r="G208" s="429" t="s">
        <v>135</v>
      </c>
      <c r="H208" s="430"/>
      <c r="I208" s="431"/>
      <c r="J208" s="432" t="s">
        <v>1377</v>
      </c>
      <c r="K208" s="476" t="s">
        <v>1550</v>
      </c>
      <c r="N208" s="433">
        <f>N207</f>
        <v>3156.5792000000001</v>
      </c>
      <c r="O208" s="1291"/>
    </row>
    <row r="209" spans="1:23" ht="17.45" customHeight="1">
      <c r="A209" s="471"/>
      <c r="B209" s="1287">
        <f t="shared" si="14"/>
        <v>287225000</v>
      </c>
      <c r="C209" s="472">
        <f t="shared" si="16"/>
        <v>288488.79000000004</v>
      </c>
      <c r="D209" s="472">
        <v>114890</v>
      </c>
      <c r="E209" s="428" t="s">
        <v>1379</v>
      </c>
      <c r="F209" s="472">
        <v>2500</v>
      </c>
      <c r="G209" s="429" t="s">
        <v>135</v>
      </c>
      <c r="H209" s="430"/>
      <c r="I209" s="431"/>
      <c r="J209" s="432" t="s">
        <v>1380</v>
      </c>
      <c r="K209" s="476" t="s">
        <v>1551</v>
      </c>
      <c r="N209" s="433"/>
      <c r="O209" s="1291"/>
    </row>
    <row r="210" spans="1:23" ht="17.45" customHeight="1">
      <c r="A210" s="471">
        <f t="shared" ref="A210:A221" si="17">C210*F210</f>
        <v>69958550.558160007</v>
      </c>
      <c r="B210" s="1287">
        <f t="shared" si="14"/>
        <v>27860833</v>
      </c>
      <c r="C210" s="472">
        <f t="shared" si="16"/>
        <v>1391822.1900000002</v>
      </c>
      <c r="D210" s="472">
        <v>554290</v>
      </c>
      <c r="E210" s="428" t="s">
        <v>1382</v>
      </c>
      <c r="F210" s="472">
        <f>M203^2*3.1415/4</f>
        <v>50.264000000000003</v>
      </c>
      <c r="G210" s="437" t="s">
        <v>1383</v>
      </c>
      <c r="H210" s="430"/>
      <c r="I210" s="431"/>
      <c r="J210" s="432" t="s">
        <v>1384</v>
      </c>
      <c r="K210" s="476" t="s">
        <v>1552</v>
      </c>
      <c r="N210" s="433"/>
      <c r="O210" s="1291"/>
    </row>
    <row r="211" spans="1:23" ht="17.45" customHeight="1">
      <c r="A211" s="471">
        <f t="shared" si="17"/>
        <v>520493181.19272006</v>
      </c>
      <c r="B211" s="1287">
        <f t="shared" si="14"/>
        <v>207285218</v>
      </c>
      <c r="C211" s="472">
        <f t="shared" si="16"/>
        <v>1670191.6500000001</v>
      </c>
      <c r="D211" s="472">
        <v>665150</v>
      </c>
      <c r="E211" s="428" t="s">
        <v>1386</v>
      </c>
      <c r="F211" s="472">
        <f>1.2*F210+3.1415*M203*M204</f>
        <v>311.63679999999999</v>
      </c>
      <c r="G211" s="437" t="s">
        <v>1383</v>
      </c>
      <c r="H211" s="430"/>
      <c r="I211" s="431"/>
      <c r="J211" s="432" t="s">
        <v>1387</v>
      </c>
      <c r="K211" s="476" t="s">
        <v>1553</v>
      </c>
      <c r="N211" s="433">
        <f>M208^2*0.25*3.1415*0.01*7850*2</f>
        <v>0</v>
      </c>
      <c r="O211" s="1291"/>
    </row>
    <row r="212" spans="1:23" ht="17.45" customHeight="1">
      <c r="A212" s="471">
        <f t="shared" si="17"/>
        <v>26233352.096400004</v>
      </c>
      <c r="B212" s="1287">
        <f t="shared" si="14"/>
        <v>10447372</v>
      </c>
      <c r="C212" s="472">
        <f t="shared" si="16"/>
        <v>208764.54</v>
      </c>
      <c r="D212" s="472">
        <v>83140</v>
      </c>
      <c r="E212" s="428" t="s">
        <v>1389</v>
      </c>
      <c r="F212" s="472">
        <f>3.1415*M203*(M204-5)</f>
        <v>125.66000000000001</v>
      </c>
      <c r="G212" s="437" t="s">
        <v>1383</v>
      </c>
      <c r="H212" s="430"/>
      <c r="I212" s="431"/>
      <c r="J212" s="432" t="s">
        <v>1390</v>
      </c>
      <c r="K212" s="476" t="s">
        <v>1554</v>
      </c>
      <c r="N212" s="433"/>
      <c r="O212" s="1291"/>
    </row>
    <row r="213" spans="1:23" ht="17.45" customHeight="1">
      <c r="A213" s="471">
        <f t="shared" si="17"/>
        <v>503703078.57360005</v>
      </c>
      <c r="B213" s="1287">
        <f t="shared" si="14"/>
        <v>200598598</v>
      </c>
      <c r="C213" s="472">
        <f t="shared" si="16"/>
        <v>1670191.6500000001</v>
      </c>
      <c r="D213" s="472">
        <v>665150</v>
      </c>
      <c r="E213" s="428" t="s">
        <v>1386</v>
      </c>
      <c r="F213" s="472">
        <f>F210+3.1415*M203*M204</f>
        <v>301.584</v>
      </c>
      <c r="G213" s="437" t="s">
        <v>1383</v>
      </c>
      <c r="H213" s="430"/>
      <c r="I213" s="431"/>
      <c r="J213" s="432" t="s">
        <v>1392</v>
      </c>
      <c r="K213" s="476" t="s">
        <v>1555</v>
      </c>
      <c r="N213" s="433">
        <f>M210^2*0.25*3.1415*0.01*7850*2</f>
        <v>0</v>
      </c>
      <c r="O213" s="1291"/>
    </row>
    <row r="214" spans="1:23" ht="17.45" customHeight="1">
      <c r="A214" s="471">
        <f t="shared" si="17"/>
        <v>26233352.096400004</v>
      </c>
      <c r="B214" s="1287">
        <f t="shared" si="14"/>
        <v>10447372</v>
      </c>
      <c r="C214" s="472">
        <f t="shared" si="16"/>
        <v>208764.54</v>
      </c>
      <c r="D214" s="472">
        <v>83140</v>
      </c>
      <c r="E214" s="428" t="s">
        <v>1389</v>
      </c>
      <c r="F214" s="472">
        <f>F212</f>
        <v>125.66000000000001</v>
      </c>
      <c r="G214" s="437" t="s">
        <v>1383</v>
      </c>
      <c r="H214" s="430"/>
      <c r="I214" s="431"/>
      <c r="J214" s="432" t="s">
        <v>1394</v>
      </c>
      <c r="K214" s="476" t="s">
        <v>1556</v>
      </c>
      <c r="N214" s="433">
        <f>2*N210-N213-N217-N218</f>
        <v>0</v>
      </c>
      <c r="O214" s="1291"/>
    </row>
    <row r="215" spans="1:23" ht="17.45" customHeight="1">
      <c r="A215" s="471">
        <f t="shared" si="17"/>
        <v>198671732.1864</v>
      </c>
      <c r="B215" s="1287">
        <f t="shared" si="14"/>
        <v>79120562</v>
      </c>
      <c r="C215" s="472">
        <f t="shared" si="16"/>
        <v>299436.75</v>
      </c>
      <c r="D215" s="472">
        <v>119250</v>
      </c>
      <c r="E215" s="428" t="s">
        <v>1396</v>
      </c>
      <c r="F215" s="472">
        <f>F210+F211+F213</f>
        <v>663.48479999999995</v>
      </c>
      <c r="G215" s="437" t="s">
        <v>1383</v>
      </c>
      <c r="H215" s="430"/>
      <c r="I215" s="431"/>
      <c r="J215" s="432" t="s">
        <v>1397</v>
      </c>
      <c r="K215" s="476" t="s">
        <v>1557</v>
      </c>
      <c r="N215" s="433">
        <f>M208^2*0.25*3.1415*0.008*7850*2</f>
        <v>0</v>
      </c>
      <c r="O215" s="1291"/>
    </row>
    <row r="216" spans="1:23" ht="17.45" customHeight="1">
      <c r="A216" s="471">
        <f t="shared" si="17"/>
        <v>8998980.0552000012</v>
      </c>
      <c r="B216" s="1287">
        <f t="shared" si="14"/>
        <v>3583823</v>
      </c>
      <c r="C216" s="472">
        <f t="shared" si="16"/>
        <v>35806.86</v>
      </c>
      <c r="D216" s="472">
        <v>14260</v>
      </c>
      <c r="E216" s="428" t="s">
        <v>1399</v>
      </c>
      <c r="F216" s="472">
        <f>F212+F214</f>
        <v>251.32000000000002</v>
      </c>
      <c r="G216" s="437" t="s">
        <v>1383</v>
      </c>
      <c r="H216" s="430"/>
      <c r="I216" s="431"/>
      <c r="J216" s="432" t="s">
        <v>1400</v>
      </c>
      <c r="K216" s="476" t="s">
        <v>1558</v>
      </c>
      <c r="N216" s="433">
        <f>N215*2</f>
        <v>0</v>
      </c>
      <c r="O216" s="1291"/>
    </row>
    <row r="217" spans="1:23" ht="17.45" customHeight="1">
      <c r="A217" s="471">
        <f t="shared" si="17"/>
        <v>272332612.07049602</v>
      </c>
      <c r="B217" s="1287">
        <f t="shared" si="14"/>
        <v>108455839</v>
      </c>
      <c r="C217" s="472">
        <f t="shared" si="16"/>
        <v>873878.22000000009</v>
      </c>
      <c r="D217" s="472">
        <v>348020</v>
      </c>
      <c r="E217" s="428" t="s">
        <v>1402</v>
      </c>
      <c r="F217" s="472">
        <f>F211</f>
        <v>311.63679999999999</v>
      </c>
      <c r="G217" s="437" t="s">
        <v>1383</v>
      </c>
      <c r="H217" s="430"/>
      <c r="I217" s="431"/>
      <c r="J217" s="432" t="s">
        <v>1403</v>
      </c>
      <c r="K217" s="476" t="s">
        <v>1559</v>
      </c>
      <c r="N217" s="1292"/>
      <c r="O217" s="1291"/>
      <c r="S217" s="1295" t="s">
        <v>4434</v>
      </c>
      <c r="T217" s="1296">
        <v>3296.3</v>
      </c>
      <c r="U217" s="1296">
        <v>5257</v>
      </c>
      <c r="V217" s="1296">
        <f>(0.45*T217)+(0.35*U217)</f>
        <v>3323.2849999999999</v>
      </c>
      <c r="W217" s="480"/>
    </row>
    <row r="218" spans="1:23" ht="17.45" customHeight="1">
      <c r="A218" s="471">
        <f t="shared" si="17"/>
        <v>755022251.83132792</v>
      </c>
      <c r="B218" s="1287">
        <f t="shared" si="14"/>
        <v>300685883</v>
      </c>
      <c r="C218" s="472">
        <f t="shared" si="16"/>
        <v>1211381.73</v>
      </c>
      <c r="D218" s="472">
        <v>482430</v>
      </c>
      <c r="E218" s="428" t="s">
        <v>1405</v>
      </c>
      <c r="F218" s="472">
        <f>2*F217</f>
        <v>623.27359999999999</v>
      </c>
      <c r="G218" s="437" t="s">
        <v>1383</v>
      </c>
      <c r="H218" s="430"/>
      <c r="I218" s="431"/>
      <c r="J218" s="432" t="s">
        <v>1406</v>
      </c>
      <c r="K218" s="476" t="s">
        <v>1560</v>
      </c>
      <c r="N218" s="1292"/>
      <c r="O218" s="1291"/>
      <c r="S218" s="1295" t="s">
        <v>4435</v>
      </c>
      <c r="T218" s="1296">
        <v>429.7</v>
      </c>
      <c r="U218" s="1296">
        <v>597</v>
      </c>
      <c r="V218" s="1296">
        <f>(0.45*T218)+(0.35*U218)</f>
        <v>402.315</v>
      </c>
      <c r="W218" s="480"/>
    </row>
    <row r="219" spans="1:23" ht="17.45" customHeight="1">
      <c r="A219" s="471">
        <f t="shared" si="17"/>
        <v>1096000042.9809599</v>
      </c>
      <c r="B219" s="1287">
        <f t="shared" si="14"/>
        <v>436479507</v>
      </c>
      <c r="C219" s="472">
        <f t="shared" si="16"/>
        <v>1211381.73</v>
      </c>
      <c r="D219" s="472">
        <v>482430</v>
      </c>
      <c r="E219" s="428" t="s">
        <v>1405</v>
      </c>
      <c r="F219" s="472">
        <f>3*F213</f>
        <v>904.75199999999995</v>
      </c>
      <c r="G219" s="437" t="s">
        <v>1383</v>
      </c>
      <c r="H219" s="430"/>
      <c r="I219" s="431"/>
      <c r="J219" s="432" t="s">
        <v>1408</v>
      </c>
      <c r="K219" s="476" t="s">
        <v>1561</v>
      </c>
      <c r="N219" s="1292"/>
      <c r="O219" s="1291"/>
      <c r="S219" s="480"/>
      <c r="T219" s="1296"/>
      <c r="U219" s="1296"/>
      <c r="V219" s="480"/>
      <c r="W219" s="480"/>
    </row>
    <row r="220" spans="1:23" ht="17.45" customHeight="1">
      <c r="A220" s="471">
        <f t="shared" si="17"/>
        <v>143213782.16880003</v>
      </c>
      <c r="B220" s="1287">
        <f t="shared" si="14"/>
        <v>57034561</v>
      </c>
      <c r="C220" s="472">
        <f t="shared" si="16"/>
        <v>284923.17000000004</v>
      </c>
      <c r="D220" s="472">
        <v>113470</v>
      </c>
      <c r="E220" s="428" t="s">
        <v>1439</v>
      </c>
      <c r="F220" s="472">
        <f>M203^2*3.1415*M204/4</f>
        <v>502.64000000000004</v>
      </c>
      <c r="G220" s="437" t="s">
        <v>1411</v>
      </c>
      <c r="H220" s="430"/>
      <c r="I220" s="431"/>
      <c r="J220" s="432" t="s">
        <v>1412</v>
      </c>
      <c r="K220" s="476" t="s">
        <v>1562</v>
      </c>
      <c r="N220" s="1292"/>
      <c r="O220" s="1291"/>
      <c r="S220" s="480"/>
      <c r="T220" s="480"/>
      <c r="U220" s="1297">
        <f>ROUND(V217/V218,3)</f>
        <v>8.26</v>
      </c>
      <c r="V220" s="480"/>
      <c r="W220" s="480"/>
    </row>
    <row r="221" spans="1:23" ht="17.45" customHeight="1">
      <c r="A221" s="471">
        <f t="shared" si="17"/>
        <v>20986922.934</v>
      </c>
      <c r="B221" s="1287">
        <f t="shared" si="14"/>
        <v>8357994</v>
      </c>
      <c r="C221" s="472">
        <f t="shared" si="16"/>
        <v>53233.200000000004</v>
      </c>
      <c r="D221" s="472">
        <v>21200</v>
      </c>
      <c r="E221" s="428" t="s">
        <v>1414</v>
      </c>
      <c r="F221" s="472">
        <f>15*((M204/1.5)*3+2*M203*3.1415/8)</f>
        <v>394.245</v>
      </c>
      <c r="G221" s="437" t="s">
        <v>1415</v>
      </c>
      <c r="H221" s="430"/>
      <c r="I221" s="431"/>
      <c r="J221" s="432" t="s">
        <v>1416</v>
      </c>
      <c r="K221" s="476" t="s">
        <v>1563</v>
      </c>
      <c r="N221" s="1292"/>
      <c r="O221" s="1291"/>
    </row>
    <row r="222" spans="1:23" ht="17.45" customHeight="1">
      <c r="A222" s="471"/>
      <c r="B222" s="1287"/>
      <c r="C222" s="472"/>
      <c r="D222" s="472"/>
      <c r="E222" s="428"/>
      <c r="F222" s="1290"/>
      <c r="G222" s="437"/>
      <c r="H222" s="430"/>
      <c r="I222" s="431"/>
      <c r="J222" s="432"/>
      <c r="K222" s="476"/>
      <c r="N222" s="1292"/>
      <c r="O222" s="1291"/>
    </row>
    <row r="223" spans="1:23" ht="17.45" customHeight="1">
      <c r="A223" s="471">
        <f>ROUND(3000000000*U220,0)</f>
        <v>24780000000</v>
      </c>
      <c r="B223" s="1287">
        <f>A223</f>
        <v>24780000000</v>
      </c>
      <c r="C223" s="472">
        <f t="shared" si="9"/>
        <v>0</v>
      </c>
      <c r="D223" s="472"/>
      <c r="E223" s="428" t="s">
        <v>1480</v>
      </c>
      <c r="F223" s="472"/>
      <c r="G223" s="429" t="s">
        <v>123</v>
      </c>
      <c r="H223" s="430"/>
      <c r="I223" s="431"/>
      <c r="J223" s="439" t="s">
        <v>1564</v>
      </c>
      <c r="K223" s="476">
        <v>9</v>
      </c>
      <c r="M223" s="423"/>
      <c r="N223" s="423"/>
      <c r="O223" s="433">
        <v>1</v>
      </c>
    </row>
    <row r="224" spans="1:23" ht="17.45" customHeight="1">
      <c r="A224" s="471">
        <f>ROUND(2000000000*U220,0)</f>
        <v>16520000000</v>
      </c>
      <c r="B224" s="1287">
        <f t="shared" ref="B224:B225" si="18">A224</f>
        <v>16520000000</v>
      </c>
      <c r="C224" s="472">
        <f t="shared" si="9"/>
        <v>0</v>
      </c>
      <c r="D224" s="472"/>
      <c r="E224" s="428" t="s">
        <v>1480</v>
      </c>
      <c r="F224" s="472"/>
      <c r="G224" s="429" t="s">
        <v>123</v>
      </c>
      <c r="H224" s="430"/>
      <c r="I224" s="431"/>
      <c r="J224" s="1298" t="s">
        <v>4436</v>
      </c>
      <c r="K224" s="476">
        <v>10</v>
      </c>
      <c r="M224" s="423"/>
      <c r="N224" s="423"/>
      <c r="O224" s="433"/>
    </row>
    <row r="225" spans="1:15" ht="17.45" customHeight="1" thickBot="1">
      <c r="A225" s="481">
        <f>ROUND(200000000*U220,0)</f>
        <v>1652000000</v>
      </c>
      <c r="B225" s="1287">
        <f t="shared" si="18"/>
        <v>1652000000</v>
      </c>
      <c r="C225" s="482">
        <f t="shared" si="9"/>
        <v>0</v>
      </c>
      <c r="D225" s="482"/>
      <c r="E225" s="524" t="s">
        <v>1480</v>
      </c>
      <c r="F225" s="482"/>
      <c r="G225" s="1299" t="s">
        <v>123</v>
      </c>
      <c r="H225" s="1300"/>
      <c r="I225" s="1301"/>
      <c r="J225" s="1302" t="s">
        <v>1565</v>
      </c>
      <c r="K225" s="486">
        <v>11</v>
      </c>
      <c r="M225" s="423"/>
      <c r="N225" s="423"/>
      <c r="O225" s="433">
        <v>13</v>
      </c>
    </row>
    <row r="226" spans="1:15" ht="17.45" hidden="1" customHeight="1">
      <c r="A226" s="1303"/>
      <c r="B226" s="1304"/>
      <c r="C226" s="1304"/>
      <c r="D226" s="1304"/>
      <c r="E226" s="1304"/>
      <c r="F226" s="1304"/>
      <c r="G226" s="446" t="s">
        <v>123</v>
      </c>
      <c r="H226" s="447"/>
      <c r="I226" s="448"/>
      <c r="J226" s="449" t="s">
        <v>330</v>
      </c>
      <c r="K226" s="450">
        <v>65.3</v>
      </c>
      <c r="M226" s="423"/>
      <c r="N226" s="423"/>
    </row>
    <row r="227" spans="1:15" ht="17.45" hidden="1" customHeight="1">
      <c r="A227" s="1303"/>
      <c r="B227" s="1304"/>
      <c r="C227" s="1304"/>
      <c r="D227" s="1304"/>
      <c r="E227" s="1304"/>
      <c r="F227" s="1304"/>
      <c r="G227" s="429" t="s">
        <v>123</v>
      </c>
      <c r="H227" s="430"/>
      <c r="I227" s="431"/>
      <c r="J227" s="432" t="s">
        <v>331</v>
      </c>
      <c r="K227" s="451">
        <v>65.400000000000006</v>
      </c>
      <c r="M227" s="423"/>
      <c r="N227" s="423"/>
    </row>
    <row r="228" spans="1:15" ht="17.45" hidden="1" customHeight="1">
      <c r="A228" s="1303"/>
      <c r="B228" s="1304"/>
      <c r="C228" s="1304"/>
      <c r="D228" s="1304"/>
      <c r="E228" s="1304"/>
      <c r="F228" s="1304"/>
      <c r="G228" s="429" t="s">
        <v>123</v>
      </c>
      <c r="H228" s="430"/>
      <c r="I228" s="431"/>
      <c r="J228" s="435" t="s">
        <v>333</v>
      </c>
      <c r="K228" s="451">
        <v>65.5</v>
      </c>
      <c r="M228" s="423"/>
      <c r="N228" s="423"/>
    </row>
    <row r="229" spans="1:15" ht="17.45" hidden="1" customHeight="1">
      <c r="A229" s="1303"/>
      <c r="B229" s="1304"/>
      <c r="C229" s="1304"/>
      <c r="D229" s="1304"/>
      <c r="E229" s="1304"/>
      <c r="F229" s="1304"/>
      <c r="G229" s="429" t="s">
        <v>123</v>
      </c>
      <c r="H229" s="430"/>
      <c r="I229" s="431"/>
      <c r="J229" s="435" t="s">
        <v>335</v>
      </c>
      <c r="K229" s="451">
        <v>65.599999999999994</v>
      </c>
      <c r="M229" s="423"/>
      <c r="N229" s="423"/>
    </row>
    <row r="230" spans="1:15" ht="17.45" hidden="1" customHeight="1">
      <c r="A230" s="1303"/>
      <c r="B230" s="1304"/>
      <c r="C230" s="1304"/>
      <c r="D230" s="1304"/>
      <c r="E230" s="1304"/>
      <c r="F230" s="1304"/>
      <c r="G230" s="429" t="s">
        <v>123</v>
      </c>
      <c r="H230" s="430"/>
      <c r="I230" s="431"/>
      <c r="J230" s="432" t="s">
        <v>337</v>
      </c>
      <c r="K230" s="451">
        <v>65.7</v>
      </c>
      <c r="M230" s="423"/>
      <c r="N230" s="423"/>
    </row>
    <row r="231" spans="1:15" ht="17.45" hidden="1" customHeight="1">
      <c r="A231" s="1303"/>
      <c r="B231" s="1304"/>
      <c r="C231" s="1304"/>
      <c r="D231" s="1304"/>
      <c r="E231" s="1304"/>
      <c r="F231" s="1304"/>
      <c r="G231" s="429" t="s">
        <v>123</v>
      </c>
      <c r="H231" s="430"/>
      <c r="I231" s="431"/>
      <c r="J231" s="432" t="s">
        <v>339</v>
      </c>
      <c r="K231" s="451">
        <v>65.800000000000097</v>
      </c>
      <c r="M231" s="423"/>
      <c r="N231" s="423"/>
    </row>
    <row r="232" spans="1:15" ht="17.45" hidden="1" customHeight="1">
      <c r="A232" s="1303"/>
      <c r="B232" s="1304"/>
      <c r="C232" s="1304"/>
      <c r="D232" s="1304"/>
      <c r="E232" s="1304"/>
      <c r="F232" s="1304"/>
      <c r="G232" s="429" t="s">
        <v>123</v>
      </c>
      <c r="H232" s="430"/>
      <c r="I232" s="431"/>
      <c r="J232" s="432" t="s">
        <v>341</v>
      </c>
      <c r="K232" s="451">
        <v>65.900000000000105</v>
      </c>
      <c r="M232" s="423"/>
      <c r="N232" s="423"/>
    </row>
    <row r="233" spans="1:15" ht="17.45" hidden="1" customHeight="1">
      <c r="A233" s="1303"/>
      <c r="B233" s="1304"/>
      <c r="C233" s="1304"/>
      <c r="D233" s="1304"/>
      <c r="E233" s="1304"/>
      <c r="F233" s="1304"/>
      <c r="G233" s="429" t="s">
        <v>123</v>
      </c>
      <c r="H233" s="430"/>
      <c r="I233" s="431"/>
      <c r="J233" s="432" t="s">
        <v>343</v>
      </c>
      <c r="K233" s="452" t="s">
        <v>305</v>
      </c>
      <c r="M233" s="423"/>
      <c r="N233" s="423"/>
    </row>
    <row r="234" spans="1:15" ht="17.45" hidden="1" customHeight="1">
      <c r="A234" s="1303"/>
      <c r="B234" s="1304"/>
      <c r="C234" s="1304"/>
      <c r="D234" s="1304"/>
      <c r="E234" s="1304"/>
      <c r="F234" s="1304"/>
      <c r="G234" s="429" t="s">
        <v>123</v>
      </c>
      <c r="H234" s="430"/>
      <c r="I234" s="431"/>
      <c r="J234" s="432" t="s">
        <v>1566</v>
      </c>
      <c r="K234" s="451">
        <v>65.11</v>
      </c>
      <c r="M234" s="423"/>
      <c r="N234" s="423"/>
    </row>
    <row r="235" spans="1:15" ht="17.45" hidden="1" customHeight="1">
      <c r="A235" s="1303"/>
      <c r="B235" s="1304"/>
      <c r="C235" s="1304"/>
      <c r="D235" s="1304"/>
      <c r="E235" s="1304"/>
      <c r="F235" s="1304"/>
      <c r="G235" s="429" t="s">
        <v>123</v>
      </c>
      <c r="H235" s="430"/>
      <c r="I235" s="431"/>
      <c r="J235" s="453" t="s">
        <v>349</v>
      </c>
      <c r="K235" s="451">
        <v>65.12</v>
      </c>
      <c r="M235" s="423"/>
      <c r="N235" s="423"/>
    </row>
    <row r="236" spans="1:15" ht="17.45" hidden="1" customHeight="1">
      <c r="A236" s="1303"/>
      <c r="B236" s="1304"/>
      <c r="C236" s="1304"/>
      <c r="D236" s="1304"/>
      <c r="E236" s="1304"/>
      <c r="F236" s="1304"/>
      <c r="G236" s="429" t="s">
        <v>123</v>
      </c>
      <c r="H236" s="430"/>
      <c r="I236" s="431"/>
      <c r="J236" s="432" t="s">
        <v>1567</v>
      </c>
      <c r="K236" s="451">
        <v>65.13</v>
      </c>
      <c r="M236" s="423"/>
      <c r="N236" s="423"/>
    </row>
    <row r="237" spans="1:15" ht="17.45" hidden="1" customHeight="1">
      <c r="A237" s="1303"/>
      <c r="B237" s="1304"/>
      <c r="C237" s="1304"/>
      <c r="D237" s="1304"/>
      <c r="E237" s="1304"/>
      <c r="F237" s="1304"/>
      <c r="G237" s="429" t="s">
        <v>123</v>
      </c>
      <c r="H237" s="430"/>
      <c r="I237" s="431"/>
      <c r="J237" s="432" t="s">
        <v>346</v>
      </c>
      <c r="K237" s="451">
        <v>65.14</v>
      </c>
      <c r="M237" s="423"/>
      <c r="N237" s="423"/>
    </row>
    <row r="238" spans="1:15" ht="17.45" hidden="1" customHeight="1" thickBot="1">
      <c r="A238" s="1303"/>
      <c r="B238" s="1304"/>
      <c r="C238" s="1304"/>
      <c r="D238" s="1304"/>
      <c r="E238" s="1304"/>
      <c r="F238" s="1304"/>
      <c r="G238" s="454"/>
      <c r="H238" s="455"/>
      <c r="I238" s="456"/>
      <c r="J238" s="457" t="s">
        <v>1568</v>
      </c>
      <c r="K238" s="458">
        <v>67</v>
      </c>
      <c r="M238" s="423"/>
      <c r="N238" s="423"/>
    </row>
    <row r="239" spans="1:15" ht="17.45" customHeight="1" thickBot="1">
      <c r="A239" s="504">
        <f>SUM(A5:A225)</f>
        <v>308771131596.13794</v>
      </c>
      <c r="B239" s="504">
        <f>SUM(B5:B225)</f>
        <v>150633619879</v>
      </c>
      <c r="C239" s="1305"/>
      <c r="D239" s="1305"/>
      <c r="E239" s="1305"/>
      <c r="F239" s="1305"/>
      <c r="G239" s="1306"/>
      <c r="H239" s="1307"/>
      <c r="I239" s="1308"/>
      <c r="J239" s="1309" t="s">
        <v>1010</v>
      </c>
      <c r="K239" s="459"/>
      <c r="M239" s="423"/>
      <c r="N239" s="423"/>
    </row>
    <row r="240" spans="1:15" ht="15.75" customHeight="1">
      <c r="I240" s="1310"/>
      <c r="J240" s="1310"/>
    </row>
    <row r="241" spans="9:10" ht="15.75" customHeight="1">
      <c r="I241" s="1310"/>
      <c r="J241" s="422"/>
    </row>
    <row r="242" spans="9:10" ht="15.75">
      <c r="I242" s="1310"/>
      <c r="J242" s="1310"/>
    </row>
    <row r="243" spans="9:10" ht="15.75">
      <c r="J243" s="1310"/>
    </row>
    <row r="244" spans="9:10" ht="15.75" customHeight="1"/>
    <row r="247" spans="9:10">
      <c r="J247" s="1311"/>
    </row>
    <row r="248" spans="9:10">
      <c r="J248" s="1311"/>
    </row>
    <row r="270" spans="1:1" ht="15" customHeight="1"/>
    <row r="271" spans="1:1" ht="30.75" customHeight="1">
      <c r="A271" s="1312"/>
    </row>
  </sheetData>
  <mergeCells count="12">
    <mergeCell ref="H2:I4"/>
    <mergeCell ref="J2:J4"/>
    <mergeCell ref="K2:K4"/>
    <mergeCell ref="O2:O4"/>
    <mergeCell ref="A1:K1"/>
    <mergeCell ref="A2:A4"/>
    <mergeCell ref="B2:B4"/>
    <mergeCell ref="C2:C4"/>
    <mergeCell ref="D2:D4"/>
    <mergeCell ref="E2:E4"/>
    <mergeCell ref="F2:F4"/>
    <mergeCell ref="G2:G4"/>
  </mergeCells>
  <printOptions horizontalCentered="1"/>
  <pageMargins left="0.19685039370078741" right="0.19685039370078741" top="0.19685039370078741" bottom="0.19685039370078741" header="0.11811023622047245" footer="0.11811023622047245"/>
  <pageSetup paperSize="9" scale="65" orientation="portrait" horizontalDpi="4294967294"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61"/>
  <sheetViews>
    <sheetView view="pageBreakPreview" zoomScale="60" zoomScaleNormal="60" workbookViewId="0">
      <selection activeCell="A5" sqref="A1:P1048576"/>
    </sheetView>
  </sheetViews>
  <sheetFormatPr defaultColWidth="9.140625" defaultRowHeight="15"/>
  <cols>
    <col min="1" max="2" width="23.42578125" style="463" customWidth="1"/>
    <col min="3" max="3" width="18" style="463" customWidth="1"/>
    <col min="4" max="4" width="18.28515625" style="463" customWidth="1"/>
    <col min="5" max="5" width="18" style="467" customWidth="1"/>
    <col min="6" max="6" width="13.28515625" style="464" customWidth="1"/>
    <col min="7" max="7" width="11.85546875" style="464" customWidth="1"/>
    <col min="8" max="8" width="5.7109375" style="464" customWidth="1"/>
    <col min="9" max="9" width="52.5703125" style="466" customWidth="1"/>
    <col min="10" max="10" width="6" style="464" customWidth="1"/>
    <col min="11" max="16384" width="9.140625" style="461"/>
  </cols>
  <sheetData>
    <row r="1" spans="1:17" s="423" customFormat="1" ht="24.75" customHeight="1" thickBot="1">
      <c r="A1" s="1840" t="s">
        <v>4437</v>
      </c>
      <c r="B1" s="1841"/>
      <c r="C1" s="1841"/>
      <c r="D1" s="1841"/>
      <c r="E1" s="1841"/>
      <c r="F1" s="1841"/>
      <c r="G1" s="1841"/>
      <c r="H1" s="1841"/>
      <c r="I1" s="1841"/>
      <c r="J1" s="1842"/>
    </row>
    <row r="2" spans="1:17" ht="15.75" customHeight="1">
      <c r="A2" s="1898" t="s">
        <v>1218</v>
      </c>
      <c r="B2" s="1889" t="s">
        <v>4402</v>
      </c>
      <c r="C2" s="1901" t="s">
        <v>1219</v>
      </c>
      <c r="D2" s="1901" t="s">
        <v>1220</v>
      </c>
      <c r="E2" s="1904" t="s">
        <v>4428</v>
      </c>
      <c r="F2" s="1901" t="s">
        <v>1135</v>
      </c>
      <c r="G2" s="1901" t="s">
        <v>1221</v>
      </c>
      <c r="H2" s="1907" t="s">
        <v>2</v>
      </c>
      <c r="I2" s="1908"/>
      <c r="J2" s="1913" t="s">
        <v>28</v>
      </c>
    </row>
    <row r="3" spans="1:17" ht="15.75" customHeight="1">
      <c r="A3" s="1899"/>
      <c r="B3" s="1890"/>
      <c r="C3" s="1902"/>
      <c r="D3" s="1902"/>
      <c r="E3" s="1905"/>
      <c r="F3" s="1902"/>
      <c r="G3" s="1902"/>
      <c r="H3" s="1909"/>
      <c r="I3" s="1910"/>
      <c r="J3" s="1914"/>
    </row>
    <row r="4" spans="1:17" ht="26.25" customHeight="1" thickBot="1">
      <c r="A4" s="1900"/>
      <c r="B4" s="1891"/>
      <c r="C4" s="1903"/>
      <c r="D4" s="1903"/>
      <c r="E4" s="1906"/>
      <c r="F4" s="1903"/>
      <c r="G4" s="1903"/>
      <c r="H4" s="1911"/>
      <c r="I4" s="1912"/>
      <c r="J4" s="1915"/>
      <c r="M4" s="462">
        <f>ROUND(N5*N6*N7*N8,3)</f>
        <v>2.4129999999999998</v>
      </c>
      <c r="N4" s="461" t="s">
        <v>1339</v>
      </c>
      <c r="P4" s="424"/>
      <c r="Q4" s="424"/>
    </row>
    <row r="5" spans="1:17" ht="78" customHeight="1">
      <c r="A5" s="491"/>
      <c r="B5" s="1313"/>
      <c r="C5" s="492"/>
      <c r="D5" s="492"/>
      <c r="E5" s="1314"/>
      <c r="F5" s="492">
        <v>400</v>
      </c>
      <c r="G5" s="1315" t="s">
        <v>1279</v>
      </c>
      <c r="H5" s="1916" t="s">
        <v>4438</v>
      </c>
      <c r="I5" s="1917"/>
      <c r="J5" s="1316">
        <v>1</v>
      </c>
      <c r="M5" s="423" t="s">
        <v>4405</v>
      </c>
      <c r="N5" s="479">
        <v>1.1100000000000001</v>
      </c>
    </row>
    <row r="6" spans="1:17" ht="76.5" customHeight="1">
      <c r="A6" s="471"/>
      <c r="B6" s="1287"/>
      <c r="C6" s="472"/>
      <c r="D6" s="472"/>
      <c r="E6" s="1317"/>
      <c r="F6" s="472">
        <v>400</v>
      </c>
      <c r="G6" s="1318" t="s">
        <v>1279</v>
      </c>
      <c r="H6" s="1896" t="s">
        <v>494</v>
      </c>
      <c r="I6" s="1897"/>
      <c r="J6" s="1319">
        <v>2</v>
      </c>
      <c r="M6" s="422" t="s">
        <v>4406</v>
      </c>
      <c r="N6" s="479">
        <v>1.48</v>
      </c>
    </row>
    <row r="7" spans="1:17" ht="33.75" customHeight="1">
      <c r="A7" s="471">
        <f>ROUND(C7*F7,0)</f>
        <v>343340944</v>
      </c>
      <c r="B7" s="1287">
        <f>ROUND(F7*D7,0)</f>
        <v>142288000</v>
      </c>
      <c r="C7" s="472">
        <f t="shared" ref="C7:C15" si="0">D7*$M$4</f>
        <v>429176.18</v>
      </c>
      <c r="D7" s="472">
        <v>177860</v>
      </c>
      <c r="E7" s="1317">
        <v>560101009</v>
      </c>
      <c r="F7" s="472">
        <v>800</v>
      </c>
      <c r="G7" s="1318" t="s">
        <v>1279</v>
      </c>
      <c r="H7" s="1320"/>
      <c r="I7" s="1321" t="s">
        <v>1569</v>
      </c>
      <c r="J7" s="1288">
        <v>2.1</v>
      </c>
      <c r="M7" s="422" t="s">
        <v>4407</v>
      </c>
      <c r="N7" s="479">
        <v>1</v>
      </c>
    </row>
    <row r="8" spans="1:17" ht="33.75" customHeight="1">
      <c r="A8" s="471">
        <f t="shared" ref="A8:A14" si="1">ROUND(C8*F8,0)</f>
        <v>4092367062</v>
      </c>
      <c r="B8" s="1287">
        <f t="shared" ref="B8:B50" si="2">ROUND(F8*D8,0)</f>
        <v>1695966458</v>
      </c>
      <c r="C8" s="472">
        <f t="shared" si="0"/>
        <v>30313830.088499997</v>
      </c>
      <c r="D8" s="472">
        <f>11964490*1.05</f>
        <v>12562714.5</v>
      </c>
      <c r="E8" s="1317">
        <v>560209008</v>
      </c>
      <c r="F8" s="472">
        <v>135</v>
      </c>
      <c r="G8" s="1318" t="s">
        <v>1230</v>
      </c>
      <c r="H8" s="1320"/>
      <c r="I8" s="1321" t="s">
        <v>1570</v>
      </c>
      <c r="J8" s="1288">
        <v>2.2000000000000002</v>
      </c>
      <c r="M8" s="424" t="s">
        <v>4408</v>
      </c>
      <c r="N8" s="479">
        <v>1.4690000000000001</v>
      </c>
    </row>
    <row r="9" spans="1:17" ht="33.75" customHeight="1">
      <c r="A9" s="471">
        <f t="shared" si="1"/>
        <v>1411473612</v>
      </c>
      <c r="B9" s="1287">
        <f t="shared" si="2"/>
        <v>584945550</v>
      </c>
      <c r="C9" s="472">
        <f t="shared" si="0"/>
        <v>10455360.09</v>
      </c>
      <c r="D9" s="472">
        <v>4332930</v>
      </c>
      <c r="E9" s="1317">
        <v>56301009</v>
      </c>
      <c r="F9" s="472">
        <v>135</v>
      </c>
      <c r="G9" s="1318" t="s">
        <v>1230</v>
      </c>
      <c r="H9" s="1320"/>
      <c r="I9" s="1321" t="s">
        <v>1571</v>
      </c>
      <c r="J9" s="1288">
        <v>2.2999999999999998</v>
      </c>
    </row>
    <row r="10" spans="1:17" ht="33.75" customHeight="1">
      <c r="A10" s="471">
        <f t="shared" si="1"/>
        <v>1789307064</v>
      </c>
      <c r="B10" s="1287">
        <f t="shared" si="2"/>
        <v>741528000</v>
      </c>
      <c r="C10" s="472">
        <f t="shared" si="0"/>
        <v>2236633.8299999996</v>
      </c>
      <c r="D10" s="472">
        <v>926910</v>
      </c>
      <c r="E10" s="1317">
        <v>560401009</v>
      </c>
      <c r="F10" s="472">
        <v>800</v>
      </c>
      <c r="G10" s="1318" t="s">
        <v>1279</v>
      </c>
      <c r="H10" s="1320"/>
      <c r="I10" s="1321" t="s">
        <v>1572</v>
      </c>
      <c r="J10" s="1288">
        <v>2.4</v>
      </c>
    </row>
    <row r="11" spans="1:17" ht="33.75" customHeight="1">
      <c r="A11" s="471">
        <f t="shared" si="1"/>
        <v>1445271176</v>
      </c>
      <c r="B11" s="1287">
        <f t="shared" si="2"/>
        <v>598952000</v>
      </c>
      <c r="C11" s="472">
        <f t="shared" si="0"/>
        <v>1806588.97</v>
      </c>
      <c r="D11" s="472">
        <v>748690</v>
      </c>
      <c r="E11" s="1317">
        <v>560404009</v>
      </c>
      <c r="F11" s="472">
        <v>800</v>
      </c>
      <c r="G11" s="1318" t="s">
        <v>1279</v>
      </c>
      <c r="H11" s="1320"/>
      <c r="I11" s="1321" t="s">
        <v>1573</v>
      </c>
      <c r="J11" s="1288">
        <v>2.5</v>
      </c>
    </row>
    <row r="12" spans="1:17" ht="33.75" customHeight="1">
      <c r="A12" s="471">
        <f t="shared" si="1"/>
        <v>292786760</v>
      </c>
      <c r="B12" s="1287">
        <f t="shared" si="2"/>
        <v>121337240</v>
      </c>
      <c r="C12" s="472">
        <f t="shared" si="0"/>
        <v>73196690.030000001</v>
      </c>
      <c r="D12" s="472">
        <v>30334310</v>
      </c>
      <c r="E12" s="1317">
        <v>560501012</v>
      </c>
      <c r="F12" s="472">
        <v>4</v>
      </c>
      <c r="G12" s="1318" t="s">
        <v>1152</v>
      </c>
      <c r="H12" s="1320"/>
      <c r="I12" s="1321" t="s">
        <v>1574</v>
      </c>
      <c r="J12" s="1288">
        <v>2.6</v>
      </c>
    </row>
    <row r="13" spans="1:17" ht="33.75" customHeight="1">
      <c r="A13" s="471">
        <f t="shared" si="1"/>
        <v>74280248</v>
      </c>
      <c r="B13" s="1287">
        <f t="shared" si="2"/>
        <v>30783360</v>
      </c>
      <c r="C13" s="472">
        <f t="shared" si="0"/>
        <v>18570061.919999998</v>
      </c>
      <c r="D13" s="472">
        <v>7695840</v>
      </c>
      <c r="E13" s="1317">
        <v>560502012</v>
      </c>
      <c r="F13" s="472">
        <v>4</v>
      </c>
      <c r="G13" s="1318" t="s">
        <v>1575</v>
      </c>
      <c r="H13" s="1320"/>
      <c r="I13" s="1321" t="s">
        <v>1576</v>
      </c>
      <c r="J13" s="1288">
        <v>2.7</v>
      </c>
    </row>
    <row r="14" spans="1:17" ht="33.75" customHeight="1">
      <c r="A14" s="471">
        <f t="shared" si="1"/>
        <v>1102331900</v>
      </c>
      <c r="B14" s="1287">
        <f t="shared" si="2"/>
        <v>456830460</v>
      </c>
      <c r="C14" s="472">
        <f t="shared" si="0"/>
        <v>551165949.99000001</v>
      </c>
      <c r="D14" s="472">
        <v>228415230</v>
      </c>
      <c r="E14" s="1317">
        <v>560504009</v>
      </c>
      <c r="F14" s="472">
        <v>2</v>
      </c>
      <c r="G14" s="1318" t="s">
        <v>1152</v>
      </c>
      <c r="H14" s="1320"/>
      <c r="I14" s="1321" t="s">
        <v>1577</v>
      </c>
      <c r="J14" s="1288">
        <v>2.8</v>
      </c>
    </row>
    <row r="15" spans="1:17" ht="33.75" customHeight="1">
      <c r="A15" s="471">
        <f>ROUND(C15*F15,0)</f>
        <v>551129200</v>
      </c>
      <c r="B15" s="1287">
        <f t="shared" si="2"/>
        <v>228400000</v>
      </c>
      <c r="C15" s="472">
        <f t="shared" si="0"/>
        <v>688911.5</v>
      </c>
      <c r="D15" s="472">
        <v>285500</v>
      </c>
      <c r="E15" s="1317">
        <v>560701008</v>
      </c>
      <c r="F15" s="472">
        <v>800</v>
      </c>
      <c r="G15" s="1318" t="s">
        <v>1279</v>
      </c>
      <c r="H15" s="1320"/>
      <c r="I15" s="1321" t="s">
        <v>4439</v>
      </c>
      <c r="J15" s="1288">
        <v>2.9</v>
      </c>
    </row>
    <row r="16" spans="1:17" ht="62.25" customHeight="1">
      <c r="A16" s="471"/>
      <c r="B16" s="1287">
        <f t="shared" si="2"/>
        <v>0</v>
      </c>
      <c r="C16" s="472"/>
      <c r="D16" s="472"/>
      <c r="E16" s="1317"/>
      <c r="F16" s="472">
        <v>17000</v>
      </c>
      <c r="G16" s="1318" t="s">
        <v>404</v>
      </c>
      <c r="H16" s="1320"/>
      <c r="I16" s="1321" t="s">
        <v>4440</v>
      </c>
      <c r="J16" s="1319">
        <v>3</v>
      </c>
    </row>
    <row r="17" spans="1:10" ht="33.75" customHeight="1">
      <c r="A17" s="471">
        <f>ROUND(C17*F17,0)</f>
        <v>4766229990</v>
      </c>
      <c r="B17" s="1287">
        <f t="shared" si="2"/>
        <v>1975230000</v>
      </c>
      <c r="C17" s="472">
        <f t="shared" ref="C17:C25" si="3">D17*$M$4</f>
        <v>280366.46999999997</v>
      </c>
      <c r="D17" s="472">
        <v>116190</v>
      </c>
      <c r="E17" s="1317">
        <v>560101005</v>
      </c>
      <c r="F17" s="472">
        <v>17000</v>
      </c>
      <c r="G17" s="1318" t="s">
        <v>1279</v>
      </c>
      <c r="H17" s="1320"/>
      <c r="I17" s="1321" t="s">
        <v>1569</v>
      </c>
      <c r="J17" s="1288">
        <v>3.1</v>
      </c>
    </row>
    <row r="18" spans="1:10" ht="33.75" customHeight="1">
      <c r="A18" s="471">
        <f t="shared" ref="A18:A35" si="4">ROUND(C18*F18,0)</f>
        <v>48240250078</v>
      </c>
      <c r="B18" s="1287">
        <f t="shared" si="2"/>
        <v>19991815200</v>
      </c>
      <c r="C18" s="472">
        <f t="shared" si="3"/>
        <v>16926403.535999998</v>
      </c>
      <c r="D18" s="472">
        <f>1.05*6680640</f>
        <v>7014672</v>
      </c>
      <c r="E18" s="1317">
        <v>560205009</v>
      </c>
      <c r="F18" s="472">
        <v>2850</v>
      </c>
      <c r="G18" s="1318" t="s">
        <v>1230</v>
      </c>
      <c r="H18" s="1320"/>
      <c r="I18" s="1321" t="s">
        <v>1578</v>
      </c>
      <c r="J18" s="1288">
        <v>3.2</v>
      </c>
    </row>
    <row r="19" spans="1:10" ht="33.75" customHeight="1">
      <c r="A19" s="471">
        <f t="shared" si="4"/>
        <v>19158911136</v>
      </c>
      <c r="B19" s="1287">
        <f t="shared" si="2"/>
        <v>7939872000</v>
      </c>
      <c r="C19" s="472">
        <f t="shared" si="3"/>
        <v>6722424.959999999</v>
      </c>
      <c r="D19" s="472">
        <v>2785920</v>
      </c>
      <c r="E19" s="1317">
        <v>560301005</v>
      </c>
      <c r="F19" s="472">
        <v>2850</v>
      </c>
      <c r="G19" s="1318" t="s">
        <v>1230</v>
      </c>
      <c r="H19" s="1320"/>
      <c r="I19" s="1321" t="s">
        <v>1579</v>
      </c>
      <c r="J19" s="1288">
        <v>3.3</v>
      </c>
    </row>
    <row r="20" spans="1:10" ht="33.75" customHeight="1">
      <c r="A20" s="471">
        <f t="shared" si="4"/>
        <v>22535296560</v>
      </c>
      <c r="B20" s="1287">
        <f t="shared" si="2"/>
        <v>9339120000</v>
      </c>
      <c r="C20" s="472">
        <f t="shared" si="3"/>
        <v>1325605.68</v>
      </c>
      <c r="D20" s="472">
        <v>549360</v>
      </c>
      <c r="E20" s="1317">
        <v>560401005</v>
      </c>
      <c r="F20" s="472">
        <v>17000</v>
      </c>
      <c r="G20" s="1318" t="s">
        <v>1279</v>
      </c>
      <c r="H20" s="1320"/>
      <c r="I20" s="1321" t="s">
        <v>4441</v>
      </c>
      <c r="J20" s="1288">
        <v>3.4</v>
      </c>
    </row>
    <row r="21" spans="1:10" ht="33.75" customHeight="1">
      <c r="A21" s="471">
        <f t="shared" si="4"/>
        <v>18466013360</v>
      </c>
      <c r="B21" s="1287">
        <f t="shared" si="2"/>
        <v>7652720000</v>
      </c>
      <c r="C21" s="472">
        <f t="shared" si="3"/>
        <v>1086236.0799999998</v>
      </c>
      <c r="D21" s="472">
        <v>450160</v>
      </c>
      <c r="E21" s="1317">
        <v>560404005</v>
      </c>
      <c r="F21" s="472">
        <v>17000</v>
      </c>
      <c r="G21" s="1318" t="s">
        <v>1279</v>
      </c>
      <c r="H21" s="1320"/>
      <c r="I21" s="1321" t="s">
        <v>4442</v>
      </c>
      <c r="J21" s="1288">
        <v>3.5</v>
      </c>
    </row>
    <row r="22" spans="1:10" ht="33.75" customHeight="1">
      <c r="A22" s="471">
        <f>ROUND(C22*F22,0)</f>
        <v>175672095</v>
      </c>
      <c r="B22" s="1287">
        <f t="shared" si="2"/>
        <v>72802360</v>
      </c>
      <c r="C22" s="472">
        <f>D22*$M$4</f>
        <v>43918023.669999994</v>
      </c>
      <c r="D22" s="472">
        <v>18200590</v>
      </c>
      <c r="E22" s="1317">
        <v>560501008</v>
      </c>
      <c r="F22" s="472">
        <v>4</v>
      </c>
      <c r="G22" s="1318" t="s">
        <v>1152</v>
      </c>
      <c r="H22" s="1320"/>
      <c r="I22" s="1321" t="s">
        <v>1580</v>
      </c>
      <c r="J22" s="1288">
        <v>3.6</v>
      </c>
    </row>
    <row r="23" spans="1:10" ht="33.75" customHeight="1">
      <c r="A23" s="471">
        <f t="shared" si="4"/>
        <v>44568110</v>
      </c>
      <c r="B23" s="1287">
        <f t="shared" si="2"/>
        <v>18470000</v>
      </c>
      <c r="C23" s="472">
        <f t="shared" si="3"/>
        <v>11142027.5</v>
      </c>
      <c r="D23" s="472">
        <v>4617500</v>
      </c>
      <c r="E23" s="1317">
        <v>560502008</v>
      </c>
      <c r="F23" s="472">
        <v>4</v>
      </c>
      <c r="G23" s="1318" t="s">
        <v>1575</v>
      </c>
      <c r="H23" s="1320"/>
      <c r="I23" s="1321" t="s">
        <v>1581</v>
      </c>
      <c r="J23" s="1288">
        <v>3.7</v>
      </c>
    </row>
    <row r="24" spans="1:10" ht="33.75" customHeight="1">
      <c r="A24" s="471">
        <f t="shared" si="4"/>
        <v>822392965</v>
      </c>
      <c r="B24" s="1287">
        <f t="shared" si="2"/>
        <v>340817640</v>
      </c>
      <c r="C24" s="472">
        <f t="shared" si="3"/>
        <v>411196482.65999997</v>
      </c>
      <c r="D24" s="472">
        <v>170408820</v>
      </c>
      <c r="E24" s="1317">
        <v>560504005</v>
      </c>
      <c r="F24" s="472">
        <v>2</v>
      </c>
      <c r="G24" s="1318" t="s">
        <v>1152</v>
      </c>
      <c r="H24" s="1320"/>
      <c r="I24" s="1321" t="s">
        <v>4443</v>
      </c>
      <c r="J24" s="1288">
        <v>3.8</v>
      </c>
    </row>
    <row r="25" spans="1:10" ht="33.75" customHeight="1">
      <c r="A25" s="471">
        <f t="shared" si="4"/>
        <v>6780047400</v>
      </c>
      <c r="B25" s="1287">
        <f t="shared" si="2"/>
        <v>2809800000</v>
      </c>
      <c r="C25" s="472">
        <f t="shared" si="3"/>
        <v>565003.94999999995</v>
      </c>
      <c r="D25" s="472">
        <v>234150</v>
      </c>
      <c r="E25" s="1317">
        <v>560701005</v>
      </c>
      <c r="F25" s="472">
        <v>12000</v>
      </c>
      <c r="G25" s="1318" t="s">
        <v>1279</v>
      </c>
      <c r="H25" s="1320"/>
      <c r="I25" s="1321" t="s">
        <v>4444</v>
      </c>
      <c r="J25" s="1288">
        <v>3.9</v>
      </c>
    </row>
    <row r="26" spans="1:10" ht="107.25" customHeight="1">
      <c r="A26" s="471"/>
      <c r="B26" s="1287">
        <f t="shared" si="2"/>
        <v>0</v>
      </c>
      <c r="C26" s="472"/>
      <c r="D26" s="472"/>
      <c r="E26" s="1317"/>
      <c r="F26" s="472">
        <v>1000</v>
      </c>
      <c r="G26" s="1318" t="s">
        <v>404</v>
      </c>
      <c r="H26" s="1921" t="s">
        <v>1582</v>
      </c>
      <c r="I26" s="1922"/>
      <c r="J26" s="1319">
        <v>4</v>
      </c>
    </row>
    <row r="27" spans="1:10" ht="33.75" customHeight="1">
      <c r="A27" s="471">
        <f t="shared" si="4"/>
        <v>388232396</v>
      </c>
      <c r="B27" s="1287">
        <f t="shared" si="2"/>
        <v>160892000</v>
      </c>
      <c r="C27" s="472">
        <f t="shared" ref="C27:C35" si="5">D27*$M$4</f>
        <v>204332.84</v>
      </c>
      <c r="D27" s="472">
        <v>84680</v>
      </c>
      <c r="E27" s="1317">
        <v>560101001</v>
      </c>
      <c r="F27" s="472">
        <v>1900</v>
      </c>
      <c r="G27" s="1318" t="s">
        <v>1279</v>
      </c>
      <c r="H27" s="1320"/>
      <c r="I27" s="1321" t="s">
        <v>1569</v>
      </c>
      <c r="J27" s="1288">
        <v>4.0999999999999996</v>
      </c>
    </row>
    <row r="28" spans="1:10" ht="33.75" customHeight="1">
      <c r="A28" s="471">
        <f t="shared" si="4"/>
        <v>3315483717</v>
      </c>
      <c r="B28" s="1287">
        <f t="shared" si="2"/>
        <v>1374009000</v>
      </c>
      <c r="C28" s="472">
        <f t="shared" si="5"/>
        <v>9472810.6199999992</v>
      </c>
      <c r="D28" s="472">
        <f>3738800*1.05</f>
        <v>3925740</v>
      </c>
      <c r="E28" s="1317">
        <v>560201009</v>
      </c>
      <c r="F28" s="472">
        <v>350</v>
      </c>
      <c r="G28" s="1318" t="s">
        <v>1230</v>
      </c>
      <c r="H28" s="1320"/>
      <c r="I28" s="1321" t="s">
        <v>1583</v>
      </c>
      <c r="J28" s="1288">
        <v>4.2</v>
      </c>
    </row>
    <row r="29" spans="1:10" ht="33.75" customHeight="1">
      <c r="A29" s="471">
        <f t="shared" si="4"/>
        <v>1232308242</v>
      </c>
      <c r="B29" s="1287">
        <f t="shared" si="2"/>
        <v>510695500</v>
      </c>
      <c r="C29" s="472">
        <f t="shared" si="5"/>
        <v>3520880.69</v>
      </c>
      <c r="D29" s="472">
        <v>1459130</v>
      </c>
      <c r="E29" s="1317">
        <v>560301001</v>
      </c>
      <c r="F29" s="472">
        <v>350</v>
      </c>
      <c r="G29" s="1318" t="s">
        <v>1230</v>
      </c>
      <c r="H29" s="1320"/>
      <c r="I29" s="1321" t="s">
        <v>1584</v>
      </c>
      <c r="J29" s="1288">
        <v>4.3</v>
      </c>
    </row>
    <row r="30" spans="1:10" ht="33.75" customHeight="1">
      <c r="A30" s="471">
        <f t="shared" si="4"/>
        <v>942293391</v>
      </c>
      <c r="B30" s="1287">
        <f t="shared" si="2"/>
        <v>390507000</v>
      </c>
      <c r="C30" s="472">
        <f t="shared" si="5"/>
        <v>495943.88999999996</v>
      </c>
      <c r="D30" s="472">
        <v>205530</v>
      </c>
      <c r="E30" s="1317">
        <v>560401001</v>
      </c>
      <c r="F30" s="472">
        <v>1900</v>
      </c>
      <c r="G30" s="1318" t="s">
        <v>1279</v>
      </c>
      <c r="H30" s="1320"/>
      <c r="I30" s="1321" t="s">
        <v>4445</v>
      </c>
      <c r="J30" s="1288">
        <v>4.4000000000000004</v>
      </c>
    </row>
    <row r="31" spans="1:10" ht="33.75" customHeight="1">
      <c r="A31" s="471">
        <f t="shared" si="4"/>
        <v>695178061</v>
      </c>
      <c r="B31" s="1287">
        <f t="shared" si="2"/>
        <v>288097000</v>
      </c>
      <c r="C31" s="472">
        <f t="shared" si="5"/>
        <v>365883.18999999994</v>
      </c>
      <c r="D31" s="472">
        <v>151630</v>
      </c>
      <c r="E31" s="1317">
        <v>560404001</v>
      </c>
      <c r="F31" s="472">
        <v>1900</v>
      </c>
      <c r="G31" s="1318" t="s">
        <v>1279</v>
      </c>
      <c r="H31" s="1320"/>
      <c r="I31" s="1321" t="s">
        <v>4446</v>
      </c>
      <c r="J31" s="1288">
        <v>4.5</v>
      </c>
    </row>
    <row r="32" spans="1:10" ht="33.75" customHeight="1">
      <c r="A32" s="471">
        <f t="shared" si="4"/>
        <v>31365284</v>
      </c>
      <c r="B32" s="1287">
        <f t="shared" si="2"/>
        <v>12998460</v>
      </c>
      <c r="C32" s="472">
        <f t="shared" si="5"/>
        <v>15682641.989999998</v>
      </c>
      <c r="D32" s="472">
        <v>6499230</v>
      </c>
      <c r="E32" s="1317">
        <v>560501004</v>
      </c>
      <c r="F32" s="472">
        <v>2</v>
      </c>
      <c r="G32" s="1318" t="s">
        <v>1152</v>
      </c>
      <c r="H32" s="1320"/>
      <c r="I32" s="1321" t="s">
        <v>1585</v>
      </c>
      <c r="J32" s="1288">
        <v>4.5999999999999996</v>
      </c>
    </row>
    <row r="33" spans="1:17" ht="33.75" customHeight="1">
      <c r="A33" s="471">
        <f t="shared" si="4"/>
        <v>21710533</v>
      </c>
      <c r="B33" s="1287">
        <f t="shared" si="2"/>
        <v>8997320</v>
      </c>
      <c r="C33" s="472">
        <f t="shared" si="5"/>
        <v>5427633.29</v>
      </c>
      <c r="D33" s="472">
        <v>2249330</v>
      </c>
      <c r="E33" s="1317">
        <v>560502004</v>
      </c>
      <c r="F33" s="472">
        <v>4</v>
      </c>
      <c r="G33" s="1318" t="s">
        <v>1575</v>
      </c>
      <c r="H33" s="1320"/>
      <c r="I33" s="1321" t="s">
        <v>1586</v>
      </c>
      <c r="J33" s="1288">
        <v>4.7</v>
      </c>
    </row>
    <row r="34" spans="1:17" ht="33.75" customHeight="1">
      <c r="A34" s="471">
        <f t="shared" si="4"/>
        <v>342499772</v>
      </c>
      <c r="B34" s="1287">
        <f t="shared" si="2"/>
        <v>141939400</v>
      </c>
      <c r="C34" s="472">
        <f t="shared" si="5"/>
        <v>171249886.09999999</v>
      </c>
      <c r="D34" s="472">
        <v>70969700</v>
      </c>
      <c r="E34" s="1317">
        <v>560504001</v>
      </c>
      <c r="F34" s="472">
        <v>2</v>
      </c>
      <c r="G34" s="1318" t="s">
        <v>1152</v>
      </c>
      <c r="H34" s="1320"/>
      <c r="I34" s="1321" t="s">
        <v>1587</v>
      </c>
      <c r="J34" s="1288">
        <v>4.8</v>
      </c>
    </row>
    <row r="35" spans="1:17" ht="33.75" customHeight="1">
      <c r="A35" s="471">
        <f t="shared" si="4"/>
        <v>424929300</v>
      </c>
      <c r="B35" s="1287">
        <f t="shared" si="2"/>
        <v>176100000</v>
      </c>
      <c r="C35" s="472">
        <f t="shared" si="5"/>
        <v>424929.3</v>
      </c>
      <c r="D35" s="472">
        <v>176100</v>
      </c>
      <c r="E35" s="1317">
        <v>560701001</v>
      </c>
      <c r="F35" s="472">
        <v>1000</v>
      </c>
      <c r="G35" s="1318" t="s">
        <v>1279</v>
      </c>
      <c r="H35" s="1320"/>
      <c r="I35" s="1321" t="s">
        <v>1588</v>
      </c>
      <c r="J35" s="1288">
        <v>4.9000000000000004</v>
      </c>
    </row>
    <row r="36" spans="1:17" ht="48" customHeight="1">
      <c r="A36" s="471"/>
      <c r="B36" s="1287">
        <f t="shared" si="2"/>
        <v>0</v>
      </c>
      <c r="C36" s="472"/>
      <c r="D36" s="472"/>
      <c r="E36" s="1317"/>
      <c r="F36" s="472">
        <v>500</v>
      </c>
      <c r="G36" s="1318" t="s">
        <v>404</v>
      </c>
      <c r="H36" s="1923" t="s">
        <v>504</v>
      </c>
      <c r="I36" s="1924"/>
      <c r="J36" s="1319">
        <v>5</v>
      </c>
    </row>
    <row r="37" spans="1:17" ht="69" customHeight="1">
      <c r="A37" s="471"/>
      <c r="B37" s="1287">
        <f t="shared" si="2"/>
        <v>0</v>
      </c>
      <c r="C37" s="472"/>
      <c r="D37" s="472"/>
      <c r="E37" s="1317"/>
      <c r="F37" s="472">
        <v>500</v>
      </c>
      <c r="G37" s="1318"/>
      <c r="H37" s="1896" t="s">
        <v>505</v>
      </c>
      <c r="I37" s="1918"/>
      <c r="J37" s="1319">
        <v>6</v>
      </c>
    </row>
    <row r="38" spans="1:17" ht="33.75" customHeight="1">
      <c r="A38" s="471">
        <f t="shared" ref="A38:A50" si="6">ROUND(C38*F38,0)</f>
        <v>217218260</v>
      </c>
      <c r="B38" s="1287">
        <f t="shared" si="2"/>
        <v>90020000</v>
      </c>
      <c r="C38" s="472">
        <f t="shared" ref="C38:C50" si="7">D38*$M$4</f>
        <v>217218.25999999998</v>
      </c>
      <c r="D38" s="472">
        <v>90020</v>
      </c>
      <c r="E38" s="1317">
        <v>560101002</v>
      </c>
      <c r="F38" s="472">
        <v>1000</v>
      </c>
      <c r="G38" s="1318" t="s">
        <v>1279</v>
      </c>
      <c r="H38" s="1320"/>
      <c r="I38" s="1321" t="s">
        <v>1569</v>
      </c>
      <c r="J38" s="1288">
        <v>6.1</v>
      </c>
    </row>
    <row r="39" spans="1:17" ht="33.75" customHeight="1">
      <c r="A39" s="471">
        <f t="shared" si="6"/>
        <v>2358691333</v>
      </c>
      <c r="B39" s="1287">
        <f t="shared" si="2"/>
        <v>977493300</v>
      </c>
      <c r="C39" s="472">
        <f t="shared" si="7"/>
        <v>11793456.6645</v>
      </c>
      <c r="D39" s="472">
        <f>1.05*4654730</f>
        <v>4887466.5</v>
      </c>
      <c r="E39" s="1317">
        <v>560202009</v>
      </c>
      <c r="F39" s="472">
        <v>200</v>
      </c>
      <c r="G39" s="1318" t="s">
        <v>1230</v>
      </c>
      <c r="H39" s="1320"/>
      <c r="I39" s="1321" t="s">
        <v>1594</v>
      </c>
      <c r="J39" s="1288">
        <v>6.2</v>
      </c>
    </row>
    <row r="40" spans="1:17" ht="33.75" customHeight="1">
      <c r="A40" s="471">
        <f t="shared" si="6"/>
        <v>871918246</v>
      </c>
      <c r="B40" s="1287">
        <f t="shared" si="2"/>
        <v>361342000</v>
      </c>
      <c r="C40" s="472">
        <f t="shared" si="7"/>
        <v>4359591.2299999995</v>
      </c>
      <c r="D40" s="472">
        <v>1806710</v>
      </c>
      <c r="E40" s="1317">
        <v>560301002</v>
      </c>
      <c r="F40" s="472">
        <v>200</v>
      </c>
      <c r="G40" s="1318" t="s">
        <v>1230</v>
      </c>
      <c r="H40" s="1320"/>
      <c r="I40" s="1321" t="s">
        <v>1589</v>
      </c>
      <c r="J40" s="1288">
        <v>6.3</v>
      </c>
    </row>
    <row r="41" spans="1:17" ht="33.75" customHeight="1">
      <c r="A41" s="471">
        <f t="shared" si="6"/>
        <v>713017370</v>
      </c>
      <c r="B41" s="1287">
        <f t="shared" si="2"/>
        <v>295490000</v>
      </c>
      <c r="C41" s="472">
        <f t="shared" si="7"/>
        <v>713017.37</v>
      </c>
      <c r="D41" s="472">
        <v>295490</v>
      </c>
      <c r="E41" s="1317">
        <v>560401002</v>
      </c>
      <c r="F41" s="472">
        <v>1000</v>
      </c>
      <c r="G41" s="1318" t="s">
        <v>1279</v>
      </c>
      <c r="H41" s="1320"/>
      <c r="I41" s="1321" t="s">
        <v>1590</v>
      </c>
      <c r="J41" s="1288">
        <v>6.4</v>
      </c>
    </row>
    <row r="42" spans="1:17" ht="33.75" customHeight="1">
      <c r="A42" s="471">
        <f t="shared" si="6"/>
        <v>537399230</v>
      </c>
      <c r="B42" s="1287">
        <f t="shared" si="2"/>
        <v>222710000</v>
      </c>
      <c r="C42" s="472">
        <f t="shared" si="7"/>
        <v>537399.23</v>
      </c>
      <c r="D42" s="472">
        <v>222710</v>
      </c>
      <c r="E42" s="1317">
        <v>560404002</v>
      </c>
      <c r="F42" s="472">
        <v>1000</v>
      </c>
      <c r="G42" s="1318" t="s">
        <v>1279</v>
      </c>
      <c r="H42" s="1320"/>
      <c r="I42" s="1321" t="s">
        <v>1591</v>
      </c>
      <c r="J42" s="1288">
        <v>6.5</v>
      </c>
    </row>
    <row r="43" spans="1:17" ht="33.75" customHeight="1">
      <c r="A43" s="471">
        <f t="shared" si="6"/>
        <v>0</v>
      </c>
      <c r="B43" s="1287">
        <f t="shared" si="2"/>
        <v>0</v>
      </c>
      <c r="C43" s="472">
        <f t="shared" si="7"/>
        <v>19603308.52</v>
      </c>
      <c r="D43" s="472">
        <v>8124040</v>
      </c>
      <c r="E43" s="1317">
        <v>560501005</v>
      </c>
      <c r="F43" s="472"/>
      <c r="G43" s="1318" t="s">
        <v>1152</v>
      </c>
      <c r="H43" s="1320"/>
      <c r="I43" s="1321" t="s">
        <v>1592</v>
      </c>
      <c r="J43" s="1288">
        <v>6.6</v>
      </c>
    </row>
    <row r="44" spans="1:17" ht="33.75" customHeight="1">
      <c r="A44" s="471">
        <f t="shared" si="6"/>
        <v>0</v>
      </c>
      <c r="B44" s="1287">
        <f t="shared" si="2"/>
        <v>0</v>
      </c>
      <c r="C44" s="472">
        <f t="shared" si="7"/>
        <v>6383374.3299999991</v>
      </c>
      <c r="D44" s="472">
        <v>2645410</v>
      </c>
      <c r="E44" s="1317">
        <v>560502005</v>
      </c>
      <c r="F44" s="472"/>
      <c r="G44" s="1318" t="s">
        <v>1575</v>
      </c>
      <c r="H44" s="1320"/>
      <c r="I44" s="1321" t="s">
        <v>1593</v>
      </c>
      <c r="J44" s="1288">
        <v>6.7</v>
      </c>
    </row>
    <row r="45" spans="1:17" ht="33.75" customHeight="1">
      <c r="A45" s="471">
        <f t="shared" si="6"/>
        <v>218819310</v>
      </c>
      <c r="B45" s="1287">
        <f t="shared" si="2"/>
        <v>90683510</v>
      </c>
      <c r="C45" s="472">
        <f t="shared" si="7"/>
        <v>218819309.63</v>
      </c>
      <c r="D45" s="472">
        <v>90683510</v>
      </c>
      <c r="E45" s="1317">
        <v>560504002</v>
      </c>
      <c r="F45" s="472">
        <v>1</v>
      </c>
      <c r="G45" s="1318" t="s">
        <v>1152</v>
      </c>
      <c r="H45" s="1320"/>
      <c r="I45" s="1321" t="s">
        <v>1595</v>
      </c>
      <c r="J45" s="1288">
        <v>6.8</v>
      </c>
    </row>
    <row r="46" spans="1:17" ht="33.75" customHeight="1">
      <c r="A46" s="471">
        <f t="shared" si="6"/>
        <v>463899250</v>
      </c>
      <c r="B46" s="1287">
        <f t="shared" si="2"/>
        <v>192250000</v>
      </c>
      <c r="C46" s="472">
        <f t="shared" si="7"/>
        <v>463899.24999999994</v>
      </c>
      <c r="D46" s="472">
        <v>192250</v>
      </c>
      <c r="E46" s="1317">
        <v>560701002</v>
      </c>
      <c r="F46" s="472">
        <v>1000</v>
      </c>
      <c r="G46" s="1318" t="s">
        <v>1279</v>
      </c>
      <c r="H46" s="1320"/>
      <c r="I46" s="1321" t="s">
        <v>4447</v>
      </c>
      <c r="J46" s="1288">
        <v>6.9</v>
      </c>
    </row>
    <row r="47" spans="1:17" ht="60.75" customHeight="1" thickBot="1">
      <c r="A47" s="471">
        <f t="shared" si="6"/>
        <v>47935789320</v>
      </c>
      <c r="B47" s="1287">
        <f t="shared" si="2"/>
        <v>19865640000</v>
      </c>
      <c r="C47" s="472">
        <f t="shared" si="7"/>
        <v>7989298.2199999979</v>
      </c>
      <c r="D47" s="472">
        <f>380000*Q48</f>
        <v>3310939.9999999995</v>
      </c>
      <c r="E47" s="1317" t="s">
        <v>1480</v>
      </c>
      <c r="F47" s="472">
        <v>6000</v>
      </c>
      <c r="G47" s="1318" t="s">
        <v>404</v>
      </c>
      <c r="H47" s="1896" t="s">
        <v>509</v>
      </c>
      <c r="I47" s="1918"/>
      <c r="J47" s="1319">
        <v>7</v>
      </c>
      <c r="N47" s="1273" t="s">
        <v>4434</v>
      </c>
      <c r="O47" s="1322">
        <v>4356.5</v>
      </c>
    </row>
    <row r="48" spans="1:17" ht="60.75" customHeight="1" thickTop="1">
      <c r="A48" s="471">
        <f t="shared" si="6"/>
        <v>3994649110</v>
      </c>
      <c r="B48" s="1287">
        <f t="shared" si="2"/>
        <v>1655470000</v>
      </c>
      <c r="C48" s="472">
        <f t="shared" si="7"/>
        <v>7989298.2199999979</v>
      </c>
      <c r="D48" s="472">
        <f>380000*Q48</f>
        <v>3310939.9999999995</v>
      </c>
      <c r="E48" s="1317" t="s">
        <v>1480</v>
      </c>
      <c r="F48" s="472">
        <v>500</v>
      </c>
      <c r="G48" s="1318" t="s">
        <v>404</v>
      </c>
      <c r="H48" s="1896" t="s">
        <v>507</v>
      </c>
      <c r="I48" s="1918"/>
      <c r="J48" s="1319">
        <v>8</v>
      </c>
      <c r="N48" s="1273" t="s">
        <v>4435</v>
      </c>
      <c r="O48" s="461">
        <v>500</v>
      </c>
      <c r="Q48" s="462">
        <f>ROUND(O47/O48,3)</f>
        <v>8.7129999999999992</v>
      </c>
    </row>
    <row r="49" spans="1:10" ht="46.5" customHeight="1">
      <c r="A49" s="471">
        <f t="shared" si="6"/>
        <v>26806197975</v>
      </c>
      <c r="B49" s="1287">
        <f t="shared" si="2"/>
        <v>11109075000</v>
      </c>
      <c r="C49" s="1323">
        <f t="shared" si="7"/>
        <v>3153670.3499999992</v>
      </c>
      <c r="D49" s="1323">
        <f>150000*Q48</f>
        <v>1306949.9999999998</v>
      </c>
      <c r="E49" s="1317" t="s">
        <v>1480</v>
      </c>
      <c r="F49" s="472">
        <v>8500</v>
      </c>
      <c r="G49" s="1318" t="s">
        <v>404</v>
      </c>
      <c r="H49" s="1896" t="s">
        <v>1596</v>
      </c>
      <c r="I49" s="1918"/>
      <c r="J49" s="1324">
        <v>9</v>
      </c>
    </row>
    <row r="50" spans="1:10" ht="44.25" customHeight="1">
      <c r="A50" s="471">
        <f t="shared" si="6"/>
        <v>40209296963</v>
      </c>
      <c r="B50" s="1287">
        <f t="shared" si="2"/>
        <v>16663612500</v>
      </c>
      <c r="C50" s="1323">
        <f t="shared" si="7"/>
        <v>4730505.5249999994</v>
      </c>
      <c r="D50" s="1323">
        <f>225000*Q48</f>
        <v>1960424.9999999998</v>
      </c>
      <c r="E50" s="1317" t="s">
        <v>1480</v>
      </c>
      <c r="F50" s="472">
        <v>8500</v>
      </c>
      <c r="G50" s="1318" t="s">
        <v>404</v>
      </c>
      <c r="H50" s="1896" t="s">
        <v>4448</v>
      </c>
      <c r="I50" s="1918"/>
      <c r="J50" s="1324">
        <v>10</v>
      </c>
    </row>
    <row r="51" spans="1:10" ht="34.5" customHeight="1" thickBot="1">
      <c r="A51" s="482">
        <f>SUM(A5:A50)</f>
        <v>263812566723</v>
      </c>
      <c r="B51" s="482">
        <f>SUM(B5:B50)</f>
        <v>109329700258</v>
      </c>
      <c r="C51" s="482"/>
      <c r="D51" s="482"/>
      <c r="E51" s="1325"/>
      <c r="F51" s="482"/>
      <c r="G51" s="1326"/>
      <c r="H51" s="1919" t="s">
        <v>1033</v>
      </c>
      <c r="I51" s="1920"/>
      <c r="J51" s="1327">
        <v>11</v>
      </c>
    </row>
    <row r="52" spans="1:10">
      <c r="C52" s="464"/>
      <c r="D52" s="464"/>
      <c r="E52" s="465"/>
      <c r="F52" s="466"/>
      <c r="I52" s="461"/>
      <c r="J52" s="461"/>
    </row>
    <row r="53" spans="1:10">
      <c r="A53" s="463">
        <f>SUM(A5:A46)/10+A47+A48+A49+A50</f>
        <v>133432596703.5</v>
      </c>
      <c r="D53" s="464"/>
      <c r="E53" s="465"/>
      <c r="F53" s="466"/>
      <c r="I53" s="461"/>
      <c r="J53" s="461"/>
    </row>
    <row r="54" spans="1:10">
      <c r="D54" s="464"/>
      <c r="E54" s="465"/>
      <c r="F54" s="466"/>
      <c r="I54" s="461"/>
      <c r="J54" s="461"/>
    </row>
    <row r="55" spans="1:10" s="463" customFormat="1">
      <c r="D55" s="464"/>
      <c r="E55" s="465"/>
      <c r="F55" s="466"/>
      <c r="G55" s="464"/>
      <c r="H55" s="464"/>
    </row>
    <row r="56" spans="1:10" s="463" customFormat="1">
      <c r="D56" s="464"/>
      <c r="E56" s="465"/>
      <c r="F56" s="466"/>
      <c r="G56" s="464"/>
      <c r="H56" s="464"/>
    </row>
    <row r="57" spans="1:10" s="463" customFormat="1">
      <c r="D57" s="464"/>
      <c r="E57" s="465"/>
      <c r="F57" s="466"/>
      <c r="G57" s="464"/>
      <c r="H57" s="464"/>
    </row>
    <row r="59" spans="1:10" s="463" customFormat="1">
      <c r="E59" s="467"/>
      <c r="F59" s="464"/>
      <c r="G59" s="464"/>
      <c r="H59" s="464"/>
      <c r="I59" s="466"/>
      <c r="J59" s="464"/>
    </row>
    <row r="60" spans="1:10" s="463" customFormat="1">
      <c r="E60" s="467"/>
      <c r="F60" s="464"/>
      <c r="G60" s="464"/>
      <c r="H60" s="464"/>
      <c r="I60" s="466"/>
      <c r="J60" s="464"/>
    </row>
    <row r="61" spans="1:10" s="463" customFormat="1">
      <c r="E61" s="467"/>
      <c r="F61" s="464"/>
      <c r="G61" s="464"/>
      <c r="H61" s="464"/>
      <c r="I61" s="466"/>
      <c r="J61" s="464"/>
    </row>
  </sheetData>
  <autoFilter ref="A4:A48" xr:uid="{00000000-0009-0000-0000-000015000000}"/>
  <mergeCells count="20">
    <mergeCell ref="H50:I50"/>
    <mergeCell ref="H51:I51"/>
    <mergeCell ref="H26:I26"/>
    <mergeCell ref="H36:I36"/>
    <mergeCell ref="H37:I37"/>
    <mergeCell ref="H47:I47"/>
    <mergeCell ref="H48:I48"/>
    <mergeCell ref="H49:I49"/>
    <mergeCell ref="H6:I6"/>
    <mergeCell ref="A1:J1"/>
    <mergeCell ref="A2:A4"/>
    <mergeCell ref="B2:B4"/>
    <mergeCell ref="C2:C4"/>
    <mergeCell ref="D2:D4"/>
    <mergeCell ref="E2:E4"/>
    <mergeCell ref="F2:F4"/>
    <mergeCell ref="G2:G4"/>
    <mergeCell ref="H2:I4"/>
    <mergeCell ref="J2:J4"/>
    <mergeCell ref="H5:I5"/>
  </mergeCells>
  <printOptions horizontalCentered="1"/>
  <pageMargins left="0.19685039370078741" right="0.19685039370078741" top="0.19685039370078741" bottom="0.19685039370078741" header="0.11811023622047245" footer="0.11811023622047245"/>
  <pageSetup paperSize="9" scale="43" orientation="portrait" horizontalDpi="4294967294" verticalDpi="1200" r:id="rId1"/>
  <colBreaks count="1" manualBreakCount="1">
    <brk id="14"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167"/>
  <sheetViews>
    <sheetView view="pageBreakPreview" zoomScale="66" zoomScaleNormal="80" zoomScaleSheetLayoutView="66" workbookViewId="0">
      <selection activeCell="A5" sqref="A1:Q1048576"/>
    </sheetView>
  </sheetViews>
  <sheetFormatPr defaultColWidth="9.140625" defaultRowHeight="15"/>
  <cols>
    <col min="1" max="2" width="23.5703125" style="1292" customWidth="1"/>
    <col min="3" max="3" width="14.140625" style="1292" customWidth="1"/>
    <col min="4" max="4" width="12" style="422" customWidth="1"/>
    <col min="5" max="5" width="30.28515625" style="1292" customWidth="1"/>
    <col min="6" max="6" width="10.85546875" style="422" customWidth="1"/>
    <col min="7" max="7" width="11.42578125" style="422" customWidth="1"/>
    <col min="8" max="8" width="54.28515625" style="546" customWidth="1"/>
    <col min="9" max="9" width="18.140625" style="547" customWidth="1"/>
    <col min="10" max="11" width="9.140625" style="422"/>
    <col min="12" max="12" width="9.5703125" style="422" customWidth="1"/>
    <col min="13" max="16384" width="9.140625" style="422"/>
  </cols>
  <sheetData>
    <row r="1" spans="1:17" s="423" customFormat="1" ht="24.75" customHeight="1" thickBot="1">
      <c r="A1" s="1775" t="s">
        <v>4355</v>
      </c>
      <c r="B1" s="1776"/>
      <c r="C1" s="1776"/>
      <c r="D1" s="1776"/>
      <c r="E1" s="1776"/>
      <c r="F1" s="1776"/>
      <c r="G1" s="1776"/>
      <c r="H1" s="1776"/>
      <c r="I1" s="1777"/>
      <c r="J1" s="468"/>
      <c r="K1" s="1328"/>
      <c r="N1" s="1329"/>
    </row>
    <row r="2" spans="1:17" ht="18.600000000000001" customHeight="1">
      <c r="A2" s="1925" t="s">
        <v>1218</v>
      </c>
      <c r="B2" s="1889" t="s">
        <v>4402</v>
      </c>
      <c r="C2" s="1926" t="s">
        <v>1219</v>
      </c>
      <c r="D2" s="1926" t="s">
        <v>1220</v>
      </c>
      <c r="E2" s="1926" t="s">
        <v>4428</v>
      </c>
      <c r="F2" s="1894" t="s">
        <v>1135</v>
      </c>
      <c r="G2" s="1894" t="s">
        <v>1221</v>
      </c>
      <c r="H2" s="1877" t="s">
        <v>2</v>
      </c>
      <c r="I2" s="1879" t="s">
        <v>28</v>
      </c>
      <c r="J2" s="469"/>
    </row>
    <row r="3" spans="1:17" ht="18.600000000000001" customHeight="1">
      <c r="A3" s="1899"/>
      <c r="B3" s="1890"/>
      <c r="C3" s="1902"/>
      <c r="D3" s="1902"/>
      <c r="E3" s="1902"/>
      <c r="F3" s="1895"/>
      <c r="G3" s="1895"/>
      <c r="H3" s="1878"/>
      <c r="I3" s="1880"/>
      <c r="J3" s="469"/>
    </row>
    <row r="4" spans="1:17" ht="18.600000000000001" customHeight="1">
      <c r="A4" s="1899"/>
      <c r="B4" s="1891"/>
      <c r="C4" s="1902"/>
      <c r="D4" s="1902"/>
      <c r="E4" s="1902"/>
      <c r="F4" s="1895"/>
      <c r="G4" s="1895"/>
      <c r="H4" s="1878"/>
      <c r="I4" s="1880"/>
      <c r="J4" s="469"/>
      <c r="O4" s="470"/>
      <c r="P4" s="424"/>
      <c r="Q4" s="424"/>
    </row>
    <row r="5" spans="1:17" ht="43.5" customHeight="1">
      <c r="A5" s="471">
        <f>ROUND(C5*F5,0)</f>
        <v>716960650</v>
      </c>
      <c r="B5" s="1287">
        <f>ROUND(F5*D5,0)</f>
        <v>290150000</v>
      </c>
      <c r="C5" s="472">
        <f>D5*$L$6</f>
        <v>143392.13</v>
      </c>
      <c r="D5" s="472">
        <v>58030</v>
      </c>
      <c r="E5" s="473" t="s">
        <v>1597</v>
      </c>
      <c r="F5" s="472">
        <v>5000</v>
      </c>
      <c r="G5" s="474" t="s">
        <v>135</v>
      </c>
      <c r="H5" s="475" t="s">
        <v>1598</v>
      </c>
      <c r="I5" s="476">
        <v>1</v>
      </c>
      <c r="J5" s="469"/>
      <c r="O5" s="1330">
        <v>1</v>
      </c>
      <c r="P5" s="1330" t="s">
        <v>117</v>
      </c>
    </row>
    <row r="6" spans="1:17" s="480" customFormat="1" ht="63">
      <c r="A6" s="471">
        <f t="shared" ref="A6:A11" si="0">ROUND(C6*F6,0)</f>
        <v>370761195</v>
      </c>
      <c r="B6" s="1287">
        <f t="shared" ref="B6:B11" si="1">ROUND(F6*D6,0)</f>
        <v>150045000</v>
      </c>
      <c r="C6" s="472">
        <f t="shared" ref="C6:C69" si="2">D6*$L$6</f>
        <v>105931.77</v>
      </c>
      <c r="D6" s="472">
        <v>42870</v>
      </c>
      <c r="E6" s="473" t="s">
        <v>1599</v>
      </c>
      <c r="F6" s="472">
        <v>3500</v>
      </c>
      <c r="G6" s="474" t="s">
        <v>135</v>
      </c>
      <c r="H6" s="477" t="s">
        <v>1600</v>
      </c>
      <c r="I6" s="476">
        <v>2</v>
      </c>
      <c r="J6" s="478"/>
      <c r="K6" s="422" t="s">
        <v>1601</v>
      </c>
      <c r="L6" s="479">
        <f>ROUND(L8*L9*L10*L11,3)</f>
        <v>2.4710000000000001</v>
      </c>
      <c r="O6" s="1330">
        <v>1</v>
      </c>
      <c r="P6" s="1330" t="s">
        <v>117</v>
      </c>
    </row>
    <row r="7" spans="1:17" s="480" customFormat="1" ht="47.25">
      <c r="A7" s="471">
        <f t="shared" si="0"/>
        <v>423727080</v>
      </c>
      <c r="B7" s="1287">
        <f t="shared" si="1"/>
        <v>171480000</v>
      </c>
      <c r="C7" s="472">
        <f t="shared" si="2"/>
        <v>105931.77</v>
      </c>
      <c r="D7" s="472">
        <v>42870</v>
      </c>
      <c r="E7" s="473" t="s">
        <v>1599</v>
      </c>
      <c r="F7" s="472">
        <v>4000</v>
      </c>
      <c r="G7" s="474" t="s">
        <v>135</v>
      </c>
      <c r="H7" s="477" t="s">
        <v>1602</v>
      </c>
      <c r="I7" s="476">
        <v>3</v>
      </c>
      <c r="J7" s="478"/>
      <c r="O7" s="1330">
        <v>1</v>
      </c>
      <c r="P7" s="1330" t="s">
        <v>117</v>
      </c>
    </row>
    <row r="8" spans="1:17" s="480" customFormat="1" ht="31.5">
      <c r="A8" s="471">
        <f t="shared" si="0"/>
        <v>788656715</v>
      </c>
      <c r="B8" s="1287">
        <f t="shared" si="1"/>
        <v>319165000</v>
      </c>
      <c r="C8" s="472">
        <f t="shared" si="2"/>
        <v>143392.13</v>
      </c>
      <c r="D8" s="472">
        <v>58030</v>
      </c>
      <c r="E8" s="473" t="s">
        <v>1597</v>
      </c>
      <c r="F8" s="472">
        <v>5500</v>
      </c>
      <c r="G8" s="474" t="s">
        <v>135</v>
      </c>
      <c r="H8" s="477" t="s">
        <v>1603</v>
      </c>
      <c r="I8" s="476">
        <v>4</v>
      </c>
      <c r="J8" s="478"/>
      <c r="K8" s="423" t="s">
        <v>4405</v>
      </c>
      <c r="L8" s="479">
        <v>1.1200000000000001</v>
      </c>
      <c r="O8" s="1330">
        <v>1</v>
      </c>
      <c r="P8" s="1330" t="s">
        <v>117</v>
      </c>
    </row>
    <row r="9" spans="1:17" s="480" customFormat="1" ht="31.5">
      <c r="A9" s="471">
        <f t="shared" si="0"/>
        <v>317795310</v>
      </c>
      <c r="B9" s="1287">
        <f t="shared" si="1"/>
        <v>128610000</v>
      </c>
      <c r="C9" s="472">
        <f t="shared" si="2"/>
        <v>105931.77</v>
      </c>
      <c r="D9" s="472">
        <v>42870</v>
      </c>
      <c r="E9" s="473" t="s">
        <v>1599</v>
      </c>
      <c r="F9" s="472">
        <v>3000</v>
      </c>
      <c r="G9" s="474" t="s">
        <v>135</v>
      </c>
      <c r="H9" s="477" t="s">
        <v>1604</v>
      </c>
      <c r="I9" s="476">
        <v>5</v>
      </c>
      <c r="J9" s="478"/>
      <c r="K9" s="422" t="s">
        <v>4406</v>
      </c>
      <c r="L9" s="479">
        <v>1.48</v>
      </c>
      <c r="O9" s="1330">
        <v>2</v>
      </c>
      <c r="P9" s="1330" t="s">
        <v>117</v>
      </c>
    </row>
    <row r="10" spans="1:17" s="480" customFormat="1" ht="47.25">
      <c r="A10" s="471">
        <f t="shared" si="0"/>
        <v>370761195</v>
      </c>
      <c r="B10" s="1287">
        <f t="shared" si="1"/>
        <v>150045000</v>
      </c>
      <c r="C10" s="472">
        <f t="shared" si="2"/>
        <v>105931.77</v>
      </c>
      <c r="D10" s="472">
        <v>42870</v>
      </c>
      <c r="E10" s="473" t="s">
        <v>1599</v>
      </c>
      <c r="F10" s="472">
        <v>3500</v>
      </c>
      <c r="G10" s="474" t="s">
        <v>135</v>
      </c>
      <c r="H10" s="477" t="s">
        <v>1605</v>
      </c>
      <c r="I10" s="476">
        <v>6</v>
      </c>
      <c r="J10" s="478"/>
      <c r="K10" s="422" t="s">
        <v>4407</v>
      </c>
      <c r="L10" s="479">
        <v>1</v>
      </c>
      <c r="O10" s="1330">
        <v>1</v>
      </c>
      <c r="P10" s="1330" t="s">
        <v>117</v>
      </c>
    </row>
    <row r="11" spans="1:17" s="480" customFormat="1" ht="48" thickBot="1">
      <c r="A11" s="471">
        <f t="shared" si="0"/>
        <v>286784260</v>
      </c>
      <c r="B11" s="1287">
        <f t="shared" si="1"/>
        <v>116060000</v>
      </c>
      <c r="C11" s="482">
        <f t="shared" si="2"/>
        <v>143392.13</v>
      </c>
      <c r="D11" s="472">
        <v>58030</v>
      </c>
      <c r="E11" s="483" t="s">
        <v>1597</v>
      </c>
      <c r="F11" s="482">
        <v>2000</v>
      </c>
      <c r="G11" s="484" t="s">
        <v>135</v>
      </c>
      <c r="H11" s="485" t="s">
        <v>1606</v>
      </c>
      <c r="I11" s="486">
        <v>7</v>
      </c>
      <c r="J11" s="478"/>
      <c r="K11" s="424" t="s">
        <v>4408</v>
      </c>
      <c r="L11" s="479">
        <v>1.4910000000000001</v>
      </c>
      <c r="O11" s="1330">
        <v>2</v>
      </c>
      <c r="P11" s="1330" t="s">
        <v>117</v>
      </c>
    </row>
    <row r="12" spans="1:17" s="480" customFormat="1" ht="0.75" customHeight="1" thickBot="1">
      <c r="A12" s="487">
        <f t="shared" ref="A12:A37" si="3">C12*F12</f>
        <v>0</v>
      </c>
      <c r="B12" s="487"/>
      <c r="C12" s="487">
        <f t="shared" si="2"/>
        <v>0</v>
      </c>
      <c r="D12" s="487"/>
      <c r="E12" s="488"/>
      <c r="F12" s="487">
        <v>1</v>
      </c>
      <c r="G12" s="489" t="s">
        <v>135</v>
      </c>
      <c r="H12" s="490" t="s">
        <v>1607</v>
      </c>
      <c r="I12" s="487">
        <v>8</v>
      </c>
      <c r="J12" s="478"/>
      <c r="L12" s="1331" t="s">
        <v>561</v>
      </c>
    </row>
    <row r="13" spans="1:17" s="480" customFormat="1" ht="30" customHeight="1">
      <c r="A13" s="471">
        <f t="shared" ref="A13:A53" si="4">ROUND(C13*F13,0)</f>
        <v>212382450</v>
      </c>
      <c r="B13" s="1287">
        <f t="shared" ref="B13:B36" si="5">ROUND(F13*D13,0)</f>
        <v>85950000</v>
      </c>
      <c r="C13" s="492">
        <f t="shared" si="2"/>
        <v>84952.98</v>
      </c>
      <c r="D13" s="492">
        <v>34380</v>
      </c>
      <c r="E13" s="493" t="s">
        <v>4449</v>
      </c>
      <c r="F13" s="492">
        <v>2500</v>
      </c>
      <c r="G13" s="494" t="s">
        <v>135</v>
      </c>
      <c r="H13" s="495" t="s">
        <v>1608</v>
      </c>
      <c r="I13" s="496">
        <v>8</v>
      </c>
      <c r="J13" s="478"/>
      <c r="L13" s="1332"/>
    </row>
    <row r="14" spans="1:17" s="480" customFormat="1" ht="30" customHeight="1">
      <c r="A14" s="471">
        <f t="shared" si="4"/>
        <v>1869407869</v>
      </c>
      <c r="B14" s="1287">
        <f t="shared" si="5"/>
        <v>756539000</v>
      </c>
      <c r="C14" s="472">
        <f t="shared" si="2"/>
        <v>2670582.67</v>
      </c>
      <c r="D14" s="472">
        <v>1080770</v>
      </c>
      <c r="E14" s="473" t="s">
        <v>4450</v>
      </c>
      <c r="F14" s="472">
        <v>700</v>
      </c>
      <c r="G14" s="474" t="s">
        <v>135</v>
      </c>
      <c r="H14" s="477" t="s">
        <v>1609</v>
      </c>
      <c r="I14" s="476">
        <v>9</v>
      </c>
      <c r="J14" s="478"/>
      <c r="L14" s="1332"/>
    </row>
    <row r="15" spans="1:17" s="480" customFormat="1" ht="30" customHeight="1">
      <c r="A15" s="471">
        <f t="shared" si="4"/>
        <v>2071765472</v>
      </c>
      <c r="B15" s="1287">
        <f t="shared" si="5"/>
        <v>838432000</v>
      </c>
      <c r="C15" s="472">
        <f t="shared" si="2"/>
        <v>10358827.360000001</v>
      </c>
      <c r="D15" s="472">
        <v>4192160</v>
      </c>
      <c r="E15" s="473" t="s">
        <v>1610</v>
      </c>
      <c r="F15" s="472">
        <v>200</v>
      </c>
      <c r="G15" s="497" t="s">
        <v>135</v>
      </c>
      <c r="H15" s="498" t="s">
        <v>1611</v>
      </c>
      <c r="I15" s="476">
        <v>10</v>
      </c>
      <c r="J15" s="478"/>
    </row>
    <row r="16" spans="1:17" s="480" customFormat="1" ht="30" customHeight="1">
      <c r="A16" s="471">
        <f t="shared" si="4"/>
        <v>1736910378</v>
      </c>
      <c r="B16" s="1287">
        <f t="shared" si="5"/>
        <v>702918000</v>
      </c>
      <c r="C16" s="472">
        <f t="shared" si="2"/>
        <v>8684551.8900000006</v>
      </c>
      <c r="D16" s="472">
        <v>3514590</v>
      </c>
      <c r="E16" s="473" t="s">
        <v>1612</v>
      </c>
      <c r="F16" s="472">
        <v>200</v>
      </c>
      <c r="G16" s="497"/>
      <c r="H16" s="498" t="s">
        <v>1613</v>
      </c>
      <c r="I16" s="476"/>
      <c r="J16" s="478"/>
    </row>
    <row r="17" spans="1:10" ht="28.5" customHeight="1">
      <c r="A17" s="471">
        <f t="shared" si="4"/>
        <v>84631750</v>
      </c>
      <c r="B17" s="1287">
        <f t="shared" si="5"/>
        <v>34250000</v>
      </c>
      <c r="C17" s="472">
        <f t="shared" si="2"/>
        <v>16926.350000000002</v>
      </c>
      <c r="D17" s="472">
        <v>6850</v>
      </c>
      <c r="E17" s="473" t="s">
        <v>1614</v>
      </c>
      <c r="F17" s="472">
        <v>5000</v>
      </c>
      <c r="G17" s="474" t="s">
        <v>135</v>
      </c>
      <c r="H17" s="475" t="s">
        <v>1615</v>
      </c>
      <c r="I17" s="476">
        <v>11</v>
      </c>
      <c r="J17" s="469"/>
    </row>
    <row r="18" spans="1:10" s="480" customFormat="1" ht="30" customHeight="1">
      <c r="A18" s="471">
        <f t="shared" si="4"/>
        <v>54831490</v>
      </c>
      <c r="B18" s="1287">
        <f t="shared" si="5"/>
        <v>22190000</v>
      </c>
      <c r="C18" s="472">
        <f t="shared" si="2"/>
        <v>15666.140000000001</v>
      </c>
      <c r="D18" s="472">
        <v>6340</v>
      </c>
      <c r="E18" s="473" t="s">
        <v>1616</v>
      </c>
      <c r="F18" s="472">
        <v>3500</v>
      </c>
      <c r="G18" s="474" t="s">
        <v>135</v>
      </c>
      <c r="H18" s="477" t="s">
        <v>1617</v>
      </c>
      <c r="I18" s="476">
        <v>12</v>
      </c>
      <c r="J18" s="478"/>
    </row>
    <row r="19" spans="1:10" s="480" customFormat="1" ht="30" customHeight="1">
      <c r="A19" s="471">
        <f t="shared" si="4"/>
        <v>62664560</v>
      </c>
      <c r="B19" s="1287">
        <f t="shared" si="5"/>
        <v>25360000</v>
      </c>
      <c r="C19" s="472">
        <f t="shared" si="2"/>
        <v>15666.140000000001</v>
      </c>
      <c r="D19" s="472">
        <v>6340</v>
      </c>
      <c r="E19" s="473" t="s">
        <v>1616</v>
      </c>
      <c r="F19" s="472">
        <v>4000</v>
      </c>
      <c r="G19" s="474" t="s">
        <v>135</v>
      </c>
      <c r="H19" s="477" t="s">
        <v>1618</v>
      </c>
      <c r="I19" s="476">
        <v>13</v>
      </c>
      <c r="J19" s="478"/>
    </row>
    <row r="20" spans="1:10" s="480" customFormat="1" ht="30" customHeight="1">
      <c r="A20" s="471">
        <f t="shared" si="4"/>
        <v>705485326</v>
      </c>
      <c r="B20" s="1287">
        <f t="shared" si="5"/>
        <v>285506000</v>
      </c>
      <c r="C20" s="472">
        <f t="shared" si="2"/>
        <v>3527426.6300000004</v>
      </c>
      <c r="D20" s="472">
        <v>1427530</v>
      </c>
      <c r="E20" s="473" t="s">
        <v>1619</v>
      </c>
      <c r="F20" s="472">
        <v>200</v>
      </c>
      <c r="G20" s="474" t="s">
        <v>1620</v>
      </c>
      <c r="H20" s="477" t="s">
        <v>1603</v>
      </c>
      <c r="I20" s="476">
        <v>14</v>
      </c>
      <c r="J20" s="478"/>
    </row>
    <row r="21" spans="1:10" s="480" customFormat="1" ht="30" customHeight="1">
      <c r="A21" s="471">
        <f t="shared" si="4"/>
        <v>50779050</v>
      </c>
      <c r="B21" s="1287">
        <f t="shared" si="5"/>
        <v>20550000</v>
      </c>
      <c r="C21" s="472">
        <f t="shared" si="2"/>
        <v>16926.350000000002</v>
      </c>
      <c r="D21" s="472">
        <v>6850</v>
      </c>
      <c r="E21" s="473" t="s">
        <v>1614</v>
      </c>
      <c r="F21" s="472">
        <v>3000</v>
      </c>
      <c r="G21" s="474" t="s">
        <v>135</v>
      </c>
      <c r="H21" s="477" t="s">
        <v>1621</v>
      </c>
      <c r="I21" s="476">
        <v>15</v>
      </c>
      <c r="J21" s="478"/>
    </row>
    <row r="22" spans="1:10" s="480" customFormat="1" ht="30" customHeight="1">
      <c r="A22" s="471">
        <f t="shared" si="4"/>
        <v>54831490</v>
      </c>
      <c r="B22" s="1287">
        <f t="shared" si="5"/>
        <v>22190000</v>
      </c>
      <c r="C22" s="472">
        <f t="shared" si="2"/>
        <v>15666.140000000001</v>
      </c>
      <c r="D22" s="472">
        <v>6340</v>
      </c>
      <c r="E22" s="473" t="s">
        <v>1616</v>
      </c>
      <c r="F22" s="472">
        <v>3500</v>
      </c>
      <c r="G22" s="474" t="s">
        <v>135</v>
      </c>
      <c r="H22" s="477" t="s">
        <v>1622</v>
      </c>
      <c r="I22" s="476">
        <v>16</v>
      </c>
      <c r="J22" s="478"/>
    </row>
    <row r="23" spans="1:10" s="480" customFormat="1" ht="30" customHeight="1">
      <c r="A23" s="471">
        <f t="shared" si="4"/>
        <v>105822799</v>
      </c>
      <c r="B23" s="1287">
        <f t="shared" si="5"/>
        <v>42825900</v>
      </c>
      <c r="C23" s="472">
        <f t="shared" si="2"/>
        <v>3527426.6300000004</v>
      </c>
      <c r="D23" s="472">
        <v>1427530</v>
      </c>
      <c r="E23" s="473" t="s">
        <v>1619</v>
      </c>
      <c r="F23" s="472">
        <v>30</v>
      </c>
      <c r="G23" s="474" t="s">
        <v>1620</v>
      </c>
      <c r="H23" s="477" t="s">
        <v>1623</v>
      </c>
      <c r="I23" s="476">
        <v>17</v>
      </c>
      <c r="J23" s="478"/>
    </row>
    <row r="24" spans="1:10" s="480" customFormat="1" ht="30" customHeight="1">
      <c r="A24" s="471">
        <f t="shared" si="4"/>
        <v>205834300</v>
      </c>
      <c r="B24" s="1287">
        <f t="shared" si="5"/>
        <v>83300000</v>
      </c>
      <c r="C24" s="472">
        <f t="shared" si="2"/>
        <v>82333.72</v>
      </c>
      <c r="D24" s="472">
        <v>33320</v>
      </c>
      <c r="E24" s="473" t="s">
        <v>1624</v>
      </c>
      <c r="F24" s="472">
        <v>2500</v>
      </c>
      <c r="G24" s="474" t="s">
        <v>135</v>
      </c>
      <c r="H24" s="477" t="s">
        <v>1625</v>
      </c>
      <c r="I24" s="476">
        <v>18</v>
      </c>
      <c r="J24" s="478"/>
    </row>
    <row r="25" spans="1:10" s="480" customFormat="1" ht="30" customHeight="1">
      <c r="A25" s="471">
        <f t="shared" si="4"/>
        <v>1979271</v>
      </c>
      <c r="B25" s="1287">
        <f t="shared" si="5"/>
        <v>801000</v>
      </c>
      <c r="C25" s="472">
        <f t="shared" si="2"/>
        <v>6597.5700000000006</v>
      </c>
      <c r="D25" s="472">
        <v>2670</v>
      </c>
      <c r="E25" s="473" t="s">
        <v>1626</v>
      </c>
      <c r="F25" s="472">
        <v>300</v>
      </c>
      <c r="G25" s="497" t="s">
        <v>135</v>
      </c>
      <c r="H25" s="498" t="s">
        <v>1627</v>
      </c>
      <c r="I25" s="476">
        <v>19</v>
      </c>
      <c r="J25" s="478"/>
    </row>
    <row r="26" spans="1:10" s="480" customFormat="1" ht="30" customHeight="1">
      <c r="A26" s="471">
        <f t="shared" si="4"/>
        <v>262123680</v>
      </c>
      <c r="B26" s="1287">
        <f t="shared" si="5"/>
        <v>106080000</v>
      </c>
      <c r="C26" s="472">
        <f t="shared" si="2"/>
        <v>43687.28</v>
      </c>
      <c r="D26" s="472">
        <v>17680</v>
      </c>
      <c r="E26" s="473" t="s">
        <v>1628</v>
      </c>
      <c r="F26" s="472">
        <v>6000</v>
      </c>
      <c r="G26" s="474" t="s">
        <v>135</v>
      </c>
      <c r="H26" s="477" t="s">
        <v>1629</v>
      </c>
      <c r="I26" s="476">
        <v>20</v>
      </c>
      <c r="J26" s="478"/>
    </row>
    <row r="27" spans="1:10" s="480" customFormat="1" ht="30" customHeight="1">
      <c r="A27" s="471">
        <f t="shared" si="4"/>
        <v>262123680</v>
      </c>
      <c r="B27" s="1287">
        <f t="shared" si="5"/>
        <v>106080000</v>
      </c>
      <c r="C27" s="472">
        <f t="shared" si="2"/>
        <v>43687.28</v>
      </c>
      <c r="D27" s="472">
        <v>17680</v>
      </c>
      <c r="E27" s="473" t="s">
        <v>1628</v>
      </c>
      <c r="F27" s="472">
        <v>6000</v>
      </c>
      <c r="G27" s="474" t="s">
        <v>135</v>
      </c>
      <c r="H27" s="477" t="s">
        <v>1630</v>
      </c>
      <c r="I27" s="476">
        <v>21</v>
      </c>
      <c r="J27" s="478"/>
    </row>
    <row r="28" spans="1:10" s="480" customFormat="1" ht="30" customHeight="1">
      <c r="A28" s="471">
        <f t="shared" si="4"/>
        <v>349498240</v>
      </c>
      <c r="B28" s="1287">
        <f t="shared" si="5"/>
        <v>141440000</v>
      </c>
      <c r="C28" s="472">
        <f t="shared" si="2"/>
        <v>43687.28</v>
      </c>
      <c r="D28" s="472">
        <v>17680</v>
      </c>
      <c r="E28" s="473" t="s">
        <v>1628</v>
      </c>
      <c r="F28" s="472">
        <v>8000</v>
      </c>
      <c r="G28" s="474" t="s">
        <v>135</v>
      </c>
      <c r="H28" s="477" t="s">
        <v>1631</v>
      </c>
      <c r="I28" s="476">
        <v>22</v>
      </c>
      <c r="J28" s="478"/>
    </row>
    <row r="29" spans="1:10" s="480" customFormat="1" ht="30" customHeight="1">
      <c r="A29" s="471">
        <f t="shared" si="4"/>
        <v>349498240</v>
      </c>
      <c r="B29" s="1287">
        <f t="shared" si="5"/>
        <v>141440000</v>
      </c>
      <c r="C29" s="472">
        <f t="shared" si="2"/>
        <v>43687.28</v>
      </c>
      <c r="D29" s="472">
        <v>17680</v>
      </c>
      <c r="E29" s="473" t="s">
        <v>1628</v>
      </c>
      <c r="F29" s="472">
        <v>8000</v>
      </c>
      <c r="G29" s="474" t="s">
        <v>135</v>
      </c>
      <c r="H29" s="477" t="s">
        <v>1632</v>
      </c>
      <c r="I29" s="476">
        <v>23</v>
      </c>
      <c r="J29" s="478"/>
    </row>
    <row r="30" spans="1:10" s="480" customFormat="1" ht="30" customHeight="1">
      <c r="A30" s="471">
        <f t="shared" si="4"/>
        <v>47443200</v>
      </c>
      <c r="B30" s="1287">
        <f t="shared" si="5"/>
        <v>19200000</v>
      </c>
      <c r="C30" s="472">
        <f t="shared" si="2"/>
        <v>7907.2000000000007</v>
      </c>
      <c r="D30" s="472">
        <v>3200</v>
      </c>
      <c r="E30" s="473" t="s">
        <v>1633</v>
      </c>
      <c r="F30" s="472">
        <v>6000</v>
      </c>
      <c r="G30" s="474" t="s">
        <v>135</v>
      </c>
      <c r="H30" s="477" t="s">
        <v>1634</v>
      </c>
      <c r="I30" s="476">
        <v>24</v>
      </c>
      <c r="J30" s="478"/>
    </row>
    <row r="31" spans="1:10" s="480" customFormat="1" ht="30" customHeight="1">
      <c r="A31" s="471">
        <f t="shared" si="4"/>
        <v>47443200</v>
      </c>
      <c r="B31" s="1287">
        <f t="shared" si="5"/>
        <v>19200000</v>
      </c>
      <c r="C31" s="472">
        <f t="shared" si="2"/>
        <v>7907.2000000000007</v>
      </c>
      <c r="D31" s="472">
        <v>3200</v>
      </c>
      <c r="E31" s="473" t="s">
        <v>1633</v>
      </c>
      <c r="F31" s="472">
        <v>6000</v>
      </c>
      <c r="G31" s="474" t="s">
        <v>135</v>
      </c>
      <c r="H31" s="477" t="s">
        <v>1635</v>
      </c>
      <c r="I31" s="476">
        <v>25</v>
      </c>
      <c r="J31" s="478"/>
    </row>
    <row r="32" spans="1:10" s="480" customFormat="1" ht="30" customHeight="1">
      <c r="A32" s="471">
        <f t="shared" si="4"/>
        <v>56734160</v>
      </c>
      <c r="B32" s="1287">
        <f t="shared" si="5"/>
        <v>22960000</v>
      </c>
      <c r="C32" s="472">
        <f t="shared" si="2"/>
        <v>7091.77</v>
      </c>
      <c r="D32" s="472">
        <v>2870</v>
      </c>
      <c r="E32" s="473" t="s">
        <v>1636</v>
      </c>
      <c r="F32" s="472">
        <v>8000</v>
      </c>
      <c r="G32" s="474" t="s">
        <v>135</v>
      </c>
      <c r="H32" s="477" t="s">
        <v>1637</v>
      </c>
      <c r="I32" s="476">
        <v>26</v>
      </c>
      <c r="J32" s="478"/>
    </row>
    <row r="33" spans="1:10" s="480" customFormat="1" ht="30" customHeight="1">
      <c r="A33" s="471">
        <f t="shared" si="4"/>
        <v>56734160</v>
      </c>
      <c r="B33" s="1287">
        <f t="shared" si="5"/>
        <v>22960000</v>
      </c>
      <c r="C33" s="472">
        <f t="shared" si="2"/>
        <v>7091.77</v>
      </c>
      <c r="D33" s="472">
        <v>2870</v>
      </c>
      <c r="E33" s="473" t="s">
        <v>1636</v>
      </c>
      <c r="F33" s="472">
        <v>8000</v>
      </c>
      <c r="G33" s="474" t="s">
        <v>135</v>
      </c>
      <c r="H33" s="477" t="s">
        <v>1638</v>
      </c>
      <c r="I33" s="476">
        <v>27</v>
      </c>
      <c r="J33" s="478"/>
    </row>
    <row r="34" spans="1:10" s="480" customFormat="1" ht="30" customHeight="1">
      <c r="A34" s="471">
        <f t="shared" si="4"/>
        <v>255402560</v>
      </c>
      <c r="B34" s="1287">
        <f t="shared" si="5"/>
        <v>103360000</v>
      </c>
      <c r="C34" s="472">
        <f t="shared" si="2"/>
        <v>63850.64</v>
      </c>
      <c r="D34" s="472">
        <v>25840</v>
      </c>
      <c r="E34" s="473" t="s">
        <v>1639</v>
      </c>
      <c r="F34" s="472">
        <v>4000</v>
      </c>
      <c r="G34" s="474" t="s">
        <v>135</v>
      </c>
      <c r="H34" s="498" t="s">
        <v>1640</v>
      </c>
      <c r="I34" s="476">
        <v>28</v>
      </c>
      <c r="J34" s="478"/>
    </row>
    <row r="35" spans="1:10" s="480" customFormat="1" ht="30" customHeight="1">
      <c r="A35" s="471">
        <f t="shared" si="4"/>
        <v>127701280</v>
      </c>
      <c r="B35" s="1287">
        <f t="shared" si="5"/>
        <v>51680000</v>
      </c>
      <c r="C35" s="472">
        <f t="shared" si="2"/>
        <v>63850.64</v>
      </c>
      <c r="D35" s="472">
        <v>25840</v>
      </c>
      <c r="E35" s="473" t="s">
        <v>1639</v>
      </c>
      <c r="F35" s="472">
        <v>2000</v>
      </c>
      <c r="G35" s="474" t="s">
        <v>135</v>
      </c>
      <c r="H35" s="498" t="s">
        <v>1641</v>
      </c>
      <c r="I35" s="476">
        <v>29</v>
      </c>
      <c r="J35" s="478"/>
    </row>
    <row r="36" spans="1:10" s="480" customFormat="1" ht="30" customHeight="1" thickBot="1">
      <c r="A36" s="471">
        <f t="shared" si="4"/>
        <v>127701280</v>
      </c>
      <c r="B36" s="1287">
        <f t="shared" si="5"/>
        <v>51680000</v>
      </c>
      <c r="C36" s="482">
        <f t="shared" si="2"/>
        <v>63850.64</v>
      </c>
      <c r="D36" s="482">
        <v>25840</v>
      </c>
      <c r="E36" s="483" t="s">
        <v>1639</v>
      </c>
      <c r="F36" s="482">
        <v>2000</v>
      </c>
      <c r="G36" s="484" t="s">
        <v>135</v>
      </c>
      <c r="H36" s="499" t="s">
        <v>1641</v>
      </c>
      <c r="I36" s="486">
        <v>30</v>
      </c>
      <c r="J36" s="478"/>
    </row>
    <row r="37" spans="1:10" s="480" customFormat="1" ht="34.5" customHeight="1" thickBot="1">
      <c r="A37" s="487">
        <f t="shared" si="3"/>
        <v>0</v>
      </c>
      <c r="B37" s="487"/>
      <c r="C37" s="487">
        <f t="shared" si="2"/>
        <v>0</v>
      </c>
      <c r="D37" s="487"/>
      <c r="E37" s="488"/>
      <c r="F37" s="487">
        <v>1</v>
      </c>
      <c r="G37" s="489"/>
      <c r="H37" s="500" t="s">
        <v>1642</v>
      </c>
      <c r="I37" s="487">
        <v>32</v>
      </c>
      <c r="J37" s="478"/>
    </row>
    <row r="38" spans="1:10" s="480" customFormat="1" ht="30" customHeight="1" thickBot="1">
      <c r="A38" s="471">
        <f t="shared" si="4"/>
        <v>5880980</v>
      </c>
      <c r="B38" s="1287">
        <f t="shared" ref="B38:B51" si="6">ROUND(F38*D38,0)</f>
        <v>2380000</v>
      </c>
      <c r="C38" s="492">
        <f t="shared" si="2"/>
        <v>11761.960000000001</v>
      </c>
      <c r="D38" s="492">
        <v>4760</v>
      </c>
      <c r="E38" s="493" t="s">
        <v>4451</v>
      </c>
      <c r="F38" s="492">
        <v>500</v>
      </c>
      <c r="G38" s="494" t="s">
        <v>135</v>
      </c>
      <c r="H38" s="501" t="s">
        <v>1643</v>
      </c>
      <c r="I38" s="496">
        <v>31</v>
      </c>
      <c r="J38" s="478"/>
    </row>
    <row r="39" spans="1:10" s="480" customFormat="1" ht="30" customHeight="1" thickBot="1">
      <c r="A39" s="471">
        <f t="shared" si="4"/>
        <v>3528588</v>
      </c>
      <c r="B39" s="1287">
        <f t="shared" si="6"/>
        <v>1428000</v>
      </c>
      <c r="C39" s="472">
        <f t="shared" si="2"/>
        <v>11761.960000000001</v>
      </c>
      <c r="D39" s="492">
        <v>4760</v>
      </c>
      <c r="E39" s="473" t="s">
        <v>4451</v>
      </c>
      <c r="F39" s="472">
        <v>300</v>
      </c>
      <c r="G39" s="474" t="s">
        <v>135</v>
      </c>
      <c r="H39" s="498" t="s">
        <v>1644</v>
      </c>
      <c r="I39" s="476">
        <v>32</v>
      </c>
      <c r="J39" s="478"/>
    </row>
    <row r="40" spans="1:10" s="480" customFormat="1" ht="30" customHeight="1" thickBot="1">
      <c r="A40" s="471">
        <f t="shared" si="4"/>
        <v>3528588</v>
      </c>
      <c r="B40" s="1287">
        <f t="shared" si="6"/>
        <v>1428000</v>
      </c>
      <c r="C40" s="472">
        <f t="shared" si="2"/>
        <v>11761.960000000001</v>
      </c>
      <c r="D40" s="492">
        <v>4760</v>
      </c>
      <c r="E40" s="473" t="s">
        <v>4451</v>
      </c>
      <c r="F40" s="472">
        <v>300</v>
      </c>
      <c r="G40" s="474" t="s">
        <v>135</v>
      </c>
      <c r="H40" s="498" t="s">
        <v>1645</v>
      </c>
      <c r="I40" s="476">
        <v>33</v>
      </c>
      <c r="J40" s="478"/>
    </row>
    <row r="41" spans="1:10" s="480" customFormat="1" ht="30" customHeight="1" thickBot="1">
      <c r="A41" s="471">
        <f t="shared" si="4"/>
        <v>3528588</v>
      </c>
      <c r="B41" s="1287">
        <f t="shared" si="6"/>
        <v>1428000</v>
      </c>
      <c r="C41" s="472">
        <f t="shared" si="2"/>
        <v>11761.960000000001</v>
      </c>
      <c r="D41" s="492">
        <v>4760</v>
      </c>
      <c r="E41" s="473" t="s">
        <v>4451</v>
      </c>
      <c r="F41" s="472">
        <v>300</v>
      </c>
      <c r="G41" s="474" t="s">
        <v>135</v>
      </c>
      <c r="H41" s="498" t="s">
        <v>1646</v>
      </c>
      <c r="I41" s="476">
        <v>34</v>
      </c>
      <c r="J41" s="478"/>
    </row>
    <row r="42" spans="1:10" s="480" customFormat="1" ht="30" customHeight="1" thickBot="1">
      <c r="A42" s="471">
        <f t="shared" si="4"/>
        <v>3528588</v>
      </c>
      <c r="B42" s="1287">
        <f t="shared" si="6"/>
        <v>1428000</v>
      </c>
      <c r="C42" s="472">
        <f t="shared" si="2"/>
        <v>11761.960000000001</v>
      </c>
      <c r="D42" s="492">
        <v>4760</v>
      </c>
      <c r="E42" s="473" t="s">
        <v>4451</v>
      </c>
      <c r="F42" s="472">
        <v>300</v>
      </c>
      <c r="G42" s="474" t="s">
        <v>135</v>
      </c>
      <c r="H42" s="498" t="s">
        <v>1647</v>
      </c>
      <c r="I42" s="476">
        <v>35</v>
      </c>
      <c r="J42" s="478"/>
    </row>
    <row r="43" spans="1:10" s="480" customFormat="1" ht="30" customHeight="1" thickBot="1">
      <c r="A43" s="471">
        <f t="shared" si="4"/>
        <v>3528588</v>
      </c>
      <c r="B43" s="1287">
        <f t="shared" si="6"/>
        <v>1428000</v>
      </c>
      <c r="C43" s="472">
        <f t="shared" si="2"/>
        <v>11761.960000000001</v>
      </c>
      <c r="D43" s="492">
        <v>4760</v>
      </c>
      <c r="E43" s="473" t="s">
        <v>4451</v>
      </c>
      <c r="F43" s="472">
        <v>300</v>
      </c>
      <c r="G43" s="474" t="s">
        <v>135</v>
      </c>
      <c r="H43" s="498" t="s">
        <v>1648</v>
      </c>
      <c r="I43" s="476">
        <v>36</v>
      </c>
      <c r="J43" s="478"/>
    </row>
    <row r="44" spans="1:10" s="480" customFormat="1" ht="30" customHeight="1" thickBot="1">
      <c r="A44" s="471">
        <f t="shared" si="4"/>
        <v>849529800</v>
      </c>
      <c r="B44" s="1287">
        <f t="shared" si="6"/>
        <v>343800000</v>
      </c>
      <c r="C44" s="472">
        <f t="shared" si="2"/>
        <v>84952.98</v>
      </c>
      <c r="D44" s="492">
        <v>34380</v>
      </c>
      <c r="E44" s="473" t="s">
        <v>4449</v>
      </c>
      <c r="F44" s="472">
        <v>10000</v>
      </c>
      <c r="G44" s="474" t="s">
        <v>135</v>
      </c>
      <c r="H44" s="498" t="s">
        <v>1649</v>
      </c>
      <c r="I44" s="476">
        <v>37</v>
      </c>
      <c r="J44" s="478"/>
    </row>
    <row r="45" spans="1:10" s="480" customFormat="1" ht="30" customHeight="1" thickBot="1">
      <c r="A45" s="471">
        <f t="shared" si="4"/>
        <v>42476490</v>
      </c>
      <c r="B45" s="1287">
        <f t="shared" si="6"/>
        <v>17190000</v>
      </c>
      <c r="C45" s="472">
        <f t="shared" si="2"/>
        <v>84952.98</v>
      </c>
      <c r="D45" s="492">
        <v>34380</v>
      </c>
      <c r="E45" s="473" t="s">
        <v>4449</v>
      </c>
      <c r="F45" s="472">
        <v>500</v>
      </c>
      <c r="G45" s="474" t="s">
        <v>135</v>
      </c>
      <c r="H45" s="498" t="s">
        <v>1650</v>
      </c>
      <c r="I45" s="476">
        <v>38</v>
      </c>
      <c r="J45" s="478"/>
    </row>
    <row r="46" spans="1:10" s="480" customFormat="1" ht="30" customHeight="1" thickBot="1">
      <c r="A46" s="471">
        <f t="shared" si="4"/>
        <v>25485894</v>
      </c>
      <c r="B46" s="1287">
        <f t="shared" si="6"/>
        <v>10314000</v>
      </c>
      <c r="C46" s="472">
        <f t="shared" si="2"/>
        <v>84952.98</v>
      </c>
      <c r="D46" s="492">
        <v>34380</v>
      </c>
      <c r="E46" s="473" t="s">
        <v>4449</v>
      </c>
      <c r="F46" s="472">
        <v>300</v>
      </c>
      <c r="G46" s="474" t="s">
        <v>135</v>
      </c>
      <c r="H46" s="498" t="s">
        <v>1651</v>
      </c>
      <c r="I46" s="476">
        <v>39</v>
      </c>
      <c r="J46" s="478"/>
    </row>
    <row r="47" spans="1:10" s="480" customFormat="1" ht="30" customHeight="1" thickBot="1">
      <c r="A47" s="471">
        <f t="shared" si="4"/>
        <v>25485894</v>
      </c>
      <c r="B47" s="1287">
        <f t="shared" si="6"/>
        <v>10314000</v>
      </c>
      <c r="C47" s="472">
        <f t="shared" si="2"/>
        <v>84952.98</v>
      </c>
      <c r="D47" s="492">
        <v>34380</v>
      </c>
      <c r="E47" s="473" t="s">
        <v>4449</v>
      </c>
      <c r="F47" s="472">
        <v>300</v>
      </c>
      <c r="G47" s="474" t="s">
        <v>135</v>
      </c>
      <c r="H47" s="498" t="s">
        <v>1652</v>
      </c>
      <c r="I47" s="476">
        <v>40</v>
      </c>
      <c r="J47" s="478"/>
    </row>
    <row r="48" spans="1:10" s="480" customFormat="1" ht="30" customHeight="1" thickBot="1">
      <c r="A48" s="471">
        <f t="shared" si="4"/>
        <v>25485894</v>
      </c>
      <c r="B48" s="1287">
        <f t="shared" si="6"/>
        <v>10314000</v>
      </c>
      <c r="C48" s="472">
        <f t="shared" si="2"/>
        <v>84952.98</v>
      </c>
      <c r="D48" s="492">
        <v>34380</v>
      </c>
      <c r="E48" s="473" t="s">
        <v>4449</v>
      </c>
      <c r="F48" s="472">
        <v>300</v>
      </c>
      <c r="G48" s="474" t="s">
        <v>135</v>
      </c>
      <c r="H48" s="498" t="s">
        <v>1653</v>
      </c>
      <c r="I48" s="476">
        <v>41</v>
      </c>
      <c r="J48" s="478"/>
    </row>
    <row r="49" spans="1:10" s="480" customFormat="1" ht="30" customHeight="1" thickBot="1">
      <c r="A49" s="471">
        <f t="shared" si="4"/>
        <v>25485894</v>
      </c>
      <c r="B49" s="1287">
        <f t="shared" si="6"/>
        <v>10314000</v>
      </c>
      <c r="C49" s="472">
        <f t="shared" si="2"/>
        <v>84952.98</v>
      </c>
      <c r="D49" s="492">
        <v>34380</v>
      </c>
      <c r="E49" s="473" t="s">
        <v>4449</v>
      </c>
      <c r="F49" s="472">
        <v>300</v>
      </c>
      <c r="G49" s="474" t="s">
        <v>135</v>
      </c>
      <c r="H49" s="498" t="s">
        <v>1654</v>
      </c>
      <c r="I49" s="476">
        <v>42</v>
      </c>
      <c r="J49" s="478"/>
    </row>
    <row r="50" spans="1:10" s="480" customFormat="1" ht="30" customHeight="1">
      <c r="A50" s="471">
        <f t="shared" si="4"/>
        <v>25485894</v>
      </c>
      <c r="B50" s="1287">
        <f t="shared" si="6"/>
        <v>10314000</v>
      </c>
      <c r="C50" s="472">
        <f t="shared" si="2"/>
        <v>84952.98</v>
      </c>
      <c r="D50" s="492">
        <v>34380</v>
      </c>
      <c r="E50" s="473" t="s">
        <v>4449</v>
      </c>
      <c r="F50" s="472">
        <v>300</v>
      </c>
      <c r="G50" s="474" t="s">
        <v>135</v>
      </c>
      <c r="H50" s="498" t="s">
        <v>1655</v>
      </c>
      <c r="I50" s="476">
        <v>43</v>
      </c>
      <c r="J50" s="478"/>
    </row>
    <row r="51" spans="1:10" s="480" customFormat="1" ht="30" customHeight="1" thickBot="1">
      <c r="A51" s="471">
        <f t="shared" si="4"/>
        <v>590225655</v>
      </c>
      <c r="B51" s="1287">
        <f t="shared" si="6"/>
        <v>238861050</v>
      </c>
      <c r="C51" s="482">
        <f t="shared" si="2"/>
        <v>39348376.969999999</v>
      </c>
      <c r="D51" s="482">
        <v>15924070</v>
      </c>
      <c r="E51" s="483" t="s">
        <v>1656</v>
      </c>
      <c r="F51" s="482">
        <v>15</v>
      </c>
      <c r="G51" s="484" t="s">
        <v>1279</v>
      </c>
      <c r="H51" s="485" t="s">
        <v>1657</v>
      </c>
      <c r="I51" s="486">
        <v>44</v>
      </c>
      <c r="J51" s="478"/>
    </row>
    <row r="52" spans="1:10" s="480" customFormat="1" ht="34.5" customHeight="1" thickBot="1">
      <c r="A52" s="487">
        <f t="shared" ref="A52:A69" si="7">C52*F52</f>
        <v>0</v>
      </c>
      <c r="B52" s="487"/>
      <c r="C52" s="487">
        <f t="shared" si="2"/>
        <v>0</v>
      </c>
      <c r="D52" s="487"/>
      <c r="E52" s="502"/>
      <c r="F52" s="487">
        <v>1</v>
      </c>
      <c r="G52" s="503"/>
      <c r="H52" s="500" t="s">
        <v>1658</v>
      </c>
      <c r="I52" s="487">
        <v>45</v>
      </c>
      <c r="J52" s="478"/>
    </row>
    <row r="53" spans="1:10" s="480" customFormat="1" ht="30" customHeight="1" thickBot="1">
      <c r="A53" s="471">
        <f t="shared" si="4"/>
        <v>141222592</v>
      </c>
      <c r="B53" s="1287">
        <f>ROUND(F53*D53,0)</f>
        <v>57152000</v>
      </c>
      <c r="C53" s="505">
        <f t="shared" si="2"/>
        <v>15023.68</v>
      </c>
      <c r="D53" s="505">
        <v>6080</v>
      </c>
      <c r="E53" s="506" t="s">
        <v>4452</v>
      </c>
      <c r="F53" s="505">
        <v>9400</v>
      </c>
      <c r="G53" s="1333" t="s">
        <v>1279</v>
      </c>
      <c r="H53" s="507" t="s">
        <v>1659</v>
      </c>
      <c r="I53" s="508">
        <v>45</v>
      </c>
      <c r="J53" s="478"/>
    </row>
    <row r="54" spans="1:10" s="480" customFormat="1" ht="34.5" customHeight="1">
      <c r="A54" s="509">
        <f t="shared" si="7"/>
        <v>0</v>
      </c>
      <c r="B54" s="509"/>
      <c r="C54" s="509">
        <f t="shared" si="2"/>
        <v>0</v>
      </c>
      <c r="D54" s="509"/>
      <c r="E54" s="510"/>
      <c r="F54" s="509">
        <v>500</v>
      </c>
      <c r="G54" s="511"/>
      <c r="H54" s="512" t="s">
        <v>1659</v>
      </c>
      <c r="I54" s="509">
        <v>49</v>
      </c>
      <c r="J54" s="478"/>
    </row>
    <row r="55" spans="1:10" s="480" customFormat="1" ht="34.5" customHeight="1">
      <c r="A55" s="1041">
        <f t="shared" si="7"/>
        <v>0</v>
      </c>
      <c r="B55" s="1041"/>
      <c r="C55" s="1041">
        <f t="shared" si="2"/>
        <v>0</v>
      </c>
      <c r="D55" s="1041"/>
      <c r="E55" s="513"/>
      <c r="F55" s="1041"/>
      <c r="G55" s="514"/>
      <c r="H55" s="515" t="s">
        <v>608</v>
      </c>
      <c r="I55" s="1041">
        <v>50</v>
      </c>
      <c r="J55" s="478"/>
    </row>
    <row r="56" spans="1:10" s="480" customFormat="1" ht="34.5" customHeight="1">
      <c r="A56" s="1041">
        <f t="shared" si="7"/>
        <v>0</v>
      </c>
      <c r="B56" s="1041"/>
      <c r="C56" s="1041">
        <f t="shared" si="2"/>
        <v>0</v>
      </c>
      <c r="D56" s="1041"/>
      <c r="E56" s="513"/>
      <c r="F56" s="1041">
        <v>2850</v>
      </c>
      <c r="G56" s="514"/>
      <c r="H56" s="515" t="s">
        <v>609</v>
      </c>
      <c r="I56" s="1041">
        <v>51</v>
      </c>
      <c r="J56" s="478"/>
    </row>
    <row r="57" spans="1:10" s="480" customFormat="1" ht="34.5" customHeight="1">
      <c r="A57" s="1041">
        <f t="shared" si="7"/>
        <v>0</v>
      </c>
      <c r="B57" s="1041"/>
      <c r="C57" s="1041">
        <f t="shared" si="2"/>
        <v>0</v>
      </c>
      <c r="D57" s="1041"/>
      <c r="E57" s="513"/>
      <c r="F57" s="1041">
        <v>350</v>
      </c>
      <c r="G57" s="514"/>
      <c r="H57" s="515" t="s">
        <v>610</v>
      </c>
      <c r="I57" s="1041">
        <v>52</v>
      </c>
      <c r="J57" s="478"/>
    </row>
    <row r="58" spans="1:10" s="480" customFormat="1" ht="34.5" customHeight="1" thickBot="1">
      <c r="A58" s="516">
        <f t="shared" si="7"/>
        <v>0</v>
      </c>
      <c r="B58" s="516"/>
      <c r="C58" s="516">
        <f t="shared" si="2"/>
        <v>0</v>
      </c>
      <c r="D58" s="516"/>
      <c r="E58" s="517"/>
      <c r="F58" s="516">
        <v>400</v>
      </c>
      <c r="G58" s="518"/>
      <c r="H58" s="519" t="s">
        <v>611</v>
      </c>
      <c r="I58" s="516">
        <v>53</v>
      </c>
      <c r="J58" s="478"/>
    </row>
    <row r="59" spans="1:10" s="480" customFormat="1" ht="30" customHeight="1">
      <c r="A59" s="471">
        <f t="shared" ref="A59:A61" si="8">ROUND(C59*F59,0)</f>
        <v>17180566</v>
      </c>
      <c r="B59" s="1287">
        <f t="shared" ref="B59:B61" si="9">ROUND(F59*D59,0)</f>
        <v>6952880</v>
      </c>
      <c r="C59" s="492">
        <f t="shared" si="2"/>
        <v>780934.84000000008</v>
      </c>
      <c r="D59" s="492">
        <v>316040</v>
      </c>
      <c r="E59" s="520" t="s">
        <v>1660</v>
      </c>
      <c r="F59" s="492">
        <v>22</v>
      </c>
      <c r="G59" s="521" t="s">
        <v>1152</v>
      </c>
      <c r="H59" s="522" t="s">
        <v>1661</v>
      </c>
      <c r="I59" s="496">
        <v>46</v>
      </c>
      <c r="J59" s="478"/>
    </row>
    <row r="60" spans="1:10" s="480" customFormat="1" ht="30" customHeight="1">
      <c r="A60" s="471">
        <f t="shared" si="8"/>
        <v>245006816</v>
      </c>
      <c r="B60" s="1287">
        <f t="shared" si="9"/>
        <v>99152900</v>
      </c>
      <c r="C60" s="472">
        <f t="shared" si="2"/>
        <v>3101352.1</v>
      </c>
      <c r="D60" s="472">
        <v>1255100</v>
      </c>
      <c r="E60" s="428" t="s">
        <v>1662</v>
      </c>
      <c r="F60" s="472">
        <v>79</v>
      </c>
      <c r="G60" s="497" t="s">
        <v>1152</v>
      </c>
      <c r="H60" s="523" t="s">
        <v>1663</v>
      </c>
      <c r="I60" s="476">
        <v>47</v>
      </c>
      <c r="J60" s="478"/>
    </row>
    <row r="61" spans="1:10" s="480" customFormat="1" ht="30" customHeight="1" thickBot="1">
      <c r="A61" s="471">
        <f t="shared" si="8"/>
        <v>727172799</v>
      </c>
      <c r="B61" s="1287">
        <f t="shared" si="9"/>
        <v>294282800</v>
      </c>
      <c r="C61" s="482">
        <f t="shared" si="2"/>
        <v>2597045.71</v>
      </c>
      <c r="D61" s="482">
        <v>1051010</v>
      </c>
      <c r="E61" s="524" t="s">
        <v>1664</v>
      </c>
      <c r="F61" s="482">
        <v>280</v>
      </c>
      <c r="G61" s="525" t="s">
        <v>1152</v>
      </c>
      <c r="H61" s="526" t="s">
        <v>1663</v>
      </c>
      <c r="I61" s="486">
        <v>48</v>
      </c>
      <c r="J61" s="478"/>
    </row>
    <row r="62" spans="1:10" s="480" customFormat="1" ht="34.5" customHeight="1">
      <c r="A62" s="509">
        <f t="shared" si="7"/>
        <v>0</v>
      </c>
      <c r="B62" s="509"/>
      <c r="C62" s="509">
        <f t="shared" si="2"/>
        <v>0</v>
      </c>
      <c r="D62" s="509"/>
      <c r="E62" s="510"/>
      <c r="F62" s="509">
        <v>160</v>
      </c>
      <c r="G62" s="527" t="s">
        <v>1152</v>
      </c>
      <c r="H62" s="528" t="s">
        <v>616</v>
      </c>
      <c r="I62" s="509">
        <v>57</v>
      </c>
      <c r="J62" s="478"/>
    </row>
    <row r="63" spans="1:10" s="480" customFormat="1" ht="34.5" customHeight="1">
      <c r="A63" s="1041">
        <f t="shared" si="7"/>
        <v>0</v>
      </c>
      <c r="B63" s="1041"/>
      <c r="C63" s="1041">
        <f t="shared" si="2"/>
        <v>0</v>
      </c>
      <c r="D63" s="1041"/>
      <c r="E63" s="513"/>
      <c r="F63" s="1041">
        <v>40</v>
      </c>
      <c r="G63" s="529" t="s">
        <v>1152</v>
      </c>
      <c r="H63" s="515" t="s">
        <v>618</v>
      </c>
      <c r="I63" s="1041">
        <v>58</v>
      </c>
      <c r="J63" s="478"/>
    </row>
    <row r="64" spans="1:10" s="480" customFormat="1" ht="34.5" customHeight="1">
      <c r="A64" s="1041">
        <f t="shared" si="7"/>
        <v>0</v>
      </c>
      <c r="B64" s="1041"/>
      <c r="C64" s="1041">
        <f t="shared" si="2"/>
        <v>0</v>
      </c>
      <c r="D64" s="1041"/>
      <c r="E64" s="513"/>
      <c r="F64" s="1041">
        <v>40</v>
      </c>
      <c r="G64" s="529" t="s">
        <v>1152</v>
      </c>
      <c r="H64" s="515" t="s">
        <v>620</v>
      </c>
      <c r="I64" s="1041">
        <v>59</v>
      </c>
      <c r="J64" s="478"/>
    </row>
    <row r="65" spans="1:10" s="480" customFormat="1" ht="34.5" customHeight="1">
      <c r="A65" s="1041">
        <f t="shared" si="7"/>
        <v>0</v>
      </c>
      <c r="B65" s="1041"/>
      <c r="C65" s="1041">
        <f t="shared" si="2"/>
        <v>0</v>
      </c>
      <c r="D65" s="1041"/>
      <c r="E65" s="513"/>
      <c r="F65" s="1041">
        <v>40</v>
      </c>
      <c r="G65" s="529" t="s">
        <v>1152</v>
      </c>
      <c r="H65" s="515" t="s">
        <v>622</v>
      </c>
      <c r="I65" s="1041">
        <v>60</v>
      </c>
      <c r="J65" s="478"/>
    </row>
    <row r="66" spans="1:10" s="480" customFormat="1" ht="34.5" customHeight="1" thickBot="1">
      <c r="A66" s="516">
        <f t="shared" si="7"/>
        <v>0</v>
      </c>
      <c r="B66" s="516"/>
      <c r="C66" s="516">
        <f t="shared" si="2"/>
        <v>0</v>
      </c>
      <c r="D66" s="516"/>
      <c r="E66" s="517"/>
      <c r="F66" s="516">
        <v>68</v>
      </c>
      <c r="G66" s="530" t="s">
        <v>1152</v>
      </c>
      <c r="H66" s="519" t="s">
        <v>624</v>
      </c>
      <c r="I66" s="516">
        <v>61</v>
      </c>
      <c r="J66" s="478"/>
    </row>
    <row r="67" spans="1:10" s="480" customFormat="1" ht="30" customHeight="1" thickBot="1">
      <c r="A67" s="471">
        <f t="shared" ref="A67" si="10">ROUND(C67*F67,0)</f>
        <v>2444970189</v>
      </c>
      <c r="B67" s="1287">
        <f>ROUND(F67*D67,0)</f>
        <v>989465880</v>
      </c>
      <c r="C67" s="505">
        <f t="shared" si="2"/>
        <v>15672885.83</v>
      </c>
      <c r="D67" s="505">
        <v>6342730</v>
      </c>
      <c r="E67" s="506" t="s">
        <v>1665</v>
      </c>
      <c r="F67" s="505">
        <v>156</v>
      </c>
      <c r="G67" s="531" t="s">
        <v>1152</v>
      </c>
      <c r="H67" s="507" t="s">
        <v>1666</v>
      </c>
      <c r="I67" s="508">
        <v>49</v>
      </c>
      <c r="J67" s="478"/>
    </row>
    <row r="68" spans="1:10" s="480" customFormat="1" ht="34.5" customHeight="1">
      <c r="A68" s="509">
        <f t="shared" si="7"/>
        <v>0</v>
      </c>
      <c r="B68" s="509"/>
      <c r="C68" s="509">
        <f t="shared" si="2"/>
        <v>0</v>
      </c>
      <c r="D68" s="509"/>
      <c r="E68" s="510"/>
      <c r="F68" s="509">
        <v>64</v>
      </c>
      <c r="G68" s="527" t="s">
        <v>362</v>
      </c>
      <c r="H68" s="528" t="s">
        <v>628</v>
      </c>
      <c r="I68" s="509">
        <v>63</v>
      </c>
      <c r="J68" s="478"/>
    </row>
    <row r="69" spans="1:10" s="480" customFormat="1" ht="34.5" customHeight="1" thickBot="1">
      <c r="A69" s="516">
        <f t="shared" si="7"/>
        <v>0</v>
      </c>
      <c r="B69" s="516"/>
      <c r="C69" s="516">
        <f t="shared" si="2"/>
        <v>0</v>
      </c>
      <c r="D69" s="516"/>
      <c r="E69" s="517"/>
      <c r="F69" s="516">
        <v>24</v>
      </c>
      <c r="G69" s="530" t="s">
        <v>362</v>
      </c>
      <c r="H69" s="519" t="s">
        <v>630</v>
      </c>
      <c r="I69" s="516">
        <v>64</v>
      </c>
      <c r="J69" s="478"/>
    </row>
    <row r="70" spans="1:10" s="480" customFormat="1" ht="30" customHeight="1">
      <c r="A70" s="471">
        <f t="shared" ref="A70:A71" si="11">ROUND(C70*F70,0)</f>
        <v>64121709</v>
      </c>
      <c r="B70" s="1287">
        <f t="shared" ref="B70:B71" si="12">ROUND(F70*D70,0)</f>
        <v>25949700</v>
      </c>
      <c r="C70" s="492">
        <f t="shared" ref="C70:C133" si="13">D70*$L$6</f>
        <v>916024.41</v>
      </c>
      <c r="D70" s="492">
        <v>370710</v>
      </c>
      <c r="E70" s="520" t="s">
        <v>1667</v>
      </c>
      <c r="F70" s="492">
        <v>70</v>
      </c>
      <c r="G70" s="521" t="s">
        <v>1152</v>
      </c>
      <c r="H70" s="522" t="s">
        <v>1668</v>
      </c>
      <c r="I70" s="496">
        <v>50</v>
      </c>
      <c r="J70" s="478"/>
    </row>
    <row r="71" spans="1:10" s="480" customFormat="1" ht="30" customHeight="1" thickBot="1">
      <c r="A71" s="471">
        <f t="shared" si="11"/>
        <v>249648713</v>
      </c>
      <c r="B71" s="1287">
        <f t="shared" si="12"/>
        <v>101031450</v>
      </c>
      <c r="C71" s="482">
        <f t="shared" si="13"/>
        <v>1280249.81</v>
      </c>
      <c r="D71" s="482">
        <v>518110</v>
      </c>
      <c r="E71" s="524" t="s">
        <v>1669</v>
      </c>
      <c r="F71" s="482">
        <v>195</v>
      </c>
      <c r="G71" s="525" t="s">
        <v>1152</v>
      </c>
      <c r="H71" s="526" t="s">
        <v>1668</v>
      </c>
      <c r="I71" s="486">
        <v>51</v>
      </c>
      <c r="J71" s="478"/>
    </row>
    <row r="72" spans="1:10" s="480" customFormat="1" ht="34.5" customHeight="1">
      <c r="A72" s="509">
        <f t="shared" ref="A72:A75" si="14">C72*F72</f>
        <v>0</v>
      </c>
      <c r="B72" s="509"/>
      <c r="C72" s="509">
        <f t="shared" si="13"/>
        <v>0</v>
      </c>
      <c r="D72" s="509"/>
      <c r="E72" s="510"/>
      <c r="F72" s="509">
        <v>121</v>
      </c>
      <c r="G72" s="527" t="s">
        <v>1152</v>
      </c>
      <c r="H72" s="512" t="s">
        <v>1668</v>
      </c>
      <c r="I72" s="509">
        <v>67</v>
      </c>
      <c r="J72" s="478"/>
    </row>
    <row r="73" spans="1:10" s="480" customFormat="1" ht="34.5" customHeight="1">
      <c r="A73" s="1041">
        <f t="shared" si="14"/>
        <v>0</v>
      </c>
      <c r="B73" s="1041"/>
      <c r="C73" s="1041">
        <f t="shared" si="13"/>
        <v>0</v>
      </c>
      <c r="D73" s="1041"/>
      <c r="E73" s="513"/>
      <c r="F73" s="1041">
        <v>49</v>
      </c>
      <c r="G73" s="529" t="s">
        <v>1152</v>
      </c>
      <c r="H73" s="515" t="s">
        <v>638</v>
      </c>
      <c r="I73" s="1041">
        <v>68</v>
      </c>
      <c r="J73" s="478"/>
    </row>
    <row r="74" spans="1:10" s="480" customFormat="1" ht="34.5" customHeight="1">
      <c r="A74" s="1041">
        <f t="shared" si="14"/>
        <v>0</v>
      </c>
      <c r="B74" s="1041"/>
      <c r="C74" s="1041">
        <f t="shared" si="13"/>
        <v>0</v>
      </c>
      <c r="D74" s="1041"/>
      <c r="E74" s="513"/>
      <c r="F74" s="1041">
        <v>147</v>
      </c>
      <c r="G74" s="529" t="s">
        <v>1152</v>
      </c>
      <c r="H74" s="515" t="s">
        <v>640</v>
      </c>
      <c r="I74" s="1041">
        <v>69</v>
      </c>
      <c r="J74" s="478"/>
    </row>
    <row r="75" spans="1:10" s="480" customFormat="1" ht="34.5" customHeight="1" thickBot="1">
      <c r="A75" s="516">
        <f t="shared" si="14"/>
        <v>0</v>
      </c>
      <c r="B75" s="516"/>
      <c r="C75" s="516">
        <f t="shared" si="13"/>
        <v>0</v>
      </c>
      <c r="D75" s="516"/>
      <c r="E75" s="517"/>
      <c r="F75" s="516">
        <v>1</v>
      </c>
      <c r="G75" s="530" t="s">
        <v>1152</v>
      </c>
      <c r="H75" s="519" t="s">
        <v>642</v>
      </c>
      <c r="I75" s="516">
        <v>70</v>
      </c>
      <c r="J75" s="478"/>
    </row>
    <row r="76" spans="1:10" s="480" customFormat="1" ht="30" customHeight="1">
      <c r="A76" s="471">
        <f t="shared" ref="A76:A77" si="15">ROUND(C76*F76,0)</f>
        <v>94243940</v>
      </c>
      <c r="B76" s="1287">
        <f t="shared" ref="B76:B77" si="16">ROUND(F76*D76,0)</f>
        <v>38140000</v>
      </c>
      <c r="C76" s="492">
        <f t="shared" si="13"/>
        <v>235609.85</v>
      </c>
      <c r="D76" s="492">
        <v>95350</v>
      </c>
      <c r="E76" s="520" t="s">
        <v>1670</v>
      </c>
      <c r="F76" s="492">
        <v>400</v>
      </c>
      <c r="G76" s="494" t="s">
        <v>135</v>
      </c>
      <c r="H76" s="522" t="s">
        <v>1671</v>
      </c>
      <c r="I76" s="496"/>
      <c r="J76" s="478"/>
    </row>
    <row r="77" spans="1:10" s="480" customFormat="1" ht="30" customHeight="1" thickBot="1">
      <c r="A77" s="471">
        <f t="shared" si="15"/>
        <v>48438889</v>
      </c>
      <c r="B77" s="1287">
        <f t="shared" si="16"/>
        <v>19602950</v>
      </c>
      <c r="C77" s="482">
        <f t="shared" si="13"/>
        <v>9687777.8900000006</v>
      </c>
      <c r="D77" s="482">
        <v>3920590</v>
      </c>
      <c r="E77" s="524" t="s">
        <v>1672</v>
      </c>
      <c r="F77" s="482">
        <v>5</v>
      </c>
      <c r="G77" s="525" t="s">
        <v>1152</v>
      </c>
      <c r="H77" s="499" t="s">
        <v>1673</v>
      </c>
      <c r="I77" s="486">
        <v>52</v>
      </c>
      <c r="J77" s="478"/>
    </row>
    <row r="78" spans="1:10" s="480" customFormat="1" ht="34.5" customHeight="1">
      <c r="A78" s="509">
        <f>C78*G78</f>
        <v>0</v>
      </c>
      <c r="B78" s="509"/>
      <c r="C78" s="509">
        <f t="shared" si="13"/>
        <v>0</v>
      </c>
      <c r="D78" s="509"/>
      <c r="E78" s="510"/>
      <c r="F78" s="509"/>
      <c r="G78" s="527">
        <v>1</v>
      </c>
      <c r="H78" s="528" t="s">
        <v>1674</v>
      </c>
      <c r="I78" s="509">
        <v>64.3333333333333</v>
      </c>
      <c r="J78" s="478"/>
    </row>
    <row r="79" spans="1:10" s="480" customFormat="1" ht="34.5" customHeight="1" thickBot="1">
      <c r="A79" s="516">
        <f>C79*G79</f>
        <v>0</v>
      </c>
      <c r="B79" s="516"/>
      <c r="C79" s="516">
        <f t="shared" si="13"/>
        <v>0</v>
      </c>
      <c r="D79" s="516"/>
      <c r="E79" s="517"/>
      <c r="F79" s="516"/>
      <c r="G79" s="530"/>
      <c r="H79" s="519" t="s">
        <v>646</v>
      </c>
      <c r="I79" s="516">
        <v>64.761904761904802</v>
      </c>
      <c r="J79" s="478"/>
    </row>
    <row r="80" spans="1:10" s="480" customFormat="1" ht="39" customHeight="1">
      <c r="A80" s="471">
        <f t="shared" ref="A80:A82" si="17">ROUND(C80*F80,0)</f>
        <v>8506686839</v>
      </c>
      <c r="B80" s="1287">
        <f t="shared" ref="B80:B82" si="18">ROUND(F80*D80,0)</f>
        <v>3442609000</v>
      </c>
      <c r="C80" s="492">
        <f t="shared" si="13"/>
        <v>203363.30000000002</v>
      </c>
      <c r="D80" s="492">
        <v>82300</v>
      </c>
      <c r="E80" s="520" t="s">
        <v>1675</v>
      </c>
      <c r="F80" s="492">
        <f>SUM(F83:F87,F96:F98)*2+F81+F82</f>
        <v>41830</v>
      </c>
      <c r="G80" s="521" t="s">
        <v>1676</v>
      </c>
      <c r="H80" s="501" t="s">
        <v>1677</v>
      </c>
      <c r="I80" s="496">
        <v>53</v>
      </c>
      <c r="J80" s="478"/>
    </row>
    <row r="81" spans="1:10" s="480" customFormat="1" ht="39" customHeight="1">
      <c r="A81" s="471">
        <f t="shared" si="17"/>
        <v>1249767060</v>
      </c>
      <c r="B81" s="1287">
        <f t="shared" si="18"/>
        <v>505773800</v>
      </c>
      <c r="C81" s="472">
        <f t="shared" si="13"/>
        <v>232298.71000000002</v>
      </c>
      <c r="D81" s="472">
        <v>94010</v>
      </c>
      <c r="E81" s="428" t="s">
        <v>1678</v>
      </c>
      <c r="F81" s="472">
        <f>SUM(F88:F91,F93:F95)</f>
        <v>5380</v>
      </c>
      <c r="G81" s="497" t="s">
        <v>1676</v>
      </c>
      <c r="H81" s="498" t="s">
        <v>1677</v>
      </c>
      <c r="I81" s="476">
        <v>54</v>
      </c>
      <c r="J81" s="478"/>
    </row>
    <row r="82" spans="1:10" s="480" customFormat="1" ht="39" customHeight="1" thickBot="1">
      <c r="A82" s="471">
        <f t="shared" si="17"/>
        <v>217960733</v>
      </c>
      <c r="B82" s="1287">
        <f t="shared" si="18"/>
        <v>88207500</v>
      </c>
      <c r="C82" s="482">
        <f t="shared" si="13"/>
        <v>290614.31</v>
      </c>
      <c r="D82" s="482">
        <v>117610</v>
      </c>
      <c r="E82" s="524" t="s">
        <v>1679</v>
      </c>
      <c r="F82" s="482">
        <f>F92</f>
        <v>750</v>
      </c>
      <c r="G82" s="525" t="s">
        <v>1676</v>
      </c>
      <c r="H82" s="499" t="s">
        <v>1677</v>
      </c>
      <c r="I82" s="486">
        <v>55</v>
      </c>
      <c r="J82" s="478"/>
    </row>
    <row r="83" spans="1:10" s="480" customFormat="1" ht="36" customHeight="1">
      <c r="A83" s="509">
        <f t="shared" ref="A83:A122" si="19">C83*F83</f>
        <v>0</v>
      </c>
      <c r="B83" s="509"/>
      <c r="C83" s="509">
        <f t="shared" si="13"/>
        <v>0</v>
      </c>
      <c r="D83" s="509"/>
      <c r="E83" s="510"/>
      <c r="F83" s="509">
        <v>8200</v>
      </c>
      <c r="G83" s="527" t="s">
        <v>1676</v>
      </c>
      <c r="H83" s="528" t="s">
        <v>648</v>
      </c>
      <c r="I83" s="509">
        <v>56</v>
      </c>
      <c r="J83" s="478"/>
    </row>
    <row r="84" spans="1:10" s="480" customFormat="1" ht="36" customHeight="1">
      <c r="A84" s="1041">
        <f t="shared" si="19"/>
        <v>0</v>
      </c>
      <c r="B84" s="1041"/>
      <c r="C84" s="1041">
        <f t="shared" si="13"/>
        <v>0</v>
      </c>
      <c r="D84" s="1041"/>
      <c r="E84" s="513"/>
      <c r="F84" s="1041"/>
      <c r="G84" s="529" t="s">
        <v>1676</v>
      </c>
      <c r="H84" s="515" t="s">
        <v>686</v>
      </c>
      <c r="I84" s="1041">
        <v>57</v>
      </c>
      <c r="J84" s="478"/>
    </row>
    <row r="85" spans="1:10" s="480" customFormat="1" ht="36" customHeight="1">
      <c r="A85" s="1041">
        <f t="shared" si="19"/>
        <v>0</v>
      </c>
      <c r="B85" s="1041"/>
      <c r="C85" s="1041">
        <f t="shared" si="13"/>
        <v>0</v>
      </c>
      <c r="D85" s="1041"/>
      <c r="E85" s="513"/>
      <c r="F85" s="1041">
        <v>2100</v>
      </c>
      <c r="G85" s="529" t="s">
        <v>1676</v>
      </c>
      <c r="H85" s="515" t="s">
        <v>650</v>
      </c>
      <c r="I85" s="1041">
        <v>58</v>
      </c>
      <c r="J85" s="478"/>
    </row>
    <row r="86" spans="1:10" s="480" customFormat="1" ht="36" customHeight="1">
      <c r="A86" s="1041">
        <f t="shared" si="19"/>
        <v>0</v>
      </c>
      <c r="B86" s="1041"/>
      <c r="C86" s="1041">
        <f t="shared" si="13"/>
        <v>0</v>
      </c>
      <c r="D86" s="1041"/>
      <c r="E86" s="513"/>
      <c r="F86" s="1041">
        <v>4100</v>
      </c>
      <c r="G86" s="529" t="s">
        <v>1676</v>
      </c>
      <c r="H86" s="515" t="s">
        <v>653</v>
      </c>
      <c r="I86" s="1041">
        <v>59</v>
      </c>
      <c r="J86" s="478"/>
    </row>
    <row r="87" spans="1:10" s="480" customFormat="1" ht="36" customHeight="1">
      <c r="A87" s="1041">
        <f t="shared" si="19"/>
        <v>0</v>
      </c>
      <c r="B87" s="1041"/>
      <c r="C87" s="1041">
        <f t="shared" si="13"/>
        <v>0</v>
      </c>
      <c r="D87" s="1041"/>
      <c r="E87" s="513"/>
      <c r="F87" s="1041">
        <v>550</v>
      </c>
      <c r="G87" s="529" t="s">
        <v>1676</v>
      </c>
      <c r="H87" s="515" t="s">
        <v>655</v>
      </c>
      <c r="I87" s="1041">
        <v>60</v>
      </c>
      <c r="J87" s="478"/>
    </row>
    <row r="88" spans="1:10" s="480" customFormat="1" ht="36" customHeight="1">
      <c r="A88" s="1041">
        <f t="shared" si="19"/>
        <v>0</v>
      </c>
      <c r="B88" s="1041"/>
      <c r="C88" s="1041">
        <f t="shared" si="13"/>
        <v>0</v>
      </c>
      <c r="D88" s="1041"/>
      <c r="E88" s="513"/>
      <c r="F88" s="1041">
        <v>250</v>
      </c>
      <c r="G88" s="529" t="s">
        <v>1676</v>
      </c>
      <c r="H88" s="515" t="s">
        <v>657</v>
      </c>
      <c r="I88" s="1041">
        <v>61</v>
      </c>
      <c r="J88" s="478"/>
    </row>
    <row r="89" spans="1:10" s="480" customFormat="1" ht="36" customHeight="1">
      <c r="A89" s="1041">
        <f t="shared" si="19"/>
        <v>0</v>
      </c>
      <c r="B89" s="1041"/>
      <c r="C89" s="1041">
        <f t="shared" si="13"/>
        <v>0</v>
      </c>
      <c r="D89" s="1041"/>
      <c r="E89" s="513"/>
      <c r="F89" s="1041"/>
      <c r="G89" s="529" t="s">
        <v>1676</v>
      </c>
      <c r="H89" s="515" t="s">
        <v>1680</v>
      </c>
      <c r="I89" s="1041">
        <v>62</v>
      </c>
      <c r="J89" s="478"/>
    </row>
    <row r="90" spans="1:10" s="480" customFormat="1" ht="36" customHeight="1">
      <c r="A90" s="1041">
        <f t="shared" si="19"/>
        <v>0</v>
      </c>
      <c r="B90" s="1041"/>
      <c r="C90" s="1041">
        <f t="shared" si="13"/>
        <v>0</v>
      </c>
      <c r="D90" s="1041"/>
      <c r="E90" s="513"/>
      <c r="F90" s="1041"/>
      <c r="G90" s="529" t="s">
        <v>1676</v>
      </c>
      <c r="H90" s="515" t="s">
        <v>690</v>
      </c>
      <c r="I90" s="1041">
        <v>63</v>
      </c>
      <c r="J90" s="478"/>
    </row>
    <row r="91" spans="1:10" s="480" customFormat="1" ht="36" customHeight="1">
      <c r="A91" s="1041">
        <f t="shared" si="19"/>
        <v>0</v>
      </c>
      <c r="B91" s="1041"/>
      <c r="C91" s="1041">
        <f t="shared" si="13"/>
        <v>0</v>
      </c>
      <c r="D91" s="1041"/>
      <c r="E91" s="513"/>
      <c r="F91" s="1041">
        <v>200</v>
      </c>
      <c r="G91" s="529" t="s">
        <v>1676</v>
      </c>
      <c r="H91" s="515" t="s">
        <v>692</v>
      </c>
      <c r="I91" s="1041">
        <v>64</v>
      </c>
      <c r="J91" s="478"/>
    </row>
    <row r="92" spans="1:10" s="480" customFormat="1" ht="36" customHeight="1">
      <c r="A92" s="1041">
        <f t="shared" si="19"/>
        <v>0</v>
      </c>
      <c r="B92" s="1041"/>
      <c r="C92" s="1041">
        <f t="shared" si="13"/>
        <v>0</v>
      </c>
      <c r="D92" s="1041"/>
      <c r="E92" s="513"/>
      <c r="F92" s="1041">
        <v>750</v>
      </c>
      <c r="G92" s="529" t="s">
        <v>1676</v>
      </c>
      <c r="H92" s="515" t="s">
        <v>659</v>
      </c>
      <c r="I92" s="1041">
        <v>65</v>
      </c>
      <c r="J92" s="478"/>
    </row>
    <row r="93" spans="1:10" s="535" customFormat="1" ht="36" customHeight="1">
      <c r="A93" s="1041">
        <f t="shared" si="19"/>
        <v>0</v>
      </c>
      <c r="B93" s="1041"/>
      <c r="C93" s="1041">
        <f t="shared" si="13"/>
        <v>0</v>
      </c>
      <c r="D93" s="1041"/>
      <c r="E93" s="513"/>
      <c r="F93" s="1041">
        <v>280</v>
      </c>
      <c r="G93" s="532" t="s">
        <v>1676</v>
      </c>
      <c r="H93" s="533" t="s">
        <v>669</v>
      </c>
      <c r="I93" s="1041">
        <v>66</v>
      </c>
      <c r="J93" s="534"/>
    </row>
    <row r="94" spans="1:10" s="535" customFormat="1" ht="36" customHeight="1">
      <c r="A94" s="1041">
        <f t="shared" si="19"/>
        <v>0</v>
      </c>
      <c r="B94" s="1041"/>
      <c r="C94" s="1041">
        <f t="shared" si="13"/>
        <v>0</v>
      </c>
      <c r="D94" s="1041"/>
      <c r="E94" s="513"/>
      <c r="F94" s="1041">
        <v>3900</v>
      </c>
      <c r="G94" s="532" t="s">
        <v>1676</v>
      </c>
      <c r="H94" s="533" t="s">
        <v>671</v>
      </c>
      <c r="I94" s="1041">
        <v>67</v>
      </c>
      <c r="J94" s="534"/>
    </row>
    <row r="95" spans="1:10" s="535" customFormat="1" ht="36" customHeight="1">
      <c r="A95" s="1041">
        <f t="shared" si="19"/>
        <v>0</v>
      </c>
      <c r="B95" s="1041"/>
      <c r="C95" s="1041">
        <f t="shared" si="13"/>
        <v>0</v>
      </c>
      <c r="D95" s="1041"/>
      <c r="E95" s="513"/>
      <c r="F95" s="1041">
        <v>750</v>
      </c>
      <c r="G95" s="532" t="s">
        <v>1676</v>
      </c>
      <c r="H95" s="533" t="s">
        <v>673</v>
      </c>
      <c r="I95" s="1041">
        <v>68</v>
      </c>
      <c r="J95" s="534"/>
    </row>
    <row r="96" spans="1:10" s="480" customFormat="1" ht="36" customHeight="1">
      <c r="A96" s="1041">
        <f t="shared" si="19"/>
        <v>0</v>
      </c>
      <c r="B96" s="1041"/>
      <c r="C96" s="1041">
        <f t="shared" si="13"/>
        <v>0</v>
      </c>
      <c r="D96" s="1041"/>
      <c r="E96" s="513"/>
      <c r="F96" s="1041">
        <v>1100</v>
      </c>
      <c r="G96" s="529" t="s">
        <v>1676</v>
      </c>
      <c r="H96" s="515" t="s">
        <v>661</v>
      </c>
      <c r="I96" s="1041">
        <v>69</v>
      </c>
      <c r="J96" s="478"/>
    </row>
    <row r="97" spans="1:10" s="480" customFormat="1" ht="36" customHeight="1">
      <c r="A97" s="1041">
        <f t="shared" si="19"/>
        <v>0</v>
      </c>
      <c r="B97" s="1041"/>
      <c r="C97" s="1041">
        <f t="shared" si="13"/>
        <v>0</v>
      </c>
      <c r="D97" s="1041"/>
      <c r="E97" s="513"/>
      <c r="F97" s="1041">
        <v>1500</v>
      </c>
      <c r="G97" s="529" t="s">
        <v>1676</v>
      </c>
      <c r="H97" s="515" t="s">
        <v>665</v>
      </c>
      <c r="I97" s="1041">
        <v>70</v>
      </c>
      <c r="J97" s="478"/>
    </row>
    <row r="98" spans="1:10" s="480" customFormat="1" ht="36" customHeight="1">
      <c r="A98" s="1041">
        <f t="shared" si="19"/>
        <v>0</v>
      </c>
      <c r="B98" s="1041"/>
      <c r="C98" s="1041">
        <f t="shared" si="13"/>
        <v>0</v>
      </c>
      <c r="D98" s="1041"/>
      <c r="E98" s="513"/>
      <c r="F98" s="1041">
        <v>300</v>
      </c>
      <c r="G98" s="529" t="s">
        <v>1676</v>
      </c>
      <c r="H98" s="515" t="s">
        <v>667</v>
      </c>
      <c r="I98" s="1041">
        <v>71</v>
      </c>
      <c r="J98" s="478"/>
    </row>
    <row r="99" spans="1:10" s="480" customFormat="1" ht="36" customHeight="1" thickBot="1">
      <c r="A99" s="516">
        <f t="shared" si="19"/>
        <v>0</v>
      </c>
      <c r="B99" s="516"/>
      <c r="C99" s="516">
        <f t="shared" si="13"/>
        <v>0</v>
      </c>
      <c r="D99" s="516"/>
      <c r="E99" s="518"/>
      <c r="F99" s="516"/>
      <c r="G99" s="530"/>
      <c r="H99" s="519" t="s">
        <v>681</v>
      </c>
      <c r="I99" s="516">
        <v>72</v>
      </c>
      <c r="J99" s="478"/>
    </row>
    <row r="100" spans="1:10" s="480" customFormat="1" ht="30" customHeight="1">
      <c r="A100" s="471">
        <f t="shared" ref="A100:A103" si="20">ROUND(C100*F100,0)</f>
        <v>6093862828</v>
      </c>
      <c r="B100" s="1287">
        <f t="shared" ref="B100:B103" si="21">ROUND(F100*D100,0)</f>
        <v>2466152500</v>
      </c>
      <c r="C100" s="492">
        <f t="shared" si="13"/>
        <v>183274.07</v>
      </c>
      <c r="D100" s="492">
        <v>74170</v>
      </c>
      <c r="E100" s="520" t="s">
        <v>1681</v>
      </c>
      <c r="F100" s="492">
        <f>SUM(F104:F109,F111:F113)*2+F102+F103+F101</f>
        <v>33250</v>
      </c>
      <c r="G100" s="521" t="s">
        <v>1676</v>
      </c>
      <c r="H100" s="501" t="s">
        <v>1682</v>
      </c>
      <c r="I100" s="496">
        <v>56</v>
      </c>
      <c r="J100" s="478"/>
    </row>
    <row r="101" spans="1:10" s="480" customFormat="1" ht="30" customHeight="1">
      <c r="A101" s="471">
        <f t="shared" si="20"/>
        <v>282780005</v>
      </c>
      <c r="B101" s="1287">
        <f t="shared" si="21"/>
        <v>114439500</v>
      </c>
      <c r="C101" s="472">
        <f t="shared" si="13"/>
        <v>209466.67</v>
      </c>
      <c r="D101" s="472">
        <v>84770</v>
      </c>
      <c r="E101" s="428" t="s">
        <v>1683</v>
      </c>
      <c r="F101" s="472">
        <f>SUM(F110,F114:F116)</f>
        <v>1350</v>
      </c>
      <c r="G101" s="497" t="s">
        <v>1676</v>
      </c>
      <c r="H101" s="498" t="s">
        <v>1682</v>
      </c>
      <c r="I101" s="476">
        <v>57</v>
      </c>
      <c r="J101" s="478"/>
    </row>
    <row r="102" spans="1:10" s="480" customFormat="1" ht="30" customHeight="1">
      <c r="A102" s="471">
        <f t="shared" si="20"/>
        <v>3979219328</v>
      </c>
      <c r="B102" s="1287">
        <f t="shared" si="21"/>
        <v>1610368000</v>
      </c>
      <c r="C102" s="472">
        <f t="shared" si="13"/>
        <v>216261.92</v>
      </c>
      <c r="D102" s="472">
        <v>87520</v>
      </c>
      <c r="E102" s="428" t="s">
        <v>1684</v>
      </c>
      <c r="F102" s="472">
        <f>SUM(F118:F120)</f>
        <v>18400</v>
      </c>
      <c r="G102" s="497" t="s">
        <v>1676</v>
      </c>
      <c r="H102" s="498" t="s">
        <v>1685</v>
      </c>
      <c r="I102" s="476">
        <v>58</v>
      </c>
      <c r="J102" s="478"/>
    </row>
    <row r="103" spans="1:10" s="480" customFormat="1" ht="30" customHeight="1" thickBot="1">
      <c r="A103" s="471">
        <f t="shared" si="20"/>
        <v>938016310</v>
      </c>
      <c r="B103" s="1287">
        <f t="shared" si="21"/>
        <v>379610000</v>
      </c>
      <c r="C103" s="482">
        <f t="shared" si="13"/>
        <v>268004.66000000003</v>
      </c>
      <c r="D103" s="482">
        <v>108460</v>
      </c>
      <c r="E103" s="524" t="s">
        <v>1686</v>
      </c>
      <c r="F103" s="482">
        <f>SUM(F121:F122)</f>
        <v>3500</v>
      </c>
      <c r="G103" s="525" t="s">
        <v>1676</v>
      </c>
      <c r="H103" s="499" t="s">
        <v>1685</v>
      </c>
      <c r="I103" s="486">
        <v>59</v>
      </c>
      <c r="J103" s="478"/>
    </row>
    <row r="104" spans="1:10" s="480" customFormat="1" ht="34.5" customHeight="1">
      <c r="A104" s="509">
        <f t="shared" si="19"/>
        <v>0</v>
      </c>
      <c r="B104" s="509"/>
      <c r="C104" s="509">
        <f t="shared" si="13"/>
        <v>0</v>
      </c>
      <c r="D104" s="509"/>
      <c r="E104" s="510"/>
      <c r="F104" s="509">
        <v>2000</v>
      </c>
      <c r="G104" s="527" t="s">
        <v>1676</v>
      </c>
      <c r="H104" s="528" t="s">
        <v>683</v>
      </c>
      <c r="I104" s="509">
        <v>60</v>
      </c>
      <c r="J104" s="478"/>
    </row>
    <row r="105" spans="1:10" s="480" customFormat="1" ht="34.5" customHeight="1">
      <c r="A105" s="1041">
        <f t="shared" si="19"/>
        <v>0</v>
      </c>
      <c r="B105" s="1041"/>
      <c r="C105" s="1041">
        <f t="shared" si="13"/>
        <v>0</v>
      </c>
      <c r="D105" s="1041"/>
      <c r="E105" s="513"/>
      <c r="F105" s="1041">
        <v>150</v>
      </c>
      <c r="G105" s="529" t="s">
        <v>1676</v>
      </c>
      <c r="H105" s="515" t="s">
        <v>648</v>
      </c>
      <c r="I105" s="1041">
        <v>61</v>
      </c>
      <c r="J105" s="478"/>
    </row>
    <row r="106" spans="1:10" s="480" customFormat="1" ht="34.5" customHeight="1">
      <c r="A106" s="1041">
        <f t="shared" si="19"/>
        <v>0</v>
      </c>
      <c r="B106" s="1041"/>
      <c r="C106" s="1041">
        <f t="shared" si="13"/>
        <v>0</v>
      </c>
      <c r="D106" s="1041"/>
      <c r="E106" s="513"/>
      <c r="F106" s="1041">
        <v>250</v>
      </c>
      <c r="G106" s="529" t="s">
        <v>1676</v>
      </c>
      <c r="H106" s="515" t="s">
        <v>686</v>
      </c>
      <c r="I106" s="1041">
        <v>62</v>
      </c>
      <c r="J106" s="478"/>
    </row>
    <row r="107" spans="1:10" s="480" customFormat="1" ht="34.5" customHeight="1">
      <c r="A107" s="1041">
        <f t="shared" si="19"/>
        <v>0</v>
      </c>
      <c r="B107" s="1041"/>
      <c r="C107" s="1041">
        <f t="shared" si="13"/>
        <v>0</v>
      </c>
      <c r="D107" s="1041"/>
      <c r="E107" s="513"/>
      <c r="F107" s="1041">
        <v>300</v>
      </c>
      <c r="G107" s="529" t="s">
        <v>1676</v>
      </c>
      <c r="H107" s="515" t="s">
        <v>653</v>
      </c>
      <c r="I107" s="1041">
        <v>63</v>
      </c>
      <c r="J107" s="478"/>
    </row>
    <row r="108" spans="1:10" s="480" customFormat="1" ht="34.5" customHeight="1">
      <c r="A108" s="1041">
        <f t="shared" si="19"/>
        <v>0</v>
      </c>
      <c r="B108" s="1041"/>
      <c r="C108" s="1041">
        <f t="shared" si="13"/>
        <v>0</v>
      </c>
      <c r="D108" s="1041"/>
      <c r="E108" s="513"/>
      <c r="F108" s="1041">
        <v>650</v>
      </c>
      <c r="G108" s="529" t="s">
        <v>1676</v>
      </c>
      <c r="H108" s="515" t="s">
        <v>655</v>
      </c>
      <c r="I108" s="1041">
        <v>64</v>
      </c>
      <c r="J108" s="478"/>
    </row>
    <row r="109" spans="1:10" s="480" customFormat="1" ht="34.5" customHeight="1">
      <c r="A109" s="1041">
        <f t="shared" si="19"/>
        <v>0</v>
      </c>
      <c r="B109" s="1041"/>
      <c r="C109" s="1041">
        <f t="shared" si="13"/>
        <v>0</v>
      </c>
      <c r="D109" s="1041"/>
      <c r="E109" s="513"/>
      <c r="F109" s="1041">
        <v>500</v>
      </c>
      <c r="G109" s="529" t="s">
        <v>1676</v>
      </c>
      <c r="H109" s="515" t="s">
        <v>690</v>
      </c>
      <c r="I109" s="1041">
        <v>65</v>
      </c>
      <c r="J109" s="478"/>
    </row>
    <row r="110" spans="1:10" s="480" customFormat="1" ht="34.5" customHeight="1">
      <c r="A110" s="1041">
        <f t="shared" si="19"/>
        <v>0</v>
      </c>
      <c r="B110" s="1041"/>
      <c r="C110" s="1041">
        <f t="shared" si="13"/>
        <v>0</v>
      </c>
      <c r="D110" s="1041"/>
      <c r="E110" s="513"/>
      <c r="F110" s="1041">
        <v>100</v>
      </c>
      <c r="G110" s="529" t="s">
        <v>1676</v>
      </c>
      <c r="H110" s="515" t="s">
        <v>692</v>
      </c>
      <c r="I110" s="1041">
        <v>66</v>
      </c>
      <c r="J110" s="478"/>
    </row>
    <row r="111" spans="1:10" s="480" customFormat="1" ht="34.5" customHeight="1">
      <c r="A111" s="1041">
        <f t="shared" si="19"/>
        <v>0</v>
      </c>
      <c r="B111" s="1041"/>
      <c r="C111" s="1041">
        <f t="shared" si="13"/>
        <v>0</v>
      </c>
      <c r="D111" s="1041"/>
      <c r="E111" s="513"/>
      <c r="F111" s="1041">
        <v>400</v>
      </c>
      <c r="G111" s="529" t="s">
        <v>1676</v>
      </c>
      <c r="H111" s="515" t="s">
        <v>661</v>
      </c>
      <c r="I111" s="1041">
        <v>67</v>
      </c>
      <c r="J111" s="478"/>
    </row>
    <row r="112" spans="1:10" s="480" customFormat="1" ht="34.5" customHeight="1">
      <c r="A112" s="1041">
        <f t="shared" si="19"/>
        <v>0</v>
      </c>
      <c r="B112" s="1041"/>
      <c r="C112" s="1041">
        <f t="shared" si="13"/>
        <v>0</v>
      </c>
      <c r="D112" s="1041"/>
      <c r="E112" s="513"/>
      <c r="F112" s="1041">
        <v>600</v>
      </c>
      <c r="G112" s="529" t="s">
        <v>1676</v>
      </c>
      <c r="H112" s="515" t="s">
        <v>667</v>
      </c>
      <c r="I112" s="1041">
        <v>68</v>
      </c>
      <c r="J112" s="478"/>
    </row>
    <row r="113" spans="1:10" s="535" customFormat="1" ht="34.5" customHeight="1">
      <c r="A113" s="1041">
        <f t="shared" si="19"/>
        <v>0</v>
      </c>
      <c r="B113" s="1041"/>
      <c r="C113" s="1041">
        <f t="shared" si="13"/>
        <v>0</v>
      </c>
      <c r="D113" s="1041"/>
      <c r="E113" s="513"/>
      <c r="F113" s="1041">
        <v>150</v>
      </c>
      <c r="G113" s="529" t="s">
        <v>1676</v>
      </c>
      <c r="H113" s="533" t="s">
        <v>665</v>
      </c>
      <c r="I113" s="1041">
        <v>69</v>
      </c>
      <c r="J113" s="534"/>
    </row>
    <row r="114" spans="1:10" s="535" customFormat="1" ht="34.5" customHeight="1">
      <c r="A114" s="1041">
        <f t="shared" si="19"/>
        <v>0</v>
      </c>
      <c r="B114" s="1041"/>
      <c r="C114" s="1041">
        <f t="shared" si="13"/>
        <v>0</v>
      </c>
      <c r="D114" s="1041"/>
      <c r="E114" s="513"/>
      <c r="F114" s="1041">
        <v>50</v>
      </c>
      <c r="G114" s="529" t="s">
        <v>1676</v>
      </c>
      <c r="H114" s="533" t="s">
        <v>669</v>
      </c>
      <c r="I114" s="1041">
        <v>70</v>
      </c>
      <c r="J114" s="534"/>
    </row>
    <row r="115" spans="1:10" s="535" customFormat="1" ht="34.5" customHeight="1">
      <c r="A115" s="1041">
        <f t="shared" si="19"/>
        <v>0</v>
      </c>
      <c r="B115" s="1041"/>
      <c r="C115" s="1041">
        <f t="shared" si="13"/>
        <v>0</v>
      </c>
      <c r="D115" s="1041"/>
      <c r="E115" s="513"/>
      <c r="F115" s="1041">
        <v>100</v>
      </c>
      <c r="G115" s="529" t="s">
        <v>1676</v>
      </c>
      <c r="H115" s="533" t="s">
        <v>698</v>
      </c>
      <c r="I115" s="1041">
        <v>71</v>
      </c>
      <c r="J115" s="534"/>
    </row>
    <row r="116" spans="1:10" s="535" customFormat="1" ht="34.5" customHeight="1">
      <c r="A116" s="1041">
        <f t="shared" si="19"/>
        <v>0</v>
      </c>
      <c r="B116" s="1041"/>
      <c r="C116" s="1041">
        <f t="shared" si="13"/>
        <v>0</v>
      </c>
      <c r="D116" s="1041"/>
      <c r="E116" s="513"/>
      <c r="F116" s="1041">
        <v>1100</v>
      </c>
      <c r="G116" s="529" t="s">
        <v>1676</v>
      </c>
      <c r="H116" s="533" t="s">
        <v>673</v>
      </c>
      <c r="I116" s="1041">
        <v>72</v>
      </c>
      <c r="J116" s="534"/>
    </row>
    <row r="117" spans="1:10" s="480" customFormat="1" ht="34.5" customHeight="1">
      <c r="A117" s="1041">
        <f t="shared" si="19"/>
        <v>0</v>
      </c>
      <c r="B117" s="1041"/>
      <c r="C117" s="1041">
        <f t="shared" si="13"/>
        <v>0</v>
      </c>
      <c r="D117" s="1041"/>
      <c r="E117" s="513"/>
      <c r="F117" s="1041"/>
      <c r="G117" s="529" t="s">
        <v>1676</v>
      </c>
      <c r="H117" s="515" t="s">
        <v>1687</v>
      </c>
      <c r="I117" s="1041">
        <v>73</v>
      </c>
      <c r="J117" s="478"/>
    </row>
    <row r="118" spans="1:10" s="535" customFormat="1" ht="34.5" customHeight="1">
      <c r="A118" s="1041">
        <f t="shared" si="19"/>
        <v>0</v>
      </c>
      <c r="B118" s="1041"/>
      <c r="C118" s="1041">
        <f t="shared" si="13"/>
        <v>0</v>
      </c>
      <c r="D118" s="1041"/>
      <c r="E118" s="513"/>
      <c r="F118" s="1041">
        <v>15000</v>
      </c>
      <c r="G118" s="529" t="s">
        <v>1676</v>
      </c>
      <c r="H118" s="533" t="s">
        <v>711</v>
      </c>
      <c r="I118" s="1041">
        <v>74</v>
      </c>
      <c r="J118" s="534"/>
    </row>
    <row r="119" spans="1:10" s="535" customFormat="1" ht="34.5" customHeight="1">
      <c r="A119" s="1041">
        <f t="shared" si="19"/>
        <v>0</v>
      </c>
      <c r="B119" s="1041"/>
      <c r="C119" s="1041">
        <f t="shared" si="13"/>
        <v>0</v>
      </c>
      <c r="D119" s="1041"/>
      <c r="E119" s="513"/>
      <c r="F119" s="1041">
        <v>2000</v>
      </c>
      <c r="G119" s="529" t="s">
        <v>1676</v>
      </c>
      <c r="H119" s="533" t="s">
        <v>671</v>
      </c>
      <c r="I119" s="1041">
        <v>75</v>
      </c>
      <c r="J119" s="534"/>
    </row>
    <row r="120" spans="1:10" s="535" customFormat="1" ht="34.5" customHeight="1">
      <c r="A120" s="1041">
        <f t="shared" si="19"/>
        <v>0</v>
      </c>
      <c r="B120" s="1041"/>
      <c r="C120" s="1041">
        <f t="shared" si="13"/>
        <v>0</v>
      </c>
      <c r="D120" s="1041"/>
      <c r="E120" s="513"/>
      <c r="F120" s="1041">
        <v>1400</v>
      </c>
      <c r="G120" s="529" t="s">
        <v>1676</v>
      </c>
      <c r="H120" s="533" t="s">
        <v>657</v>
      </c>
      <c r="I120" s="1041">
        <v>76</v>
      </c>
      <c r="J120" s="534"/>
    </row>
    <row r="121" spans="1:10" s="535" customFormat="1" ht="34.5" customHeight="1">
      <c r="A121" s="1041">
        <f t="shared" si="19"/>
        <v>0</v>
      </c>
      <c r="B121" s="1041"/>
      <c r="C121" s="1041">
        <f t="shared" si="13"/>
        <v>0</v>
      </c>
      <c r="D121" s="1041"/>
      <c r="E121" s="513"/>
      <c r="F121" s="1041">
        <v>2500</v>
      </c>
      <c r="G121" s="529" t="s">
        <v>1676</v>
      </c>
      <c r="H121" s="533" t="s">
        <v>1688</v>
      </c>
      <c r="I121" s="1041">
        <v>77</v>
      </c>
      <c r="J121" s="534"/>
    </row>
    <row r="122" spans="1:10" s="535" customFormat="1" ht="34.5" customHeight="1" thickBot="1">
      <c r="A122" s="516">
        <f t="shared" si="19"/>
        <v>0</v>
      </c>
      <c r="B122" s="516"/>
      <c r="C122" s="516">
        <f t="shared" si="13"/>
        <v>0</v>
      </c>
      <c r="D122" s="516"/>
      <c r="E122" s="517"/>
      <c r="F122" s="516">
        <v>1000</v>
      </c>
      <c r="G122" s="530" t="s">
        <v>1676</v>
      </c>
      <c r="H122" s="536" t="s">
        <v>659</v>
      </c>
      <c r="I122" s="516">
        <v>78</v>
      </c>
      <c r="J122" s="534"/>
    </row>
    <row r="123" spans="1:10" s="535" customFormat="1" ht="30" customHeight="1">
      <c r="A123" s="471">
        <f t="shared" ref="A123:A147" si="22">ROUND(C123*F123,0)</f>
        <v>606081938</v>
      </c>
      <c r="B123" s="1287">
        <f t="shared" ref="B123:B147" si="23">ROUND(F123*D123,0)</f>
        <v>245278000</v>
      </c>
      <c r="C123" s="492">
        <f t="shared" si="13"/>
        <v>550983.58000000007</v>
      </c>
      <c r="D123" s="492">
        <v>222980</v>
      </c>
      <c r="E123" s="520" t="s">
        <v>1689</v>
      </c>
      <c r="F123" s="492">
        <v>1100</v>
      </c>
      <c r="G123" s="521" t="s">
        <v>1383</v>
      </c>
      <c r="H123" s="537" t="s">
        <v>1690</v>
      </c>
      <c r="I123" s="496">
        <v>60</v>
      </c>
      <c r="J123" s="534"/>
    </row>
    <row r="124" spans="1:10" s="535" customFormat="1" ht="30" customHeight="1">
      <c r="A124" s="471">
        <f t="shared" si="22"/>
        <v>862317225</v>
      </c>
      <c r="B124" s="1287">
        <f t="shared" si="23"/>
        <v>348975000</v>
      </c>
      <c r="C124" s="472">
        <f t="shared" si="13"/>
        <v>783924.75</v>
      </c>
      <c r="D124" s="472">
        <v>317250</v>
      </c>
      <c r="E124" s="428" t="s">
        <v>1691</v>
      </c>
      <c r="F124" s="472">
        <v>1100</v>
      </c>
      <c r="G124" s="497" t="s">
        <v>1383</v>
      </c>
      <c r="H124" s="538" t="s">
        <v>1692</v>
      </c>
      <c r="I124" s="476">
        <v>61</v>
      </c>
      <c r="J124" s="534"/>
    </row>
    <row r="125" spans="1:10" s="535" customFormat="1" ht="30" customHeight="1">
      <c r="A125" s="471">
        <f t="shared" si="22"/>
        <v>492149070</v>
      </c>
      <c r="B125" s="1287">
        <f t="shared" si="23"/>
        <v>199170000</v>
      </c>
      <c r="C125" s="472">
        <f t="shared" si="13"/>
        <v>820248.45000000007</v>
      </c>
      <c r="D125" s="472">
        <v>331950</v>
      </c>
      <c r="E125" s="428" t="s">
        <v>1693</v>
      </c>
      <c r="F125" s="472">
        <v>600</v>
      </c>
      <c r="G125" s="497" t="s">
        <v>1694</v>
      </c>
      <c r="H125" s="538" t="s">
        <v>1695</v>
      </c>
      <c r="I125" s="476">
        <v>62</v>
      </c>
      <c r="J125" s="534"/>
    </row>
    <row r="126" spans="1:10" s="535" customFormat="1" ht="30" customHeight="1">
      <c r="A126" s="471">
        <f t="shared" si="22"/>
        <v>290767512</v>
      </c>
      <c r="B126" s="1287">
        <f t="shared" si="23"/>
        <v>117672000</v>
      </c>
      <c r="C126" s="472">
        <f t="shared" si="13"/>
        <v>363459.39</v>
      </c>
      <c r="D126" s="472">
        <v>147090</v>
      </c>
      <c r="E126" s="428" t="s">
        <v>1696</v>
      </c>
      <c r="F126" s="472">
        <v>800</v>
      </c>
      <c r="G126" s="497" t="s">
        <v>1694</v>
      </c>
      <c r="H126" s="538" t="s">
        <v>1697</v>
      </c>
      <c r="I126" s="476">
        <v>63</v>
      </c>
      <c r="J126" s="534"/>
    </row>
    <row r="127" spans="1:10" s="535" customFormat="1" ht="30" customHeight="1">
      <c r="A127" s="471">
        <f t="shared" si="22"/>
        <v>109025462</v>
      </c>
      <c r="B127" s="1287">
        <f t="shared" si="23"/>
        <v>44122000</v>
      </c>
      <c r="C127" s="472">
        <f t="shared" si="13"/>
        <v>545127.31000000006</v>
      </c>
      <c r="D127" s="472">
        <v>220610</v>
      </c>
      <c r="E127" s="428" t="s">
        <v>1698</v>
      </c>
      <c r="F127" s="472">
        <v>200</v>
      </c>
      <c r="G127" s="497" t="s">
        <v>1694</v>
      </c>
      <c r="H127" s="538" t="s">
        <v>1697</v>
      </c>
      <c r="I127" s="476">
        <v>64</v>
      </c>
      <c r="J127" s="534"/>
    </row>
    <row r="128" spans="1:10" s="535" customFormat="1" ht="30" customHeight="1">
      <c r="A128" s="471">
        <f t="shared" si="22"/>
        <v>251814668</v>
      </c>
      <c r="B128" s="1287">
        <f t="shared" si="23"/>
        <v>101908000</v>
      </c>
      <c r="C128" s="472">
        <f t="shared" si="13"/>
        <v>1259073.3400000001</v>
      </c>
      <c r="D128" s="472">
        <v>509540</v>
      </c>
      <c r="E128" s="428" t="s">
        <v>1699</v>
      </c>
      <c r="F128" s="472">
        <v>200</v>
      </c>
      <c r="G128" s="497" t="s">
        <v>1694</v>
      </c>
      <c r="H128" s="538" t="s">
        <v>1697</v>
      </c>
      <c r="I128" s="476">
        <v>65</v>
      </c>
      <c r="J128" s="534"/>
    </row>
    <row r="129" spans="1:10" s="535" customFormat="1" ht="30" customHeight="1">
      <c r="A129" s="471">
        <f t="shared" si="22"/>
        <v>136863748</v>
      </c>
      <c r="B129" s="1287">
        <f t="shared" si="23"/>
        <v>55388000</v>
      </c>
      <c r="C129" s="472">
        <f t="shared" si="13"/>
        <v>342159.37</v>
      </c>
      <c r="D129" s="472">
        <v>138470</v>
      </c>
      <c r="E129" s="428" t="s">
        <v>1700</v>
      </c>
      <c r="F129" s="472">
        <v>400</v>
      </c>
      <c r="G129" s="497" t="s">
        <v>1694</v>
      </c>
      <c r="H129" s="538" t="s">
        <v>1701</v>
      </c>
      <c r="I129" s="476">
        <v>66</v>
      </c>
      <c r="J129" s="534"/>
    </row>
    <row r="130" spans="1:10" s="535" customFormat="1" ht="30" customHeight="1">
      <c r="A130" s="471">
        <f t="shared" si="22"/>
        <v>307936020</v>
      </c>
      <c r="B130" s="1287">
        <f t="shared" si="23"/>
        <v>124620000</v>
      </c>
      <c r="C130" s="472">
        <f t="shared" si="13"/>
        <v>513226.7</v>
      </c>
      <c r="D130" s="472">
        <v>207700</v>
      </c>
      <c r="E130" s="428" t="s">
        <v>1702</v>
      </c>
      <c r="F130" s="472">
        <v>600</v>
      </c>
      <c r="G130" s="497" t="s">
        <v>1694</v>
      </c>
      <c r="H130" s="538" t="s">
        <v>1701</v>
      </c>
      <c r="I130" s="476">
        <v>67</v>
      </c>
      <c r="J130" s="534"/>
    </row>
    <row r="131" spans="1:10" s="535" customFormat="1" ht="30" customHeight="1">
      <c r="A131" s="471">
        <f t="shared" si="22"/>
        <v>123809455</v>
      </c>
      <c r="B131" s="1287">
        <f t="shared" si="23"/>
        <v>50105000</v>
      </c>
      <c r="C131" s="472">
        <f t="shared" si="13"/>
        <v>1238094.55</v>
      </c>
      <c r="D131" s="472">
        <v>501050</v>
      </c>
      <c r="E131" s="428" t="s">
        <v>1703</v>
      </c>
      <c r="F131" s="472">
        <v>100</v>
      </c>
      <c r="G131" s="497" t="s">
        <v>1694</v>
      </c>
      <c r="H131" s="538" t="s">
        <v>1704</v>
      </c>
      <c r="I131" s="476">
        <v>68</v>
      </c>
      <c r="J131" s="534"/>
    </row>
    <row r="132" spans="1:10" s="535" customFormat="1" ht="30" customHeight="1">
      <c r="A132" s="471">
        <f t="shared" si="22"/>
        <v>835999592</v>
      </c>
      <c r="B132" s="1287">
        <f t="shared" si="23"/>
        <v>338324400</v>
      </c>
      <c r="C132" s="472">
        <f t="shared" si="13"/>
        <v>6966663.2700000005</v>
      </c>
      <c r="D132" s="472">
        <v>2819370</v>
      </c>
      <c r="E132" s="428" t="s">
        <v>1705</v>
      </c>
      <c r="F132" s="472">
        <v>120</v>
      </c>
      <c r="G132" s="497" t="s">
        <v>1694</v>
      </c>
      <c r="H132" s="539" t="s">
        <v>1706</v>
      </c>
      <c r="I132" s="476">
        <v>69</v>
      </c>
      <c r="J132" s="534"/>
    </row>
    <row r="133" spans="1:10" s="535" customFormat="1" ht="30" customHeight="1">
      <c r="A133" s="471">
        <f t="shared" si="22"/>
        <v>334554620</v>
      </c>
      <c r="B133" s="1287">
        <f t="shared" si="23"/>
        <v>135392400</v>
      </c>
      <c r="C133" s="472">
        <f t="shared" si="13"/>
        <v>11151820.68</v>
      </c>
      <c r="D133" s="472">
        <v>4513080</v>
      </c>
      <c r="E133" s="428" t="s">
        <v>1707</v>
      </c>
      <c r="F133" s="472">
        <v>30</v>
      </c>
      <c r="G133" s="497" t="s">
        <v>1694</v>
      </c>
      <c r="H133" s="539" t="s">
        <v>1708</v>
      </c>
      <c r="I133" s="476">
        <v>70</v>
      </c>
      <c r="J133" s="534"/>
    </row>
    <row r="134" spans="1:10" s="535" customFormat="1" ht="30" customHeight="1">
      <c r="A134" s="471">
        <f t="shared" si="22"/>
        <v>250946359</v>
      </c>
      <c r="B134" s="1287">
        <f t="shared" si="23"/>
        <v>101556600</v>
      </c>
      <c r="C134" s="472">
        <f t="shared" ref="C134:C157" si="24">D134*$L$6</f>
        <v>16729757.24</v>
      </c>
      <c r="D134" s="472">
        <v>6770440</v>
      </c>
      <c r="E134" s="428" t="s">
        <v>1709</v>
      </c>
      <c r="F134" s="472">
        <v>15</v>
      </c>
      <c r="G134" s="497" t="s">
        <v>1694</v>
      </c>
      <c r="H134" s="539" t="s">
        <v>1710</v>
      </c>
      <c r="I134" s="476">
        <v>71</v>
      </c>
      <c r="J134" s="534"/>
    </row>
    <row r="135" spans="1:10" s="535" customFormat="1" ht="30" customHeight="1">
      <c r="A135" s="471">
        <f t="shared" si="22"/>
        <v>8429817</v>
      </c>
      <c r="B135" s="1287">
        <f t="shared" si="23"/>
        <v>3411500</v>
      </c>
      <c r="C135" s="472">
        <f t="shared" si="24"/>
        <v>168596.33000000002</v>
      </c>
      <c r="D135" s="472">
        <v>68230</v>
      </c>
      <c r="E135" s="428" t="s">
        <v>1711</v>
      </c>
      <c r="F135" s="472">
        <v>50</v>
      </c>
      <c r="G135" s="497" t="s">
        <v>1152</v>
      </c>
      <c r="H135" s="539" t="s">
        <v>1712</v>
      </c>
      <c r="I135" s="476">
        <v>72</v>
      </c>
      <c r="J135" s="534"/>
    </row>
    <row r="136" spans="1:10" s="535" customFormat="1" ht="30" customHeight="1">
      <c r="A136" s="471">
        <f t="shared" si="22"/>
        <v>65184980</v>
      </c>
      <c r="B136" s="1287">
        <f t="shared" si="23"/>
        <v>26380000</v>
      </c>
      <c r="C136" s="472">
        <f t="shared" si="24"/>
        <v>325924.90000000002</v>
      </c>
      <c r="D136" s="472">
        <v>131900</v>
      </c>
      <c r="E136" s="428" t="s">
        <v>1713</v>
      </c>
      <c r="F136" s="472">
        <v>200</v>
      </c>
      <c r="G136" s="497" t="s">
        <v>1152</v>
      </c>
      <c r="H136" s="539" t="s">
        <v>1714</v>
      </c>
      <c r="I136" s="476">
        <v>73</v>
      </c>
      <c r="J136" s="534"/>
    </row>
    <row r="137" spans="1:10" s="535" customFormat="1" ht="30" customHeight="1">
      <c r="A137" s="471">
        <f t="shared" si="22"/>
        <v>54090190</v>
      </c>
      <c r="B137" s="1287">
        <f t="shared" si="23"/>
        <v>21890000</v>
      </c>
      <c r="C137" s="472">
        <f t="shared" si="24"/>
        <v>540901.9</v>
      </c>
      <c r="D137" s="472">
        <v>218900</v>
      </c>
      <c r="E137" s="428" t="s">
        <v>1715</v>
      </c>
      <c r="F137" s="472">
        <v>100</v>
      </c>
      <c r="G137" s="497" t="s">
        <v>1152</v>
      </c>
      <c r="H137" s="539" t="s">
        <v>1716</v>
      </c>
      <c r="I137" s="476">
        <v>74</v>
      </c>
      <c r="J137" s="534"/>
    </row>
    <row r="138" spans="1:10" s="535" customFormat="1" ht="30" customHeight="1">
      <c r="A138" s="471">
        <f t="shared" si="22"/>
        <v>30843146</v>
      </c>
      <c r="B138" s="1287">
        <f t="shared" si="23"/>
        <v>12482050</v>
      </c>
      <c r="C138" s="472">
        <f t="shared" si="24"/>
        <v>881232.73</v>
      </c>
      <c r="D138" s="472">
        <v>356630</v>
      </c>
      <c r="E138" s="428" t="s">
        <v>1717</v>
      </c>
      <c r="F138" s="472">
        <v>35</v>
      </c>
      <c r="G138" s="497" t="s">
        <v>1152</v>
      </c>
      <c r="H138" s="539" t="s">
        <v>1718</v>
      </c>
      <c r="I138" s="476">
        <v>75</v>
      </c>
      <c r="J138" s="534"/>
    </row>
    <row r="139" spans="1:10" s="535" customFormat="1" ht="30" customHeight="1">
      <c r="A139" s="471">
        <f t="shared" si="22"/>
        <v>18427235</v>
      </c>
      <c r="B139" s="1287">
        <f t="shared" si="23"/>
        <v>7457400</v>
      </c>
      <c r="C139" s="472">
        <f t="shared" si="24"/>
        <v>921361.77</v>
      </c>
      <c r="D139" s="472">
        <v>372870</v>
      </c>
      <c r="E139" s="428" t="s">
        <v>1719</v>
      </c>
      <c r="F139" s="472">
        <v>20</v>
      </c>
      <c r="G139" s="497" t="s">
        <v>1152</v>
      </c>
      <c r="H139" s="539" t="s">
        <v>1720</v>
      </c>
      <c r="I139" s="476">
        <v>76</v>
      </c>
      <c r="J139" s="534"/>
    </row>
    <row r="140" spans="1:10" s="535" customFormat="1" ht="30" customHeight="1">
      <c r="A140" s="471">
        <f t="shared" si="22"/>
        <v>219094922</v>
      </c>
      <c r="B140" s="1287">
        <f t="shared" si="23"/>
        <v>88666500</v>
      </c>
      <c r="C140" s="472">
        <f t="shared" si="24"/>
        <v>1460632.81</v>
      </c>
      <c r="D140" s="472">
        <v>591110</v>
      </c>
      <c r="E140" s="428" t="s">
        <v>1721</v>
      </c>
      <c r="F140" s="472">
        <v>150</v>
      </c>
      <c r="G140" s="497" t="s">
        <v>1152</v>
      </c>
      <c r="H140" s="539" t="s">
        <v>1722</v>
      </c>
      <c r="I140" s="476">
        <v>77</v>
      </c>
      <c r="J140" s="534"/>
    </row>
    <row r="141" spans="1:10" s="535" customFormat="1" ht="30" customHeight="1">
      <c r="A141" s="471">
        <f t="shared" si="22"/>
        <v>489811010</v>
      </c>
      <c r="B141" s="1287">
        <f t="shared" si="23"/>
        <v>198223800</v>
      </c>
      <c r="C141" s="472">
        <f t="shared" si="24"/>
        <v>16327033.66</v>
      </c>
      <c r="D141" s="472">
        <v>6607460</v>
      </c>
      <c r="E141" s="428" t="s">
        <v>1723</v>
      </c>
      <c r="F141" s="472">
        <v>30</v>
      </c>
      <c r="G141" s="497" t="s">
        <v>1152</v>
      </c>
      <c r="H141" s="539" t="s">
        <v>1724</v>
      </c>
      <c r="I141" s="476">
        <v>78</v>
      </c>
      <c r="J141" s="534"/>
    </row>
    <row r="142" spans="1:10" s="535" customFormat="1" ht="30" customHeight="1">
      <c r="A142" s="471">
        <f t="shared" si="22"/>
        <v>1104043</v>
      </c>
      <c r="B142" s="1287">
        <f t="shared" si="23"/>
        <v>446800</v>
      </c>
      <c r="C142" s="472">
        <f t="shared" si="24"/>
        <v>220808.56</v>
      </c>
      <c r="D142" s="472">
        <v>89360</v>
      </c>
      <c r="E142" s="428" t="s">
        <v>1711</v>
      </c>
      <c r="F142" s="472">
        <v>5</v>
      </c>
      <c r="G142" s="497" t="s">
        <v>1152</v>
      </c>
      <c r="H142" s="539" t="s">
        <v>1725</v>
      </c>
      <c r="I142" s="476">
        <v>79</v>
      </c>
      <c r="J142" s="534"/>
    </row>
    <row r="143" spans="1:10" s="535" customFormat="1" ht="30" customHeight="1">
      <c r="A143" s="471">
        <f t="shared" si="22"/>
        <v>4264699</v>
      </c>
      <c r="B143" s="1287">
        <f t="shared" si="23"/>
        <v>1725900</v>
      </c>
      <c r="C143" s="472">
        <f t="shared" si="24"/>
        <v>426469.89</v>
      </c>
      <c r="D143" s="472">
        <v>172590</v>
      </c>
      <c r="E143" s="428" t="s">
        <v>1713</v>
      </c>
      <c r="F143" s="472">
        <v>10</v>
      </c>
      <c r="G143" s="497" t="s">
        <v>1152</v>
      </c>
      <c r="H143" s="539" t="s">
        <v>1726</v>
      </c>
      <c r="I143" s="476">
        <v>80</v>
      </c>
      <c r="J143" s="534"/>
    </row>
    <row r="144" spans="1:10" s="535" customFormat="1" ht="30" customHeight="1">
      <c r="A144" s="471">
        <f t="shared" si="22"/>
        <v>35318003</v>
      </c>
      <c r="B144" s="1287">
        <f t="shared" si="23"/>
        <v>14293000</v>
      </c>
      <c r="C144" s="472">
        <f t="shared" si="24"/>
        <v>706360.06</v>
      </c>
      <c r="D144" s="472">
        <v>285860</v>
      </c>
      <c r="E144" s="428" t="s">
        <v>1715</v>
      </c>
      <c r="F144" s="472">
        <v>50</v>
      </c>
      <c r="G144" s="497" t="s">
        <v>1152</v>
      </c>
      <c r="H144" s="539" t="s">
        <v>1727</v>
      </c>
      <c r="I144" s="476">
        <v>81</v>
      </c>
      <c r="J144" s="534"/>
    </row>
    <row r="145" spans="1:15" s="535" customFormat="1" ht="30" customHeight="1">
      <c r="A145" s="471">
        <f t="shared" si="22"/>
        <v>45803444</v>
      </c>
      <c r="B145" s="1287">
        <f t="shared" si="23"/>
        <v>18536400</v>
      </c>
      <c r="C145" s="472">
        <f t="shared" si="24"/>
        <v>1145086.1100000001</v>
      </c>
      <c r="D145" s="472">
        <v>463410</v>
      </c>
      <c r="E145" s="428" t="s">
        <v>1717</v>
      </c>
      <c r="F145" s="472">
        <v>40</v>
      </c>
      <c r="G145" s="497" t="s">
        <v>1152</v>
      </c>
      <c r="H145" s="539" t="s">
        <v>1728</v>
      </c>
      <c r="I145" s="476">
        <v>82</v>
      </c>
      <c r="J145" s="534"/>
    </row>
    <row r="146" spans="1:15" s="535" customFormat="1" ht="30" customHeight="1">
      <c r="A146" s="471">
        <f t="shared" si="22"/>
        <v>7649351</v>
      </c>
      <c r="B146" s="1287">
        <f t="shared" si="23"/>
        <v>3095650</v>
      </c>
      <c r="C146" s="472">
        <f t="shared" si="24"/>
        <v>1529870.23</v>
      </c>
      <c r="D146" s="472">
        <v>619130</v>
      </c>
      <c r="E146" s="428" t="s">
        <v>1719</v>
      </c>
      <c r="F146" s="472">
        <v>5</v>
      </c>
      <c r="G146" s="497" t="s">
        <v>1152</v>
      </c>
      <c r="H146" s="539" t="s">
        <v>1729</v>
      </c>
      <c r="I146" s="476">
        <v>83</v>
      </c>
      <c r="J146" s="534"/>
    </row>
    <row r="147" spans="1:15" s="535" customFormat="1" ht="30" customHeight="1" thickBot="1">
      <c r="A147" s="471">
        <f t="shared" si="22"/>
        <v>9561782</v>
      </c>
      <c r="B147" s="1287">
        <f t="shared" si="23"/>
        <v>3869600</v>
      </c>
      <c r="C147" s="482">
        <f t="shared" si="24"/>
        <v>1912356.32</v>
      </c>
      <c r="D147" s="482">
        <v>773920</v>
      </c>
      <c r="E147" s="524" t="s">
        <v>1721</v>
      </c>
      <c r="F147" s="482">
        <v>5</v>
      </c>
      <c r="G147" s="525" t="s">
        <v>1152</v>
      </c>
      <c r="H147" s="540" t="s">
        <v>1730</v>
      </c>
      <c r="I147" s="486">
        <v>84</v>
      </c>
      <c r="J147" s="534"/>
    </row>
    <row r="148" spans="1:15" s="480" customFormat="1" ht="37.5" customHeight="1">
      <c r="A148" s="509">
        <f t="shared" ref="A148:A152" si="25">C148*F148</f>
        <v>0</v>
      </c>
      <c r="B148" s="509"/>
      <c r="C148" s="509">
        <f t="shared" si="24"/>
        <v>0</v>
      </c>
      <c r="D148" s="509"/>
      <c r="E148" s="510"/>
      <c r="F148" s="509">
        <v>31</v>
      </c>
      <c r="G148" s="527" t="s">
        <v>117</v>
      </c>
      <c r="H148" s="528" t="s">
        <v>714</v>
      </c>
      <c r="I148" s="509">
        <v>73</v>
      </c>
      <c r="J148" s="478"/>
    </row>
    <row r="149" spans="1:15" s="480" customFormat="1" ht="36.75" customHeight="1">
      <c r="A149" s="1041">
        <f t="shared" si="25"/>
        <v>0</v>
      </c>
      <c r="B149" s="1041"/>
      <c r="C149" s="1041">
        <f t="shared" si="24"/>
        <v>0</v>
      </c>
      <c r="D149" s="1041"/>
      <c r="E149" s="513"/>
      <c r="F149" s="1041">
        <v>8</v>
      </c>
      <c r="G149" s="529" t="s">
        <v>117</v>
      </c>
      <c r="H149" s="515" t="s">
        <v>1731</v>
      </c>
      <c r="I149" s="1041">
        <v>74</v>
      </c>
      <c r="J149" s="478"/>
    </row>
    <row r="150" spans="1:15" s="480" customFormat="1" ht="34.5" customHeight="1">
      <c r="A150" s="1041">
        <f t="shared" si="25"/>
        <v>0</v>
      </c>
      <c r="B150" s="1041"/>
      <c r="C150" s="1041">
        <f t="shared" si="24"/>
        <v>0</v>
      </c>
      <c r="D150" s="1041"/>
      <c r="E150" s="513"/>
      <c r="F150" s="1041">
        <v>13</v>
      </c>
      <c r="G150" s="529" t="s">
        <v>117</v>
      </c>
      <c r="H150" s="515" t="s">
        <v>717</v>
      </c>
      <c r="I150" s="1041">
        <v>75</v>
      </c>
      <c r="J150" s="478"/>
    </row>
    <row r="151" spans="1:15" s="480" customFormat="1" ht="36" customHeight="1">
      <c r="A151" s="1041">
        <f t="shared" si="25"/>
        <v>0</v>
      </c>
      <c r="B151" s="1041"/>
      <c r="C151" s="1041">
        <f t="shared" si="24"/>
        <v>0</v>
      </c>
      <c r="D151" s="1041"/>
      <c r="E151" s="513"/>
      <c r="F151" s="1041">
        <v>9</v>
      </c>
      <c r="G151" s="529" t="s">
        <v>117</v>
      </c>
      <c r="H151" s="515" t="s">
        <v>1732</v>
      </c>
      <c r="I151" s="1041">
        <v>76</v>
      </c>
      <c r="J151" s="478"/>
    </row>
    <row r="152" spans="1:15" s="480" customFormat="1" ht="9.75" customHeight="1" thickBot="1">
      <c r="A152" s="516">
        <f t="shared" si="25"/>
        <v>0</v>
      </c>
      <c r="B152" s="516"/>
      <c r="C152" s="516">
        <f t="shared" si="24"/>
        <v>0</v>
      </c>
      <c r="D152" s="516"/>
      <c r="E152" s="517"/>
      <c r="F152" s="516">
        <v>1</v>
      </c>
      <c r="G152" s="530" t="s">
        <v>117</v>
      </c>
      <c r="H152" s="519" t="s">
        <v>719</v>
      </c>
      <c r="I152" s="516">
        <v>77</v>
      </c>
      <c r="J152" s="478"/>
    </row>
    <row r="153" spans="1:15" s="480" customFormat="1" ht="30" customHeight="1" thickBot="1">
      <c r="A153" s="471">
        <f t="shared" ref="A153:A157" si="26">ROUND(C153*F153,0)</f>
        <v>423303551</v>
      </c>
      <c r="B153" s="1287">
        <f t="shared" ref="B153:B157" si="27">ROUND(F153*D153,0)</f>
        <v>171308600</v>
      </c>
      <c r="C153" s="492">
        <f t="shared" si="24"/>
        <v>9202251.0999999996</v>
      </c>
      <c r="D153" s="492">
        <v>3724100</v>
      </c>
      <c r="E153" s="520" t="s">
        <v>1733</v>
      </c>
      <c r="F153" s="492">
        <v>46</v>
      </c>
      <c r="G153" s="521" t="s">
        <v>1152</v>
      </c>
      <c r="H153" s="541" t="s">
        <v>1734</v>
      </c>
      <c r="I153" s="496">
        <v>85</v>
      </c>
      <c r="J153" s="478"/>
    </row>
    <row r="154" spans="1:15" s="480" customFormat="1" ht="30" customHeight="1">
      <c r="A154" s="471">
        <f t="shared" si="26"/>
        <v>736180088</v>
      </c>
      <c r="B154" s="1287">
        <f t="shared" si="27"/>
        <v>297928000</v>
      </c>
      <c r="C154" s="472">
        <f t="shared" si="24"/>
        <v>9202251.0999999996</v>
      </c>
      <c r="D154" s="492">
        <v>3724100</v>
      </c>
      <c r="E154" s="428" t="s">
        <v>1733</v>
      </c>
      <c r="F154" s="472">
        <v>80</v>
      </c>
      <c r="G154" s="497" t="s">
        <v>1152</v>
      </c>
      <c r="H154" s="542" t="s">
        <v>1735</v>
      </c>
      <c r="I154" s="476">
        <v>87</v>
      </c>
      <c r="J154" s="478"/>
    </row>
    <row r="155" spans="1:15" s="480" customFormat="1" ht="30" customHeight="1">
      <c r="A155" s="471">
        <f t="shared" si="26"/>
        <v>165576126</v>
      </c>
      <c r="B155" s="1287">
        <f t="shared" si="27"/>
        <v>67007740</v>
      </c>
      <c r="C155" s="472">
        <f t="shared" si="24"/>
        <v>2670582.67</v>
      </c>
      <c r="D155" s="472">
        <v>1080770</v>
      </c>
      <c r="E155" s="428" t="s">
        <v>1736</v>
      </c>
      <c r="F155" s="472">
        <v>62</v>
      </c>
      <c r="G155" s="497" t="s">
        <v>1737</v>
      </c>
      <c r="H155" s="542" t="s">
        <v>1738</v>
      </c>
      <c r="I155" s="476">
        <v>88</v>
      </c>
      <c r="J155" s="478"/>
      <c r="N155" s="1296"/>
    </row>
    <row r="156" spans="1:15" s="480" customFormat="1" ht="30" customHeight="1">
      <c r="A156" s="471">
        <f t="shared" si="26"/>
        <v>42729520</v>
      </c>
      <c r="B156" s="1287">
        <f t="shared" si="27"/>
        <v>17292400</v>
      </c>
      <c r="C156" s="472">
        <f t="shared" si="24"/>
        <v>4272952.04</v>
      </c>
      <c r="D156" s="472">
        <v>1729240</v>
      </c>
      <c r="E156" s="428" t="s">
        <v>1739</v>
      </c>
      <c r="F156" s="472">
        <v>10</v>
      </c>
      <c r="G156" s="497" t="s">
        <v>1737</v>
      </c>
      <c r="H156" s="542" t="s">
        <v>1740</v>
      </c>
      <c r="I156" s="476">
        <v>89</v>
      </c>
      <c r="J156" s="478"/>
      <c r="N156" s="1296"/>
    </row>
    <row r="157" spans="1:15" s="480" customFormat="1" ht="30" customHeight="1" thickBot="1">
      <c r="A157" s="471">
        <f t="shared" si="26"/>
        <v>57137452</v>
      </c>
      <c r="B157" s="1287">
        <f t="shared" si="27"/>
        <v>23123210</v>
      </c>
      <c r="C157" s="482">
        <f t="shared" si="24"/>
        <v>5194313.8100000005</v>
      </c>
      <c r="D157" s="482">
        <v>2102110</v>
      </c>
      <c r="E157" s="524" t="s">
        <v>1741</v>
      </c>
      <c r="F157" s="482">
        <v>11</v>
      </c>
      <c r="G157" s="525" t="s">
        <v>1737</v>
      </c>
      <c r="H157" s="543" t="s">
        <v>1742</v>
      </c>
      <c r="I157" s="486">
        <v>90</v>
      </c>
      <c r="J157" s="478"/>
    </row>
    <row r="158" spans="1:15" s="480" customFormat="1" ht="30" customHeight="1" thickBot="1">
      <c r="A158" s="487"/>
      <c r="B158" s="487"/>
      <c r="C158" s="487"/>
      <c r="D158" s="487"/>
      <c r="E158" s="502"/>
      <c r="F158" s="487"/>
      <c r="G158" s="503"/>
      <c r="H158" s="500" t="s">
        <v>720</v>
      </c>
      <c r="I158" s="487">
        <v>79</v>
      </c>
      <c r="J158" s="478"/>
    </row>
    <row r="159" spans="1:15" s="480" customFormat="1" ht="30" customHeight="1">
      <c r="A159" s="471">
        <f>ROUND(C159*F159,0)</f>
        <v>126732600000</v>
      </c>
      <c r="B159" s="1287">
        <f>ROUND(F159*C159,0)</f>
        <v>126732600000</v>
      </c>
      <c r="C159" s="492">
        <f>150000000*N162</f>
        <v>1173450000</v>
      </c>
      <c r="D159" s="492"/>
      <c r="E159" s="520" t="s">
        <v>1480</v>
      </c>
      <c r="F159" s="492">
        <v>108</v>
      </c>
      <c r="G159" s="521" t="s">
        <v>1743</v>
      </c>
      <c r="H159" s="501" t="s">
        <v>721</v>
      </c>
      <c r="I159" s="496">
        <v>91</v>
      </c>
      <c r="J159" s="478"/>
      <c r="L159" s="1295" t="s">
        <v>4434</v>
      </c>
      <c r="M159" s="1296">
        <v>3296.3</v>
      </c>
      <c r="N159" s="1296">
        <v>5257</v>
      </c>
      <c r="O159" s="1296">
        <f>(0.9*M159)+(0.1*N159)</f>
        <v>3492.37</v>
      </c>
    </row>
    <row r="160" spans="1:15" s="480" customFormat="1" ht="30" customHeight="1">
      <c r="A160" s="471">
        <f t="shared" ref="A160:A163" si="28">ROUND(C160*F160,0)</f>
        <v>7040700000</v>
      </c>
      <c r="B160" s="1287">
        <f>ROUND(F160*C160,0)</f>
        <v>7040700000</v>
      </c>
      <c r="C160" s="472">
        <f>150000000*N162</f>
        <v>1173450000</v>
      </c>
      <c r="D160" s="472"/>
      <c r="E160" s="428" t="s">
        <v>1480</v>
      </c>
      <c r="F160" s="472">
        <v>6</v>
      </c>
      <c r="G160" s="497" t="s">
        <v>404</v>
      </c>
      <c r="H160" s="498" t="s">
        <v>722</v>
      </c>
      <c r="I160" s="476">
        <v>92</v>
      </c>
      <c r="J160" s="478"/>
      <c r="L160" s="1295" t="s">
        <v>4435</v>
      </c>
      <c r="M160" s="1296">
        <v>429.7</v>
      </c>
      <c r="N160" s="1296">
        <v>597</v>
      </c>
      <c r="O160" s="1296">
        <f>(0.9*M160)+(0.1*N160)</f>
        <v>446.43</v>
      </c>
    </row>
    <row r="161" spans="1:14" s="480" customFormat="1" ht="30" customHeight="1">
      <c r="A161" s="471">
        <f t="shared" si="28"/>
        <v>800116966</v>
      </c>
      <c r="B161" s="1287">
        <f t="shared" ref="B161:B163" si="29">ROUND(F161*D161,0)</f>
        <v>323802900</v>
      </c>
      <c r="C161" s="472">
        <f>D161*$L$6</f>
        <v>26670565.530000001</v>
      </c>
      <c r="D161" s="472">
        <v>10793430</v>
      </c>
      <c r="E161" s="428" t="s">
        <v>1744</v>
      </c>
      <c r="F161" s="472">
        <v>30</v>
      </c>
      <c r="G161" s="497" t="s">
        <v>1737</v>
      </c>
      <c r="H161" s="498" t="s">
        <v>1745</v>
      </c>
      <c r="I161" s="476">
        <v>93</v>
      </c>
      <c r="J161" s="478"/>
      <c r="M161" s="1296"/>
      <c r="N161" s="1296"/>
    </row>
    <row r="162" spans="1:14" s="480" customFormat="1" ht="30" customHeight="1">
      <c r="A162" s="471">
        <f t="shared" si="28"/>
        <v>156983421</v>
      </c>
      <c r="B162" s="1287">
        <f t="shared" si="29"/>
        <v>63530320</v>
      </c>
      <c r="C162" s="472">
        <f>D162*$L$6</f>
        <v>39245855.18</v>
      </c>
      <c r="D162" s="472">
        <v>15882580</v>
      </c>
      <c r="E162" s="428" t="s">
        <v>1746</v>
      </c>
      <c r="F162" s="472">
        <v>4</v>
      </c>
      <c r="G162" s="497" t="s">
        <v>1737</v>
      </c>
      <c r="H162" s="498" t="s">
        <v>1747</v>
      </c>
      <c r="I162" s="476">
        <v>94</v>
      </c>
      <c r="J162" s="478"/>
      <c r="N162" s="1296">
        <f>ROUND(O159/O160,3)</f>
        <v>7.8230000000000004</v>
      </c>
    </row>
    <row r="163" spans="1:14" s="480" customFormat="1" ht="30" customHeight="1">
      <c r="A163" s="471">
        <f t="shared" si="28"/>
        <v>51507674</v>
      </c>
      <c r="B163" s="1287">
        <f t="shared" si="29"/>
        <v>20844870</v>
      </c>
      <c r="C163" s="472">
        <f>D163*$L$6</f>
        <v>51507673.770000003</v>
      </c>
      <c r="D163" s="472">
        <v>20844870</v>
      </c>
      <c r="E163" s="428" t="s">
        <v>1748</v>
      </c>
      <c r="F163" s="472">
        <v>1</v>
      </c>
      <c r="G163" s="497" t="s">
        <v>1737</v>
      </c>
      <c r="H163" s="498" t="s">
        <v>1749</v>
      </c>
      <c r="I163" s="476">
        <v>95</v>
      </c>
      <c r="J163" s="478"/>
    </row>
    <row r="164" spans="1:14" s="480" customFormat="1" ht="30" customHeight="1">
      <c r="A164" s="471">
        <f>500000000*N162</f>
        <v>3911500000</v>
      </c>
      <c r="B164" s="1287">
        <f>A164</f>
        <v>3911500000</v>
      </c>
      <c r="C164" s="472" t="s">
        <v>1138</v>
      </c>
      <c r="D164" s="472" t="s">
        <v>1158</v>
      </c>
      <c r="E164" s="428" t="s">
        <v>1480</v>
      </c>
      <c r="F164" s="472" t="s">
        <v>1138</v>
      </c>
      <c r="G164" s="497" t="s">
        <v>1138</v>
      </c>
      <c r="H164" s="498" t="s">
        <v>1750</v>
      </c>
      <c r="I164" s="476">
        <v>96</v>
      </c>
      <c r="J164" s="478"/>
    </row>
    <row r="165" spans="1:14" s="480" customFormat="1" ht="30" customHeight="1">
      <c r="A165" s="471">
        <f>500000000*N162</f>
        <v>3911500000</v>
      </c>
      <c r="B165" s="1287">
        <f>A165</f>
        <v>3911500000</v>
      </c>
      <c r="C165" s="472" t="s">
        <v>1138</v>
      </c>
      <c r="D165" s="472" t="s">
        <v>1158</v>
      </c>
      <c r="E165" s="428" t="s">
        <v>1480</v>
      </c>
      <c r="F165" s="472">
        <v>34</v>
      </c>
      <c r="G165" s="497" t="s">
        <v>1152</v>
      </c>
      <c r="H165" s="498" t="s">
        <v>1751</v>
      </c>
      <c r="I165" s="476"/>
      <c r="J165" s="478"/>
    </row>
    <row r="166" spans="1:14" s="480" customFormat="1" ht="30" customHeight="1">
      <c r="A166" s="471">
        <f>200000000*N162</f>
        <v>1564600000</v>
      </c>
      <c r="B166" s="1287">
        <f>A166</f>
        <v>1564600000</v>
      </c>
      <c r="C166" s="472" t="s">
        <v>1138</v>
      </c>
      <c r="D166" s="472" t="s">
        <v>1158</v>
      </c>
      <c r="E166" s="428" t="s">
        <v>1480</v>
      </c>
      <c r="F166" s="472" t="s">
        <v>1138</v>
      </c>
      <c r="G166" s="497" t="s">
        <v>1138</v>
      </c>
      <c r="H166" s="498" t="s">
        <v>1752</v>
      </c>
      <c r="I166" s="476"/>
      <c r="J166" s="478"/>
    </row>
    <row r="167" spans="1:14" s="480" customFormat="1" ht="26.25" customHeight="1" thickBot="1">
      <c r="A167" s="481">
        <f>SUM(A5:A166)</f>
        <v>190554944030</v>
      </c>
      <c r="B167" s="1334">
        <f>SUM(B5:B166)</f>
        <v>162341006850</v>
      </c>
      <c r="C167" s="482"/>
      <c r="D167" s="482"/>
      <c r="E167" s="544"/>
      <c r="F167" s="482"/>
      <c r="G167" s="525"/>
      <c r="H167" s="499" t="s">
        <v>1010</v>
      </c>
      <c r="I167" s="486">
        <v>97</v>
      </c>
      <c r="J167" s="545"/>
    </row>
  </sheetData>
  <mergeCells count="10">
    <mergeCell ref="H2:H4"/>
    <mergeCell ref="I2:I4"/>
    <mergeCell ref="A1:I1"/>
    <mergeCell ref="A2:A4"/>
    <mergeCell ref="B2:B4"/>
    <mergeCell ref="C2:C4"/>
    <mergeCell ref="D2:D4"/>
    <mergeCell ref="E2:E4"/>
    <mergeCell ref="F2:F4"/>
    <mergeCell ref="G2:G4"/>
  </mergeCells>
  <printOptions horizontalCentered="1"/>
  <pageMargins left="0.31496062992125984" right="0.31496062992125984" top="0.35433070866141736" bottom="0.35433070866141736" header="0.31496062992125984" footer="0.31496062992125984"/>
  <pageSetup paperSize="9" scale="48" orientation="portrait" horizontalDpi="4294967294" r:id="rId1"/>
  <colBreaks count="1" manualBreakCount="1">
    <brk id="9"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97"/>
  <sheetViews>
    <sheetView view="pageBreakPreview" zoomScale="70" zoomScaleNormal="90" zoomScaleSheetLayoutView="70" workbookViewId="0">
      <selection activeCell="A5" sqref="A1:R1048576"/>
    </sheetView>
  </sheetViews>
  <sheetFormatPr defaultColWidth="9.140625" defaultRowHeight="15"/>
  <cols>
    <col min="1" max="2" width="23" style="422" customWidth="1"/>
    <col min="3" max="3" width="13.85546875" style="422" customWidth="1"/>
    <col min="4" max="4" width="12.7109375" style="422" customWidth="1"/>
    <col min="5" max="5" width="23.42578125" style="422" bestFit="1" customWidth="1"/>
    <col min="6" max="6" width="9.28515625" style="460" bestFit="1" customWidth="1"/>
    <col min="7" max="7" width="14.85546875" style="460" customWidth="1"/>
    <col min="8" max="8" width="53.7109375" style="1289" customWidth="1"/>
    <col min="9" max="9" width="13.85546875" style="422" customWidth="1"/>
    <col min="10" max="10" width="9.140625" style="422"/>
    <col min="11" max="11" width="9.28515625" style="422" bestFit="1" customWidth="1"/>
    <col min="12" max="16384" width="9.140625" style="422"/>
  </cols>
  <sheetData>
    <row r="1" spans="1:17" s="423" customFormat="1" ht="24.75" customHeight="1" thickBot="1">
      <c r="A1" s="1840" t="s">
        <v>4356</v>
      </c>
      <c r="B1" s="1841"/>
      <c r="C1" s="1841"/>
      <c r="D1" s="1841"/>
      <c r="E1" s="1841"/>
      <c r="F1" s="1841"/>
      <c r="G1" s="1841"/>
      <c r="H1" s="1841"/>
      <c r="I1" s="1842"/>
      <c r="P1" s="423" t="s">
        <v>4405</v>
      </c>
      <c r="Q1" s="479">
        <v>1.1200000000000001</v>
      </c>
    </row>
    <row r="2" spans="1:17" ht="15.75" customHeight="1">
      <c r="A2" s="1931" t="s">
        <v>1218</v>
      </c>
      <c r="B2" s="1889" t="s">
        <v>4402</v>
      </c>
      <c r="C2" s="1933" t="s">
        <v>1219</v>
      </c>
      <c r="D2" s="1933" t="s">
        <v>1220</v>
      </c>
      <c r="E2" s="1933" t="s">
        <v>4428</v>
      </c>
      <c r="F2" s="1935" t="s">
        <v>1135</v>
      </c>
      <c r="G2" s="1935" t="s">
        <v>1221</v>
      </c>
      <c r="H2" s="1927" t="s">
        <v>2</v>
      </c>
      <c r="I2" s="1929" t="s">
        <v>28</v>
      </c>
      <c r="K2" s="423"/>
      <c r="L2" s="423"/>
      <c r="M2" s="1881" t="s">
        <v>1327</v>
      </c>
      <c r="P2" s="422" t="s">
        <v>4406</v>
      </c>
      <c r="Q2" s="479">
        <v>1.48</v>
      </c>
    </row>
    <row r="3" spans="1:17" ht="15" customHeight="1">
      <c r="A3" s="1932"/>
      <c r="B3" s="1890"/>
      <c r="C3" s="1934"/>
      <c r="D3" s="1934"/>
      <c r="E3" s="1934"/>
      <c r="F3" s="1936"/>
      <c r="G3" s="1936"/>
      <c r="H3" s="1928"/>
      <c r="I3" s="1930"/>
      <c r="K3" s="423"/>
      <c r="L3" s="423"/>
      <c r="M3" s="1882"/>
      <c r="P3" s="422" t="s">
        <v>4407</v>
      </c>
      <c r="Q3" s="479">
        <v>1</v>
      </c>
    </row>
    <row r="4" spans="1:17" ht="15" customHeight="1">
      <c r="A4" s="1932"/>
      <c r="B4" s="1891"/>
      <c r="C4" s="1934"/>
      <c r="D4" s="1934"/>
      <c r="E4" s="1934"/>
      <c r="F4" s="1936"/>
      <c r="G4" s="1936"/>
      <c r="H4" s="1928"/>
      <c r="I4" s="1930"/>
      <c r="K4" s="423"/>
      <c r="L4" s="423"/>
      <c r="M4" s="1883"/>
      <c r="P4" s="424" t="s">
        <v>4408</v>
      </c>
      <c r="Q4" s="479">
        <v>1.4910000000000001</v>
      </c>
    </row>
    <row r="5" spans="1:17" ht="24.75" customHeight="1">
      <c r="A5" s="548">
        <f>ROUND(C5*F5,0)</f>
        <v>6846661800</v>
      </c>
      <c r="B5" s="1335">
        <f>ROUND(F5*D5,0)</f>
        <v>2770806000</v>
      </c>
      <c r="C5" s="549">
        <f>ROUND(D5*K5,0)</f>
        <v>11411103</v>
      </c>
      <c r="D5" s="549">
        <v>4618010</v>
      </c>
      <c r="E5" s="550" t="s">
        <v>1753</v>
      </c>
      <c r="F5" s="549">
        <v>600</v>
      </c>
      <c r="G5" s="550" t="s">
        <v>1298</v>
      </c>
      <c r="H5" s="551" t="s">
        <v>1754</v>
      </c>
      <c r="I5" s="552">
        <v>1</v>
      </c>
      <c r="K5" s="479">
        <f>ROUND(Q1*Q2*Q3*Q4,3)</f>
        <v>2.4710000000000001</v>
      </c>
    </row>
    <row r="6" spans="1:17" ht="24.75" customHeight="1">
      <c r="A6" s="548">
        <f t="shared" ref="A6:A69" si="0">ROUND(C6*F6,0)</f>
        <v>1686748000</v>
      </c>
      <c r="B6" s="1335">
        <f t="shared" ref="B6:B69" si="1">ROUND(F6*D6,0)</f>
        <v>682617600</v>
      </c>
      <c r="C6" s="549">
        <f t="shared" ref="C6:C69" si="2">ROUND(D6*K6,0)</f>
        <v>6024100</v>
      </c>
      <c r="D6" s="549">
        <v>2437920</v>
      </c>
      <c r="E6" s="550" t="s">
        <v>1755</v>
      </c>
      <c r="F6" s="549">
        <v>280</v>
      </c>
      <c r="G6" s="550" t="s">
        <v>1298</v>
      </c>
      <c r="H6" s="551" t="s">
        <v>1756</v>
      </c>
      <c r="I6" s="552">
        <v>2</v>
      </c>
      <c r="K6" s="479">
        <v>2.4710000000000001</v>
      </c>
    </row>
    <row r="7" spans="1:17" ht="24.75" customHeight="1">
      <c r="A7" s="548">
        <f t="shared" si="0"/>
        <v>548465097</v>
      </c>
      <c r="B7" s="1335">
        <f t="shared" si="1"/>
        <v>221960780</v>
      </c>
      <c r="C7" s="549">
        <f t="shared" si="2"/>
        <v>14823381</v>
      </c>
      <c r="D7" s="549">
        <v>5998940</v>
      </c>
      <c r="E7" s="550" t="s">
        <v>1757</v>
      </c>
      <c r="F7" s="549">
        <v>37</v>
      </c>
      <c r="G7" s="550" t="s">
        <v>1737</v>
      </c>
      <c r="H7" s="551" t="s">
        <v>1758</v>
      </c>
      <c r="I7" s="552">
        <v>3</v>
      </c>
      <c r="K7" s="479">
        <v>2.4710000000000001</v>
      </c>
    </row>
    <row r="8" spans="1:17" ht="24.75" customHeight="1">
      <c r="A8" s="548">
        <f t="shared" si="0"/>
        <v>182458444</v>
      </c>
      <c r="B8" s="1335">
        <f t="shared" si="1"/>
        <v>73839920</v>
      </c>
      <c r="C8" s="549">
        <f t="shared" si="2"/>
        <v>13032746</v>
      </c>
      <c r="D8" s="549">
        <v>5274280</v>
      </c>
      <c r="E8" s="550" t="s">
        <v>1759</v>
      </c>
      <c r="F8" s="549">
        <v>14</v>
      </c>
      <c r="G8" s="550" t="s">
        <v>1737</v>
      </c>
      <c r="H8" s="551" t="s">
        <v>1760</v>
      </c>
      <c r="I8" s="552">
        <v>4</v>
      </c>
      <c r="K8" s="479">
        <v>2.4710000000000001</v>
      </c>
    </row>
    <row r="9" spans="1:17" ht="24.75" customHeight="1">
      <c r="A9" s="548">
        <f t="shared" si="0"/>
        <v>253015972</v>
      </c>
      <c r="B9" s="1335">
        <f t="shared" si="1"/>
        <v>102394160</v>
      </c>
      <c r="C9" s="549">
        <f t="shared" si="2"/>
        <v>11500726</v>
      </c>
      <c r="D9" s="549">
        <v>4654280</v>
      </c>
      <c r="E9" s="550" t="s">
        <v>1761</v>
      </c>
      <c r="F9" s="549">
        <v>22</v>
      </c>
      <c r="G9" s="550" t="s">
        <v>1737</v>
      </c>
      <c r="H9" s="551" t="s">
        <v>1762</v>
      </c>
      <c r="I9" s="552">
        <v>5</v>
      </c>
      <c r="K9" s="479">
        <v>2.4710000000000001</v>
      </c>
    </row>
    <row r="10" spans="1:17" ht="24.75" customHeight="1">
      <c r="A10" s="548">
        <f t="shared" si="0"/>
        <v>146618670</v>
      </c>
      <c r="B10" s="1335">
        <f t="shared" si="1"/>
        <v>59335760</v>
      </c>
      <c r="C10" s="549">
        <f t="shared" si="2"/>
        <v>6664485</v>
      </c>
      <c r="D10" s="549">
        <v>2697080</v>
      </c>
      <c r="E10" s="550" t="s">
        <v>1763</v>
      </c>
      <c r="F10" s="549">
        <v>22</v>
      </c>
      <c r="G10" s="550" t="s">
        <v>1152</v>
      </c>
      <c r="H10" s="551" t="s">
        <v>1764</v>
      </c>
      <c r="I10" s="552">
        <v>6</v>
      </c>
      <c r="K10" s="479">
        <v>2.4710000000000001</v>
      </c>
    </row>
    <row r="11" spans="1:17" ht="24.75" customHeight="1">
      <c r="A11" s="548">
        <f t="shared" si="0"/>
        <v>54851953</v>
      </c>
      <c r="B11" s="1335">
        <f t="shared" si="1"/>
        <v>22198280</v>
      </c>
      <c r="C11" s="549">
        <f t="shared" si="2"/>
        <v>4219381</v>
      </c>
      <c r="D11" s="549">
        <v>1707560</v>
      </c>
      <c r="E11" s="550" t="s">
        <v>1765</v>
      </c>
      <c r="F11" s="549">
        <v>13</v>
      </c>
      <c r="G11" s="550" t="s">
        <v>1152</v>
      </c>
      <c r="H11" s="551" t="s">
        <v>1766</v>
      </c>
      <c r="I11" s="552">
        <v>7</v>
      </c>
      <c r="K11" s="479">
        <v>2.4710000000000001</v>
      </c>
    </row>
    <row r="12" spans="1:17" ht="24.75" customHeight="1">
      <c r="A12" s="548">
        <f t="shared" si="0"/>
        <v>72894630</v>
      </c>
      <c r="B12" s="1335">
        <f t="shared" si="1"/>
        <v>29500050</v>
      </c>
      <c r="C12" s="549">
        <f t="shared" si="2"/>
        <v>4859642</v>
      </c>
      <c r="D12" s="549">
        <v>1966670</v>
      </c>
      <c r="E12" s="550" t="s">
        <v>1767</v>
      </c>
      <c r="F12" s="549">
        <v>15</v>
      </c>
      <c r="G12" s="550" t="s">
        <v>1152</v>
      </c>
      <c r="H12" s="551" t="s">
        <v>1768</v>
      </c>
      <c r="I12" s="552">
        <v>8</v>
      </c>
      <c r="K12" s="479">
        <v>2.4710000000000001</v>
      </c>
    </row>
    <row r="13" spans="1:17" ht="24.75" customHeight="1">
      <c r="A13" s="548">
        <f t="shared" si="0"/>
        <v>94077609</v>
      </c>
      <c r="B13" s="1335">
        <f t="shared" si="1"/>
        <v>38072690</v>
      </c>
      <c r="C13" s="549">
        <f t="shared" si="2"/>
        <v>5533977</v>
      </c>
      <c r="D13" s="549">
        <v>2239570</v>
      </c>
      <c r="E13" s="550" t="s">
        <v>1769</v>
      </c>
      <c r="F13" s="549">
        <v>17</v>
      </c>
      <c r="G13" s="550" t="s">
        <v>1152</v>
      </c>
      <c r="H13" s="551" t="s">
        <v>1770</v>
      </c>
      <c r="I13" s="552">
        <v>9</v>
      </c>
      <c r="K13" s="479">
        <v>2.4710000000000001</v>
      </c>
    </row>
    <row r="14" spans="1:17" ht="24.75" customHeight="1">
      <c r="A14" s="548">
        <f t="shared" si="0"/>
        <v>18880392</v>
      </c>
      <c r="B14" s="1335">
        <f t="shared" si="1"/>
        <v>7640790</v>
      </c>
      <c r="C14" s="549">
        <f t="shared" si="2"/>
        <v>6293464</v>
      </c>
      <c r="D14" s="549">
        <v>2546930</v>
      </c>
      <c r="E14" s="550" t="s">
        <v>1771</v>
      </c>
      <c r="F14" s="549">
        <v>3</v>
      </c>
      <c r="G14" s="550" t="s">
        <v>1152</v>
      </c>
      <c r="H14" s="551" t="s">
        <v>1772</v>
      </c>
      <c r="I14" s="552">
        <v>10</v>
      </c>
      <c r="K14" s="479">
        <v>2.4710000000000001</v>
      </c>
    </row>
    <row r="15" spans="1:17" ht="24.75" customHeight="1">
      <c r="A15" s="548">
        <f t="shared" si="0"/>
        <v>225718934</v>
      </c>
      <c r="B15" s="1335">
        <f t="shared" si="1"/>
        <v>91347200</v>
      </c>
      <c r="C15" s="549">
        <f t="shared" si="2"/>
        <v>16122781</v>
      </c>
      <c r="D15" s="549">
        <v>6524800</v>
      </c>
      <c r="E15" s="550" t="s">
        <v>1773</v>
      </c>
      <c r="F15" s="549">
        <v>14</v>
      </c>
      <c r="G15" s="550" t="s">
        <v>1737</v>
      </c>
      <c r="H15" s="551" t="s">
        <v>1774</v>
      </c>
      <c r="I15" s="552">
        <v>11</v>
      </c>
      <c r="K15" s="479">
        <v>2.4710000000000001</v>
      </c>
    </row>
    <row r="16" spans="1:17" ht="24.75" customHeight="1">
      <c r="A16" s="548">
        <f t="shared" si="0"/>
        <v>71257610</v>
      </c>
      <c r="B16" s="1335">
        <f t="shared" si="1"/>
        <v>28837560</v>
      </c>
      <c r="C16" s="549">
        <f t="shared" si="2"/>
        <v>35628805</v>
      </c>
      <c r="D16" s="549">
        <v>14418780</v>
      </c>
      <c r="E16" s="550" t="s">
        <v>1775</v>
      </c>
      <c r="F16" s="549">
        <v>2</v>
      </c>
      <c r="G16" s="550" t="s">
        <v>1737</v>
      </c>
      <c r="H16" s="551" t="s">
        <v>1776</v>
      </c>
      <c r="I16" s="552">
        <v>12</v>
      </c>
      <c r="K16" s="479">
        <v>2.4710000000000001</v>
      </c>
    </row>
    <row r="17" spans="1:11" ht="24.75" customHeight="1">
      <c r="A17" s="548">
        <f t="shared" si="0"/>
        <v>786352500</v>
      </c>
      <c r="B17" s="1335">
        <f t="shared" si="1"/>
        <v>318232500</v>
      </c>
      <c r="C17" s="549">
        <f t="shared" si="2"/>
        <v>26211750</v>
      </c>
      <c r="D17" s="549">
        <v>10607750</v>
      </c>
      <c r="E17" s="550" t="s">
        <v>1777</v>
      </c>
      <c r="F17" s="549">
        <v>30</v>
      </c>
      <c r="G17" s="550" t="s">
        <v>1737</v>
      </c>
      <c r="H17" s="551" t="s">
        <v>1778</v>
      </c>
      <c r="I17" s="552">
        <v>13</v>
      </c>
      <c r="K17" s="479">
        <v>2.4710000000000001</v>
      </c>
    </row>
    <row r="18" spans="1:11" ht="24.75" customHeight="1">
      <c r="A18" s="548">
        <f t="shared" si="0"/>
        <v>157894282</v>
      </c>
      <c r="B18" s="1335">
        <f t="shared" si="1"/>
        <v>63898940</v>
      </c>
      <c r="C18" s="549">
        <f t="shared" si="2"/>
        <v>22556326</v>
      </c>
      <c r="D18" s="549">
        <v>9128420</v>
      </c>
      <c r="E18" s="550" t="s">
        <v>1779</v>
      </c>
      <c r="F18" s="549">
        <v>7</v>
      </c>
      <c r="G18" s="550" t="s">
        <v>1737</v>
      </c>
      <c r="H18" s="551" t="s">
        <v>1780</v>
      </c>
      <c r="I18" s="552">
        <v>14</v>
      </c>
      <c r="K18" s="479">
        <v>2.4710000000000001</v>
      </c>
    </row>
    <row r="19" spans="1:11" ht="24.75" customHeight="1">
      <c r="A19" s="548">
        <f t="shared" si="0"/>
        <v>32897486</v>
      </c>
      <c r="B19" s="1335">
        <f t="shared" si="1"/>
        <v>13313430</v>
      </c>
      <c r="C19" s="549">
        <f t="shared" si="2"/>
        <v>32897486</v>
      </c>
      <c r="D19" s="549">
        <v>13313430</v>
      </c>
      <c r="E19" s="550" t="s">
        <v>1781</v>
      </c>
      <c r="F19" s="549">
        <v>1</v>
      </c>
      <c r="G19" s="550" t="s">
        <v>1737</v>
      </c>
      <c r="H19" s="551" t="s">
        <v>1782</v>
      </c>
      <c r="I19" s="552">
        <v>15</v>
      </c>
      <c r="K19" s="479">
        <v>2.4710000000000001</v>
      </c>
    </row>
    <row r="20" spans="1:11" ht="24.75" customHeight="1">
      <c r="A20" s="548">
        <f t="shared" si="0"/>
        <v>141114856</v>
      </c>
      <c r="B20" s="1335">
        <f t="shared" si="1"/>
        <v>57108400</v>
      </c>
      <c r="C20" s="549">
        <f t="shared" si="2"/>
        <v>35278714</v>
      </c>
      <c r="D20" s="549">
        <v>14277100</v>
      </c>
      <c r="E20" s="550" t="s">
        <v>1783</v>
      </c>
      <c r="F20" s="549">
        <v>4</v>
      </c>
      <c r="G20" s="550" t="s">
        <v>1737</v>
      </c>
      <c r="H20" s="551" t="s">
        <v>1784</v>
      </c>
      <c r="I20" s="552">
        <v>16</v>
      </c>
      <c r="K20" s="479">
        <v>2.4710000000000001</v>
      </c>
    </row>
    <row r="21" spans="1:11" ht="24.75" customHeight="1">
      <c r="A21" s="548">
        <f t="shared" si="0"/>
        <v>117075954</v>
      </c>
      <c r="B21" s="1335">
        <f t="shared" si="1"/>
        <v>47379990</v>
      </c>
      <c r="C21" s="549">
        <f t="shared" si="2"/>
        <v>39025318</v>
      </c>
      <c r="D21" s="549">
        <v>15793330</v>
      </c>
      <c r="E21" s="550" t="s">
        <v>1785</v>
      </c>
      <c r="F21" s="549">
        <v>3</v>
      </c>
      <c r="G21" s="550" t="s">
        <v>1737</v>
      </c>
      <c r="H21" s="551" t="s">
        <v>1786</v>
      </c>
      <c r="I21" s="552">
        <v>17</v>
      </c>
      <c r="K21" s="479">
        <v>2.4710000000000001</v>
      </c>
    </row>
    <row r="22" spans="1:11" ht="24.75" customHeight="1">
      <c r="A22" s="548">
        <f t="shared" si="0"/>
        <v>88940286</v>
      </c>
      <c r="B22" s="1335">
        <f t="shared" si="1"/>
        <v>35993640</v>
      </c>
      <c r="C22" s="549">
        <f t="shared" si="2"/>
        <v>14823381</v>
      </c>
      <c r="D22" s="549">
        <v>5998940</v>
      </c>
      <c r="E22" s="550" t="s">
        <v>1757</v>
      </c>
      <c r="F22" s="549">
        <v>6</v>
      </c>
      <c r="G22" s="550" t="s">
        <v>1737</v>
      </c>
      <c r="H22" s="551" t="s">
        <v>1787</v>
      </c>
      <c r="I22" s="552">
        <v>18</v>
      </c>
      <c r="K22" s="479">
        <v>2.4710000000000001</v>
      </c>
    </row>
    <row r="23" spans="1:11" ht="24.75" customHeight="1">
      <c r="A23" s="548">
        <f t="shared" si="0"/>
        <v>1204711848</v>
      </c>
      <c r="B23" s="1335">
        <f t="shared" si="1"/>
        <v>487540200</v>
      </c>
      <c r="C23" s="549">
        <f t="shared" si="2"/>
        <v>8729796</v>
      </c>
      <c r="D23" s="549">
        <v>3532900</v>
      </c>
      <c r="E23" s="550" t="s">
        <v>1788</v>
      </c>
      <c r="F23" s="549">
        <v>138</v>
      </c>
      <c r="G23" s="550" t="s">
        <v>1737</v>
      </c>
      <c r="H23" s="551" t="s">
        <v>1789</v>
      </c>
      <c r="I23" s="552">
        <v>19</v>
      </c>
      <c r="K23" s="479">
        <v>2.4710000000000001</v>
      </c>
    </row>
    <row r="24" spans="1:11" ht="24.75" customHeight="1">
      <c r="A24" s="548">
        <f t="shared" si="0"/>
        <v>261893880</v>
      </c>
      <c r="B24" s="1335">
        <f t="shared" si="1"/>
        <v>105987000</v>
      </c>
      <c r="C24" s="549">
        <f t="shared" si="2"/>
        <v>8729796</v>
      </c>
      <c r="D24" s="549">
        <v>3532900</v>
      </c>
      <c r="E24" s="550" t="s">
        <v>1788</v>
      </c>
      <c r="F24" s="549">
        <v>30</v>
      </c>
      <c r="G24" s="550" t="s">
        <v>1737</v>
      </c>
      <c r="H24" s="551" t="s">
        <v>1790</v>
      </c>
      <c r="I24" s="552">
        <v>20</v>
      </c>
      <c r="K24" s="479">
        <v>2.4710000000000001</v>
      </c>
    </row>
    <row r="25" spans="1:11" ht="24.75" customHeight="1">
      <c r="A25" s="548">
        <f t="shared" si="0"/>
        <v>1225078124</v>
      </c>
      <c r="B25" s="1335">
        <f t="shared" si="1"/>
        <v>495782320</v>
      </c>
      <c r="C25" s="549">
        <f t="shared" si="2"/>
        <v>13032746</v>
      </c>
      <c r="D25" s="549">
        <v>5274280</v>
      </c>
      <c r="E25" s="550" t="s">
        <v>1759</v>
      </c>
      <c r="F25" s="549">
        <v>94</v>
      </c>
      <c r="G25" s="550" t="s">
        <v>1737</v>
      </c>
      <c r="H25" s="551" t="s">
        <v>1791</v>
      </c>
      <c r="I25" s="552">
        <v>21</v>
      </c>
      <c r="K25" s="479">
        <v>2.4710000000000001</v>
      </c>
    </row>
    <row r="26" spans="1:11" ht="24.75" customHeight="1">
      <c r="A26" s="548">
        <f t="shared" si="0"/>
        <v>1141400337</v>
      </c>
      <c r="B26" s="1335">
        <f t="shared" si="1"/>
        <v>461918380</v>
      </c>
      <c r="C26" s="549">
        <f t="shared" si="2"/>
        <v>14823381</v>
      </c>
      <c r="D26" s="549">
        <v>5998940</v>
      </c>
      <c r="E26" s="550" t="s">
        <v>1757</v>
      </c>
      <c r="F26" s="549">
        <v>77</v>
      </c>
      <c r="G26" s="550" t="s">
        <v>1737</v>
      </c>
      <c r="H26" s="551" t="s">
        <v>1792</v>
      </c>
      <c r="I26" s="552">
        <v>22</v>
      </c>
      <c r="K26" s="479">
        <v>2.4710000000000001</v>
      </c>
    </row>
    <row r="27" spans="1:11" ht="24.75" customHeight="1">
      <c r="A27" s="548">
        <f t="shared" si="0"/>
        <v>251997477</v>
      </c>
      <c r="B27" s="1335">
        <f t="shared" si="1"/>
        <v>101981980</v>
      </c>
      <c r="C27" s="549">
        <f t="shared" si="2"/>
        <v>14823381</v>
      </c>
      <c r="D27" s="549">
        <v>5998940</v>
      </c>
      <c r="E27" s="550" t="s">
        <v>1757</v>
      </c>
      <c r="F27" s="549">
        <v>17</v>
      </c>
      <c r="G27" s="550" t="s">
        <v>1737</v>
      </c>
      <c r="H27" s="551" t="s">
        <v>1793</v>
      </c>
      <c r="I27" s="552">
        <v>23</v>
      </c>
      <c r="K27" s="479">
        <v>2.4710000000000001</v>
      </c>
    </row>
    <row r="28" spans="1:11" ht="24.75" customHeight="1">
      <c r="A28" s="548">
        <f t="shared" si="0"/>
        <v>548465097</v>
      </c>
      <c r="B28" s="1335">
        <f t="shared" si="1"/>
        <v>221960780</v>
      </c>
      <c r="C28" s="549">
        <f t="shared" si="2"/>
        <v>14823381</v>
      </c>
      <c r="D28" s="549">
        <v>5998940</v>
      </c>
      <c r="E28" s="550" t="s">
        <v>1757</v>
      </c>
      <c r="F28" s="549">
        <v>37</v>
      </c>
      <c r="G28" s="550" t="s">
        <v>1737</v>
      </c>
      <c r="H28" s="551" t="s">
        <v>1794</v>
      </c>
      <c r="I28" s="552">
        <v>24</v>
      </c>
      <c r="K28" s="479">
        <v>2.4710000000000001</v>
      </c>
    </row>
    <row r="29" spans="1:11" ht="24.75" customHeight="1">
      <c r="A29" s="548">
        <f t="shared" si="0"/>
        <v>104261968</v>
      </c>
      <c r="B29" s="1335">
        <f t="shared" si="1"/>
        <v>42194240</v>
      </c>
      <c r="C29" s="549">
        <f t="shared" si="2"/>
        <v>13032746</v>
      </c>
      <c r="D29" s="549">
        <v>5274280</v>
      </c>
      <c r="E29" s="550" t="s">
        <v>1759</v>
      </c>
      <c r="F29" s="549">
        <v>8</v>
      </c>
      <c r="G29" s="550" t="s">
        <v>1737</v>
      </c>
      <c r="H29" s="551" t="s">
        <v>1795</v>
      </c>
      <c r="I29" s="552">
        <v>25</v>
      </c>
      <c r="K29" s="479">
        <v>2.4710000000000001</v>
      </c>
    </row>
    <row r="30" spans="1:11" ht="24.75" customHeight="1">
      <c r="A30" s="548">
        <f t="shared" si="0"/>
        <v>514973417</v>
      </c>
      <c r="B30" s="1335">
        <f t="shared" si="1"/>
        <v>208406880</v>
      </c>
      <c r="C30" s="549">
        <f t="shared" si="2"/>
        <v>8728363</v>
      </c>
      <c r="D30" s="549">
        <v>3532320</v>
      </c>
      <c r="E30" s="550" t="s">
        <v>1796</v>
      </c>
      <c r="F30" s="549">
        <v>59</v>
      </c>
      <c r="G30" s="550" t="s">
        <v>1737</v>
      </c>
      <c r="H30" s="551" t="s">
        <v>1797</v>
      </c>
      <c r="I30" s="552">
        <v>26</v>
      </c>
      <c r="K30" s="479">
        <v>2.4710000000000001</v>
      </c>
    </row>
    <row r="31" spans="1:11" ht="24.75" customHeight="1">
      <c r="A31" s="548">
        <f t="shared" si="0"/>
        <v>559415584</v>
      </c>
      <c r="B31" s="1335">
        <f t="shared" si="1"/>
        <v>226392400</v>
      </c>
      <c r="C31" s="549">
        <f t="shared" si="2"/>
        <v>5378996</v>
      </c>
      <c r="D31" s="549">
        <v>2176850</v>
      </c>
      <c r="E31" s="550" t="s">
        <v>1798</v>
      </c>
      <c r="F31" s="549">
        <v>104</v>
      </c>
      <c r="G31" s="550" t="s">
        <v>1737</v>
      </c>
      <c r="H31" s="551" t="s">
        <v>1799</v>
      </c>
      <c r="I31" s="552">
        <v>27</v>
      </c>
      <c r="K31" s="479">
        <v>2.4710000000000001</v>
      </c>
    </row>
    <row r="32" spans="1:11" ht="24.75" customHeight="1">
      <c r="A32" s="548">
        <f t="shared" si="0"/>
        <v>382495674</v>
      </c>
      <c r="B32" s="1335">
        <f t="shared" si="1"/>
        <v>154793880</v>
      </c>
      <c r="C32" s="549">
        <f t="shared" si="2"/>
        <v>13189506</v>
      </c>
      <c r="D32" s="549">
        <v>5337720</v>
      </c>
      <c r="E32" s="550" t="s">
        <v>1800</v>
      </c>
      <c r="F32" s="549">
        <v>29</v>
      </c>
      <c r="G32" s="550" t="s">
        <v>1152</v>
      </c>
      <c r="H32" s="551" t="s">
        <v>1801</v>
      </c>
      <c r="I32" s="552">
        <v>28</v>
      </c>
      <c r="K32" s="479">
        <v>2.4710000000000001</v>
      </c>
    </row>
    <row r="33" spans="1:11" ht="24.75" customHeight="1">
      <c r="A33" s="548">
        <f t="shared" si="0"/>
        <v>132903153</v>
      </c>
      <c r="B33" s="1335">
        <f t="shared" si="1"/>
        <v>53785170</v>
      </c>
      <c r="C33" s="549">
        <f t="shared" si="2"/>
        <v>14767017</v>
      </c>
      <c r="D33" s="549">
        <v>5976130</v>
      </c>
      <c r="E33" s="550" t="s">
        <v>1802</v>
      </c>
      <c r="F33" s="549">
        <v>9</v>
      </c>
      <c r="G33" s="550" t="s">
        <v>1152</v>
      </c>
      <c r="H33" s="551" t="s">
        <v>1803</v>
      </c>
      <c r="I33" s="552">
        <v>29</v>
      </c>
      <c r="K33" s="479">
        <v>2.4710000000000001</v>
      </c>
    </row>
    <row r="34" spans="1:11" ht="24.75" customHeight="1">
      <c r="A34" s="548">
        <f t="shared" si="0"/>
        <v>47691165</v>
      </c>
      <c r="B34" s="1335">
        <f t="shared" si="1"/>
        <v>19300350</v>
      </c>
      <c r="C34" s="549">
        <f t="shared" si="2"/>
        <v>15897055</v>
      </c>
      <c r="D34" s="549">
        <v>6433450</v>
      </c>
      <c r="E34" s="550" t="s">
        <v>1804</v>
      </c>
      <c r="F34" s="549">
        <v>3</v>
      </c>
      <c r="G34" s="550" t="s">
        <v>1152</v>
      </c>
      <c r="H34" s="551" t="s">
        <v>1803</v>
      </c>
      <c r="I34" s="552">
        <v>30</v>
      </c>
      <c r="K34" s="479">
        <v>2.4710000000000001</v>
      </c>
    </row>
    <row r="35" spans="1:11" ht="24.75" customHeight="1">
      <c r="A35" s="548">
        <f t="shared" si="0"/>
        <v>43104272</v>
      </c>
      <c r="B35" s="1335">
        <f t="shared" si="1"/>
        <v>17444060</v>
      </c>
      <c r="C35" s="549">
        <f t="shared" si="2"/>
        <v>21552136</v>
      </c>
      <c r="D35" s="549">
        <v>8722030</v>
      </c>
      <c r="E35" s="550" t="s">
        <v>1805</v>
      </c>
      <c r="F35" s="549">
        <v>2</v>
      </c>
      <c r="G35" s="550" t="s">
        <v>1152</v>
      </c>
      <c r="H35" s="551" t="s">
        <v>1806</v>
      </c>
      <c r="I35" s="552">
        <v>31</v>
      </c>
      <c r="K35" s="479">
        <v>2.4710000000000001</v>
      </c>
    </row>
    <row r="36" spans="1:11" ht="24.75" customHeight="1">
      <c r="A36" s="548">
        <f t="shared" si="0"/>
        <v>115394710</v>
      </c>
      <c r="B36" s="1335">
        <f t="shared" si="1"/>
        <v>46699600</v>
      </c>
      <c r="C36" s="549">
        <f t="shared" si="2"/>
        <v>11539471</v>
      </c>
      <c r="D36" s="549">
        <v>4669960</v>
      </c>
      <c r="E36" s="550" t="s">
        <v>1807</v>
      </c>
      <c r="F36" s="549">
        <v>10</v>
      </c>
      <c r="G36" s="550" t="s">
        <v>1152</v>
      </c>
      <c r="H36" s="551" t="s">
        <v>1808</v>
      </c>
      <c r="I36" s="552">
        <v>32</v>
      </c>
      <c r="K36" s="479">
        <v>2.4710000000000001</v>
      </c>
    </row>
    <row r="37" spans="1:11" ht="24.75" customHeight="1">
      <c r="A37" s="548">
        <f t="shared" si="0"/>
        <v>104936056</v>
      </c>
      <c r="B37" s="1335">
        <f t="shared" si="1"/>
        <v>42467040</v>
      </c>
      <c r="C37" s="549">
        <f t="shared" si="2"/>
        <v>13117007</v>
      </c>
      <c r="D37" s="549">
        <v>5308380</v>
      </c>
      <c r="E37" s="550" t="s">
        <v>1809</v>
      </c>
      <c r="F37" s="549">
        <v>8</v>
      </c>
      <c r="G37" s="550" t="s">
        <v>1152</v>
      </c>
      <c r="H37" s="551" t="s">
        <v>1810</v>
      </c>
      <c r="I37" s="552">
        <v>33</v>
      </c>
      <c r="K37" s="479">
        <v>2.4710000000000001</v>
      </c>
    </row>
    <row r="38" spans="1:11" ht="24.75" customHeight="1">
      <c r="A38" s="548">
        <f t="shared" si="0"/>
        <v>341928480</v>
      </c>
      <c r="B38" s="1335">
        <f t="shared" si="1"/>
        <v>138376560</v>
      </c>
      <c r="C38" s="549">
        <f t="shared" si="2"/>
        <v>14247020</v>
      </c>
      <c r="D38" s="549">
        <v>5765690</v>
      </c>
      <c r="E38" s="550" t="s">
        <v>1811</v>
      </c>
      <c r="F38" s="549">
        <v>24</v>
      </c>
      <c r="G38" s="550" t="s">
        <v>1152</v>
      </c>
      <c r="H38" s="551" t="s">
        <v>1812</v>
      </c>
      <c r="I38" s="552">
        <v>34</v>
      </c>
      <c r="K38" s="479">
        <v>2.4710000000000001</v>
      </c>
    </row>
    <row r="39" spans="1:11" ht="24.75" customHeight="1">
      <c r="A39" s="548">
        <f t="shared" si="0"/>
        <v>79608504</v>
      </c>
      <c r="B39" s="1335">
        <f t="shared" si="1"/>
        <v>32217120</v>
      </c>
      <c r="C39" s="549">
        <f t="shared" si="2"/>
        <v>19902126</v>
      </c>
      <c r="D39" s="549">
        <v>8054280</v>
      </c>
      <c r="E39" s="550" t="s">
        <v>1813</v>
      </c>
      <c r="F39" s="549">
        <v>4</v>
      </c>
      <c r="G39" s="550" t="s">
        <v>1152</v>
      </c>
      <c r="H39" s="551" t="s">
        <v>1814</v>
      </c>
      <c r="I39" s="552">
        <v>35</v>
      </c>
      <c r="K39" s="479">
        <v>2.4710000000000001</v>
      </c>
    </row>
    <row r="40" spans="1:11" ht="24.75" customHeight="1">
      <c r="A40" s="548">
        <f t="shared" si="0"/>
        <v>321117580</v>
      </c>
      <c r="B40" s="1335">
        <f t="shared" si="1"/>
        <v>129954510</v>
      </c>
      <c r="C40" s="549">
        <f t="shared" si="2"/>
        <v>11073020</v>
      </c>
      <c r="D40" s="549">
        <v>4481190</v>
      </c>
      <c r="E40" s="550" t="s">
        <v>1815</v>
      </c>
      <c r="F40" s="549">
        <v>29</v>
      </c>
      <c r="G40" s="550" t="s">
        <v>1152</v>
      </c>
      <c r="H40" s="551" t="s">
        <v>1816</v>
      </c>
      <c r="I40" s="552">
        <v>36</v>
      </c>
      <c r="K40" s="479">
        <v>2.4710000000000001</v>
      </c>
    </row>
    <row r="41" spans="1:11" ht="30" customHeight="1">
      <c r="A41" s="548">
        <f t="shared" si="0"/>
        <v>131930640</v>
      </c>
      <c r="B41" s="1335">
        <f t="shared" si="1"/>
        <v>53391600</v>
      </c>
      <c r="C41" s="549">
        <f t="shared" si="2"/>
        <v>13193064</v>
      </c>
      <c r="D41" s="549">
        <v>5339160</v>
      </c>
      <c r="E41" s="550" t="s">
        <v>1817</v>
      </c>
      <c r="F41" s="549">
        <v>10</v>
      </c>
      <c r="G41" s="550" t="s">
        <v>1152</v>
      </c>
      <c r="H41" s="551" t="s">
        <v>1818</v>
      </c>
      <c r="I41" s="552">
        <v>37</v>
      </c>
      <c r="K41" s="479">
        <v>2.4710000000000001</v>
      </c>
    </row>
    <row r="42" spans="1:11" ht="30" customHeight="1">
      <c r="A42" s="548">
        <f t="shared" si="0"/>
        <v>1423366650</v>
      </c>
      <c r="B42" s="1335">
        <f t="shared" si="1"/>
        <v>576028000</v>
      </c>
      <c r="C42" s="549">
        <f t="shared" si="2"/>
        <v>194715</v>
      </c>
      <c r="D42" s="549">
        <v>78800</v>
      </c>
      <c r="E42" s="550" t="s">
        <v>1819</v>
      </c>
      <c r="F42" s="549">
        <v>7310</v>
      </c>
      <c r="G42" s="550" t="s">
        <v>1279</v>
      </c>
      <c r="H42" s="553" t="s">
        <v>1820</v>
      </c>
      <c r="I42" s="552">
        <v>38</v>
      </c>
      <c r="K42" s="479">
        <v>2.4710000000000001</v>
      </c>
    </row>
    <row r="43" spans="1:11" ht="30" customHeight="1">
      <c r="A43" s="548">
        <f t="shared" si="0"/>
        <v>3571745220</v>
      </c>
      <c r="B43" s="1335">
        <f t="shared" si="1"/>
        <v>1445462400</v>
      </c>
      <c r="C43" s="549">
        <f t="shared" si="2"/>
        <v>205983</v>
      </c>
      <c r="D43" s="549">
        <v>83360</v>
      </c>
      <c r="E43" s="550" t="s">
        <v>1821</v>
      </c>
      <c r="F43" s="549">
        <v>17340</v>
      </c>
      <c r="G43" s="550" t="s">
        <v>1279</v>
      </c>
      <c r="H43" s="553" t="s">
        <v>1822</v>
      </c>
      <c r="I43" s="552">
        <v>39</v>
      </c>
      <c r="K43" s="479">
        <v>2.4710000000000001</v>
      </c>
    </row>
    <row r="44" spans="1:11" ht="30" customHeight="1">
      <c r="A44" s="548">
        <f t="shared" si="0"/>
        <v>226207440</v>
      </c>
      <c r="B44" s="1335">
        <f t="shared" si="1"/>
        <v>91545000</v>
      </c>
      <c r="C44" s="549">
        <f t="shared" si="2"/>
        <v>221772</v>
      </c>
      <c r="D44" s="549">
        <v>89750</v>
      </c>
      <c r="E44" s="550" t="s">
        <v>1823</v>
      </c>
      <c r="F44" s="549">
        <v>1020</v>
      </c>
      <c r="G44" s="550" t="s">
        <v>1279</v>
      </c>
      <c r="H44" s="553" t="s">
        <v>1824</v>
      </c>
      <c r="I44" s="552">
        <v>40</v>
      </c>
      <c r="K44" s="479">
        <v>2.4710000000000001</v>
      </c>
    </row>
    <row r="45" spans="1:11" ht="30" customHeight="1">
      <c r="A45" s="548">
        <f t="shared" si="0"/>
        <v>2080387920</v>
      </c>
      <c r="B45" s="1335">
        <f t="shared" si="1"/>
        <v>841921600</v>
      </c>
      <c r="C45" s="549">
        <f t="shared" si="2"/>
        <v>235338</v>
      </c>
      <c r="D45" s="549">
        <v>95240</v>
      </c>
      <c r="E45" s="550" t="s">
        <v>1825</v>
      </c>
      <c r="F45" s="549">
        <v>8840</v>
      </c>
      <c r="G45" s="550" t="s">
        <v>1279</v>
      </c>
      <c r="H45" s="553" t="s">
        <v>1826</v>
      </c>
      <c r="I45" s="552">
        <v>41</v>
      </c>
      <c r="K45" s="479">
        <v>2.4710000000000001</v>
      </c>
    </row>
    <row r="46" spans="1:11" ht="30" customHeight="1">
      <c r="A46" s="548">
        <f t="shared" si="0"/>
        <v>2171060820</v>
      </c>
      <c r="B46" s="1335">
        <f t="shared" si="1"/>
        <v>878614400</v>
      </c>
      <c r="C46" s="549">
        <f t="shared" si="2"/>
        <v>205983</v>
      </c>
      <c r="D46" s="549">
        <v>83360</v>
      </c>
      <c r="E46" s="550" t="s">
        <v>1827</v>
      </c>
      <c r="F46" s="549">
        <v>10540</v>
      </c>
      <c r="G46" s="550" t="s">
        <v>1279</v>
      </c>
      <c r="H46" s="553" t="s">
        <v>1828</v>
      </c>
      <c r="I46" s="552">
        <v>42</v>
      </c>
      <c r="K46" s="479">
        <v>2.4710000000000001</v>
      </c>
    </row>
    <row r="47" spans="1:11" ht="27" customHeight="1">
      <c r="A47" s="548">
        <f t="shared" si="0"/>
        <v>5502857670</v>
      </c>
      <c r="B47" s="1335">
        <f t="shared" si="1"/>
        <v>2226976200</v>
      </c>
      <c r="C47" s="549">
        <f t="shared" si="2"/>
        <v>211567</v>
      </c>
      <c r="D47" s="549">
        <v>85620</v>
      </c>
      <c r="E47" s="550" t="s">
        <v>1829</v>
      </c>
      <c r="F47" s="549">
        <v>26010</v>
      </c>
      <c r="G47" s="550" t="s">
        <v>1279</v>
      </c>
      <c r="H47" s="553" t="s">
        <v>1830</v>
      </c>
      <c r="I47" s="552">
        <v>43</v>
      </c>
      <c r="K47" s="479">
        <v>2.4710000000000001</v>
      </c>
    </row>
    <row r="48" spans="1:11" ht="27" customHeight="1">
      <c r="A48" s="548">
        <f t="shared" si="0"/>
        <v>3308523000</v>
      </c>
      <c r="B48" s="1335">
        <f t="shared" si="1"/>
        <v>1338938700</v>
      </c>
      <c r="C48" s="549">
        <f t="shared" si="2"/>
        <v>223700</v>
      </c>
      <c r="D48" s="549">
        <v>90530</v>
      </c>
      <c r="E48" s="550" t="s">
        <v>1831</v>
      </c>
      <c r="F48" s="549">
        <v>14790</v>
      </c>
      <c r="G48" s="550" t="s">
        <v>1279</v>
      </c>
      <c r="H48" s="553" t="s">
        <v>1832</v>
      </c>
      <c r="I48" s="552">
        <v>44</v>
      </c>
      <c r="K48" s="479">
        <v>2.4710000000000001</v>
      </c>
    </row>
    <row r="49" spans="1:11" ht="27" customHeight="1">
      <c r="A49" s="548">
        <f t="shared" si="0"/>
        <v>521803440</v>
      </c>
      <c r="B49" s="1335">
        <f t="shared" si="1"/>
        <v>211170600</v>
      </c>
      <c r="C49" s="549">
        <f t="shared" si="2"/>
        <v>170524</v>
      </c>
      <c r="D49" s="549">
        <v>69010</v>
      </c>
      <c r="E49" s="550" t="s">
        <v>1833</v>
      </c>
      <c r="F49" s="549">
        <v>3060</v>
      </c>
      <c r="G49" s="550" t="s">
        <v>1279</v>
      </c>
      <c r="H49" s="553" t="s">
        <v>1832</v>
      </c>
      <c r="I49" s="552">
        <v>45</v>
      </c>
      <c r="K49" s="479">
        <v>2.4710000000000001</v>
      </c>
    </row>
    <row r="50" spans="1:11" ht="27" customHeight="1">
      <c r="A50" s="548">
        <f t="shared" si="0"/>
        <v>1158387310</v>
      </c>
      <c r="B50" s="1335">
        <f t="shared" si="1"/>
        <v>468793700</v>
      </c>
      <c r="C50" s="549">
        <f t="shared" si="2"/>
        <v>234967</v>
      </c>
      <c r="D50" s="549">
        <v>95090</v>
      </c>
      <c r="E50" s="550" t="s">
        <v>1834</v>
      </c>
      <c r="F50" s="549">
        <v>4930</v>
      </c>
      <c r="G50" s="550" t="s">
        <v>1279</v>
      </c>
      <c r="H50" s="553" t="s">
        <v>1835</v>
      </c>
      <c r="I50" s="552">
        <v>46</v>
      </c>
      <c r="K50" s="479">
        <v>2.4710000000000001</v>
      </c>
    </row>
    <row r="51" spans="1:11" ht="27" customHeight="1">
      <c r="A51" s="548">
        <f t="shared" si="0"/>
        <v>1401084580</v>
      </c>
      <c r="B51" s="1335">
        <f t="shared" si="1"/>
        <v>567011200</v>
      </c>
      <c r="C51" s="549">
        <f t="shared" si="2"/>
        <v>588691</v>
      </c>
      <c r="D51" s="549">
        <v>238240</v>
      </c>
      <c r="E51" s="550" t="s">
        <v>1836</v>
      </c>
      <c r="F51" s="549">
        <v>2380</v>
      </c>
      <c r="G51" s="550" t="s">
        <v>1279</v>
      </c>
      <c r="H51" s="553" t="s">
        <v>1837</v>
      </c>
      <c r="I51" s="552">
        <v>47</v>
      </c>
      <c r="K51" s="479">
        <v>2.4710000000000001</v>
      </c>
    </row>
    <row r="52" spans="1:11" ht="27" customHeight="1">
      <c r="A52" s="548">
        <f t="shared" si="0"/>
        <v>14752698600</v>
      </c>
      <c r="B52" s="1335">
        <f t="shared" si="1"/>
        <v>5970335400</v>
      </c>
      <c r="C52" s="549">
        <f t="shared" si="2"/>
        <v>850790</v>
      </c>
      <c r="D52" s="549">
        <v>344310</v>
      </c>
      <c r="E52" s="550" t="s">
        <v>1838</v>
      </c>
      <c r="F52" s="549">
        <v>17340</v>
      </c>
      <c r="G52" s="550" t="s">
        <v>1279</v>
      </c>
      <c r="H52" s="553" t="s">
        <v>1839</v>
      </c>
      <c r="I52" s="552">
        <v>48</v>
      </c>
      <c r="K52" s="479">
        <v>2.4710000000000001</v>
      </c>
    </row>
    <row r="53" spans="1:11" ht="27" customHeight="1">
      <c r="A53" s="548">
        <f t="shared" si="0"/>
        <v>1149462480</v>
      </c>
      <c r="B53" s="1335">
        <f t="shared" si="1"/>
        <v>465181200</v>
      </c>
      <c r="C53" s="549">
        <f t="shared" si="2"/>
        <v>1126924</v>
      </c>
      <c r="D53" s="549">
        <v>456060</v>
      </c>
      <c r="E53" s="550" t="s">
        <v>1840</v>
      </c>
      <c r="F53" s="549">
        <v>1020</v>
      </c>
      <c r="G53" s="550" t="s">
        <v>1279</v>
      </c>
      <c r="H53" s="553" t="s">
        <v>1841</v>
      </c>
      <c r="I53" s="552">
        <v>49</v>
      </c>
      <c r="K53" s="479">
        <v>2.4710000000000001</v>
      </c>
    </row>
    <row r="54" spans="1:11" ht="27" customHeight="1">
      <c r="A54" s="548">
        <f t="shared" si="0"/>
        <v>12952403360</v>
      </c>
      <c r="B54" s="1335">
        <f t="shared" si="1"/>
        <v>5241766400</v>
      </c>
      <c r="C54" s="549">
        <f t="shared" si="2"/>
        <v>1465204</v>
      </c>
      <c r="D54" s="549">
        <v>592960</v>
      </c>
      <c r="E54" s="550" t="s">
        <v>1842</v>
      </c>
      <c r="F54" s="549">
        <v>8840</v>
      </c>
      <c r="G54" s="550" t="s">
        <v>1279</v>
      </c>
      <c r="H54" s="553" t="s">
        <v>1843</v>
      </c>
      <c r="I54" s="552">
        <v>50</v>
      </c>
      <c r="K54" s="479">
        <v>2.4710000000000001</v>
      </c>
    </row>
    <row r="55" spans="1:11" ht="27" customHeight="1">
      <c r="A55" s="548">
        <f t="shared" si="0"/>
        <v>1116483160</v>
      </c>
      <c r="B55" s="1335">
        <f t="shared" si="1"/>
        <v>451834500</v>
      </c>
      <c r="C55" s="549">
        <f t="shared" si="2"/>
        <v>505196</v>
      </c>
      <c r="D55" s="549">
        <v>204450</v>
      </c>
      <c r="E55" s="550" t="s">
        <v>1844</v>
      </c>
      <c r="F55" s="549">
        <v>2210</v>
      </c>
      <c r="G55" s="550" t="s">
        <v>1279</v>
      </c>
      <c r="H55" s="553" t="s">
        <v>1845</v>
      </c>
      <c r="I55" s="552">
        <v>51</v>
      </c>
      <c r="K55" s="479">
        <v>2.4710000000000001</v>
      </c>
    </row>
    <row r="56" spans="1:11" ht="27" customHeight="1">
      <c r="A56" s="548">
        <f t="shared" si="0"/>
        <v>6482370300</v>
      </c>
      <c r="B56" s="1335">
        <f t="shared" si="1"/>
        <v>2623378800</v>
      </c>
      <c r="C56" s="549">
        <f t="shared" si="2"/>
        <v>1815790</v>
      </c>
      <c r="D56" s="549">
        <v>734840</v>
      </c>
      <c r="E56" s="550" t="s">
        <v>1846</v>
      </c>
      <c r="F56" s="549">
        <v>3570</v>
      </c>
      <c r="G56" s="550" t="s">
        <v>1279</v>
      </c>
      <c r="H56" s="553" t="s">
        <v>1847</v>
      </c>
      <c r="I56" s="552">
        <v>52</v>
      </c>
      <c r="K56" s="479">
        <v>2.4710000000000001</v>
      </c>
    </row>
    <row r="57" spans="1:11" ht="30" customHeight="1">
      <c r="A57" s="548">
        <f t="shared" si="0"/>
        <v>11439093960</v>
      </c>
      <c r="B57" s="1335">
        <f t="shared" si="1"/>
        <v>4629338000</v>
      </c>
      <c r="C57" s="549">
        <f t="shared" si="2"/>
        <v>2403171</v>
      </c>
      <c r="D57" s="549">
        <v>972550</v>
      </c>
      <c r="E57" s="550" t="s">
        <v>1848</v>
      </c>
      <c r="F57" s="549">
        <v>4760</v>
      </c>
      <c r="G57" s="550" t="s">
        <v>1279</v>
      </c>
      <c r="H57" s="553" t="s">
        <v>1849</v>
      </c>
      <c r="I57" s="552">
        <v>53</v>
      </c>
      <c r="K57" s="479">
        <v>2.4710000000000001</v>
      </c>
    </row>
    <row r="58" spans="1:11" ht="30" customHeight="1">
      <c r="A58" s="548">
        <f t="shared" si="0"/>
        <v>5736791610</v>
      </c>
      <c r="B58" s="1335">
        <f t="shared" si="1"/>
        <v>2321652600</v>
      </c>
      <c r="C58" s="549">
        <f t="shared" si="2"/>
        <v>220561</v>
      </c>
      <c r="D58" s="549">
        <v>89260</v>
      </c>
      <c r="E58" s="550" t="s">
        <v>1850</v>
      </c>
      <c r="F58" s="549">
        <v>26010</v>
      </c>
      <c r="G58" s="550" t="s">
        <v>1279</v>
      </c>
      <c r="H58" s="553" t="s">
        <v>1851</v>
      </c>
      <c r="I58" s="552">
        <v>54</v>
      </c>
      <c r="K58" s="479">
        <v>2.4710000000000001</v>
      </c>
    </row>
    <row r="59" spans="1:11" ht="30" customHeight="1">
      <c r="A59" s="548">
        <f t="shared" si="0"/>
        <v>7009543020</v>
      </c>
      <c r="B59" s="1335">
        <f t="shared" si="1"/>
        <v>2836722000</v>
      </c>
      <c r="C59" s="549">
        <f t="shared" si="2"/>
        <v>473938</v>
      </c>
      <c r="D59" s="549">
        <v>191800</v>
      </c>
      <c r="E59" s="550" t="s">
        <v>1852</v>
      </c>
      <c r="F59" s="549">
        <v>14790</v>
      </c>
      <c r="G59" s="550" t="s">
        <v>1279</v>
      </c>
      <c r="H59" s="553" t="s">
        <v>1853</v>
      </c>
      <c r="I59" s="552">
        <v>55</v>
      </c>
      <c r="K59" s="479">
        <v>2.4710000000000001</v>
      </c>
    </row>
    <row r="60" spans="1:11" ht="26.25" customHeight="1">
      <c r="A60" s="548">
        <f t="shared" si="0"/>
        <v>1215168840</v>
      </c>
      <c r="B60" s="1335">
        <f t="shared" si="1"/>
        <v>491772600</v>
      </c>
      <c r="C60" s="549">
        <f t="shared" si="2"/>
        <v>397114</v>
      </c>
      <c r="D60" s="549">
        <v>160710</v>
      </c>
      <c r="E60" s="550" t="s">
        <v>1854</v>
      </c>
      <c r="F60" s="549">
        <v>3060</v>
      </c>
      <c r="G60" s="550" t="s">
        <v>1279</v>
      </c>
      <c r="H60" s="553" t="s">
        <v>1855</v>
      </c>
      <c r="I60" s="552">
        <v>56</v>
      </c>
      <c r="K60" s="479">
        <v>2.4710000000000001</v>
      </c>
    </row>
    <row r="61" spans="1:11" ht="26.25" customHeight="1">
      <c r="A61" s="548">
        <f t="shared" si="0"/>
        <v>3962780325</v>
      </c>
      <c r="B61" s="1335">
        <f t="shared" si="1"/>
        <v>1603715400</v>
      </c>
      <c r="C61" s="549">
        <f t="shared" si="2"/>
        <v>740015</v>
      </c>
      <c r="D61" s="549">
        <v>299480</v>
      </c>
      <c r="E61" s="550" t="s">
        <v>1856</v>
      </c>
      <c r="F61" s="549">
        <v>5355</v>
      </c>
      <c r="G61" s="550" t="s">
        <v>1279</v>
      </c>
      <c r="H61" s="551" t="s">
        <v>1857</v>
      </c>
      <c r="I61" s="552">
        <v>57</v>
      </c>
      <c r="K61" s="479">
        <v>2.4710000000000001</v>
      </c>
    </row>
    <row r="62" spans="1:11" ht="26.25" customHeight="1">
      <c r="A62" s="548">
        <f t="shared" si="0"/>
        <v>1068940416</v>
      </c>
      <c r="B62" s="1335">
        <f t="shared" si="1"/>
        <v>432594240</v>
      </c>
      <c r="C62" s="549">
        <f t="shared" si="2"/>
        <v>1964964</v>
      </c>
      <c r="D62" s="549">
        <v>795210</v>
      </c>
      <c r="E62" s="550" t="s">
        <v>1858</v>
      </c>
      <c r="F62" s="549">
        <v>544</v>
      </c>
      <c r="G62" s="550" t="s">
        <v>1279</v>
      </c>
      <c r="H62" s="551" t="s">
        <v>1859</v>
      </c>
      <c r="I62" s="552">
        <v>58</v>
      </c>
      <c r="K62" s="479">
        <v>2.4710000000000001</v>
      </c>
    </row>
    <row r="63" spans="1:11" ht="26.25" customHeight="1">
      <c r="A63" s="548">
        <f t="shared" si="0"/>
        <v>1131711352</v>
      </c>
      <c r="B63" s="1335">
        <f t="shared" si="1"/>
        <v>457998360</v>
      </c>
      <c r="C63" s="549">
        <f t="shared" si="2"/>
        <v>191848</v>
      </c>
      <c r="D63" s="549">
        <v>77640</v>
      </c>
      <c r="E63" s="550" t="s">
        <v>1860</v>
      </c>
      <c r="F63" s="549">
        <v>5899</v>
      </c>
      <c r="G63" s="550" t="s">
        <v>1279</v>
      </c>
      <c r="H63" s="551" t="s">
        <v>1861</v>
      </c>
      <c r="I63" s="552">
        <v>59</v>
      </c>
      <c r="K63" s="479">
        <v>2.4710000000000001</v>
      </c>
    </row>
    <row r="64" spans="1:11" ht="26.25" customHeight="1">
      <c r="A64" s="548">
        <f t="shared" si="0"/>
        <v>2009581560</v>
      </c>
      <c r="B64" s="1335">
        <f t="shared" si="1"/>
        <v>813266400</v>
      </c>
      <c r="C64" s="549">
        <f t="shared" si="2"/>
        <v>985089</v>
      </c>
      <c r="D64" s="549">
        <v>398660</v>
      </c>
      <c r="E64" s="550" t="s">
        <v>1862</v>
      </c>
      <c r="F64" s="549">
        <v>2040</v>
      </c>
      <c r="G64" s="550" t="s">
        <v>1279</v>
      </c>
      <c r="H64" s="551" t="s">
        <v>1863</v>
      </c>
      <c r="I64" s="552">
        <v>60</v>
      </c>
      <c r="K64" s="479">
        <v>2.4710000000000001</v>
      </c>
    </row>
    <row r="65" spans="1:11" ht="26.25" customHeight="1">
      <c r="A65" s="548">
        <f t="shared" si="0"/>
        <v>601770420</v>
      </c>
      <c r="B65" s="1335">
        <f t="shared" si="1"/>
        <v>243533160</v>
      </c>
      <c r="C65" s="549">
        <f t="shared" si="2"/>
        <v>2949855</v>
      </c>
      <c r="D65" s="549">
        <v>1193790</v>
      </c>
      <c r="E65" s="550" t="s">
        <v>1864</v>
      </c>
      <c r="F65" s="549">
        <v>204</v>
      </c>
      <c r="G65" s="550" t="s">
        <v>1279</v>
      </c>
      <c r="H65" s="551" t="s">
        <v>1865</v>
      </c>
      <c r="I65" s="552">
        <v>61</v>
      </c>
      <c r="K65" s="479">
        <v>2.4710000000000001</v>
      </c>
    </row>
    <row r="66" spans="1:11" ht="26.25" customHeight="1">
      <c r="A66" s="548">
        <f t="shared" si="0"/>
        <v>539520432</v>
      </c>
      <c r="B66" s="1335">
        <f t="shared" si="1"/>
        <v>218341200</v>
      </c>
      <c r="C66" s="549">
        <f t="shared" si="2"/>
        <v>240428</v>
      </c>
      <c r="D66" s="549">
        <v>97300</v>
      </c>
      <c r="E66" s="550" t="s">
        <v>1866</v>
      </c>
      <c r="F66" s="549">
        <v>2244</v>
      </c>
      <c r="G66" s="550" t="s">
        <v>1279</v>
      </c>
      <c r="H66" s="551" t="s">
        <v>1867</v>
      </c>
      <c r="I66" s="552">
        <v>62</v>
      </c>
      <c r="K66" s="479">
        <v>2.4710000000000001</v>
      </c>
    </row>
    <row r="67" spans="1:11" ht="26.25" customHeight="1">
      <c r="A67" s="548">
        <f t="shared" si="0"/>
        <v>1035722875</v>
      </c>
      <c r="B67" s="1335">
        <f t="shared" si="1"/>
        <v>419151150</v>
      </c>
      <c r="C67" s="549">
        <f t="shared" si="2"/>
        <v>1107725</v>
      </c>
      <c r="D67" s="549">
        <v>448290</v>
      </c>
      <c r="E67" s="550" t="s">
        <v>1868</v>
      </c>
      <c r="F67" s="549">
        <v>935</v>
      </c>
      <c r="G67" s="550" t="s">
        <v>1279</v>
      </c>
      <c r="H67" s="551" t="s">
        <v>1869</v>
      </c>
      <c r="I67" s="552">
        <v>63</v>
      </c>
      <c r="K67" s="479">
        <v>2.4710000000000001</v>
      </c>
    </row>
    <row r="68" spans="1:11" ht="26.25" customHeight="1">
      <c r="A68" s="548">
        <f t="shared" si="0"/>
        <v>376518006</v>
      </c>
      <c r="B68" s="1335">
        <f t="shared" si="1"/>
        <v>152374740</v>
      </c>
      <c r="C68" s="549">
        <f t="shared" si="2"/>
        <v>3691353</v>
      </c>
      <c r="D68" s="549">
        <v>1493870</v>
      </c>
      <c r="E68" s="550" t="s">
        <v>1870</v>
      </c>
      <c r="F68" s="549">
        <v>102</v>
      </c>
      <c r="G68" s="550" t="s">
        <v>1279</v>
      </c>
      <c r="H68" s="551" t="s">
        <v>1871</v>
      </c>
      <c r="I68" s="552">
        <v>64</v>
      </c>
      <c r="K68" s="479">
        <v>2.4710000000000001</v>
      </c>
    </row>
    <row r="69" spans="1:11" ht="26.25" customHeight="1">
      <c r="A69" s="548">
        <f t="shared" si="0"/>
        <v>323557481</v>
      </c>
      <c r="B69" s="1335">
        <f t="shared" si="1"/>
        <v>130941990</v>
      </c>
      <c r="C69" s="549">
        <f t="shared" si="2"/>
        <v>312013</v>
      </c>
      <c r="D69" s="549">
        <v>126270</v>
      </c>
      <c r="E69" s="550" t="s">
        <v>1872</v>
      </c>
      <c r="F69" s="549">
        <v>1037</v>
      </c>
      <c r="G69" s="550" t="s">
        <v>1279</v>
      </c>
      <c r="H69" s="551" t="s">
        <v>1873</v>
      </c>
      <c r="I69" s="552">
        <v>65</v>
      </c>
      <c r="K69" s="479">
        <v>2.4710000000000001</v>
      </c>
    </row>
    <row r="70" spans="1:11" ht="26.25" customHeight="1">
      <c r="A70" s="548">
        <f t="shared" ref="A70:A96" si="3">ROUND(C70*F70,0)</f>
        <v>101438490</v>
      </c>
      <c r="B70" s="1335">
        <f t="shared" ref="B70:B96" si="4">ROUND(F70*D70,0)</f>
        <v>41051600</v>
      </c>
      <c r="C70" s="549">
        <f t="shared" ref="C70:C95" si="5">ROUND(D70*K70,0)</f>
        <v>596697</v>
      </c>
      <c r="D70" s="549">
        <v>241480</v>
      </c>
      <c r="E70" s="550" t="s">
        <v>1874</v>
      </c>
      <c r="F70" s="549">
        <v>170</v>
      </c>
      <c r="G70" s="550" t="s">
        <v>1279</v>
      </c>
      <c r="H70" s="551" t="s">
        <v>1875</v>
      </c>
      <c r="I70" s="552">
        <v>66</v>
      </c>
      <c r="K70" s="479">
        <v>2.4710000000000001</v>
      </c>
    </row>
    <row r="71" spans="1:11" ht="26.25" customHeight="1">
      <c r="A71" s="548">
        <f t="shared" si="3"/>
        <v>4663691974</v>
      </c>
      <c r="B71" s="1335">
        <f t="shared" si="4"/>
        <v>1887370260</v>
      </c>
      <c r="C71" s="549">
        <f t="shared" si="5"/>
        <v>1515662</v>
      </c>
      <c r="D71" s="549">
        <v>613380</v>
      </c>
      <c r="E71" s="550" t="s">
        <v>1876</v>
      </c>
      <c r="F71" s="549">
        <v>3077</v>
      </c>
      <c r="G71" s="550" t="s">
        <v>1152</v>
      </c>
      <c r="H71" s="551" t="s">
        <v>1877</v>
      </c>
      <c r="I71" s="552">
        <v>67</v>
      </c>
      <c r="K71" s="479">
        <v>2.4710000000000001</v>
      </c>
    </row>
    <row r="72" spans="1:11" ht="26.25" customHeight="1">
      <c r="A72" s="548">
        <f t="shared" si="3"/>
        <v>412101250</v>
      </c>
      <c r="B72" s="1335">
        <f t="shared" si="4"/>
        <v>166775100</v>
      </c>
      <c r="C72" s="549">
        <f t="shared" si="5"/>
        <v>4848250</v>
      </c>
      <c r="D72" s="549">
        <v>1962060</v>
      </c>
      <c r="E72" s="550" t="s">
        <v>1878</v>
      </c>
      <c r="F72" s="549">
        <v>85</v>
      </c>
      <c r="G72" s="550" t="s">
        <v>1152</v>
      </c>
      <c r="H72" s="551" t="s">
        <v>1879</v>
      </c>
      <c r="I72" s="552">
        <v>68</v>
      </c>
      <c r="K72" s="479">
        <v>2.4710000000000001</v>
      </c>
    </row>
    <row r="73" spans="1:11" ht="26.25" customHeight="1">
      <c r="A73" s="548">
        <f t="shared" si="3"/>
        <v>401796513</v>
      </c>
      <c r="B73" s="1335">
        <f t="shared" si="4"/>
        <v>162604830</v>
      </c>
      <c r="C73" s="549">
        <f t="shared" si="5"/>
        <v>7878363</v>
      </c>
      <c r="D73" s="549">
        <v>3188330</v>
      </c>
      <c r="E73" s="550" t="s">
        <v>1880</v>
      </c>
      <c r="F73" s="549">
        <v>51</v>
      </c>
      <c r="G73" s="550" t="s">
        <v>1152</v>
      </c>
      <c r="H73" s="551" t="s">
        <v>1881</v>
      </c>
      <c r="I73" s="552">
        <v>69</v>
      </c>
      <c r="K73" s="479">
        <v>2.4710000000000001</v>
      </c>
    </row>
    <row r="74" spans="1:11" ht="26.25" customHeight="1">
      <c r="A74" s="548">
        <f t="shared" si="3"/>
        <v>446493440</v>
      </c>
      <c r="B74" s="1335">
        <f t="shared" si="4"/>
        <v>180693425</v>
      </c>
      <c r="C74" s="549">
        <f t="shared" si="5"/>
        <v>10505728</v>
      </c>
      <c r="D74" s="549">
        <v>4251610</v>
      </c>
      <c r="E74" s="550" t="s">
        <v>1882</v>
      </c>
      <c r="F74" s="549">
        <v>42.5</v>
      </c>
      <c r="G74" s="550" t="s">
        <v>1152</v>
      </c>
      <c r="H74" s="551" t="s">
        <v>1883</v>
      </c>
      <c r="I74" s="552">
        <v>70</v>
      </c>
      <c r="K74" s="479">
        <v>2.4710000000000001</v>
      </c>
    </row>
    <row r="75" spans="1:11" ht="22.5" customHeight="1">
      <c r="A75" s="548">
        <f t="shared" si="3"/>
        <v>517709163</v>
      </c>
      <c r="B75" s="1335">
        <f t="shared" si="4"/>
        <v>209513746</v>
      </c>
      <c r="C75" s="549">
        <f t="shared" si="5"/>
        <v>282238</v>
      </c>
      <c r="D75" s="549">
        <v>114220</v>
      </c>
      <c r="E75" s="550" t="s">
        <v>1884</v>
      </c>
      <c r="F75" s="549">
        <v>1834.3</v>
      </c>
      <c r="G75" s="550" t="s">
        <v>1298</v>
      </c>
      <c r="H75" s="551" t="s">
        <v>1885</v>
      </c>
      <c r="I75" s="552">
        <v>71</v>
      </c>
      <c r="K75" s="479">
        <v>2.4710000000000001</v>
      </c>
    </row>
    <row r="76" spans="1:11" ht="22.5" customHeight="1">
      <c r="A76" s="548">
        <f t="shared" si="3"/>
        <v>7108698852</v>
      </c>
      <c r="B76" s="1335">
        <f t="shared" si="4"/>
        <v>2876851010</v>
      </c>
      <c r="C76" s="549">
        <f t="shared" si="5"/>
        <v>56507940</v>
      </c>
      <c r="D76" s="549">
        <v>22868450</v>
      </c>
      <c r="E76" s="550" t="s">
        <v>1886</v>
      </c>
      <c r="F76" s="549">
        <v>125.8</v>
      </c>
      <c r="G76" s="550" t="s">
        <v>1887</v>
      </c>
      <c r="H76" s="553" t="s">
        <v>1888</v>
      </c>
      <c r="I76" s="552">
        <v>72</v>
      </c>
      <c r="K76" s="479">
        <v>2.4710000000000001</v>
      </c>
    </row>
    <row r="77" spans="1:11" ht="21.75" customHeight="1">
      <c r="A77" s="548">
        <f t="shared" si="3"/>
        <v>11657107500</v>
      </c>
      <c r="B77" s="1335">
        <f t="shared" si="4"/>
        <v>4717566810</v>
      </c>
      <c r="C77" s="549">
        <f t="shared" si="5"/>
        <v>40100129</v>
      </c>
      <c r="D77" s="549">
        <v>16228300</v>
      </c>
      <c r="E77" s="550" t="s">
        <v>1889</v>
      </c>
      <c r="F77" s="549">
        <v>290.7</v>
      </c>
      <c r="G77" s="550" t="s">
        <v>1887</v>
      </c>
      <c r="H77" s="553" t="s">
        <v>1890</v>
      </c>
      <c r="I77" s="552">
        <v>73</v>
      </c>
      <c r="K77" s="479">
        <v>2.4710000000000001</v>
      </c>
    </row>
    <row r="78" spans="1:11" ht="21.75" customHeight="1">
      <c r="A78" s="548">
        <f t="shared" si="3"/>
        <v>6181493270</v>
      </c>
      <c r="B78" s="1335">
        <f t="shared" si="4"/>
        <v>2501616096</v>
      </c>
      <c r="C78" s="549">
        <f t="shared" si="5"/>
        <v>21643884</v>
      </c>
      <c r="D78" s="549">
        <v>8759160</v>
      </c>
      <c r="E78" s="550" t="s">
        <v>1891</v>
      </c>
      <c r="F78" s="549">
        <v>285.59999999999997</v>
      </c>
      <c r="G78" s="550" t="s">
        <v>1887</v>
      </c>
      <c r="H78" s="553" t="s">
        <v>1892</v>
      </c>
      <c r="I78" s="552">
        <v>74</v>
      </c>
      <c r="K78" s="479">
        <v>2.4710000000000001</v>
      </c>
    </row>
    <row r="79" spans="1:11" ht="21.75" customHeight="1">
      <c r="A79" s="548">
        <f t="shared" si="3"/>
        <v>2219736723</v>
      </c>
      <c r="B79" s="1335">
        <f t="shared" si="4"/>
        <v>898315156</v>
      </c>
      <c r="C79" s="549">
        <f t="shared" si="5"/>
        <v>17644966</v>
      </c>
      <c r="D79" s="549">
        <v>7140820</v>
      </c>
      <c r="E79" s="550" t="s">
        <v>1893</v>
      </c>
      <c r="F79" s="549">
        <v>125.8</v>
      </c>
      <c r="G79" s="550" t="s">
        <v>1887</v>
      </c>
      <c r="H79" s="553" t="s">
        <v>1894</v>
      </c>
      <c r="I79" s="552">
        <v>75</v>
      </c>
      <c r="K79" s="479">
        <v>2.4710000000000001</v>
      </c>
    </row>
    <row r="80" spans="1:11" ht="21.75" customHeight="1">
      <c r="A80" s="548">
        <f t="shared" si="3"/>
        <v>2948810218</v>
      </c>
      <c r="B80" s="1335">
        <f t="shared" si="4"/>
        <v>1193367105</v>
      </c>
      <c r="C80" s="549">
        <f t="shared" si="5"/>
        <v>10143826</v>
      </c>
      <c r="D80" s="549">
        <v>4105150</v>
      </c>
      <c r="E80" s="550" t="s">
        <v>1895</v>
      </c>
      <c r="F80" s="549">
        <v>290.7</v>
      </c>
      <c r="G80" s="550" t="s">
        <v>1887</v>
      </c>
      <c r="H80" s="553" t="s">
        <v>1896</v>
      </c>
      <c r="I80" s="552">
        <v>76</v>
      </c>
      <c r="K80" s="479">
        <v>2.4710000000000001</v>
      </c>
    </row>
    <row r="81" spans="1:11" ht="21.75" customHeight="1">
      <c r="A81" s="548">
        <f t="shared" si="3"/>
        <v>492123327</v>
      </c>
      <c r="B81" s="1335">
        <f t="shared" si="4"/>
        <v>199159590</v>
      </c>
      <c r="C81" s="549">
        <f t="shared" si="5"/>
        <v>9649477</v>
      </c>
      <c r="D81" s="549">
        <v>3905090</v>
      </c>
      <c r="E81" s="550" t="s">
        <v>1897</v>
      </c>
      <c r="F81" s="549">
        <v>51</v>
      </c>
      <c r="G81" s="550" t="s">
        <v>1887</v>
      </c>
      <c r="H81" s="553" t="s">
        <v>1898</v>
      </c>
      <c r="I81" s="552">
        <v>77</v>
      </c>
      <c r="K81" s="479">
        <v>2.4710000000000001</v>
      </c>
    </row>
    <row r="82" spans="1:11" ht="21.75" customHeight="1">
      <c r="A82" s="548">
        <f t="shared" si="3"/>
        <v>11237316356</v>
      </c>
      <c r="B82" s="1335">
        <f t="shared" si="4"/>
        <v>4547679690</v>
      </c>
      <c r="C82" s="549">
        <f t="shared" si="5"/>
        <v>21392188</v>
      </c>
      <c r="D82" s="549">
        <v>8657300</v>
      </c>
      <c r="E82" s="550" t="s">
        <v>1899</v>
      </c>
      <c r="F82" s="549">
        <v>525.29999999999995</v>
      </c>
      <c r="G82" s="550" t="s">
        <v>1887</v>
      </c>
      <c r="H82" s="551" t="s">
        <v>1900</v>
      </c>
      <c r="I82" s="552">
        <v>78</v>
      </c>
      <c r="K82" s="479">
        <v>2.4710000000000001</v>
      </c>
    </row>
    <row r="83" spans="1:11" ht="21.75" customHeight="1">
      <c r="A83" s="548">
        <f t="shared" si="3"/>
        <v>5991286662</v>
      </c>
      <c r="B83" s="1335">
        <f t="shared" si="4"/>
        <v>2424640504</v>
      </c>
      <c r="C83" s="549">
        <f t="shared" si="5"/>
        <v>33887368</v>
      </c>
      <c r="D83" s="549">
        <v>13714030</v>
      </c>
      <c r="E83" s="550" t="s">
        <v>1901</v>
      </c>
      <c r="F83" s="549">
        <v>176.79999999999998</v>
      </c>
      <c r="G83" s="550" t="s">
        <v>1887</v>
      </c>
      <c r="H83" s="551" t="s">
        <v>1902</v>
      </c>
      <c r="I83" s="552">
        <v>79</v>
      </c>
      <c r="K83" s="479">
        <v>2.4710000000000001</v>
      </c>
    </row>
    <row r="84" spans="1:11" ht="21.75" customHeight="1">
      <c r="A84" s="548">
        <f t="shared" si="3"/>
        <v>1292363392</v>
      </c>
      <c r="B84" s="1335">
        <f t="shared" si="4"/>
        <v>523012480</v>
      </c>
      <c r="C84" s="549">
        <f t="shared" si="5"/>
        <v>1187834</v>
      </c>
      <c r="D84" s="549">
        <v>480710</v>
      </c>
      <c r="E84" s="550" t="s">
        <v>1903</v>
      </c>
      <c r="F84" s="549">
        <v>1088</v>
      </c>
      <c r="G84" s="550" t="s">
        <v>1279</v>
      </c>
      <c r="H84" s="551" t="s">
        <v>1904</v>
      </c>
      <c r="I84" s="552">
        <v>80</v>
      </c>
      <c r="K84" s="479">
        <v>2.4710000000000001</v>
      </c>
    </row>
    <row r="85" spans="1:11" ht="21.75" customHeight="1">
      <c r="A85" s="548">
        <f t="shared" si="3"/>
        <v>1656611580</v>
      </c>
      <c r="B85" s="1335">
        <f t="shared" si="4"/>
        <v>670422200</v>
      </c>
      <c r="C85" s="549">
        <f t="shared" si="5"/>
        <v>286611</v>
      </c>
      <c r="D85" s="549">
        <v>115990</v>
      </c>
      <c r="E85" s="550" t="s">
        <v>1905</v>
      </c>
      <c r="F85" s="549">
        <v>5780</v>
      </c>
      <c r="G85" s="550" t="s">
        <v>1298</v>
      </c>
      <c r="H85" s="551" t="s">
        <v>1906</v>
      </c>
      <c r="I85" s="552">
        <v>81</v>
      </c>
      <c r="K85" s="479">
        <v>2.4710000000000001</v>
      </c>
    </row>
    <row r="86" spans="1:11" ht="21.75" customHeight="1">
      <c r="A86" s="548">
        <f t="shared" si="3"/>
        <v>54699668</v>
      </c>
      <c r="B86" s="1335">
        <f t="shared" si="4"/>
        <v>22136652</v>
      </c>
      <c r="C86" s="549">
        <f t="shared" si="5"/>
        <v>10725425</v>
      </c>
      <c r="D86" s="549">
        <v>4340520</v>
      </c>
      <c r="E86" s="550" t="s">
        <v>1907</v>
      </c>
      <c r="F86" s="549">
        <v>5.0999999999999996</v>
      </c>
      <c r="G86" s="550" t="s">
        <v>1737</v>
      </c>
      <c r="H86" s="551" t="s">
        <v>1908</v>
      </c>
      <c r="I86" s="552">
        <v>82</v>
      </c>
      <c r="K86" s="479">
        <v>2.4710000000000001</v>
      </c>
    </row>
    <row r="87" spans="1:11" ht="21.75" customHeight="1">
      <c r="A87" s="548">
        <f t="shared" si="3"/>
        <v>176353784</v>
      </c>
      <c r="B87" s="1335">
        <f t="shared" si="4"/>
        <v>71369400</v>
      </c>
      <c r="C87" s="549">
        <f t="shared" si="5"/>
        <v>10373752</v>
      </c>
      <c r="D87" s="549">
        <v>4198200</v>
      </c>
      <c r="E87" s="550" t="s">
        <v>1909</v>
      </c>
      <c r="F87" s="549">
        <v>17</v>
      </c>
      <c r="G87" s="550" t="s">
        <v>1737</v>
      </c>
      <c r="H87" s="551" t="s">
        <v>1910</v>
      </c>
      <c r="I87" s="552">
        <v>83</v>
      </c>
      <c r="K87" s="479">
        <v>2.4710000000000001</v>
      </c>
    </row>
    <row r="88" spans="1:11" ht="21.75" customHeight="1">
      <c r="A88" s="548">
        <f t="shared" si="3"/>
        <v>899871060</v>
      </c>
      <c r="B88" s="1335">
        <f t="shared" si="4"/>
        <v>364172820</v>
      </c>
      <c r="C88" s="549">
        <f t="shared" si="5"/>
        <v>13634410</v>
      </c>
      <c r="D88" s="549">
        <v>5517770</v>
      </c>
      <c r="E88" s="550" t="s">
        <v>1911</v>
      </c>
      <c r="F88" s="549">
        <v>66</v>
      </c>
      <c r="G88" s="550" t="s">
        <v>1737</v>
      </c>
      <c r="H88" s="551" t="s">
        <v>1912</v>
      </c>
      <c r="I88" s="552">
        <v>84</v>
      </c>
      <c r="K88" s="479">
        <v>2.4710000000000001</v>
      </c>
    </row>
    <row r="89" spans="1:11" ht="21.75" customHeight="1">
      <c r="A89" s="548">
        <f t="shared" si="3"/>
        <v>1519169498</v>
      </c>
      <c r="B89" s="1335">
        <f t="shared" si="4"/>
        <v>614799480</v>
      </c>
      <c r="C89" s="549">
        <f t="shared" si="5"/>
        <v>12452209</v>
      </c>
      <c r="D89" s="549">
        <v>5039340</v>
      </c>
      <c r="E89" s="550" t="s">
        <v>1913</v>
      </c>
      <c r="F89" s="549">
        <v>122</v>
      </c>
      <c r="G89" s="550" t="s">
        <v>1737</v>
      </c>
      <c r="H89" s="551" t="s">
        <v>1914</v>
      </c>
      <c r="I89" s="552">
        <v>85</v>
      </c>
      <c r="K89" s="479">
        <v>2.4710000000000001</v>
      </c>
    </row>
    <row r="90" spans="1:11" ht="21.75" customHeight="1">
      <c r="A90" s="548">
        <f t="shared" si="3"/>
        <v>343990464</v>
      </c>
      <c r="B90" s="1335">
        <f t="shared" si="4"/>
        <v>139211040</v>
      </c>
      <c r="C90" s="549">
        <f t="shared" si="5"/>
        <v>7166468</v>
      </c>
      <c r="D90" s="549">
        <v>2900230</v>
      </c>
      <c r="E90" s="550" t="s">
        <v>1915</v>
      </c>
      <c r="F90" s="549">
        <v>48</v>
      </c>
      <c r="G90" s="550" t="s">
        <v>1737</v>
      </c>
      <c r="H90" s="551" t="s">
        <v>1916</v>
      </c>
      <c r="I90" s="552">
        <v>86</v>
      </c>
      <c r="K90" s="479">
        <v>2.4710000000000001</v>
      </c>
    </row>
    <row r="91" spans="1:11" ht="21.75" customHeight="1">
      <c r="A91" s="548">
        <f t="shared" si="3"/>
        <v>66517740</v>
      </c>
      <c r="B91" s="1335">
        <f t="shared" si="4"/>
        <v>26919360</v>
      </c>
      <c r="C91" s="549">
        <f t="shared" si="5"/>
        <v>22172580</v>
      </c>
      <c r="D91" s="549">
        <v>8973120</v>
      </c>
      <c r="E91" s="550" t="s">
        <v>1917</v>
      </c>
      <c r="F91" s="549">
        <v>3</v>
      </c>
      <c r="G91" s="550" t="s">
        <v>1737</v>
      </c>
      <c r="H91" s="551" t="s">
        <v>1918</v>
      </c>
      <c r="I91" s="552">
        <v>87</v>
      </c>
      <c r="K91" s="479">
        <v>2.4710000000000001</v>
      </c>
    </row>
    <row r="92" spans="1:11" ht="21.75" customHeight="1">
      <c r="A92" s="548">
        <f t="shared" si="3"/>
        <v>409588473</v>
      </c>
      <c r="B92" s="1335">
        <f t="shared" si="4"/>
        <v>165758180</v>
      </c>
      <c r="C92" s="549">
        <f t="shared" si="5"/>
        <v>5610801</v>
      </c>
      <c r="D92" s="549">
        <v>2270660</v>
      </c>
      <c r="E92" s="550" t="s">
        <v>1919</v>
      </c>
      <c r="F92" s="549">
        <v>73</v>
      </c>
      <c r="G92" s="550" t="s">
        <v>1737</v>
      </c>
      <c r="H92" s="551" t="s">
        <v>1920</v>
      </c>
      <c r="I92" s="552">
        <v>88</v>
      </c>
      <c r="K92" s="479">
        <v>2.4710000000000001</v>
      </c>
    </row>
    <row r="93" spans="1:11" ht="21.75" customHeight="1">
      <c r="A93" s="548">
        <f t="shared" si="3"/>
        <v>334838376</v>
      </c>
      <c r="B93" s="1335">
        <f t="shared" si="4"/>
        <v>135507240</v>
      </c>
      <c r="C93" s="549">
        <f t="shared" si="5"/>
        <v>9301066</v>
      </c>
      <c r="D93" s="549">
        <v>3764090</v>
      </c>
      <c r="E93" s="550" t="s">
        <v>1921</v>
      </c>
      <c r="F93" s="549">
        <v>36</v>
      </c>
      <c r="G93" s="550" t="s">
        <v>1737</v>
      </c>
      <c r="H93" s="551" t="s">
        <v>1922</v>
      </c>
      <c r="I93" s="552">
        <v>89</v>
      </c>
      <c r="K93" s="479">
        <v>2.4710000000000001</v>
      </c>
    </row>
    <row r="94" spans="1:11" ht="21.75" customHeight="1">
      <c r="A94" s="548">
        <f t="shared" si="3"/>
        <v>270738699</v>
      </c>
      <c r="B94" s="1335">
        <f t="shared" si="4"/>
        <v>109566450</v>
      </c>
      <c r="C94" s="549">
        <f t="shared" si="5"/>
        <v>12892319</v>
      </c>
      <c r="D94" s="549">
        <v>5217450</v>
      </c>
      <c r="E94" s="550" t="s">
        <v>1923</v>
      </c>
      <c r="F94" s="549">
        <v>21</v>
      </c>
      <c r="G94" s="550" t="s">
        <v>1737</v>
      </c>
      <c r="H94" s="551" t="s">
        <v>1924</v>
      </c>
      <c r="I94" s="552">
        <v>90</v>
      </c>
      <c r="K94" s="479">
        <v>2.4710000000000001</v>
      </c>
    </row>
    <row r="95" spans="1:11" ht="21.75" customHeight="1">
      <c r="A95" s="548">
        <f t="shared" si="3"/>
        <v>1578874080</v>
      </c>
      <c r="B95" s="1335">
        <f t="shared" si="4"/>
        <v>638961600</v>
      </c>
      <c r="C95" s="549">
        <f t="shared" si="5"/>
        <v>19735926</v>
      </c>
      <c r="D95" s="549">
        <v>7987020</v>
      </c>
      <c r="E95" s="550" t="s">
        <v>1925</v>
      </c>
      <c r="F95" s="549">
        <v>80</v>
      </c>
      <c r="G95" s="550" t="s">
        <v>1926</v>
      </c>
      <c r="H95" s="551" t="s">
        <v>1927</v>
      </c>
      <c r="I95" s="552">
        <v>91</v>
      </c>
      <c r="K95" s="479">
        <v>2.4710000000000001</v>
      </c>
    </row>
    <row r="96" spans="1:11" ht="21.75" customHeight="1" thickBot="1">
      <c r="A96" s="548">
        <f t="shared" si="3"/>
        <v>10416175250</v>
      </c>
      <c r="B96" s="1335">
        <f t="shared" si="4"/>
        <v>4215368500</v>
      </c>
      <c r="C96" s="549">
        <f>ROUND(D96*K96,0)</f>
        <v>10964395</v>
      </c>
      <c r="D96" s="555">
        <v>4437230</v>
      </c>
      <c r="E96" s="556" t="s">
        <v>1928</v>
      </c>
      <c r="F96" s="555">
        <v>950</v>
      </c>
      <c r="G96" s="550" t="s">
        <v>1926</v>
      </c>
      <c r="H96" s="557" t="s">
        <v>1929</v>
      </c>
      <c r="I96" s="552">
        <v>92</v>
      </c>
      <c r="K96" s="479">
        <v>2.4710000000000001</v>
      </c>
    </row>
    <row r="97" spans="1:9" ht="16.5" thickBot="1">
      <c r="A97" s="554">
        <f>SUM(A5:A96)</f>
        <v>186708370490</v>
      </c>
      <c r="B97" s="1336">
        <f>SUM(B5:B96)</f>
        <v>75559842024</v>
      </c>
      <c r="C97" s="555"/>
      <c r="D97" s="555"/>
      <c r="E97" s="556"/>
      <c r="F97" s="555"/>
      <c r="G97" s="556"/>
      <c r="H97" s="557" t="s">
        <v>1010</v>
      </c>
      <c r="I97" s="558"/>
    </row>
  </sheetData>
  <mergeCells count="11">
    <mergeCell ref="H2:H4"/>
    <mergeCell ref="I2:I4"/>
    <mergeCell ref="M2:M4"/>
    <mergeCell ref="A1:I1"/>
    <mergeCell ref="A2:A4"/>
    <mergeCell ref="B2:B4"/>
    <mergeCell ref="C2:C4"/>
    <mergeCell ref="D2:D4"/>
    <mergeCell ref="E2:E4"/>
    <mergeCell ref="F2:F4"/>
    <mergeCell ref="G2:G4"/>
  </mergeCells>
  <printOptions horizontalCentered="1"/>
  <pageMargins left="0.31496062992125984" right="0.11811023622047245" top="0.15748031496062992" bottom="0.15748031496062992" header="0.31496062992125984" footer="0.31496062992125984"/>
  <pageSetup scale="53" orientation="portrait" horizontalDpi="1200" verticalDpi="1200" r:id="rId1"/>
  <colBreaks count="1" manualBreakCount="1">
    <brk id="9"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HX53"/>
  <sheetViews>
    <sheetView view="pageBreakPreview" zoomScale="90" zoomScaleSheetLayoutView="90" workbookViewId="0">
      <selection sqref="A1:S1048576"/>
    </sheetView>
  </sheetViews>
  <sheetFormatPr defaultColWidth="6.140625" defaultRowHeight="12.75"/>
  <cols>
    <col min="1" max="1" width="4.42578125" style="575" customWidth="1"/>
    <col min="2" max="2" width="3.42578125" style="575" customWidth="1"/>
    <col min="3" max="3" width="8.85546875" style="575" customWidth="1"/>
    <col min="4" max="4" width="11.42578125" style="575" customWidth="1"/>
    <col min="5" max="5" width="3.28515625" style="575" customWidth="1"/>
    <col min="6" max="6" width="6.140625" style="575" customWidth="1"/>
    <col min="7" max="7" width="15.85546875" style="575" customWidth="1"/>
    <col min="8" max="8" width="7.5703125" style="575" customWidth="1"/>
    <col min="9" max="10" width="9" style="575" bestFit="1" customWidth="1"/>
    <col min="11" max="11" width="6.140625" style="575"/>
    <col min="12" max="12" width="6.85546875" style="575" customWidth="1"/>
    <col min="13" max="13" width="6.140625" style="575"/>
    <col min="14" max="14" width="6" style="575" customWidth="1"/>
    <col min="15" max="15" width="5.5703125" style="575" customWidth="1"/>
    <col min="16" max="16" width="6" style="575" customWidth="1"/>
    <col min="17" max="17" width="1" style="575" customWidth="1"/>
    <col min="18" max="18" width="0.7109375" style="575" customWidth="1"/>
    <col min="19" max="153" width="6.140625" style="337"/>
    <col min="154" max="154" width="8.42578125" style="337" customWidth="1"/>
    <col min="155" max="158" width="6.140625" style="337"/>
    <col min="159" max="159" width="8.85546875" style="337" customWidth="1"/>
    <col min="160" max="161" width="6.140625" style="337"/>
    <col min="162" max="162" width="5.28515625" style="337" customWidth="1"/>
    <col min="163" max="166" width="6.140625" style="337"/>
    <col min="167" max="167" width="7.5703125" style="337" customWidth="1"/>
    <col min="168" max="16384" width="6.140625" style="337"/>
  </cols>
  <sheetData>
    <row r="1" spans="1:232" ht="18.75" customHeight="1" thickBot="1">
      <c r="A1" s="559"/>
      <c r="B1" s="560"/>
      <c r="C1" s="560"/>
      <c r="D1" s="560"/>
      <c r="E1" s="560"/>
      <c r="F1" s="560"/>
      <c r="G1" s="560"/>
      <c r="H1" s="560"/>
      <c r="I1" s="560"/>
      <c r="J1" s="560"/>
      <c r="K1" s="560"/>
      <c r="L1" s="560"/>
      <c r="M1" s="560"/>
      <c r="N1" s="560"/>
      <c r="O1" s="560"/>
      <c r="P1" s="560"/>
      <c r="Q1" s="560"/>
      <c r="R1" s="561"/>
      <c r="S1" s="1337"/>
      <c r="T1" s="1337"/>
      <c r="U1" s="1337"/>
      <c r="V1" s="1337"/>
      <c r="W1" s="1337"/>
      <c r="X1" s="1337"/>
      <c r="Y1" s="1337"/>
      <c r="Z1" s="1337"/>
      <c r="AA1" s="1337"/>
      <c r="AB1" s="1337"/>
      <c r="AC1" s="1337"/>
      <c r="AD1" s="1337"/>
      <c r="AE1" s="1337"/>
      <c r="AF1" s="1337"/>
      <c r="AG1" s="1337"/>
      <c r="AH1" s="1337"/>
      <c r="AI1" s="1337"/>
      <c r="AJ1" s="1337"/>
      <c r="AK1" s="1337"/>
      <c r="AL1" s="1337"/>
      <c r="AM1" s="1337"/>
      <c r="AN1" s="1337"/>
      <c r="AO1" s="1337"/>
      <c r="AP1" s="1337"/>
      <c r="AQ1" s="1337"/>
      <c r="AR1" s="1337"/>
      <c r="AS1" s="1337"/>
      <c r="AT1" s="1337"/>
      <c r="AU1" s="1337"/>
      <c r="AV1" s="1337"/>
      <c r="AW1" s="1337"/>
      <c r="AX1" s="1337"/>
      <c r="AY1" s="1337"/>
      <c r="AZ1" s="1337"/>
      <c r="BA1" s="1337"/>
      <c r="BB1" s="1337"/>
      <c r="BC1" s="1337"/>
      <c r="BD1" s="1337"/>
      <c r="BE1" s="1337"/>
      <c r="BF1" s="1337"/>
      <c r="BG1" s="1337"/>
      <c r="BH1" s="1337"/>
      <c r="BI1" s="1337"/>
      <c r="BJ1" s="1337"/>
      <c r="BK1" s="1337"/>
      <c r="BL1" s="1337"/>
      <c r="BM1" s="1337"/>
      <c r="BN1" s="1337"/>
      <c r="BO1" s="1337"/>
      <c r="BP1" s="1337"/>
      <c r="BQ1" s="1337"/>
      <c r="BR1" s="1337"/>
      <c r="BS1" s="1337"/>
      <c r="BT1" s="1337"/>
      <c r="BU1" s="1337"/>
      <c r="BV1" s="1337"/>
      <c r="BW1" s="1337"/>
      <c r="BX1" s="1337"/>
      <c r="BY1" s="1337"/>
      <c r="BZ1" s="1337"/>
      <c r="CA1" s="1337"/>
      <c r="CB1" s="1337"/>
      <c r="CC1" s="1337"/>
      <c r="CD1" s="1337"/>
      <c r="CE1" s="1337"/>
      <c r="CF1" s="1337"/>
      <c r="CG1" s="1337"/>
      <c r="CH1" s="1337"/>
      <c r="CI1" s="1337"/>
      <c r="CJ1" s="1337"/>
      <c r="CK1" s="1337"/>
      <c r="CL1" s="1337"/>
      <c r="CM1" s="1337"/>
      <c r="CN1" s="1337"/>
      <c r="CO1" s="1337"/>
      <c r="CP1" s="1337"/>
      <c r="CQ1" s="1337"/>
      <c r="CR1" s="1337"/>
      <c r="CS1" s="1337"/>
      <c r="CT1" s="1337"/>
      <c r="CU1" s="1337"/>
      <c r="CV1" s="1337"/>
      <c r="CW1" s="1337"/>
      <c r="CX1" s="1337"/>
      <c r="CY1" s="1337"/>
      <c r="CZ1" s="1337"/>
      <c r="DA1" s="1337"/>
      <c r="DB1" s="1337"/>
      <c r="DC1" s="1337"/>
      <c r="DD1" s="1337"/>
      <c r="DE1" s="1337"/>
      <c r="DF1" s="1337"/>
      <c r="DG1" s="1337"/>
      <c r="DH1" s="1337"/>
      <c r="DI1" s="1337"/>
      <c r="DJ1" s="1337"/>
      <c r="DK1" s="1337"/>
      <c r="DL1" s="1337"/>
      <c r="DM1" s="1337"/>
      <c r="DN1" s="1337"/>
      <c r="DO1" s="1337"/>
      <c r="DP1" s="1337"/>
      <c r="DQ1" s="1337"/>
      <c r="DR1" s="1337"/>
      <c r="DS1" s="1337"/>
      <c r="DT1" s="1337"/>
      <c r="DU1" s="1337"/>
      <c r="DV1" s="1337"/>
      <c r="DW1" s="1337"/>
      <c r="DX1" s="1337"/>
      <c r="DY1" s="1337"/>
      <c r="DZ1" s="1337"/>
      <c r="EA1" s="1337"/>
      <c r="EB1" s="1337"/>
      <c r="EC1" s="1337"/>
      <c r="ED1" s="1337"/>
      <c r="EE1" s="1337"/>
      <c r="EF1" s="1337"/>
      <c r="EG1" s="1337"/>
      <c r="EH1" s="1337"/>
      <c r="EI1" s="1337"/>
      <c r="EJ1" s="1337"/>
      <c r="EK1" s="1337"/>
      <c r="EL1" s="1337"/>
      <c r="EM1" s="1337"/>
      <c r="EN1" s="1337"/>
      <c r="EO1" s="1337"/>
      <c r="EP1" s="1337"/>
      <c r="EQ1" s="1337"/>
      <c r="ER1" s="1337"/>
      <c r="ES1" s="1337"/>
      <c r="ET1" s="1337"/>
      <c r="EU1" s="1337"/>
      <c r="EV1" s="1337"/>
      <c r="EW1" s="1337"/>
      <c r="EX1" s="1337"/>
      <c r="EY1" s="1337"/>
      <c r="EZ1" s="1337"/>
      <c r="FA1" s="1337"/>
      <c r="FB1" s="1337"/>
      <c r="FC1" s="1337"/>
      <c r="FD1" s="1337"/>
      <c r="FE1" s="1337"/>
      <c r="FF1" s="1337"/>
      <c r="FG1" s="1337"/>
      <c r="FH1" s="1337"/>
      <c r="FI1" s="1337"/>
      <c r="FJ1" s="1337"/>
      <c r="FK1" s="1337"/>
      <c r="FL1" s="1337"/>
      <c r="FM1" s="1337"/>
      <c r="FN1" s="1337"/>
      <c r="FO1" s="1337"/>
      <c r="FP1" s="1337"/>
      <c r="FQ1" s="1337"/>
      <c r="FR1" s="1337"/>
      <c r="FS1" s="1337"/>
      <c r="FT1" s="1337"/>
      <c r="FU1" s="1337"/>
      <c r="FV1" s="1337"/>
      <c r="FW1" s="1337"/>
      <c r="FX1" s="1337"/>
      <c r="FY1" s="1337"/>
      <c r="FZ1" s="1337"/>
      <c r="GA1" s="1337"/>
      <c r="GB1" s="1337"/>
      <c r="GC1" s="1337"/>
      <c r="GD1" s="1337"/>
      <c r="GE1" s="1337"/>
      <c r="GF1" s="1337"/>
      <c r="GG1" s="1337"/>
      <c r="GH1" s="1337"/>
      <c r="GI1" s="1337"/>
      <c r="GJ1" s="1337"/>
      <c r="GK1" s="1337"/>
      <c r="GL1" s="1337"/>
      <c r="GM1" s="1337"/>
      <c r="GN1" s="1337"/>
      <c r="GO1" s="1337"/>
      <c r="GP1" s="1337"/>
      <c r="GQ1" s="1337"/>
      <c r="GR1" s="1337"/>
      <c r="GS1" s="1337"/>
      <c r="GT1" s="1337"/>
      <c r="GU1" s="1337"/>
      <c r="GV1" s="1337"/>
      <c r="GW1" s="1337"/>
      <c r="GX1" s="1337"/>
      <c r="GY1" s="1337"/>
      <c r="GZ1" s="1337"/>
      <c r="HA1" s="1337"/>
      <c r="HB1" s="1337"/>
      <c r="HC1" s="1337"/>
      <c r="HD1" s="1337"/>
      <c r="HE1" s="1337"/>
      <c r="HF1" s="1337"/>
      <c r="HG1" s="1337"/>
      <c r="HH1" s="1337"/>
      <c r="HI1" s="1337"/>
      <c r="HJ1" s="1337"/>
      <c r="HK1" s="1337"/>
      <c r="HL1" s="1337"/>
      <c r="HM1" s="1337"/>
      <c r="HN1" s="1337"/>
      <c r="HO1" s="1337"/>
      <c r="HP1" s="1337"/>
      <c r="HQ1" s="1337"/>
      <c r="HR1" s="1337"/>
      <c r="HS1" s="1337"/>
      <c r="HT1" s="1337"/>
      <c r="HU1" s="1337"/>
      <c r="HV1" s="1337"/>
      <c r="HW1" s="1337"/>
      <c r="HX1" s="1337"/>
    </row>
    <row r="2" spans="1:232" ht="21.75" customHeight="1">
      <c r="A2" s="350"/>
      <c r="B2" s="1338"/>
      <c r="C2" s="1942" t="s">
        <v>980</v>
      </c>
      <c r="D2" s="1943"/>
      <c r="E2" s="1943"/>
      <c r="F2" s="1943"/>
      <c r="G2" s="1943"/>
      <c r="H2" s="1943"/>
      <c r="I2" s="1943"/>
      <c r="J2" s="1943"/>
      <c r="K2" s="1943"/>
      <c r="L2" s="1943"/>
      <c r="M2" s="1943"/>
      <c r="N2" s="1944"/>
      <c r="O2" s="1338"/>
      <c r="P2" s="1338"/>
      <c r="R2" s="391"/>
    </row>
    <row r="3" spans="1:232" ht="20.100000000000001" customHeight="1">
      <c r="A3" s="350"/>
      <c r="B3" s="1338"/>
      <c r="C3" s="1937" t="s">
        <v>1930</v>
      </c>
      <c r="D3" s="1938"/>
      <c r="E3" s="1939" t="s">
        <v>1931</v>
      </c>
      <c r="F3" s="1939"/>
      <c r="G3" s="1938" t="s">
        <v>1136</v>
      </c>
      <c r="H3" s="1938"/>
      <c r="I3" s="1940" t="s">
        <v>2</v>
      </c>
      <c r="J3" s="1940"/>
      <c r="K3" s="1940"/>
      <c r="L3" s="1940"/>
      <c r="M3" s="1940"/>
      <c r="N3" s="1941"/>
      <c r="O3" s="1338"/>
      <c r="P3" s="1338"/>
      <c r="R3" s="391"/>
    </row>
    <row r="4" spans="1:232" ht="20.100000000000001" customHeight="1">
      <c r="A4" s="350"/>
      <c r="B4" s="1093"/>
      <c r="C4" s="1937">
        <f>E4*G4</f>
        <v>12260181691.848904</v>
      </c>
      <c r="D4" s="1938"/>
      <c r="E4" s="1939">
        <v>300</v>
      </c>
      <c r="F4" s="1939"/>
      <c r="G4" s="1938">
        <f>2200000*IRR_Inflation_Factor</f>
        <v>40867272.306163013</v>
      </c>
      <c r="H4" s="1938"/>
      <c r="I4" s="1940" t="s">
        <v>1932</v>
      </c>
      <c r="J4" s="1940"/>
      <c r="K4" s="1940"/>
      <c r="L4" s="1940"/>
      <c r="M4" s="1940"/>
      <c r="N4" s="1941"/>
      <c r="O4" s="1093"/>
      <c r="P4" s="1093"/>
      <c r="R4" s="391"/>
    </row>
    <row r="5" spans="1:232" ht="20.100000000000001" customHeight="1">
      <c r="A5" s="350"/>
      <c r="B5" s="1093"/>
      <c r="C5" s="1937">
        <f>E5*G5</f>
        <v>1671842957.9793959</v>
      </c>
      <c r="D5" s="1938"/>
      <c r="E5" s="1939">
        <v>300</v>
      </c>
      <c r="F5" s="1939"/>
      <c r="G5" s="1938">
        <f>300000*IRR_Inflation_Factor</f>
        <v>5572809.85993132</v>
      </c>
      <c r="H5" s="1938"/>
      <c r="I5" s="1940" t="s">
        <v>1933</v>
      </c>
      <c r="J5" s="1940"/>
      <c r="K5" s="1940"/>
      <c r="L5" s="1940"/>
      <c r="M5" s="1940"/>
      <c r="N5" s="1941"/>
      <c r="O5" s="1093"/>
      <c r="P5" s="1093"/>
      <c r="R5" s="391"/>
    </row>
    <row r="6" spans="1:232" ht="20.100000000000001" customHeight="1">
      <c r="A6" s="1234"/>
      <c r="B6" s="1338"/>
      <c r="C6" s="1937">
        <f>E6*G6</f>
        <v>16068268429.468639</v>
      </c>
      <c r="D6" s="1938"/>
      <c r="E6" s="1939">
        <v>865</v>
      </c>
      <c r="F6" s="1939"/>
      <c r="G6" s="1938">
        <f>1000000*IRR_Inflation_Factor</f>
        <v>18576032.866437733</v>
      </c>
      <c r="H6" s="1938"/>
      <c r="I6" s="1940" t="s">
        <v>1934</v>
      </c>
      <c r="J6" s="1940"/>
      <c r="K6" s="1940"/>
      <c r="L6" s="1940"/>
      <c r="M6" s="1940"/>
      <c r="N6" s="1941"/>
      <c r="O6" s="1338"/>
      <c r="P6" s="1338"/>
      <c r="R6" s="391"/>
    </row>
    <row r="7" spans="1:232" ht="24.75" customHeight="1">
      <c r="A7" s="1234"/>
      <c r="B7" s="1338"/>
      <c r="C7" s="1937">
        <f>E7*G7</f>
        <v>24102402644.202957</v>
      </c>
      <c r="D7" s="1938"/>
      <c r="E7" s="1939">
        <v>865</v>
      </c>
      <c r="F7" s="1939"/>
      <c r="G7" s="1938">
        <f>1500000*IRR_Inflation_Factor</f>
        <v>27864049.299656596</v>
      </c>
      <c r="H7" s="1938"/>
      <c r="I7" s="1940" t="s">
        <v>1935</v>
      </c>
      <c r="J7" s="1940"/>
      <c r="K7" s="1940"/>
      <c r="L7" s="1940"/>
      <c r="M7" s="1940"/>
      <c r="N7" s="1941"/>
      <c r="O7" s="1338"/>
      <c r="P7" s="1338"/>
      <c r="R7" s="391"/>
    </row>
    <row r="8" spans="1:232" ht="20.100000000000001" customHeight="1">
      <c r="A8" s="350"/>
      <c r="B8" s="1338"/>
      <c r="C8" s="1937">
        <f>E8*G8</f>
        <v>11677500000</v>
      </c>
      <c r="D8" s="1938"/>
      <c r="E8" s="1939">
        <v>865</v>
      </c>
      <c r="F8" s="1939"/>
      <c r="G8" s="1938">
        <f>1000000*13.5</f>
        <v>13500000</v>
      </c>
      <c r="H8" s="1938"/>
      <c r="I8" s="1940" t="s">
        <v>1936</v>
      </c>
      <c r="J8" s="1940"/>
      <c r="K8" s="1940"/>
      <c r="L8" s="1940"/>
      <c r="M8" s="1940"/>
      <c r="N8" s="1941"/>
      <c r="O8" s="1338"/>
      <c r="P8" s="1338"/>
      <c r="R8" s="391"/>
    </row>
    <row r="9" spans="1:232" ht="25.5" customHeight="1" thickBot="1">
      <c r="A9" s="350"/>
      <c r="B9" s="1338"/>
      <c r="C9" s="1945">
        <f>SUM(C4:D8)</f>
        <v>65780195723.499893</v>
      </c>
      <c r="D9" s="1946"/>
      <c r="E9" s="1947"/>
      <c r="F9" s="1947"/>
      <c r="G9" s="1946"/>
      <c r="H9" s="1946"/>
      <c r="I9" s="1948" t="s">
        <v>1033</v>
      </c>
      <c r="J9" s="1948"/>
      <c r="K9" s="1948"/>
      <c r="L9" s="1948"/>
      <c r="M9" s="1948"/>
      <c r="N9" s="1949"/>
      <c r="O9" s="1338"/>
      <c r="P9" s="1338"/>
      <c r="R9" s="391"/>
    </row>
    <row r="10" spans="1:232" ht="20.100000000000001" customHeight="1">
      <c r="A10" s="373"/>
      <c r="B10" s="1338"/>
      <c r="C10" s="1338"/>
      <c r="D10" s="1338"/>
      <c r="E10" s="1338"/>
      <c r="F10" s="1338"/>
      <c r="G10" s="1339"/>
      <c r="H10" s="1339"/>
      <c r="I10" s="1338"/>
      <c r="J10" s="1338"/>
      <c r="K10" s="1338"/>
      <c r="L10" s="1338"/>
      <c r="M10" s="1338"/>
      <c r="N10" s="1338"/>
      <c r="O10" s="1338"/>
      <c r="P10" s="1338"/>
      <c r="R10" s="391"/>
    </row>
    <row r="11" spans="1:232" ht="20.100000000000001" customHeight="1">
      <c r="A11" s="373"/>
      <c r="B11" s="1950" t="s">
        <v>1937</v>
      </c>
      <c r="C11" s="1950"/>
      <c r="D11" s="1950"/>
      <c r="E11" s="1950"/>
      <c r="F11" s="1950"/>
      <c r="G11" s="1950"/>
      <c r="H11" s="1950"/>
      <c r="I11" s="1950"/>
      <c r="J11" s="1950"/>
      <c r="K11" s="1950"/>
      <c r="L11" s="1950"/>
      <c r="M11" s="1950"/>
      <c r="N11" s="1950"/>
      <c r="O11" s="1950"/>
      <c r="P11" s="1950"/>
      <c r="R11" s="391"/>
    </row>
    <row r="12" spans="1:232" ht="20.100000000000001" customHeight="1">
      <c r="A12" s="373"/>
      <c r="B12" s="1950"/>
      <c r="C12" s="1950"/>
      <c r="D12" s="1950"/>
      <c r="E12" s="1950"/>
      <c r="F12" s="1950"/>
      <c r="G12" s="1950"/>
      <c r="H12" s="1950"/>
      <c r="I12" s="1950"/>
      <c r="J12" s="1950"/>
      <c r="K12" s="1950"/>
      <c r="L12" s="1950"/>
      <c r="M12" s="1950"/>
      <c r="N12" s="1950"/>
      <c r="O12" s="1950"/>
      <c r="P12" s="1950"/>
      <c r="R12" s="391"/>
    </row>
    <row r="13" spans="1:232" ht="20.100000000000001" customHeight="1">
      <c r="A13" s="373"/>
      <c r="B13" s="1950"/>
      <c r="C13" s="1950"/>
      <c r="D13" s="1950"/>
      <c r="E13" s="1950"/>
      <c r="F13" s="1950"/>
      <c r="G13" s="1950"/>
      <c r="H13" s="1950"/>
      <c r="I13" s="1950"/>
      <c r="J13" s="1950"/>
      <c r="K13" s="1950"/>
      <c r="L13" s="1950"/>
      <c r="M13" s="1950"/>
      <c r="N13" s="1950"/>
      <c r="O13" s="1950"/>
      <c r="P13" s="1950"/>
      <c r="R13" s="391"/>
    </row>
    <row r="14" spans="1:232" ht="20.100000000000001" customHeight="1" thickBot="1">
      <c r="A14" s="373"/>
      <c r="P14" s="1340"/>
      <c r="R14" s="391"/>
    </row>
    <row r="15" spans="1:232" ht="20.100000000000001" customHeight="1">
      <c r="A15" s="350"/>
      <c r="B15" s="1338"/>
      <c r="C15" s="1951" t="s">
        <v>981</v>
      </c>
      <c r="D15" s="1952"/>
      <c r="E15" s="1952"/>
      <c r="F15" s="1952"/>
      <c r="G15" s="1952"/>
      <c r="H15" s="1952"/>
      <c r="I15" s="1952"/>
      <c r="J15" s="1952"/>
      <c r="K15" s="1952"/>
      <c r="L15" s="1952"/>
      <c r="M15" s="1952"/>
      <c r="N15" s="1953"/>
      <c r="O15" s="1338"/>
      <c r="P15" s="1338"/>
      <c r="R15" s="391"/>
    </row>
    <row r="16" spans="1:232" ht="20.100000000000001" customHeight="1">
      <c r="A16" s="350"/>
      <c r="B16" s="1338"/>
      <c r="C16" s="1937" t="s">
        <v>1930</v>
      </c>
      <c r="D16" s="1938"/>
      <c r="E16" s="1939" t="s">
        <v>1931</v>
      </c>
      <c r="F16" s="1939"/>
      <c r="G16" s="1938" t="s">
        <v>1136</v>
      </c>
      <c r="H16" s="1938"/>
      <c r="I16" s="1940" t="s">
        <v>2</v>
      </c>
      <c r="J16" s="1940"/>
      <c r="K16" s="1940"/>
      <c r="L16" s="1940"/>
      <c r="M16" s="1940"/>
      <c r="N16" s="1941"/>
      <c r="O16" s="1338"/>
      <c r="P16" s="1338"/>
      <c r="R16" s="391"/>
    </row>
    <row r="17" spans="1:22" ht="20.100000000000001" customHeight="1">
      <c r="A17" s="350"/>
      <c r="B17" s="1093"/>
      <c r="C17" s="1954">
        <f t="shared" ref="C17:C22" si="0">E17*G17</f>
        <v>24000</v>
      </c>
      <c r="D17" s="1955"/>
      <c r="E17" s="1939">
        <v>40</v>
      </c>
      <c r="F17" s="1939"/>
      <c r="G17" s="1955">
        <v>600</v>
      </c>
      <c r="H17" s="1955"/>
      <c r="I17" s="1956" t="s">
        <v>1938</v>
      </c>
      <c r="J17" s="1956"/>
      <c r="K17" s="1956"/>
      <c r="L17" s="1956"/>
      <c r="M17" s="1956"/>
      <c r="N17" s="1957"/>
      <c r="O17" s="1093"/>
      <c r="P17" s="1093"/>
      <c r="R17" s="391"/>
      <c r="V17" s="575"/>
    </row>
    <row r="18" spans="1:22" ht="20.100000000000001" customHeight="1">
      <c r="A18" s="373"/>
      <c r="B18" s="1093"/>
      <c r="C18" s="1954">
        <f t="shared" si="0"/>
        <v>2000</v>
      </c>
      <c r="D18" s="1955"/>
      <c r="E18" s="1939">
        <v>40</v>
      </c>
      <c r="F18" s="1939"/>
      <c r="G18" s="1955">
        <v>50</v>
      </c>
      <c r="H18" s="1955"/>
      <c r="I18" s="1940" t="s">
        <v>1933</v>
      </c>
      <c r="J18" s="1940"/>
      <c r="K18" s="1940"/>
      <c r="L18" s="1940"/>
      <c r="M18" s="1940"/>
      <c r="N18" s="1941"/>
      <c r="O18" s="1093"/>
      <c r="P18" s="1093"/>
      <c r="R18" s="391"/>
      <c r="V18" s="575"/>
    </row>
    <row r="19" spans="1:22" ht="20.100000000000001" customHeight="1">
      <c r="A19" s="373"/>
      <c r="B19" s="1338"/>
      <c r="C19" s="1954">
        <f t="shared" si="0"/>
        <v>16000</v>
      </c>
      <c r="D19" s="1955"/>
      <c r="E19" s="1939">
        <v>160</v>
      </c>
      <c r="F19" s="1939"/>
      <c r="G19" s="1955">
        <v>100</v>
      </c>
      <c r="H19" s="1955"/>
      <c r="I19" s="1940" t="s">
        <v>1934</v>
      </c>
      <c r="J19" s="1940"/>
      <c r="K19" s="1940"/>
      <c r="L19" s="1940"/>
      <c r="M19" s="1940"/>
      <c r="N19" s="1941"/>
      <c r="O19" s="1338"/>
      <c r="P19" s="1338"/>
      <c r="R19" s="391"/>
    </row>
    <row r="20" spans="1:22" ht="20.100000000000001" customHeight="1">
      <c r="A20" s="373"/>
      <c r="B20" s="1338"/>
      <c r="C20" s="1954">
        <f t="shared" si="0"/>
        <v>19200</v>
      </c>
      <c r="D20" s="1955"/>
      <c r="E20" s="1939">
        <v>160</v>
      </c>
      <c r="F20" s="1939"/>
      <c r="G20" s="1955">
        <v>120</v>
      </c>
      <c r="H20" s="1955"/>
      <c r="I20" s="1940" t="s">
        <v>1935</v>
      </c>
      <c r="J20" s="1940"/>
      <c r="K20" s="1940"/>
      <c r="L20" s="1940"/>
      <c r="M20" s="1940"/>
      <c r="N20" s="1941"/>
      <c r="O20" s="1338"/>
      <c r="P20" s="1338"/>
      <c r="R20" s="391"/>
    </row>
    <row r="21" spans="1:22" ht="20.100000000000001" customHeight="1">
      <c r="A21" s="373"/>
      <c r="B21" s="1338"/>
      <c r="C21" s="1954">
        <f t="shared" si="0"/>
        <v>12800</v>
      </c>
      <c r="D21" s="1955"/>
      <c r="E21" s="1939">
        <v>160</v>
      </c>
      <c r="F21" s="1939"/>
      <c r="G21" s="1955">
        <v>80</v>
      </c>
      <c r="H21" s="1955"/>
      <c r="I21" s="1940" t="s">
        <v>1936</v>
      </c>
      <c r="J21" s="1940"/>
      <c r="K21" s="1940"/>
      <c r="L21" s="1940"/>
      <c r="M21" s="1940"/>
      <c r="N21" s="1941"/>
      <c r="O21" s="1338"/>
      <c r="P21" s="1338"/>
      <c r="R21" s="391"/>
    </row>
    <row r="22" spans="1:22" ht="20.100000000000001" customHeight="1">
      <c r="A22" s="373"/>
      <c r="B22" s="1338"/>
      <c r="C22" s="1954">
        <f t="shared" si="0"/>
        <v>6000</v>
      </c>
      <c r="D22" s="1955"/>
      <c r="E22" s="1939">
        <v>40</v>
      </c>
      <c r="F22" s="1939"/>
      <c r="G22" s="1955">
        <v>150</v>
      </c>
      <c r="H22" s="1955"/>
      <c r="I22" s="1956" t="s">
        <v>1939</v>
      </c>
      <c r="J22" s="1956"/>
      <c r="K22" s="1956"/>
      <c r="L22" s="1956"/>
      <c r="M22" s="1956"/>
      <c r="N22" s="1957"/>
      <c r="O22" s="1338"/>
      <c r="P22" s="1338"/>
      <c r="R22" s="391"/>
    </row>
    <row r="23" spans="1:22" ht="20.100000000000001" customHeight="1" thickBot="1">
      <c r="A23" s="373"/>
      <c r="B23" s="1338"/>
      <c r="C23" s="1958">
        <f>SUM(C17:D22)</f>
        <v>80000</v>
      </c>
      <c r="D23" s="1959"/>
      <c r="E23" s="1947"/>
      <c r="F23" s="1947"/>
      <c r="G23" s="1959">
        <f>SUM(G17:H22)</f>
        <v>1100</v>
      </c>
      <c r="H23" s="1959"/>
      <c r="I23" s="1948" t="s">
        <v>1033</v>
      </c>
      <c r="J23" s="1948"/>
      <c r="K23" s="1948"/>
      <c r="L23" s="1948"/>
      <c r="M23" s="1948"/>
      <c r="N23" s="1949"/>
      <c r="O23" s="1338"/>
      <c r="P23" s="1338"/>
      <c r="R23" s="391"/>
    </row>
    <row r="24" spans="1:22" ht="20.100000000000001" customHeight="1" thickBot="1">
      <c r="A24" s="373"/>
      <c r="B24" s="1338"/>
      <c r="C24" s="1960">
        <f>C23*USD_Change_IRR*per_Euro</f>
        <v>36455341275.396156</v>
      </c>
      <c r="D24" s="1961"/>
      <c r="E24" s="1947"/>
      <c r="F24" s="1947"/>
      <c r="G24" s="1959"/>
      <c r="H24" s="1959"/>
      <c r="I24" s="1948" t="s">
        <v>1940</v>
      </c>
      <c r="J24" s="1948"/>
      <c r="K24" s="1948"/>
      <c r="L24" s="1948"/>
      <c r="M24" s="1948"/>
      <c r="N24" s="1949"/>
      <c r="O24" s="1338"/>
      <c r="P24" s="1338"/>
      <c r="R24" s="391"/>
    </row>
    <row r="25" spans="1:22" ht="20.100000000000001" customHeight="1">
      <c r="A25" s="373"/>
      <c r="R25" s="391"/>
    </row>
    <row r="26" spans="1:22" ht="26.25" customHeight="1">
      <c r="A26" s="350"/>
      <c r="B26" s="1950" t="s">
        <v>4506</v>
      </c>
      <c r="C26" s="1950"/>
      <c r="D26" s="1950"/>
      <c r="E26" s="1950"/>
      <c r="F26" s="1950"/>
      <c r="G26" s="1950"/>
      <c r="H26" s="1950"/>
      <c r="I26" s="1950"/>
      <c r="J26" s="1950"/>
      <c r="K26" s="1950"/>
      <c r="L26" s="1950"/>
      <c r="M26" s="1950"/>
      <c r="N26" s="1950"/>
      <c r="O26" s="1950"/>
      <c r="P26" s="1950"/>
      <c r="Q26" s="1341"/>
      <c r="R26" s="391"/>
    </row>
    <row r="27" spans="1:22" ht="20.100000000000001" customHeight="1">
      <c r="A27" s="340"/>
      <c r="B27" s="1950"/>
      <c r="C27" s="1950"/>
      <c r="D27" s="1950"/>
      <c r="E27" s="1950"/>
      <c r="F27" s="1950"/>
      <c r="G27" s="1950"/>
      <c r="H27" s="1950"/>
      <c r="I27" s="1950"/>
      <c r="J27" s="1950"/>
      <c r="K27" s="1950"/>
      <c r="L27" s="1950"/>
      <c r="M27" s="1950"/>
      <c r="N27" s="1950"/>
      <c r="O27" s="1950"/>
      <c r="P27" s="1950"/>
      <c r="Q27" s="1341"/>
      <c r="R27" s="391"/>
    </row>
    <row r="28" spans="1:22" ht="20.100000000000001" customHeight="1">
      <c r="A28" s="340"/>
      <c r="B28" s="1950"/>
      <c r="C28" s="1950"/>
      <c r="D28" s="1950"/>
      <c r="E28" s="1950"/>
      <c r="F28" s="1950"/>
      <c r="G28" s="1950"/>
      <c r="H28" s="1950"/>
      <c r="I28" s="1950"/>
      <c r="J28" s="1950"/>
      <c r="K28" s="1950"/>
      <c r="L28" s="1950"/>
      <c r="M28" s="1950"/>
      <c r="N28" s="1950"/>
      <c r="O28" s="1950"/>
      <c r="P28" s="1950"/>
      <c r="Q28" s="1341"/>
      <c r="R28" s="391"/>
    </row>
    <row r="29" spans="1:22" ht="19.5" customHeight="1" thickBot="1">
      <c r="A29" s="340"/>
      <c r="B29" s="1950"/>
      <c r="C29" s="1950"/>
      <c r="D29" s="1950"/>
      <c r="E29" s="1950"/>
      <c r="F29" s="1950"/>
      <c r="G29" s="1950"/>
      <c r="H29" s="1950"/>
      <c r="I29" s="1950"/>
      <c r="J29" s="1950"/>
      <c r="K29" s="1950"/>
      <c r="L29" s="1950"/>
      <c r="M29" s="1950"/>
      <c r="N29" s="1950"/>
      <c r="O29" s="1950"/>
      <c r="P29" s="1950"/>
      <c r="Q29" s="1341"/>
      <c r="R29" s="391"/>
    </row>
    <row r="30" spans="1:22" ht="21" customHeight="1">
      <c r="A30" s="388"/>
      <c r="B30" s="618"/>
      <c r="C30" s="1951" t="s">
        <v>982</v>
      </c>
      <c r="D30" s="1952"/>
      <c r="E30" s="1952"/>
      <c r="F30" s="1952"/>
      <c r="G30" s="1952"/>
      <c r="H30" s="1952"/>
      <c r="I30" s="1952"/>
      <c r="J30" s="1952"/>
      <c r="K30" s="1952"/>
      <c r="L30" s="1952"/>
      <c r="M30" s="1952"/>
      <c r="N30" s="1953"/>
      <c r="O30" s="1342"/>
      <c r="P30" s="1342"/>
      <c r="Q30" s="1341"/>
      <c r="R30" s="391"/>
    </row>
    <row r="31" spans="1:22" ht="38.25" customHeight="1">
      <c r="A31" s="389"/>
      <c r="B31" s="618"/>
      <c r="C31" s="1937" t="s">
        <v>1930</v>
      </c>
      <c r="D31" s="1938"/>
      <c r="E31" s="1939" t="s">
        <v>1931</v>
      </c>
      <c r="F31" s="1939"/>
      <c r="G31" s="1938" t="s">
        <v>1136</v>
      </c>
      <c r="H31" s="1938"/>
      <c r="I31" s="1940" t="s">
        <v>2</v>
      </c>
      <c r="J31" s="1940"/>
      <c r="K31" s="1940"/>
      <c r="L31" s="1940"/>
      <c r="M31" s="1940"/>
      <c r="N31" s="1941"/>
      <c r="O31" s="1342"/>
      <c r="P31" s="1342"/>
      <c r="Q31" s="1257"/>
      <c r="R31" s="391"/>
    </row>
    <row r="32" spans="1:22" ht="28.5" customHeight="1">
      <c r="A32" s="389"/>
      <c r="B32" s="1254"/>
      <c r="C32" s="1937">
        <f>E32*G32</f>
        <v>2592000000</v>
      </c>
      <c r="D32" s="1938"/>
      <c r="E32" s="1939">
        <v>192</v>
      </c>
      <c r="F32" s="1939"/>
      <c r="G32" s="1938">
        <f>1000000*13.5</f>
        <v>13500000</v>
      </c>
      <c r="H32" s="1938"/>
      <c r="I32" s="1940" t="s">
        <v>1941</v>
      </c>
      <c r="J32" s="1940"/>
      <c r="K32" s="1940"/>
      <c r="L32" s="1940"/>
      <c r="M32" s="1940"/>
      <c r="N32" s="1941"/>
      <c r="O32" s="1343"/>
      <c r="P32" s="1257"/>
      <c r="Q32" s="1257"/>
      <c r="R32" s="390"/>
    </row>
    <row r="33" spans="1:18" ht="23.25" customHeight="1">
      <c r="A33" s="389"/>
      <c r="B33" s="1254"/>
      <c r="C33" s="1937">
        <f>100000000*IRR_Inflation_Factor</f>
        <v>1857603286.6437731</v>
      </c>
      <c r="D33" s="1938"/>
      <c r="E33" s="1962" t="s">
        <v>342</v>
      </c>
      <c r="F33" s="1939"/>
      <c r="G33" s="1938" t="s">
        <v>1158</v>
      </c>
      <c r="H33" s="1938"/>
      <c r="I33" s="1940" t="s">
        <v>1942</v>
      </c>
      <c r="J33" s="1940"/>
      <c r="K33" s="1940"/>
      <c r="L33" s="1940"/>
      <c r="M33" s="1940"/>
      <c r="N33" s="1941"/>
      <c r="O33" s="1344"/>
      <c r="P33" s="1258"/>
      <c r="Q33" s="1258"/>
      <c r="R33" s="391"/>
    </row>
    <row r="34" spans="1:18" ht="23.25" customHeight="1">
      <c r="A34" s="389"/>
      <c r="B34" s="1254"/>
      <c r="C34" s="1937">
        <f>30000000*IRR_Inflation_Factor</f>
        <v>557280985.993132</v>
      </c>
      <c r="D34" s="1938"/>
      <c r="E34" s="1962" t="s">
        <v>342</v>
      </c>
      <c r="F34" s="1939"/>
      <c r="G34" s="1938" t="s">
        <v>1158</v>
      </c>
      <c r="H34" s="1938"/>
      <c r="I34" s="1940" t="s">
        <v>1943</v>
      </c>
      <c r="J34" s="1940"/>
      <c r="K34" s="1940"/>
      <c r="L34" s="1940"/>
      <c r="M34" s="1940"/>
      <c r="N34" s="1941"/>
      <c r="O34" s="1344"/>
      <c r="P34" s="1258"/>
      <c r="Q34" s="1258"/>
      <c r="R34" s="391"/>
    </row>
    <row r="35" spans="1:18" ht="23.25" customHeight="1">
      <c r="A35" s="389"/>
      <c r="B35" s="1254"/>
      <c r="C35" s="1937">
        <f>150000000*IRR_Inflation_Factor</f>
        <v>2786404929.9656596</v>
      </c>
      <c r="D35" s="1938"/>
      <c r="E35" s="1962" t="s">
        <v>342</v>
      </c>
      <c r="F35" s="1939"/>
      <c r="G35" s="1938" t="s">
        <v>1158</v>
      </c>
      <c r="H35" s="1938"/>
      <c r="I35" s="1940" t="s">
        <v>1944</v>
      </c>
      <c r="J35" s="1940"/>
      <c r="K35" s="1940"/>
      <c r="L35" s="1940"/>
      <c r="M35" s="1940"/>
      <c r="N35" s="1941"/>
      <c r="O35" s="1344"/>
      <c r="P35" s="1258"/>
      <c r="Q35" s="1258"/>
      <c r="R35" s="391"/>
    </row>
    <row r="36" spans="1:18" ht="23.25" customHeight="1" thickBot="1">
      <c r="A36" s="389"/>
      <c r="B36" s="1254"/>
      <c r="C36" s="1945">
        <f>SUM(C32:D35)</f>
        <v>7793289202.6025639</v>
      </c>
      <c r="D36" s="1946"/>
      <c r="E36" s="1947"/>
      <c r="F36" s="1947"/>
      <c r="G36" s="1946"/>
      <c r="H36" s="1946"/>
      <c r="I36" s="1948" t="s">
        <v>1033</v>
      </c>
      <c r="J36" s="1948"/>
      <c r="K36" s="1948"/>
      <c r="L36" s="1948"/>
      <c r="M36" s="1948"/>
      <c r="N36" s="1949"/>
      <c r="O36" s="1344"/>
      <c r="P36" s="1258"/>
      <c r="Q36" s="1258"/>
      <c r="R36" s="391"/>
    </row>
    <row r="37" spans="1:18" ht="23.25" customHeight="1">
      <c r="A37" s="389"/>
      <c r="B37" s="1254"/>
      <c r="O37" s="1344"/>
      <c r="P37" s="1258"/>
      <c r="Q37" s="1258"/>
      <c r="R37" s="391"/>
    </row>
    <row r="38" spans="1:18" ht="23.25" customHeight="1">
      <c r="A38" s="389"/>
      <c r="B38" s="1963" t="s">
        <v>1945</v>
      </c>
      <c r="C38" s="1963"/>
      <c r="D38" s="1963"/>
      <c r="E38" s="1963"/>
      <c r="F38" s="1963"/>
      <c r="G38" s="1963"/>
      <c r="H38" s="1963"/>
      <c r="I38" s="1963"/>
      <c r="J38" s="1963"/>
      <c r="K38" s="1963"/>
      <c r="L38" s="1963"/>
      <c r="M38" s="1963"/>
      <c r="N38" s="1964"/>
      <c r="O38" s="1344"/>
      <c r="P38" s="1258"/>
      <c r="Q38" s="1258"/>
      <c r="R38" s="391"/>
    </row>
    <row r="39" spans="1:18" ht="23.25" customHeight="1">
      <c r="A39" s="389"/>
      <c r="B39" s="1254"/>
      <c r="O39" s="1344"/>
      <c r="P39" s="1258"/>
      <c r="Q39" s="1258"/>
      <c r="R39" s="391"/>
    </row>
    <row r="40" spans="1:18">
      <c r="A40" s="1234"/>
      <c r="R40" s="1345"/>
    </row>
    <row r="41" spans="1:18" ht="13.5" thickBot="1">
      <c r="A41" s="1346"/>
      <c r="B41" s="1259"/>
      <c r="C41" s="1259"/>
      <c r="D41" s="1259"/>
      <c r="E41" s="1259"/>
      <c r="F41" s="1259"/>
      <c r="G41" s="1259"/>
      <c r="H41" s="1259"/>
      <c r="I41" s="1259"/>
      <c r="J41" s="1259"/>
      <c r="K41" s="1259"/>
      <c r="L41" s="1259"/>
      <c r="M41" s="1259"/>
      <c r="N41" s="1259"/>
      <c r="O41" s="1259"/>
      <c r="P41" s="1259"/>
      <c r="Q41" s="1259"/>
      <c r="R41" s="1260"/>
    </row>
    <row r="44" spans="1:18">
      <c r="O44" s="337"/>
      <c r="P44" s="337"/>
    </row>
    <row r="45" spans="1:18">
      <c r="J45" s="337"/>
      <c r="K45" s="337"/>
      <c r="L45" s="337"/>
      <c r="M45" s="337"/>
      <c r="N45" s="337"/>
      <c r="O45" s="337"/>
      <c r="P45" s="337"/>
    </row>
    <row r="46" spans="1:18">
      <c r="K46" s="337"/>
      <c r="L46" s="337"/>
      <c r="M46" s="337"/>
      <c r="N46" s="337"/>
      <c r="P46" s="337"/>
    </row>
    <row r="47" spans="1:18">
      <c r="P47" s="337"/>
      <c r="Q47" s="337"/>
      <c r="R47" s="337"/>
    </row>
    <row r="48" spans="1:18">
      <c r="Q48" s="337"/>
      <c r="R48" s="337"/>
    </row>
    <row r="49" spans="17:18" ht="18.75" customHeight="1">
      <c r="Q49" s="337"/>
      <c r="R49" s="337"/>
    </row>
    <row r="50" spans="17:18">
      <c r="Q50" s="337"/>
      <c r="R50" s="337"/>
    </row>
    <row r="51" spans="17:18" ht="18.75" customHeight="1"/>
    <row r="53" spans="17:18" ht="18.75" customHeight="1"/>
  </sheetData>
  <mergeCells count="94">
    <mergeCell ref="C36:D36"/>
    <mergeCell ref="E36:F36"/>
    <mergeCell ref="G36:H36"/>
    <mergeCell ref="I36:N36"/>
    <mergeCell ref="B38:N38"/>
    <mergeCell ref="C34:D34"/>
    <mergeCell ref="E34:F34"/>
    <mergeCell ref="G34:H34"/>
    <mergeCell ref="I34:N34"/>
    <mergeCell ref="C35:D35"/>
    <mergeCell ref="E35:F35"/>
    <mergeCell ref="G35:H35"/>
    <mergeCell ref="I35:N35"/>
    <mergeCell ref="C32:D32"/>
    <mergeCell ref="E32:F32"/>
    <mergeCell ref="G32:H32"/>
    <mergeCell ref="I32:N32"/>
    <mergeCell ref="C33:D33"/>
    <mergeCell ref="E33:F33"/>
    <mergeCell ref="G33:H33"/>
    <mergeCell ref="I33:N33"/>
    <mergeCell ref="B26:P29"/>
    <mergeCell ref="C30:N30"/>
    <mergeCell ref="C31:D31"/>
    <mergeCell ref="E31:F31"/>
    <mergeCell ref="G31:H31"/>
    <mergeCell ref="I31:N31"/>
    <mergeCell ref="C23:D23"/>
    <mergeCell ref="E23:F23"/>
    <mergeCell ref="G23:H23"/>
    <mergeCell ref="I23:N23"/>
    <mergeCell ref="C24:D24"/>
    <mergeCell ref="E24:F24"/>
    <mergeCell ref="G24:H24"/>
    <mergeCell ref="I24:N24"/>
    <mergeCell ref="C21:D21"/>
    <mergeCell ref="E21:F21"/>
    <mergeCell ref="G21:H21"/>
    <mergeCell ref="I21:N21"/>
    <mergeCell ref="C22:D22"/>
    <mergeCell ref="E22:F22"/>
    <mergeCell ref="G22:H22"/>
    <mergeCell ref="I22:N22"/>
    <mergeCell ref="C19:D19"/>
    <mergeCell ref="E19:F19"/>
    <mergeCell ref="G19:H19"/>
    <mergeCell ref="I19:N19"/>
    <mergeCell ref="C20:D20"/>
    <mergeCell ref="E20:F20"/>
    <mergeCell ref="G20:H20"/>
    <mergeCell ref="I20:N20"/>
    <mergeCell ref="C17:D17"/>
    <mergeCell ref="E17:F17"/>
    <mergeCell ref="G17:H17"/>
    <mergeCell ref="I17:N17"/>
    <mergeCell ref="C18:D18"/>
    <mergeCell ref="E18:F18"/>
    <mergeCell ref="G18:H18"/>
    <mergeCell ref="I18:N18"/>
    <mergeCell ref="B11:P13"/>
    <mergeCell ref="C15:N15"/>
    <mergeCell ref="C16:D16"/>
    <mergeCell ref="E16:F16"/>
    <mergeCell ref="G16:H16"/>
    <mergeCell ref="I16:N16"/>
    <mergeCell ref="C5:D5"/>
    <mergeCell ref="E5:F5"/>
    <mergeCell ref="G5:H5"/>
    <mergeCell ref="I5:N5"/>
    <mergeCell ref="C8:D8"/>
    <mergeCell ref="E8:F8"/>
    <mergeCell ref="G8:H8"/>
    <mergeCell ref="I8:N8"/>
    <mergeCell ref="C9:D9"/>
    <mergeCell ref="E9:F9"/>
    <mergeCell ref="G9:H9"/>
    <mergeCell ref="I9:N9"/>
    <mergeCell ref="C6:D6"/>
    <mergeCell ref="E6:F6"/>
    <mergeCell ref="G6:H6"/>
    <mergeCell ref="I6:N6"/>
    <mergeCell ref="C7:D7"/>
    <mergeCell ref="E7:F7"/>
    <mergeCell ref="G7:H7"/>
    <mergeCell ref="I7:N7"/>
    <mergeCell ref="C4:D4"/>
    <mergeCell ref="E4:F4"/>
    <mergeCell ref="G4:H4"/>
    <mergeCell ref="I4:N4"/>
    <mergeCell ref="C2:N2"/>
    <mergeCell ref="C3:D3"/>
    <mergeCell ref="E3:F3"/>
    <mergeCell ref="G3:H3"/>
    <mergeCell ref="I3:N3"/>
  </mergeCells>
  <printOptions horizontalCentered="1"/>
  <pageMargins left="0.19685039370078741" right="0.19685039370078741" top="0.19685039370078741" bottom="0.19685039370078741" header="0" footer="0"/>
  <pageSetup paperSize="9" scale="85" orientation="portrait" horizontalDpi="4294967295"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HV84"/>
  <sheetViews>
    <sheetView view="pageBreakPreview" zoomScale="90" zoomScaleSheetLayoutView="90" workbookViewId="0">
      <selection sqref="A1:S1048576"/>
    </sheetView>
  </sheetViews>
  <sheetFormatPr defaultColWidth="6.140625" defaultRowHeight="12.75"/>
  <cols>
    <col min="1" max="1" width="4.42578125" style="575" customWidth="1"/>
    <col min="2" max="2" width="15.7109375" style="575" customWidth="1"/>
    <col min="3" max="3" width="8.28515625" style="575" customWidth="1"/>
    <col min="4" max="4" width="10.5703125" style="575" customWidth="1"/>
    <col min="5" max="5" width="9.85546875" style="575" customWidth="1"/>
    <col min="6" max="6" width="7.5703125" style="575" customWidth="1"/>
    <col min="7" max="8" width="9" style="575" bestFit="1" customWidth="1"/>
    <col min="9" max="9" width="6.140625" style="575"/>
    <col min="10" max="10" width="6.85546875" style="575" customWidth="1"/>
    <col min="11" max="11" width="6.140625" style="575"/>
    <col min="12" max="12" width="5.140625" style="575" customWidth="1"/>
    <col min="13" max="13" width="6.5703125" style="575" customWidth="1"/>
    <col min="14" max="14" width="6" style="575" customWidth="1"/>
    <col min="15" max="15" width="1" style="575" customWidth="1"/>
    <col min="16" max="16" width="5.5703125" style="575" customWidth="1"/>
    <col min="17" max="20" width="6.140625" style="337"/>
    <col min="21" max="21" width="17.28515625" style="337" customWidth="1"/>
    <col min="22" max="22" width="21.85546875" style="337" customWidth="1"/>
    <col min="23" max="151" width="6.140625" style="337"/>
    <col min="152" max="152" width="8.42578125" style="337" customWidth="1"/>
    <col min="153" max="156" width="6.140625" style="337"/>
    <col min="157" max="157" width="8.85546875" style="337" customWidth="1"/>
    <col min="158" max="159" width="6.140625" style="337"/>
    <col min="160" max="160" width="5.28515625" style="337" customWidth="1"/>
    <col min="161" max="164" width="6.140625" style="337"/>
    <col min="165" max="165" width="7.5703125" style="337" customWidth="1"/>
    <col min="166" max="16384" width="6.140625" style="337"/>
  </cols>
  <sheetData>
    <row r="1" spans="1:230" ht="27" customHeight="1" thickBot="1">
      <c r="A1" s="559"/>
      <c r="B1" s="560"/>
      <c r="C1" s="560"/>
      <c r="D1" s="560"/>
      <c r="E1" s="560"/>
      <c r="F1" s="560"/>
      <c r="G1" s="560"/>
      <c r="H1" s="560"/>
      <c r="I1" s="560"/>
      <c r="J1" s="560"/>
      <c r="K1" s="560"/>
      <c r="L1" s="560"/>
      <c r="M1" s="560"/>
      <c r="N1" s="560"/>
      <c r="O1" s="560"/>
      <c r="P1" s="560"/>
      <c r="Q1" s="561"/>
      <c r="R1" s="1337"/>
      <c r="S1" s="1337"/>
      <c r="T1" s="1337"/>
      <c r="U1" s="1337"/>
      <c r="V1" s="1337"/>
      <c r="W1" s="1337"/>
      <c r="X1" s="1337"/>
      <c r="Y1" s="1337"/>
      <c r="Z1" s="1337"/>
      <c r="AA1" s="1337"/>
      <c r="AB1" s="1337"/>
      <c r="AC1" s="1337"/>
      <c r="AD1" s="1337"/>
      <c r="AE1" s="1337"/>
      <c r="AF1" s="1337"/>
      <c r="AG1" s="1337"/>
      <c r="AH1" s="1337"/>
      <c r="AI1" s="1337"/>
      <c r="AJ1" s="1337"/>
      <c r="AK1" s="1337"/>
      <c r="AL1" s="1337"/>
      <c r="AM1" s="1337"/>
      <c r="AN1" s="1337"/>
      <c r="AO1" s="1337"/>
      <c r="AP1" s="1337"/>
      <c r="AQ1" s="1337"/>
      <c r="AR1" s="1337"/>
      <c r="AS1" s="1337"/>
      <c r="AT1" s="1337"/>
      <c r="AU1" s="1337"/>
      <c r="AV1" s="1337"/>
      <c r="AW1" s="1337"/>
      <c r="AX1" s="1337"/>
      <c r="AY1" s="1337"/>
      <c r="AZ1" s="1337"/>
      <c r="BA1" s="1337"/>
      <c r="BB1" s="1337"/>
      <c r="BC1" s="1337"/>
      <c r="BD1" s="1337"/>
      <c r="BE1" s="1337"/>
      <c r="BF1" s="1337"/>
      <c r="BG1" s="1337"/>
      <c r="BH1" s="1337"/>
      <c r="BI1" s="1337"/>
      <c r="BJ1" s="1337"/>
      <c r="BK1" s="1337"/>
      <c r="BL1" s="1337"/>
      <c r="BM1" s="1337"/>
      <c r="BN1" s="1337"/>
      <c r="BO1" s="1337"/>
      <c r="BP1" s="1337"/>
      <c r="BQ1" s="1337"/>
      <c r="BR1" s="1337"/>
      <c r="BS1" s="1337"/>
      <c r="BT1" s="1337"/>
      <c r="BU1" s="1337"/>
      <c r="BV1" s="1337"/>
      <c r="BW1" s="1337"/>
      <c r="BX1" s="1337"/>
      <c r="BY1" s="1337"/>
      <c r="BZ1" s="1337"/>
      <c r="CA1" s="1337"/>
      <c r="CB1" s="1337"/>
      <c r="CC1" s="1337"/>
      <c r="CD1" s="1337"/>
      <c r="CE1" s="1337"/>
      <c r="CF1" s="1337"/>
      <c r="CG1" s="1337"/>
      <c r="CH1" s="1337"/>
      <c r="CI1" s="1337"/>
      <c r="CJ1" s="1337"/>
      <c r="CK1" s="1337"/>
      <c r="CL1" s="1337"/>
      <c r="CM1" s="1337"/>
      <c r="CN1" s="1337"/>
      <c r="CO1" s="1337"/>
      <c r="CP1" s="1337"/>
      <c r="CQ1" s="1337"/>
      <c r="CR1" s="1337"/>
      <c r="CS1" s="1337"/>
      <c r="CT1" s="1337"/>
      <c r="CU1" s="1337"/>
      <c r="CV1" s="1337"/>
      <c r="CW1" s="1337"/>
      <c r="CX1" s="1337"/>
      <c r="CY1" s="1337"/>
      <c r="CZ1" s="1337"/>
      <c r="DA1" s="1337"/>
      <c r="DB1" s="1337"/>
      <c r="DC1" s="1337"/>
      <c r="DD1" s="1337"/>
      <c r="DE1" s="1337"/>
      <c r="DF1" s="1337"/>
      <c r="DG1" s="1337"/>
      <c r="DH1" s="1337"/>
      <c r="DI1" s="1337"/>
      <c r="DJ1" s="1337"/>
      <c r="DK1" s="1337"/>
      <c r="DL1" s="1337"/>
      <c r="DM1" s="1337"/>
      <c r="DN1" s="1337"/>
      <c r="DO1" s="1337"/>
      <c r="DP1" s="1337"/>
      <c r="DQ1" s="1337"/>
      <c r="DR1" s="1337"/>
      <c r="DS1" s="1337"/>
      <c r="DT1" s="1337"/>
      <c r="DU1" s="1337"/>
      <c r="DV1" s="1337"/>
      <c r="DW1" s="1337"/>
      <c r="DX1" s="1337"/>
      <c r="DY1" s="1337"/>
      <c r="DZ1" s="1337"/>
      <c r="EA1" s="1337"/>
      <c r="EB1" s="1337"/>
      <c r="EC1" s="1337"/>
      <c r="ED1" s="1337"/>
      <c r="EE1" s="1337"/>
      <c r="EF1" s="1337"/>
      <c r="EG1" s="1337"/>
      <c r="EH1" s="1337"/>
      <c r="EI1" s="1337"/>
      <c r="EJ1" s="1337"/>
      <c r="EK1" s="1337"/>
      <c r="EL1" s="1337"/>
      <c r="EM1" s="1337"/>
      <c r="EN1" s="1337"/>
      <c r="EO1" s="1337"/>
      <c r="EP1" s="1337"/>
      <c r="EQ1" s="1337"/>
      <c r="ER1" s="1337"/>
      <c r="ES1" s="1337"/>
      <c r="ET1" s="1337"/>
      <c r="EU1" s="1337"/>
      <c r="EV1" s="1337"/>
      <c r="EW1" s="1337"/>
      <c r="EX1" s="1337"/>
      <c r="EY1" s="1337"/>
      <c r="EZ1" s="1337"/>
      <c r="FA1" s="1337"/>
      <c r="FB1" s="1337"/>
      <c r="FC1" s="1337"/>
      <c r="FD1" s="1337"/>
      <c r="FE1" s="1337"/>
      <c r="FF1" s="1337"/>
      <c r="FG1" s="1337"/>
      <c r="FH1" s="1337"/>
      <c r="FI1" s="1337"/>
      <c r="FJ1" s="1337"/>
      <c r="FK1" s="1337"/>
      <c r="FL1" s="1337"/>
      <c r="FM1" s="1337"/>
      <c r="FN1" s="1337"/>
      <c r="FO1" s="1337"/>
      <c r="FP1" s="1337"/>
      <c r="FQ1" s="1337"/>
      <c r="FR1" s="1337"/>
      <c r="FS1" s="1337"/>
      <c r="FT1" s="1337"/>
      <c r="FU1" s="1337"/>
      <c r="FV1" s="1337"/>
      <c r="FW1" s="1337"/>
      <c r="FX1" s="1337"/>
      <c r="FY1" s="1337"/>
      <c r="FZ1" s="1337"/>
      <c r="GA1" s="1337"/>
      <c r="GB1" s="1337"/>
      <c r="GC1" s="1337"/>
      <c r="GD1" s="1337"/>
      <c r="GE1" s="1337"/>
      <c r="GF1" s="1337"/>
      <c r="GG1" s="1337"/>
      <c r="GH1" s="1337"/>
      <c r="GI1" s="1337"/>
      <c r="GJ1" s="1337"/>
      <c r="GK1" s="1337"/>
      <c r="GL1" s="1337"/>
      <c r="GM1" s="1337"/>
      <c r="GN1" s="1337"/>
      <c r="GO1" s="1337"/>
      <c r="GP1" s="1337"/>
      <c r="GQ1" s="1337"/>
      <c r="GR1" s="1337"/>
      <c r="GS1" s="1337"/>
      <c r="GT1" s="1337"/>
      <c r="GU1" s="1337"/>
      <c r="GV1" s="1337"/>
      <c r="GW1" s="1337"/>
      <c r="GX1" s="1337"/>
      <c r="GY1" s="1337"/>
      <c r="GZ1" s="1337"/>
      <c r="HA1" s="1337"/>
      <c r="HB1" s="1337"/>
      <c r="HC1" s="1337"/>
      <c r="HD1" s="1337"/>
      <c r="HE1" s="1337"/>
      <c r="HF1" s="1337"/>
      <c r="HG1" s="1337"/>
      <c r="HH1" s="1337"/>
      <c r="HI1" s="1337"/>
      <c r="HJ1" s="1337"/>
      <c r="HK1" s="1337"/>
      <c r="HL1" s="1337"/>
      <c r="HM1" s="1337"/>
      <c r="HN1" s="1337"/>
      <c r="HO1" s="1337"/>
      <c r="HP1" s="1337"/>
      <c r="HQ1" s="1337"/>
      <c r="HR1" s="1337"/>
      <c r="HS1" s="1337"/>
      <c r="HT1" s="1337"/>
      <c r="HU1" s="1337"/>
      <c r="HV1" s="1337"/>
    </row>
    <row r="2" spans="1:230" ht="41.25" customHeight="1" thickBot="1">
      <c r="A2" s="350"/>
      <c r="B2" s="1965" t="s">
        <v>1949</v>
      </c>
      <c r="C2" s="1966"/>
      <c r="D2" s="1966"/>
      <c r="E2" s="1966"/>
      <c r="F2" s="1966"/>
      <c r="G2" s="1966"/>
      <c r="H2" s="1966"/>
      <c r="I2" s="1966"/>
      <c r="J2" s="1966"/>
      <c r="K2" s="1966"/>
      <c r="L2" s="1966"/>
      <c r="M2" s="1966"/>
      <c r="N2" s="1966"/>
      <c r="O2" s="1967"/>
      <c r="P2" s="1968"/>
      <c r="Q2" s="1348"/>
      <c r="R2" s="575"/>
      <c r="S2" s="1258"/>
    </row>
    <row r="3" spans="1:230" ht="27" customHeight="1">
      <c r="A3" s="350"/>
      <c r="B3" s="562" t="s">
        <v>1950</v>
      </c>
      <c r="C3" s="1969" t="s">
        <v>545</v>
      </c>
      <c r="D3" s="1969"/>
      <c r="E3" s="1969"/>
      <c r="F3" s="1969"/>
      <c r="G3" s="1969"/>
      <c r="H3" s="1970" t="s">
        <v>2</v>
      </c>
      <c r="I3" s="1970"/>
      <c r="J3" s="1970"/>
      <c r="K3" s="1970"/>
      <c r="L3" s="1970"/>
      <c r="M3" s="1970"/>
      <c r="N3" s="1970"/>
      <c r="O3" s="1970"/>
      <c r="P3" s="1971"/>
      <c r="Q3" s="563"/>
      <c r="R3" s="575"/>
      <c r="S3" s="1258"/>
    </row>
    <row r="4" spans="1:230" ht="22.5" customHeight="1">
      <c r="A4" s="373"/>
      <c r="B4" s="1349">
        <f>900*'C.Buildings'!S4*'C.Buildings'!S5</f>
        <v>283023180000</v>
      </c>
      <c r="C4" s="1972" t="s">
        <v>1951</v>
      </c>
      <c r="D4" s="1972"/>
      <c r="E4" s="1972"/>
      <c r="F4" s="1972"/>
      <c r="G4" s="1972"/>
      <c r="H4" s="1973" t="s">
        <v>1952</v>
      </c>
      <c r="I4" s="1973"/>
      <c r="J4" s="1973"/>
      <c r="K4" s="1973"/>
      <c r="L4" s="1973"/>
      <c r="M4" s="1973"/>
      <c r="N4" s="1973"/>
      <c r="O4" s="1973"/>
      <c r="P4" s="1974"/>
      <c r="Q4" s="1348"/>
      <c r="R4" s="575"/>
      <c r="S4" s="1258"/>
    </row>
    <row r="5" spans="1:230" ht="22.5" customHeight="1">
      <c r="A5" s="373"/>
      <c r="B5" s="1349">
        <f>450*320000000*1.1*1.2</f>
        <v>190080000000</v>
      </c>
      <c r="C5" s="1972" t="s">
        <v>4490</v>
      </c>
      <c r="D5" s="1972"/>
      <c r="E5" s="1972"/>
      <c r="F5" s="1972"/>
      <c r="G5" s="1972"/>
      <c r="H5" s="1973" t="s">
        <v>1953</v>
      </c>
      <c r="I5" s="1973"/>
      <c r="J5" s="1973"/>
      <c r="K5" s="1973"/>
      <c r="L5" s="1973"/>
      <c r="M5" s="1973"/>
      <c r="N5" s="1973"/>
      <c r="O5" s="1973"/>
      <c r="P5" s="1974"/>
      <c r="Q5" s="1348"/>
      <c r="R5" s="575"/>
      <c r="S5" s="1258"/>
    </row>
    <row r="6" spans="1:230" ht="22.5" customHeight="1">
      <c r="A6" s="373"/>
      <c r="B6" s="1349">
        <f>(B4+B5)*0.4</f>
        <v>189241272000</v>
      </c>
      <c r="C6" s="1972" t="s">
        <v>4494</v>
      </c>
      <c r="D6" s="1972"/>
      <c r="E6" s="1972"/>
      <c r="F6" s="1972"/>
      <c r="G6" s="1972"/>
      <c r="H6" s="1973" t="s">
        <v>1954</v>
      </c>
      <c r="I6" s="1973"/>
      <c r="J6" s="1973"/>
      <c r="K6" s="1973"/>
      <c r="L6" s="1973"/>
      <c r="M6" s="1973"/>
      <c r="N6" s="1973"/>
      <c r="O6" s="1973"/>
      <c r="P6" s="1974"/>
      <c r="Q6" s="1348"/>
      <c r="R6" s="575"/>
      <c r="S6" s="1258"/>
    </row>
    <row r="7" spans="1:230" ht="55.5" customHeight="1">
      <c r="A7" s="350"/>
      <c r="B7" s="564">
        <f>6*36*(5000000)*IRR_Inflation_Factor</f>
        <v>20062115495.75275</v>
      </c>
      <c r="C7" s="1972" t="s">
        <v>1955</v>
      </c>
      <c r="D7" s="1972"/>
      <c r="E7" s="1972"/>
      <c r="F7" s="1972"/>
      <c r="G7" s="1972"/>
      <c r="H7" s="1973" t="s">
        <v>1956</v>
      </c>
      <c r="I7" s="1973"/>
      <c r="J7" s="1973"/>
      <c r="K7" s="1973"/>
      <c r="L7" s="1973"/>
      <c r="M7" s="1973"/>
      <c r="N7" s="1973"/>
      <c r="O7" s="1973"/>
      <c r="P7" s="1974"/>
      <c r="Q7" s="1348"/>
      <c r="R7" s="575"/>
      <c r="S7" s="1258"/>
    </row>
    <row r="8" spans="1:230" ht="60" customHeight="1">
      <c r="A8" s="350"/>
      <c r="B8" s="564">
        <f>30*36*20*'C.tashilat'!G32</f>
        <v>291600000000</v>
      </c>
      <c r="C8" s="1972" t="s">
        <v>1957</v>
      </c>
      <c r="D8" s="1972"/>
      <c r="E8" s="1972"/>
      <c r="F8" s="1972"/>
      <c r="G8" s="1972"/>
      <c r="H8" s="1973" t="s">
        <v>1958</v>
      </c>
      <c r="I8" s="1973"/>
      <c r="J8" s="1973"/>
      <c r="K8" s="1973"/>
      <c r="L8" s="1973"/>
      <c r="M8" s="1973"/>
      <c r="N8" s="1973"/>
      <c r="O8" s="1973"/>
      <c r="P8" s="1974"/>
      <c r="Q8" s="1348"/>
      <c r="R8" s="575"/>
      <c r="S8" s="1258"/>
    </row>
    <row r="9" spans="1:230" ht="28.5" customHeight="1">
      <c r="A9" s="350"/>
      <c r="B9" s="564">
        <f>4*250000000*IRR_Inflation_Factor</f>
        <v>18576032866.437733</v>
      </c>
      <c r="C9" s="1972" t="s">
        <v>1959</v>
      </c>
      <c r="D9" s="1972"/>
      <c r="E9" s="1972"/>
      <c r="F9" s="1972"/>
      <c r="G9" s="1972"/>
      <c r="H9" s="1973" t="s">
        <v>1960</v>
      </c>
      <c r="I9" s="1973"/>
      <c r="J9" s="1973"/>
      <c r="K9" s="1973"/>
      <c r="L9" s="1973"/>
      <c r="M9" s="1973"/>
      <c r="N9" s="1973"/>
      <c r="O9" s="1973"/>
      <c r="P9" s="1974"/>
      <c r="Q9" s="1348"/>
      <c r="R9" s="575"/>
      <c r="S9" s="1258"/>
    </row>
    <row r="10" spans="1:230" ht="34.5" customHeight="1">
      <c r="A10" s="373"/>
      <c r="B10" s="564">
        <f>4*200000000*IRR_Inflation_Factor</f>
        <v>14860826293.150185</v>
      </c>
      <c r="C10" s="1972" t="s">
        <v>1961</v>
      </c>
      <c r="D10" s="1972"/>
      <c r="E10" s="1972"/>
      <c r="F10" s="1972"/>
      <c r="G10" s="1972"/>
      <c r="H10" s="1973" t="s">
        <v>1962</v>
      </c>
      <c r="I10" s="1973"/>
      <c r="J10" s="1973"/>
      <c r="K10" s="1973"/>
      <c r="L10" s="1973"/>
      <c r="M10" s="1973"/>
      <c r="N10" s="1973"/>
      <c r="O10" s="1973"/>
      <c r="P10" s="1974"/>
      <c r="Q10" s="1348"/>
      <c r="R10" s="575"/>
      <c r="S10" s="1258"/>
    </row>
    <row r="11" spans="1:230" ht="22.5" customHeight="1">
      <c r="A11" s="373"/>
      <c r="B11" s="1349">
        <f>4*50000000*IRR_Inflation_Factor</f>
        <v>3715206573.2875462</v>
      </c>
      <c r="C11" s="1972"/>
      <c r="D11" s="1972"/>
      <c r="E11" s="1972"/>
      <c r="F11" s="1972"/>
      <c r="G11" s="1972"/>
      <c r="H11" s="1973" t="s">
        <v>1946</v>
      </c>
      <c r="I11" s="1973"/>
      <c r="J11" s="1973"/>
      <c r="K11" s="1973"/>
      <c r="L11" s="1973"/>
      <c r="M11" s="1973"/>
      <c r="N11" s="1973"/>
      <c r="O11" s="1973"/>
      <c r="P11" s="1974"/>
      <c r="Q11" s="1348"/>
      <c r="R11" s="575"/>
      <c r="S11" s="1258"/>
    </row>
    <row r="12" spans="1:230" ht="22.5" customHeight="1">
      <c r="A12" s="373"/>
      <c r="B12" s="1349">
        <f>5*50000000*IRR_Inflation_Factor</f>
        <v>4644008216.6094332</v>
      </c>
      <c r="C12" s="1972" t="s">
        <v>1963</v>
      </c>
      <c r="D12" s="1972"/>
      <c r="E12" s="1972"/>
      <c r="F12" s="1972"/>
      <c r="G12" s="1972"/>
      <c r="H12" s="1973" t="s">
        <v>1964</v>
      </c>
      <c r="I12" s="1973"/>
      <c r="J12" s="1973"/>
      <c r="K12" s="1973"/>
      <c r="L12" s="1973"/>
      <c r="M12" s="1973"/>
      <c r="N12" s="1973"/>
      <c r="O12" s="1973"/>
      <c r="P12" s="1974"/>
      <c r="Q12" s="1348"/>
      <c r="R12" s="575"/>
      <c r="S12" s="1258"/>
    </row>
    <row r="13" spans="1:230" ht="22.5" customHeight="1">
      <c r="A13" s="373"/>
      <c r="B13" s="1349">
        <f>2*(4*3)*5000000*IRR_Inflation_Factor</f>
        <v>2229123943.972528</v>
      </c>
      <c r="C13" s="1972"/>
      <c r="D13" s="1972"/>
      <c r="E13" s="1972"/>
      <c r="F13" s="1972"/>
      <c r="G13" s="1972"/>
      <c r="H13" s="1973" t="s">
        <v>1947</v>
      </c>
      <c r="I13" s="1973"/>
      <c r="J13" s="1973"/>
      <c r="K13" s="1973"/>
      <c r="L13" s="1973"/>
      <c r="M13" s="1973"/>
      <c r="N13" s="1973"/>
      <c r="O13" s="1973"/>
      <c r="P13" s="1974"/>
      <c r="Q13" s="1348"/>
      <c r="R13" s="575"/>
      <c r="S13" s="1258"/>
    </row>
    <row r="14" spans="1:230" ht="54.75" customHeight="1">
      <c r="A14" s="373"/>
      <c r="B14" s="564">
        <f>2*10000000*(5+4*3+3*1+2*0.3)*IRR_Inflation_Factor</f>
        <v>7653325540.9723454</v>
      </c>
      <c r="C14" s="1972" t="s">
        <v>1965</v>
      </c>
      <c r="D14" s="1972"/>
      <c r="E14" s="1972"/>
      <c r="F14" s="1972"/>
      <c r="G14" s="1972"/>
      <c r="H14" s="1975" t="s">
        <v>1966</v>
      </c>
      <c r="I14" s="1976"/>
      <c r="J14" s="1976"/>
      <c r="K14" s="1976"/>
      <c r="L14" s="1976"/>
      <c r="M14" s="1976"/>
      <c r="N14" s="1976"/>
      <c r="O14" s="1976"/>
      <c r="P14" s="1977"/>
      <c r="Q14" s="1350"/>
      <c r="R14" s="575"/>
      <c r="S14" s="1258"/>
    </row>
    <row r="15" spans="1:230" ht="78" customHeight="1">
      <c r="A15" s="350"/>
      <c r="B15" s="564">
        <f>4*10000000*(2+3+5+0.5)*IRR_Inflation_Factor</f>
        <v>7801933803.9038477</v>
      </c>
      <c r="C15" s="1972" t="s">
        <v>1967</v>
      </c>
      <c r="D15" s="1972"/>
      <c r="E15" s="1972"/>
      <c r="F15" s="1972"/>
      <c r="G15" s="1972"/>
      <c r="H15" s="1973" t="s">
        <v>1968</v>
      </c>
      <c r="I15" s="1973"/>
      <c r="J15" s="1973"/>
      <c r="K15" s="1973"/>
      <c r="L15" s="1973"/>
      <c r="M15" s="1973"/>
      <c r="N15" s="1973"/>
      <c r="O15" s="1973"/>
      <c r="P15" s="1974"/>
      <c r="Q15" s="1348"/>
      <c r="R15" s="575"/>
      <c r="S15" s="1258"/>
    </row>
    <row r="16" spans="1:230" ht="75.75" customHeight="1">
      <c r="A16" s="350"/>
      <c r="B16" s="1349">
        <f>10000000*(2*5+8*2+5*1+5*1+20)*IRR_Inflation_Factor</f>
        <v>10402578405.20513</v>
      </c>
      <c r="C16" s="1978" t="s">
        <v>1969</v>
      </c>
      <c r="D16" s="1978"/>
      <c r="E16" s="1978"/>
      <c r="F16" s="1978"/>
      <c r="G16" s="1978"/>
      <c r="H16" s="1973" t="s">
        <v>1970</v>
      </c>
      <c r="I16" s="1973"/>
      <c r="J16" s="1973"/>
      <c r="K16" s="1973"/>
      <c r="L16" s="1973"/>
      <c r="M16" s="1973"/>
      <c r="N16" s="1973"/>
      <c r="O16" s="1973"/>
      <c r="P16" s="1974"/>
      <c r="Q16" s="1348"/>
      <c r="R16" s="575"/>
      <c r="S16" s="1258"/>
      <c r="T16" s="1360">
        <v>2</v>
      </c>
      <c r="U16" s="1360"/>
      <c r="V16" s="1360">
        <f>U16*T16</f>
        <v>0</v>
      </c>
    </row>
    <row r="17" spans="1:23" ht="72.75" customHeight="1">
      <c r="A17" s="350"/>
      <c r="B17" s="1349">
        <f>2*10000000*(2+0.8+0.7+1.5+3+1+3+2+2+1)*IRR_Inflation_Factor</f>
        <v>6315851174.588829</v>
      </c>
      <c r="C17" s="1972" t="s">
        <v>1971</v>
      </c>
      <c r="D17" s="1972"/>
      <c r="E17" s="1972"/>
      <c r="F17" s="1972"/>
      <c r="G17" s="1972"/>
      <c r="H17" s="1973" t="s">
        <v>1972</v>
      </c>
      <c r="I17" s="1973"/>
      <c r="J17" s="1973"/>
      <c r="K17" s="1973"/>
      <c r="L17" s="1973"/>
      <c r="M17" s="1973"/>
      <c r="N17" s="1973"/>
      <c r="O17" s="1973"/>
      <c r="P17" s="1974"/>
      <c r="Q17" s="563"/>
      <c r="R17" s="575"/>
      <c r="S17" s="1258"/>
      <c r="W17" s="575"/>
    </row>
    <row r="18" spans="1:23" ht="90.75" customHeight="1">
      <c r="A18" s="373"/>
      <c r="B18" s="1349">
        <f>2*10000000*(7*5+4*3+3*6+4*1+4*4+4*3+5*5+3)*IRR_Inflation_Factor</f>
        <v>46440082166.09433</v>
      </c>
      <c r="C18" s="1972" t="s">
        <v>1973</v>
      </c>
      <c r="D18" s="1972"/>
      <c r="E18" s="1972"/>
      <c r="F18" s="1972"/>
      <c r="G18" s="1972"/>
      <c r="H18" s="1973" t="s">
        <v>1974</v>
      </c>
      <c r="I18" s="1973"/>
      <c r="J18" s="1973"/>
      <c r="K18" s="1973"/>
      <c r="L18" s="1973"/>
      <c r="M18" s="1973"/>
      <c r="N18" s="1973"/>
      <c r="O18" s="1973"/>
      <c r="P18" s="1974"/>
      <c r="Q18" s="563"/>
      <c r="R18" s="575"/>
      <c r="S18" s="1258"/>
      <c r="W18" s="575"/>
    </row>
    <row r="19" spans="1:23" ht="22.5" customHeight="1">
      <c r="A19" s="373"/>
      <c r="B19" s="1349">
        <f>(6*30000000+6*30000000)*IRR_Inflation_Factor</f>
        <v>6687371831.9175835</v>
      </c>
      <c r="C19" s="1972" t="s">
        <v>4493</v>
      </c>
      <c r="D19" s="1972"/>
      <c r="E19" s="1972"/>
      <c r="F19" s="1972"/>
      <c r="G19" s="1972"/>
      <c r="H19" s="1973" t="s">
        <v>1948</v>
      </c>
      <c r="I19" s="1973"/>
      <c r="J19" s="1973"/>
      <c r="K19" s="1973"/>
      <c r="L19" s="1973"/>
      <c r="M19" s="1973"/>
      <c r="N19" s="1973"/>
      <c r="O19" s="1973"/>
      <c r="P19" s="1974"/>
      <c r="Q19" s="1348"/>
      <c r="R19" s="575"/>
      <c r="S19" s="1258"/>
    </row>
    <row r="20" spans="1:23" ht="22.5" customHeight="1">
      <c r="A20" s="373"/>
      <c r="B20" s="1349">
        <f>3*36*500000000</f>
        <v>54000000000</v>
      </c>
      <c r="C20" s="1972" t="s">
        <v>4492</v>
      </c>
      <c r="D20" s="1972"/>
      <c r="E20" s="1972"/>
      <c r="F20" s="1972"/>
      <c r="G20" s="1972"/>
      <c r="H20" s="1973" t="s">
        <v>4491</v>
      </c>
      <c r="I20" s="1973"/>
      <c r="J20" s="1973"/>
      <c r="K20" s="1973"/>
      <c r="L20" s="1973"/>
      <c r="M20" s="1973"/>
      <c r="N20" s="1973"/>
      <c r="O20" s="1973"/>
      <c r="P20" s="1974"/>
      <c r="Q20" s="1348"/>
      <c r="R20" s="575"/>
      <c r="S20" s="1258"/>
    </row>
    <row r="21" spans="1:23" ht="32.450000000000003" customHeight="1">
      <c r="A21" s="373"/>
      <c r="B21" s="1349">
        <f>36*(5000000+500000+100000+1000000+200000)*IRR_Inflation_Factor*2</f>
        <v>9094825691.4079132</v>
      </c>
      <c r="C21" s="1972" t="s">
        <v>1975</v>
      </c>
      <c r="D21" s="1972"/>
      <c r="E21" s="1972"/>
      <c r="F21" s="1972"/>
      <c r="G21" s="1972"/>
      <c r="H21" s="1973" t="s">
        <v>1976</v>
      </c>
      <c r="I21" s="1973"/>
      <c r="J21" s="1973"/>
      <c r="K21" s="1973"/>
      <c r="L21" s="1973"/>
      <c r="M21" s="1973"/>
      <c r="N21" s="1973"/>
      <c r="O21" s="1973"/>
      <c r="P21" s="1974"/>
      <c r="Q21" s="1348"/>
      <c r="R21" s="575"/>
      <c r="S21" s="1258"/>
    </row>
    <row r="22" spans="1:23" ht="22.5" customHeight="1">
      <c r="A22" s="373"/>
      <c r="B22" s="1349">
        <f>50000000*IRR_Inflation_Factor</f>
        <v>928801643.32188654</v>
      </c>
      <c r="C22" s="1972" t="s">
        <v>1977</v>
      </c>
      <c r="D22" s="1972"/>
      <c r="E22" s="1972"/>
      <c r="F22" s="1972"/>
      <c r="G22" s="1972"/>
      <c r="H22" s="1973" t="s">
        <v>1978</v>
      </c>
      <c r="I22" s="1973"/>
      <c r="J22" s="1973"/>
      <c r="K22" s="1973"/>
      <c r="L22" s="1973"/>
      <c r="M22" s="1973"/>
      <c r="N22" s="1973"/>
      <c r="O22" s="1973"/>
      <c r="P22" s="1974"/>
      <c r="Q22" s="1348"/>
      <c r="R22" s="575"/>
      <c r="S22" s="1258"/>
    </row>
    <row r="23" spans="1:23" ht="22.5" customHeight="1">
      <c r="A23" s="373"/>
      <c r="B23" s="1349">
        <f>2*200000000*IRR_Inflation_Factor</f>
        <v>7430413146.5750923</v>
      </c>
      <c r="C23" s="1972" t="s">
        <v>1979</v>
      </c>
      <c r="D23" s="1972"/>
      <c r="E23" s="1972"/>
      <c r="F23" s="1972"/>
      <c r="G23" s="1972"/>
      <c r="H23" s="1973" t="s">
        <v>1980</v>
      </c>
      <c r="I23" s="1973"/>
      <c r="J23" s="1973"/>
      <c r="K23" s="1973"/>
      <c r="L23" s="1973"/>
      <c r="M23" s="1973"/>
      <c r="N23" s="1973"/>
      <c r="O23" s="1973"/>
      <c r="P23" s="1974"/>
      <c r="Q23" s="1348"/>
      <c r="R23" s="575"/>
      <c r="S23" s="1258"/>
    </row>
    <row r="24" spans="1:23" ht="27.75" customHeight="1" thickBot="1">
      <c r="A24" s="373"/>
      <c r="B24" s="1351">
        <f>SUM(B4:B23)</f>
        <v>1174786948793.197</v>
      </c>
      <c r="C24" s="1979"/>
      <c r="D24" s="1979"/>
      <c r="E24" s="1979"/>
      <c r="F24" s="1979"/>
      <c r="G24" s="1979"/>
      <c r="H24" s="1980" t="s">
        <v>1033</v>
      </c>
      <c r="I24" s="1980"/>
      <c r="J24" s="1980"/>
      <c r="K24" s="1980"/>
      <c r="L24" s="1980"/>
      <c r="M24" s="1980"/>
      <c r="N24" s="1980"/>
      <c r="O24" s="1980"/>
      <c r="P24" s="1981"/>
      <c r="Q24" s="565"/>
    </row>
    <row r="25" spans="1:23" ht="20.100000000000001" customHeight="1" thickBot="1">
      <c r="A25" s="566"/>
      <c r="B25" s="1259"/>
      <c r="C25" s="1259"/>
      <c r="D25" s="1259"/>
      <c r="E25" s="1259"/>
      <c r="F25" s="1259"/>
      <c r="G25" s="1259"/>
      <c r="H25" s="1259"/>
      <c r="I25" s="1259"/>
      <c r="J25" s="1259"/>
      <c r="K25" s="1259"/>
      <c r="L25" s="1259"/>
      <c r="M25" s="1259"/>
      <c r="N25" s="1352"/>
      <c r="O25" s="1259"/>
      <c r="P25" s="394"/>
      <c r="Q25" s="567"/>
    </row>
    <row r="26" spans="1:23" ht="20.100000000000001" customHeight="1">
      <c r="A26" s="373"/>
      <c r="N26" s="1338"/>
      <c r="P26" s="1258"/>
    </row>
    <row r="27" spans="1:23" ht="26.25" customHeight="1">
      <c r="A27" s="1237"/>
      <c r="P27" s="1258"/>
    </row>
    <row r="28" spans="1:23" ht="20.100000000000001" customHeight="1">
      <c r="A28" s="337"/>
      <c r="M28" s="1344"/>
      <c r="N28" s="1347"/>
      <c r="O28" s="1341"/>
      <c r="P28" s="1258"/>
    </row>
    <row r="29" spans="1:23" ht="19.5" customHeight="1">
      <c r="A29" s="337"/>
      <c r="M29" s="1344"/>
      <c r="N29" s="1347"/>
      <c r="O29" s="1341"/>
      <c r="P29" s="1258"/>
    </row>
    <row r="30" spans="1:23" ht="21" customHeight="1">
      <c r="A30" s="388"/>
      <c r="M30" s="1344"/>
      <c r="N30" s="1347"/>
      <c r="O30" s="1341"/>
      <c r="P30" s="1258"/>
    </row>
    <row r="31" spans="1:23" ht="38.25" customHeight="1">
      <c r="A31" s="389"/>
      <c r="M31" s="1344"/>
      <c r="N31" s="1342"/>
      <c r="O31" s="1341"/>
      <c r="P31" s="1258"/>
    </row>
    <row r="32" spans="1:23" ht="28.5" customHeight="1">
      <c r="A32" s="389"/>
      <c r="N32" s="1342"/>
      <c r="O32" s="1257"/>
      <c r="P32" s="1258"/>
    </row>
    <row r="33" spans="1:16" ht="23.25" customHeight="1">
      <c r="A33" s="389"/>
      <c r="N33" s="1257"/>
      <c r="O33" s="1257"/>
      <c r="P33" s="1257"/>
    </row>
    <row r="34" spans="1:16" ht="23.25" customHeight="1">
      <c r="A34" s="389"/>
      <c r="N34" s="1258"/>
      <c r="O34" s="1258"/>
      <c r="P34" s="1258"/>
    </row>
    <row r="35" spans="1:16" ht="23.25" customHeight="1">
      <c r="A35" s="389"/>
      <c r="N35" s="1258"/>
      <c r="O35" s="1258"/>
      <c r="P35" s="1258"/>
    </row>
    <row r="36" spans="1:16" ht="23.25" customHeight="1">
      <c r="A36" s="389"/>
      <c r="N36" s="1258"/>
      <c r="O36" s="1258"/>
      <c r="P36" s="1258"/>
    </row>
    <row r="37" spans="1:16" ht="23.25" customHeight="1">
      <c r="A37" s="389"/>
      <c r="N37" s="1258"/>
      <c r="O37" s="1258"/>
      <c r="P37" s="1258"/>
    </row>
    <row r="38" spans="1:16" ht="23.25" customHeight="1">
      <c r="A38" s="389"/>
      <c r="N38" s="1258"/>
      <c r="O38" s="1258"/>
      <c r="P38" s="1258"/>
    </row>
    <row r="39" spans="1:16" ht="23.25" customHeight="1">
      <c r="A39" s="389"/>
      <c r="N39" s="1258"/>
      <c r="O39" s="1258"/>
      <c r="P39" s="1258"/>
    </row>
    <row r="40" spans="1:16">
      <c r="A40" s="1234"/>
      <c r="B40" s="337"/>
      <c r="C40" s="337"/>
      <c r="D40" s="337"/>
      <c r="E40" s="337"/>
      <c r="F40" s="337"/>
      <c r="G40" s="337"/>
      <c r="H40" s="337"/>
      <c r="I40" s="337"/>
      <c r="J40" s="337"/>
      <c r="K40" s="337"/>
      <c r="L40" s="337"/>
      <c r="M40" s="337"/>
      <c r="N40" s="1258"/>
      <c r="O40" s="1258"/>
      <c r="P40" s="1258"/>
    </row>
    <row r="41" spans="1:16" ht="13.5" thickBot="1">
      <c r="A41" s="1346"/>
      <c r="B41" s="337"/>
      <c r="C41" s="337"/>
      <c r="D41" s="337"/>
      <c r="E41" s="337"/>
      <c r="F41" s="337"/>
      <c r="G41" s="337"/>
      <c r="H41" s="337"/>
      <c r="I41" s="337"/>
      <c r="J41" s="337"/>
      <c r="K41" s="337"/>
      <c r="L41" s="337"/>
      <c r="M41" s="337"/>
    </row>
    <row r="42" spans="1:16">
      <c r="B42" s="337"/>
      <c r="C42" s="337"/>
      <c r="D42" s="337"/>
      <c r="E42" s="337"/>
      <c r="F42" s="337"/>
      <c r="G42" s="337"/>
      <c r="H42" s="337"/>
      <c r="I42" s="337"/>
      <c r="J42" s="337"/>
      <c r="K42" s="337"/>
      <c r="L42" s="337"/>
      <c r="M42" s="337"/>
    </row>
    <row r="43" spans="1:16">
      <c r="B43" s="337"/>
      <c r="C43" s="337"/>
      <c r="D43" s="337"/>
      <c r="E43" s="337"/>
      <c r="F43" s="337"/>
      <c r="G43" s="337"/>
      <c r="H43" s="337"/>
      <c r="I43" s="337"/>
      <c r="J43" s="337"/>
      <c r="K43" s="337"/>
      <c r="L43" s="337"/>
      <c r="M43" s="337"/>
    </row>
    <row r="44" spans="1:16">
      <c r="B44" s="337"/>
      <c r="C44" s="337"/>
      <c r="D44" s="337"/>
      <c r="E44" s="337"/>
      <c r="F44" s="337"/>
      <c r="G44" s="337"/>
      <c r="H44" s="337"/>
      <c r="I44" s="337"/>
      <c r="J44" s="337"/>
      <c r="K44" s="337"/>
      <c r="L44" s="337"/>
      <c r="M44" s="337"/>
    </row>
    <row r="45" spans="1:16">
      <c r="B45" s="337"/>
      <c r="C45" s="337"/>
      <c r="D45" s="337"/>
      <c r="E45" s="337"/>
      <c r="F45" s="337"/>
      <c r="G45" s="337"/>
      <c r="H45" s="337"/>
      <c r="I45" s="337"/>
      <c r="J45" s="337"/>
      <c r="K45" s="337"/>
      <c r="L45" s="337"/>
      <c r="M45" s="337"/>
    </row>
    <row r="46" spans="1:16">
      <c r="B46" s="337"/>
      <c r="C46" s="337"/>
      <c r="D46" s="337"/>
      <c r="E46" s="337"/>
      <c r="F46" s="337"/>
      <c r="G46" s="337"/>
      <c r="H46" s="337"/>
      <c r="I46" s="337"/>
      <c r="J46" s="337"/>
      <c r="K46" s="337"/>
      <c r="L46" s="337"/>
      <c r="M46" s="337"/>
    </row>
    <row r="47" spans="1:16">
      <c r="A47" s="337"/>
      <c r="B47" s="337"/>
      <c r="C47" s="337"/>
      <c r="D47" s="337"/>
      <c r="E47" s="337"/>
      <c r="F47" s="337"/>
      <c r="G47" s="337"/>
      <c r="H47" s="337"/>
      <c r="I47" s="337"/>
      <c r="J47" s="337"/>
      <c r="K47" s="337"/>
      <c r="L47" s="337"/>
      <c r="M47" s="337"/>
    </row>
    <row r="48" spans="1:16">
      <c r="A48" s="337"/>
      <c r="B48" s="337"/>
      <c r="C48" s="337"/>
      <c r="D48" s="337"/>
      <c r="E48" s="337"/>
      <c r="F48" s="337"/>
      <c r="G48" s="337"/>
      <c r="H48" s="337"/>
      <c r="I48" s="337"/>
      <c r="J48" s="337"/>
      <c r="K48" s="337"/>
      <c r="L48" s="337"/>
      <c r="M48" s="337"/>
    </row>
    <row r="49" spans="1:230">
      <c r="A49" s="337"/>
      <c r="B49" s="337"/>
      <c r="C49" s="337"/>
      <c r="D49" s="337"/>
      <c r="E49" s="337"/>
      <c r="F49" s="337"/>
      <c r="G49" s="337"/>
      <c r="H49" s="337"/>
      <c r="I49" s="337"/>
      <c r="J49" s="337"/>
      <c r="K49" s="337"/>
      <c r="L49" s="337"/>
      <c r="M49" s="337"/>
      <c r="N49" s="337"/>
    </row>
    <row r="50" spans="1:230" ht="33" customHeight="1">
      <c r="A50" s="337"/>
      <c r="B50" s="337"/>
      <c r="C50" s="337"/>
      <c r="D50" s="337"/>
      <c r="E50" s="337"/>
      <c r="F50" s="337"/>
      <c r="G50" s="337"/>
      <c r="H50" s="337"/>
      <c r="I50" s="337"/>
      <c r="J50" s="337"/>
      <c r="K50" s="337"/>
      <c r="L50" s="337"/>
      <c r="M50" s="337"/>
      <c r="N50" s="337"/>
    </row>
    <row r="51" spans="1:230" ht="15" customHeight="1">
      <c r="A51" s="337"/>
      <c r="N51" s="337"/>
    </row>
    <row r="52" spans="1:230" ht="15" customHeight="1">
      <c r="A52" s="337"/>
      <c r="N52" s="337"/>
    </row>
    <row r="53" spans="1:230" ht="15" customHeight="1">
      <c r="A53" s="337"/>
      <c r="N53" s="337"/>
    </row>
    <row r="54" spans="1:230" ht="15" customHeight="1">
      <c r="A54" s="337"/>
      <c r="N54" s="337"/>
    </row>
    <row r="55" spans="1:230">
      <c r="A55" s="337"/>
      <c r="N55" s="337"/>
    </row>
    <row r="56" spans="1:230" ht="59.25" customHeight="1">
      <c r="A56" s="337"/>
      <c r="B56" s="337"/>
      <c r="C56" s="337"/>
      <c r="D56" s="337"/>
      <c r="E56" s="337"/>
      <c r="F56" s="337"/>
      <c r="G56" s="337"/>
      <c r="H56" s="337"/>
      <c r="I56" s="337"/>
      <c r="J56" s="337"/>
      <c r="K56" s="337"/>
      <c r="L56" s="337"/>
      <c r="M56" s="337"/>
      <c r="N56" s="337"/>
    </row>
    <row r="57" spans="1:230" ht="37.5" customHeight="1">
      <c r="A57" s="337"/>
      <c r="B57" s="337"/>
      <c r="C57" s="337"/>
      <c r="D57" s="337"/>
      <c r="E57" s="337"/>
      <c r="F57" s="337"/>
      <c r="G57" s="337"/>
      <c r="H57" s="337"/>
      <c r="I57" s="337"/>
      <c r="J57" s="337"/>
      <c r="K57" s="337"/>
      <c r="L57" s="337"/>
      <c r="M57" s="337"/>
      <c r="N57" s="337"/>
    </row>
    <row r="58" spans="1:230" ht="38.25" customHeight="1">
      <c r="A58" s="337"/>
      <c r="B58" s="337"/>
      <c r="C58" s="337"/>
      <c r="D58" s="337"/>
      <c r="E58" s="337"/>
      <c r="F58" s="337"/>
      <c r="G58" s="337"/>
      <c r="H58" s="337"/>
      <c r="I58" s="337"/>
      <c r="J58" s="337"/>
      <c r="K58" s="337"/>
      <c r="L58" s="337"/>
      <c r="M58" s="337"/>
      <c r="N58" s="337"/>
    </row>
    <row r="59" spans="1:230" s="575" customFormat="1" ht="15" customHeight="1">
      <c r="B59" s="337"/>
      <c r="C59" s="337"/>
      <c r="D59" s="337"/>
      <c r="E59" s="337"/>
      <c r="F59" s="337"/>
      <c r="G59" s="337"/>
      <c r="H59" s="337"/>
      <c r="I59" s="337"/>
      <c r="J59" s="337"/>
      <c r="K59" s="337"/>
      <c r="L59" s="337"/>
      <c r="M59" s="337"/>
      <c r="N59" s="337"/>
      <c r="W59" s="337"/>
      <c r="X59" s="337"/>
      <c r="Y59" s="337"/>
      <c r="Z59" s="337"/>
      <c r="AA59" s="337"/>
      <c r="AB59" s="337"/>
      <c r="AC59" s="337"/>
      <c r="AD59" s="337"/>
      <c r="AE59" s="337"/>
      <c r="AF59" s="337"/>
      <c r="AG59" s="337"/>
      <c r="AH59" s="337"/>
      <c r="AI59" s="337"/>
      <c r="AJ59" s="337"/>
      <c r="AK59" s="337"/>
      <c r="AL59" s="337"/>
      <c r="AM59" s="337"/>
      <c r="AN59" s="337"/>
      <c r="AO59" s="337"/>
      <c r="AP59" s="337"/>
      <c r="AQ59" s="337"/>
      <c r="AR59" s="337"/>
      <c r="AS59" s="337"/>
      <c r="AT59" s="337"/>
      <c r="AU59" s="337"/>
      <c r="AV59" s="337"/>
      <c r="AW59" s="337"/>
      <c r="AX59" s="337"/>
      <c r="AY59" s="337"/>
      <c r="AZ59" s="337"/>
      <c r="BA59" s="337"/>
      <c r="BB59" s="337"/>
      <c r="BC59" s="337"/>
      <c r="BD59" s="337"/>
      <c r="BE59" s="337"/>
      <c r="BF59" s="337"/>
      <c r="BG59" s="337"/>
      <c r="BH59" s="337"/>
      <c r="BI59" s="337"/>
      <c r="BJ59" s="337"/>
      <c r="BK59" s="337"/>
      <c r="BL59" s="337"/>
      <c r="BM59" s="337"/>
      <c r="BN59" s="337"/>
      <c r="BO59" s="337"/>
      <c r="BP59" s="337"/>
      <c r="BQ59" s="337"/>
      <c r="BR59" s="337"/>
      <c r="BS59" s="337"/>
      <c r="BT59" s="337"/>
      <c r="BU59" s="337"/>
      <c r="BV59" s="337"/>
      <c r="BW59" s="337"/>
      <c r="BX59" s="337"/>
      <c r="BY59" s="337"/>
      <c r="BZ59" s="337"/>
      <c r="CA59" s="337"/>
      <c r="CB59" s="337"/>
      <c r="CC59" s="337"/>
      <c r="CD59" s="337"/>
      <c r="CE59" s="337"/>
      <c r="CF59" s="337"/>
      <c r="CG59" s="337"/>
      <c r="CH59" s="337"/>
      <c r="CI59" s="337"/>
      <c r="CJ59" s="337"/>
      <c r="CK59" s="337"/>
      <c r="CL59" s="337"/>
      <c r="CM59" s="337"/>
      <c r="CN59" s="337"/>
      <c r="CO59" s="337"/>
      <c r="CP59" s="337"/>
      <c r="CQ59" s="337"/>
      <c r="CR59" s="337"/>
      <c r="CS59" s="337"/>
      <c r="CT59" s="337"/>
      <c r="CU59" s="337"/>
      <c r="CV59" s="337"/>
      <c r="CW59" s="337"/>
      <c r="CX59" s="337"/>
      <c r="CY59" s="337"/>
      <c r="CZ59" s="337"/>
      <c r="DA59" s="337"/>
      <c r="DB59" s="337"/>
      <c r="DC59" s="337"/>
      <c r="DD59" s="337"/>
      <c r="DE59" s="337"/>
      <c r="DF59" s="337"/>
      <c r="DG59" s="337"/>
      <c r="DH59" s="337"/>
      <c r="DI59" s="337"/>
      <c r="DJ59" s="337"/>
      <c r="DK59" s="337"/>
      <c r="DL59" s="337"/>
      <c r="DM59" s="337"/>
      <c r="DN59" s="337"/>
      <c r="DO59" s="337"/>
      <c r="DP59" s="337"/>
      <c r="DQ59" s="337"/>
      <c r="DR59" s="337"/>
      <c r="DS59" s="337"/>
      <c r="DT59" s="337"/>
      <c r="DU59" s="337"/>
      <c r="DV59" s="337"/>
      <c r="DW59" s="337"/>
      <c r="DX59" s="337"/>
      <c r="DY59" s="337"/>
      <c r="DZ59" s="337"/>
      <c r="EA59" s="337"/>
      <c r="EB59" s="337"/>
      <c r="EC59" s="337"/>
      <c r="ED59" s="337"/>
      <c r="EE59" s="337"/>
      <c r="EF59" s="337"/>
      <c r="EG59" s="337"/>
      <c r="EH59" s="337"/>
      <c r="EI59" s="337"/>
      <c r="EJ59" s="337"/>
      <c r="EK59" s="337"/>
      <c r="EL59" s="337"/>
      <c r="EM59" s="337"/>
      <c r="EN59" s="337"/>
      <c r="EO59" s="337"/>
      <c r="EP59" s="337"/>
      <c r="EQ59" s="337"/>
      <c r="ER59" s="337"/>
      <c r="ES59" s="337"/>
      <c r="ET59" s="337"/>
      <c r="EU59" s="337"/>
      <c r="EV59" s="337"/>
      <c r="EW59" s="337"/>
      <c r="EX59" s="337"/>
      <c r="EY59" s="337"/>
      <c r="EZ59" s="337"/>
      <c r="FA59" s="337"/>
      <c r="FB59" s="337"/>
      <c r="FC59" s="337"/>
      <c r="FD59" s="337"/>
      <c r="FE59" s="337"/>
      <c r="FF59" s="337"/>
      <c r="FG59" s="337"/>
      <c r="FH59" s="337"/>
      <c r="FI59" s="337"/>
      <c r="FJ59" s="337"/>
      <c r="FK59" s="337"/>
      <c r="FL59" s="337"/>
      <c r="FM59" s="337"/>
      <c r="FN59" s="337"/>
      <c r="FO59" s="337"/>
      <c r="FP59" s="337"/>
      <c r="FQ59" s="337"/>
      <c r="FR59" s="337"/>
      <c r="FS59" s="337"/>
      <c r="FT59" s="337"/>
      <c r="FU59" s="337"/>
      <c r="FV59" s="337"/>
      <c r="FW59" s="337"/>
      <c r="FX59" s="337"/>
      <c r="FY59" s="337"/>
      <c r="FZ59" s="337"/>
      <c r="GA59" s="337"/>
      <c r="GB59" s="337"/>
      <c r="GC59" s="337"/>
      <c r="GD59" s="337"/>
      <c r="GE59" s="337"/>
      <c r="GF59" s="337"/>
      <c r="GG59" s="337"/>
      <c r="GH59" s="337"/>
      <c r="GI59" s="337"/>
      <c r="GJ59" s="337"/>
      <c r="GK59" s="337"/>
      <c r="GL59" s="337"/>
      <c r="GM59" s="337"/>
      <c r="GN59" s="337"/>
      <c r="GO59" s="337"/>
      <c r="GP59" s="337"/>
      <c r="GQ59" s="337"/>
      <c r="GR59" s="337"/>
      <c r="GS59" s="337"/>
      <c r="GT59" s="337"/>
      <c r="GU59" s="337"/>
      <c r="GV59" s="337"/>
      <c r="GW59" s="337"/>
      <c r="GX59" s="337"/>
      <c r="GY59" s="337"/>
      <c r="GZ59" s="337"/>
      <c r="HA59" s="337"/>
      <c r="HB59" s="337"/>
      <c r="HC59" s="337"/>
      <c r="HD59" s="337"/>
      <c r="HE59" s="337"/>
      <c r="HF59" s="337"/>
      <c r="HG59" s="337"/>
      <c r="HH59" s="337"/>
      <c r="HI59" s="337"/>
      <c r="HJ59" s="337"/>
      <c r="HK59" s="337"/>
      <c r="HL59" s="337"/>
      <c r="HM59" s="337"/>
      <c r="HN59" s="337"/>
      <c r="HO59" s="337"/>
      <c r="HP59" s="337"/>
      <c r="HQ59" s="337"/>
      <c r="HR59" s="337"/>
      <c r="HS59" s="337"/>
      <c r="HT59" s="337"/>
      <c r="HU59" s="337"/>
      <c r="HV59" s="337"/>
    </row>
    <row r="60" spans="1:230" s="575" customFormat="1" ht="15" customHeight="1">
      <c r="D60" s="1982"/>
      <c r="E60" s="1982"/>
      <c r="F60" s="1983"/>
      <c r="G60" s="1983"/>
      <c r="H60" s="1353"/>
      <c r="I60" s="1354"/>
      <c r="J60" s="1355"/>
      <c r="K60" s="1355"/>
      <c r="L60" s="1355"/>
      <c r="M60" s="1355"/>
      <c r="W60" s="337"/>
      <c r="X60" s="337"/>
      <c r="Y60" s="337"/>
      <c r="Z60" s="337"/>
      <c r="AA60" s="337"/>
      <c r="AB60" s="337"/>
      <c r="AC60" s="337"/>
      <c r="AD60" s="337"/>
      <c r="AE60" s="337"/>
      <c r="AF60" s="337"/>
      <c r="AG60" s="337"/>
      <c r="AH60" s="337"/>
      <c r="AI60" s="337"/>
      <c r="AJ60" s="337"/>
      <c r="AK60" s="337"/>
      <c r="AL60" s="337"/>
      <c r="AM60" s="337"/>
      <c r="AN60" s="337"/>
      <c r="AO60" s="337"/>
      <c r="AP60" s="337"/>
      <c r="AQ60" s="337"/>
      <c r="AR60" s="337"/>
      <c r="AS60" s="337"/>
      <c r="AT60" s="337"/>
      <c r="AU60" s="337"/>
      <c r="AV60" s="337"/>
      <c r="AW60" s="337"/>
      <c r="AX60" s="337"/>
      <c r="AY60" s="337"/>
      <c r="AZ60" s="337"/>
      <c r="BA60" s="337"/>
      <c r="BB60" s="337"/>
      <c r="BC60" s="337"/>
      <c r="BD60" s="337"/>
      <c r="BE60" s="337"/>
      <c r="BF60" s="337"/>
      <c r="BG60" s="337"/>
      <c r="BH60" s="337"/>
      <c r="BI60" s="337"/>
      <c r="BJ60" s="337"/>
      <c r="BK60" s="337"/>
      <c r="BL60" s="337"/>
      <c r="BM60" s="337"/>
      <c r="BN60" s="337"/>
      <c r="BO60" s="337"/>
      <c r="BP60" s="337"/>
      <c r="BQ60" s="337"/>
      <c r="BR60" s="337"/>
      <c r="BS60" s="337"/>
      <c r="BT60" s="337"/>
      <c r="BU60" s="337"/>
      <c r="BV60" s="337"/>
      <c r="BW60" s="337"/>
      <c r="BX60" s="337"/>
      <c r="BY60" s="337"/>
      <c r="BZ60" s="337"/>
      <c r="CA60" s="337"/>
      <c r="CB60" s="337"/>
      <c r="CC60" s="337"/>
      <c r="CD60" s="337"/>
      <c r="CE60" s="337"/>
      <c r="CF60" s="337"/>
      <c r="CG60" s="337"/>
      <c r="CH60" s="337"/>
      <c r="CI60" s="337"/>
      <c r="CJ60" s="337"/>
      <c r="CK60" s="337"/>
      <c r="CL60" s="337"/>
      <c r="CM60" s="337"/>
      <c r="CN60" s="337"/>
      <c r="CO60" s="337"/>
      <c r="CP60" s="337"/>
      <c r="CQ60" s="337"/>
      <c r="CR60" s="337"/>
      <c r="CS60" s="337"/>
      <c r="CT60" s="337"/>
      <c r="CU60" s="337"/>
      <c r="CV60" s="337"/>
      <c r="CW60" s="337"/>
      <c r="CX60" s="337"/>
      <c r="CY60" s="337"/>
      <c r="CZ60" s="337"/>
      <c r="DA60" s="337"/>
      <c r="DB60" s="337"/>
      <c r="DC60" s="337"/>
      <c r="DD60" s="337"/>
      <c r="DE60" s="337"/>
      <c r="DF60" s="337"/>
      <c r="DG60" s="337"/>
      <c r="DH60" s="337"/>
      <c r="DI60" s="337"/>
      <c r="DJ60" s="337"/>
      <c r="DK60" s="337"/>
      <c r="DL60" s="337"/>
      <c r="DM60" s="337"/>
      <c r="DN60" s="337"/>
      <c r="DO60" s="337"/>
      <c r="DP60" s="337"/>
      <c r="DQ60" s="337"/>
      <c r="DR60" s="337"/>
      <c r="DS60" s="337"/>
      <c r="DT60" s="337"/>
      <c r="DU60" s="337"/>
      <c r="DV60" s="337"/>
      <c r="DW60" s="337"/>
      <c r="DX60" s="337"/>
      <c r="DY60" s="337"/>
      <c r="DZ60" s="337"/>
      <c r="EA60" s="337"/>
      <c r="EB60" s="337"/>
      <c r="EC60" s="337"/>
      <c r="ED60" s="337"/>
      <c r="EE60" s="337"/>
      <c r="EF60" s="337"/>
      <c r="EG60" s="337"/>
      <c r="EH60" s="337"/>
      <c r="EI60" s="337"/>
      <c r="EJ60" s="337"/>
      <c r="EK60" s="337"/>
      <c r="EL60" s="337"/>
      <c r="EM60" s="337"/>
      <c r="EN60" s="337"/>
      <c r="EO60" s="337"/>
      <c r="EP60" s="337"/>
      <c r="EQ60" s="337"/>
      <c r="ER60" s="337"/>
      <c r="ES60" s="337"/>
      <c r="ET60" s="337"/>
      <c r="EU60" s="337"/>
      <c r="EV60" s="337"/>
      <c r="EW60" s="337"/>
      <c r="EX60" s="337"/>
      <c r="EY60" s="337"/>
      <c r="EZ60" s="337"/>
      <c r="FA60" s="337"/>
      <c r="FB60" s="337"/>
      <c r="FC60" s="337"/>
      <c r="FD60" s="337"/>
      <c r="FE60" s="337"/>
      <c r="FF60" s="337"/>
      <c r="FG60" s="337"/>
      <c r="FH60" s="337"/>
      <c r="FI60" s="337"/>
      <c r="FJ60" s="337"/>
      <c r="FK60" s="337"/>
      <c r="FL60" s="337"/>
      <c r="FM60" s="337"/>
      <c r="FN60" s="337"/>
      <c r="FO60" s="337"/>
      <c r="FP60" s="337"/>
      <c r="FQ60" s="337"/>
      <c r="FR60" s="337"/>
      <c r="FS60" s="337"/>
      <c r="FT60" s="337"/>
      <c r="FU60" s="337"/>
      <c r="FV60" s="337"/>
      <c r="FW60" s="337"/>
      <c r="FX60" s="337"/>
      <c r="FY60" s="337"/>
      <c r="FZ60" s="337"/>
      <c r="GA60" s="337"/>
      <c r="GB60" s="337"/>
      <c r="GC60" s="337"/>
      <c r="GD60" s="337"/>
      <c r="GE60" s="337"/>
      <c r="GF60" s="337"/>
      <c r="GG60" s="337"/>
      <c r="GH60" s="337"/>
      <c r="GI60" s="337"/>
      <c r="GJ60" s="337"/>
      <c r="GK60" s="337"/>
      <c r="GL60" s="337"/>
      <c r="GM60" s="337"/>
      <c r="GN60" s="337"/>
      <c r="GO60" s="337"/>
      <c r="GP60" s="337"/>
      <c r="GQ60" s="337"/>
      <c r="GR60" s="337"/>
      <c r="GS60" s="337"/>
      <c r="GT60" s="337"/>
      <c r="GU60" s="337"/>
      <c r="GV60" s="337"/>
      <c r="GW60" s="337"/>
      <c r="GX60" s="337"/>
      <c r="GY60" s="337"/>
      <c r="GZ60" s="337"/>
      <c r="HA60" s="337"/>
      <c r="HB60" s="337"/>
      <c r="HC60" s="337"/>
      <c r="HD60" s="337"/>
      <c r="HE60" s="337"/>
      <c r="HF60" s="337"/>
      <c r="HG60" s="337"/>
      <c r="HH60" s="337"/>
      <c r="HI60" s="337"/>
      <c r="HJ60" s="337"/>
      <c r="HK60" s="337"/>
      <c r="HL60" s="337"/>
      <c r="HM60" s="337"/>
      <c r="HN60" s="337"/>
      <c r="HO60" s="337"/>
      <c r="HP60" s="337"/>
      <c r="HQ60" s="337"/>
      <c r="HR60" s="337"/>
      <c r="HS60" s="337"/>
      <c r="HT60" s="337"/>
      <c r="HU60" s="337"/>
      <c r="HV60" s="337"/>
    </row>
    <row r="61" spans="1:230" s="575" customFormat="1" ht="15" customHeight="1">
      <c r="M61" s="1356"/>
      <c r="W61" s="337"/>
      <c r="X61" s="337"/>
      <c r="Y61" s="337"/>
      <c r="Z61" s="337"/>
      <c r="AA61" s="337"/>
      <c r="AB61" s="337"/>
      <c r="AC61" s="337"/>
      <c r="AD61" s="337"/>
      <c r="AE61" s="337"/>
      <c r="AF61" s="337"/>
      <c r="AG61" s="337"/>
      <c r="AH61" s="337"/>
      <c r="AI61" s="337"/>
      <c r="AJ61" s="337"/>
      <c r="AK61" s="337"/>
      <c r="AL61" s="337"/>
      <c r="AM61" s="337"/>
      <c r="AN61" s="337"/>
      <c r="AO61" s="337"/>
      <c r="AP61" s="337"/>
      <c r="AQ61" s="337"/>
      <c r="AR61" s="337"/>
      <c r="AS61" s="337"/>
      <c r="AT61" s="337"/>
      <c r="AU61" s="337"/>
      <c r="AV61" s="337"/>
      <c r="AW61" s="337"/>
      <c r="AX61" s="337"/>
      <c r="AY61" s="337"/>
      <c r="AZ61" s="337"/>
      <c r="BA61" s="337"/>
      <c r="BB61" s="337"/>
      <c r="BC61" s="337"/>
      <c r="BD61" s="337"/>
      <c r="BE61" s="337"/>
      <c r="BF61" s="337"/>
      <c r="BG61" s="337"/>
      <c r="BH61" s="337"/>
      <c r="BI61" s="337"/>
      <c r="BJ61" s="337"/>
      <c r="BK61" s="337"/>
      <c r="BL61" s="337"/>
      <c r="BM61" s="337"/>
      <c r="BN61" s="337"/>
      <c r="BO61" s="337"/>
      <c r="BP61" s="337"/>
      <c r="BQ61" s="337"/>
      <c r="BR61" s="337"/>
      <c r="BS61" s="337"/>
      <c r="BT61" s="337"/>
      <c r="BU61" s="337"/>
      <c r="BV61" s="337"/>
      <c r="BW61" s="337"/>
      <c r="BX61" s="337"/>
      <c r="BY61" s="337"/>
      <c r="BZ61" s="337"/>
      <c r="CA61" s="337"/>
      <c r="CB61" s="337"/>
      <c r="CC61" s="337"/>
      <c r="CD61" s="337"/>
      <c r="CE61" s="337"/>
      <c r="CF61" s="337"/>
      <c r="CG61" s="337"/>
      <c r="CH61" s="337"/>
      <c r="CI61" s="337"/>
      <c r="CJ61" s="337"/>
      <c r="CK61" s="337"/>
      <c r="CL61" s="337"/>
      <c r="CM61" s="337"/>
      <c r="CN61" s="337"/>
      <c r="CO61" s="337"/>
      <c r="CP61" s="337"/>
      <c r="CQ61" s="337"/>
      <c r="CR61" s="337"/>
      <c r="CS61" s="337"/>
      <c r="CT61" s="337"/>
      <c r="CU61" s="337"/>
      <c r="CV61" s="337"/>
      <c r="CW61" s="337"/>
      <c r="CX61" s="337"/>
      <c r="CY61" s="337"/>
      <c r="CZ61" s="337"/>
      <c r="DA61" s="337"/>
      <c r="DB61" s="337"/>
      <c r="DC61" s="337"/>
      <c r="DD61" s="337"/>
      <c r="DE61" s="337"/>
      <c r="DF61" s="337"/>
      <c r="DG61" s="337"/>
      <c r="DH61" s="337"/>
      <c r="DI61" s="337"/>
      <c r="DJ61" s="337"/>
      <c r="DK61" s="337"/>
      <c r="DL61" s="337"/>
      <c r="DM61" s="337"/>
      <c r="DN61" s="337"/>
      <c r="DO61" s="337"/>
      <c r="DP61" s="337"/>
      <c r="DQ61" s="337"/>
      <c r="DR61" s="337"/>
      <c r="DS61" s="337"/>
      <c r="DT61" s="337"/>
      <c r="DU61" s="337"/>
      <c r="DV61" s="337"/>
      <c r="DW61" s="337"/>
      <c r="DX61" s="337"/>
      <c r="DY61" s="337"/>
      <c r="DZ61" s="337"/>
      <c r="EA61" s="337"/>
      <c r="EB61" s="337"/>
      <c r="EC61" s="337"/>
      <c r="ED61" s="337"/>
      <c r="EE61" s="337"/>
      <c r="EF61" s="337"/>
      <c r="EG61" s="337"/>
      <c r="EH61" s="337"/>
      <c r="EI61" s="337"/>
      <c r="EJ61" s="337"/>
      <c r="EK61" s="337"/>
      <c r="EL61" s="337"/>
      <c r="EM61" s="337"/>
      <c r="EN61" s="337"/>
      <c r="EO61" s="337"/>
      <c r="EP61" s="337"/>
      <c r="EQ61" s="337"/>
      <c r="ER61" s="337"/>
      <c r="ES61" s="337"/>
      <c r="ET61" s="337"/>
      <c r="EU61" s="337"/>
      <c r="EV61" s="337"/>
      <c r="EW61" s="337"/>
      <c r="EX61" s="337"/>
      <c r="EY61" s="337"/>
      <c r="EZ61" s="337"/>
      <c r="FA61" s="337"/>
      <c r="FB61" s="337"/>
      <c r="FC61" s="337"/>
      <c r="FD61" s="337"/>
      <c r="FE61" s="337"/>
      <c r="FF61" s="337"/>
      <c r="FG61" s="337"/>
      <c r="FH61" s="337"/>
      <c r="FI61" s="337"/>
      <c r="FJ61" s="337"/>
      <c r="FK61" s="337"/>
      <c r="FL61" s="337"/>
      <c r="FM61" s="337"/>
      <c r="FN61" s="337"/>
      <c r="FO61" s="337"/>
      <c r="FP61" s="337"/>
      <c r="FQ61" s="337"/>
      <c r="FR61" s="337"/>
      <c r="FS61" s="337"/>
      <c r="FT61" s="337"/>
      <c r="FU61" s="337"/>
      <c r="FV61" s="337"/>
      <c r="FW61" s="337"/>
      <c r="FX61" s="337"/>
      <c r="FY61" s="337"/>
      <c r="FZ61" s="337"/>
      <c r="GA61" s="337"/>
      <c r="GB61" s="337"/>
      <c r="GC61" s="337"/>
      <c r="GD61" s="337"/>
      <c r="GE61" s="337"/>
      <c r="GF61" s="337"/>
      <c r="GG61" s="337"/>
      <c r="GH61" s="337"/>
      <c r="GI61" s="337"/>
      <c r="GJ61" s="337"/>
      <c r="GK61" s="337"/>
      <c r="GL61" s="337"/>
      <c r="GM61" s="337"/>
      <c r="GN61" s="337"/>
      <c r="GO61" s="337"/>
      <c r="GP61" s="337"/>
      <c r="GQ61" s="337"/>
      <c r="GR61" s="337"/>
      <c r="GS61" s="337"/>
      <c r="GT61" s="337"/>
      <c r="GU61" s="337"/>
      <c r="GV61" s="337"/>
      <c r="GW61" s="337"/>
      <c r="GX61" s="337"/>
      <c r="GY61" s="337"/>
      <c r="GZ61" s="337"/>
      <c r="HA61" s="337"/>
      <c r="HB61" s="337"/>
      <c r="HC61" s="337"/>
      <c r="HD61" s="337"/>
      <c r="HE61" s="337"/>
      <c r="HF61" s="337"/>
      <c r="HG61" s="337"/>
      <c r="HH61" s="337"/>
      <c r="HI61" s="337"/>
      <c r="HJ61" s="337"/>
      <c r="HK61" s="337"/>
      <c r="HL61" s="337"/>
      <c r="HM61" s="337"/>
      <c r="HN61" s="337"/>
      <c r="HO61" s="337"/>
      <c r="HP61" s="337"/>
      <c r="HQ61" s="337"/>
      <c r="HR61" s="337"/>
      <c r="HS61" s="337"/>
      <c r="HT61" s="337"/>
      <c r="HU61" s="337"/>
      <c r="HV61" s="337"/>
    </row>
    <row r="62" spans="1:230" s="575" customFormat="1" ht="53.25" customHeight="1">
      <c r="G62" s="1356"/>
      <c r="H62" s="1356"/>
      <c r="I62" s="1356"/>
      <c r="J62" s="1356"/>
      <c r="K62" s="1356"/>
      <c r="L62" s="1356"/>
      <c r="M62" s="1356"/>
      <c r="W62" s="337"/>
      <c r="X62" s="337"/>
      <c r="Y62" s="337"/>
      <c r="Z62" s="337"/>
      <c r="AA62" s="337"/>
      <c r="AB62" s="337"/>
      <c r="AC62" s="337"/>
      <c r="AD62" s="337"/>
      <c r="AE62" s="337"/>
      <c r="AF62" s="337"/>
      <c r="AG62" s="337"/>
      <c r="AH62" s="337"/>
      <c r="AI62" s="337"/>
      <c r="AJ62" s="337"/>
      <c r="AK62" s="337"/>
      <c r="AL62" s="337"/>
      <c r="AM62" s="337"/>
      <c r="AN62" s="337"/>
      <c r="AO62" s="337"/>
      <c r="AP62" s="337"/>
      <c r="AQ62" s="337"/>
      <c r="AR62" s="337"/>
      <c r="AS62" s="337"/>
      <c r="AT62" s="337"/>
      <c r="AU62" s="337"/>
      <c r="AV62" s="337"/>
      <c r="AW62" s="337"/>
      <c r="AX62" s="337"/>
      <c r="AY62" s="337"/>
      <c r="AZ62" s="337"/>
      <c r="BA62" s="337"/>
      <c r="BB62" s="337"/>
      <c r="BC62" s="337"/>
      <c r="BD62" s="337"/>
      <c r="BE62" s="337"/>
      <c r="BF62" s="337"/>
      <c r="BG62" s="337"/>
      <c r="BH62" s="337"/>
      <c r="BI62" s="337"/>
      <c r="BJ62" s="337"/>
      <c r="BK62" s="337"/>
      <c r="BL62" s="337"/>
      <c r="BM62" s="337"/>
      <c r="BN62" s="337"/>
      <c r="BO62" s="337"/>
      <c r="BP62" s="337"/>
      <c r="BQ62" s="337"/>
      <c r="BR62" s="337"/>
      <c r="BS62" s="337"/>
      <c r="BT62" s="337"/>
      <c r="BU62" s="337"/>
      <c r="BV62" s="337"/>
      <c r="BW62" s="337"/>
      <c r="BX62" s="337"/>
      <c r="BY62" s="337"/>
      <c r="BZ62" s="337"/>
      <c r="CA62" s="337"/>
      <c r="CB62" s="337"/>
      <c r="CC62" s="337"/>
      <c r="CD62" s="337"/>
      <c r="CE62" s="337"/>
      <c r="CF62" s="337"/>
      <c r="CG62" s="337"/>
      <c r="CH62" s="337"/>
      <c r="CI62" s="337"/>
      <c r="CJ62" s="337"/>
      <c r="CK62" s="337"/>
      <c r="CL62" s="337"/>
      <c r="CM62" s="337"/>
      <c r="CN62" s="337"/>
      <c r="CO62" s="337"/>
      <c r="CP62" s="337"/>
      <c r="CQ62" s="337"/>
      <c r="CR62" s="337"/>
      <c r="CS62" s="337"/>
      <c r="CT62" s="337"/>
      <c r="CU62" s="337"/>
      <c r="CV62" s="337"/>
      <c r="CW62" s="337"/>
      <c r="CX62" s="337"/>
      <c r="CY62" s="337"/>
      <c r="CZ62" s="337"/>
      <c r="DA62" s="337"/>
      <c r="DB62" s="337"/>
      <c r="DC62" s="337"/>
      <c r="DD62" s="337"/>
      <c r="DE62" s="337"/>
      <c r="DF62" s="337"/>
      <c r="DG62" s="337"/>
      <c r="DH62" s="337"/>
      <c r="DI62" s="337"/>
      <c r="DJ62" s="337"/>
      <c r="DK62" s="337"/>
      <c r="DL62" s="337"/>
      <c r="DM62" s="337"/>
      <c r="DN62" s="337"/>
      <c r="DO62" s="337"/>
      <c r="DP62" s="337"/>
      <c r="DQ62" s="337"/>
      <c r="DR62" s="337"/>
      <c r="DS62" s="337"/>
      <c r="DT62" s="337"/>
      <c r="DU62" s="337"/>
      <c r="DV62" s="337"/>
      <c r="DW62" s="337"/>
      <c r="DX62" s="337"/>
      <c r="DY62" s="337"/>
      <c r="DZ62" s="337"/>
      <c r="EA62" s="337"/>
      <c r="EB62" s="337"/>
      <c r="EC62" s="337"/>
      <c r="ED62" s="337"/>
      <c r="EE62" s="337"/>
      <c r="EF62" s="337"/>
      <c r="EG62" s="337"/>
      <c r="EH62" s="337"/>
      <c r="EI62" s="337"/>
      <c r="EJ62" s="337"/>
      <c r="EK62" s="337"/>
      <c r="EL62" s="337"/>
      <c r="EM62" s="337"/>
      <c r="EN62" s="337"/>
      <c r="EO62" s="337"/>
      <c r="EP62" s="337"/>
      <c r="EQ62" s="337"/>
      <c r="ER62" s="337"/>
      <c r="ES62" s="337"/>
      <c r="ET62" s="337"/>
      <c r="EU62" s="337"/>
      <c r="EV62" s="337"/>
      <c r="EW62" s="337"/>
      <c r="EX62" s="337"/>
      <c r="EY62" s="337"/>
      <c r="EZ62" s="337"/>
      <c r="FA62" s="337"/>
      <c r="FB62" s="337"/>
      <c r="FC62" s="337"/>
      <c r="FD62" s="337"/>
      <c r="FE62" s="337"/>
      <c r="FF62" s="337"/>
      <c r="FG62" s="337"/>
      <c r="FH62" s="337"/>
      <c r="FI62" s="337"/>
      <c r="FJ62" s="337"/>
      <c r="FK62" s="337"/>
      <c r="FL62" s="337"/>
      <c r="FM62" s="337"/>
      <c r="FN62" s="337"/>
      <c r="FO62" s="337"/>
      <c r="FP62" s="337"/>
      <c r="FQ62" s="337"/>
      <c r="FR62" s="337"/>
      <c r="FS62" s="337"/>
      <c r="FT62" s="337"/>
      <c r="FU62" s="337"/>
      <c r="FV62" s="337"/>
      <c r="FW62" s="337"/>
      <c r="FX62" s="337"/>
      <c r="FY62" s="337"/>
      <c r="FZ62" s="337"/>
      <c r="GA62" s="337"/>
      <c r="GB62" s="337"/>
      <c r="GC62" s="337"/>
      <c r="GD62" s="337"/>
      <c r="GE62" s="337"/>
      <c r="GF62" s="337"/>
      <c r="GG62" s="337"/>
      <c r="GH62" s="337"/>
      <c r="GI62" s="337"/>
      <c r="GJ62" s="337"/>
      <c r="GK62" s="337"/>
      <c r="GL62" s="337"/>
      <c r="GM62" s="337"/>
      <c r="GN62" s="337"/>
      <c r="GO62" s="337"/>
      <c r="GP62" s="337"/>
      <c r="GQ62" s="337"/>
      <c r="GR62" s="337"/>
      <c r="GS62" s="337"/>
      <c r="GT62" s="337"/>
      <c r="GU62" s="337"/>
      <c r="GV62" s="337"/>
      <c r="GW62" s="337"/>
      <c r="GX62" s="337"/>
      <c r="GY62" s="337"/>
      <c r="GZ62" s="337"/>
      <c r="HA62" s="337"/>
      <c r="HB62" s="337"/>
      <c r="HC62" s="337"/>
      <c r="HD62" s="337"/>
      <c r="HE62" s="337"/>
      <c r="HF62" s="337"/>
      <c r="HG62" s="337"/>
      <c r="HH62" s="337"/>
      <c r="HI62" s="337"/>
      <c r="HJ62" s="337"/>
      <c r="HK62" s="337"/>
      <c r="HL62" s="337"/>
      <c r="HM62" s="337"/>
      <c r="HN62" s="337"/>
      <c r="HO62" s="337"/>
      <c r="HP62" s="337"/>
      <c r="HQ62" s="337"/>
      <c r="HR62" s="337"/>
      <c r="HS62" s="337"/>
      <c r="HT62" s="337"/>
      <c r="HU62" s="337"/>
      <c r="HV62" s="337"/>
    </row>
    <row r="63" spans="1:230" s="575" customFormat="1" ht="61.5" customHeight="1">
      <c r="G63" s="1356"/>
      <c r="H63" s="1356"/>
      <c r="I63" s="1356"/>
      <c r="J63" s="1356"/>
      <c r="K63" s="1356"/>
      <c r="L63" s="1356"/>
      <c r="M63" s="1356"/>
      <c r="Q63" s="337"/>
      <c r="R63" s="337"/>
      <c r="S63" s="337"/>
      <c r="T63" s="337"/>
      <c r="U63" s="337"/>
      <c r="V63" s="337"/>
      <c r="W63" s="337"/>
      <c r="X63" s="337"/>
      <c r="Y63" s="337"/>
      <c r="Z63" s="337"/>
      <c r="AA63" s="337"/>
      <c r="AB63" s="337"/>
      <c r="AC63" s="337"/>
      <c r="AD63" s="337"/>
      <c r="AE63" s="337"/>
      <c r="AF63" s="337"/>
      <c r="AG63" s="337"/>
      <c r="AH63" s="337"/>
      <c r="AI63" s="337"/>
      <c r="AJ63" s="337"/>
      <c r="AK63" s="337"/>
      <c r="AL63" s="337"/>
      <c r="AM63" s="337"/>
      <c r="AN63" s="337"/>
      <c r="AO63" s="337"/>
      <c r="AP63" s="337"/>
      <c r="AQ63" s="337"/>
      <c r="AR63" s="337"/>
      <c r="AS63" s="337"/>
      <c r="AT63" s="337"/>
      <c r="AU63" s="337"/>
      <c r="AV63" s="337"/>
      <c r="AW63" s="337"/>
      <c r="AX63" s="337"/>
      <c r="AY63" s="337"/>
      <c r="AZ63" s="337"/>
      <c r="BA63" s="337"/>
      <c r="BB63" s="337"/>
      <c r="BC63" s="337"/>
      <c r="BD63" s="337"/>
      <c r="BE63" s="337"/>
      <c r="BF63" s="337"/>
      <c r="BG63" s="337"/>
      <c r="BH63" s="337"/>
      <c r="BI63" s="337"/>
      <c r="BJ63" s="337"/>
      <c r="BK63" s="337"/>
      <c r="BL63" s="337"/>
      <c r="BM63" s="337"/>
      <c r="BN63" s="337"/>
      <c r="BO63" s="337"/>
      <c r="BP63" s="337"/>
      <c r="BQ63" s="337"/>
      <c r="BR63" s="337"/>
      <c r="BS63" s="337"/>
      <c r="BT63" s="337"/>
      <c r="BU63" s="337"/>
      <c r="BV63" s="337"/>
      <c r="BW63" s="337"/>
      <c r="BX63" s="337"/>
      <c r="BY63" s="337"/>
      <c r="BZ63" s="337"/>
      <c r="CA63" s="337"/>
      <c r="CB63" s="337"/>
      <c r="CC63" s="337"/>
      <c r="CD63" s="337"/>
      <c r="CE63" s="337"/>
      <c r="CF63" s="337"/>
      <c r="CG63" s="337"/>
      <c r="CH63" s="337"/>
      <c r="CI63" s="337"/>
      <c r="CJ63" s="337"/>
      <c r="CK63" s="337"/>
      <c r="CL63" s="337"/>
      <c r="CM63" s="337"/>
      <c r="CN63" s="337"/>
      <c r="CO63" s="337"/>
      <c r="CP63" s="337"/>
      <c r="CQ63" s="337"/>
      <c r="CR63" s="337"/>
      <c r="CS63" s="337"/>
      <c r="CT63" s="337"/>
      <c r="CU63" s="337"/>
      <c r="CV63" s="337"/>
      <c r="CW63" s="337"/>
      <c r="CX63" s="337"/>
      <c r="CY63" s="337"/>
      <c r="CZ63" s="337"/>
      <c r="DA63" s="337"/>
      <c r="DB63" s="337"/>
      <c r="DC63" s="337"/>
      <c r="DD63" s="337"/>
      <c r="DE63" s="337"/>
      <c r="DF63" s="337"/>
      <c r="DG63" s="337"/>
      <c r="DH63" s="337"/>
      <c r="DI63" s="337"/>
      <c r="DJ63" s="337"/>
      <c r="DK63" s="337"/>
      <c r="DL63" s="337"/>
      <c r="DM63" s="337"/>
      <c r="DN63" s="337"/>
      <c r="DO63" s="337"/>
      <c r="DP63" s="337"/>
      <c r="DQ63" s="337"/>
      <c r="DR63" s="337"/>
      <c r="DS63" s="337"/>
      <c r="DT63" s="337"/>
      <c r="DU63" s="337"/>
      <c r="DV63" s="337"/>
      <c r="DW63" s="337"/>
      <c r="DX63" s="337"/>
      <c r="DY63" s="337"/>
      <c r="DZ63" s="337"/>
      <c r="EA63" s="337"/>
      <c r="EB63" s="337"/>
      <c r="EC63" s="337"/>
      <c r="ED63" s="337"/>
      <c r="EE63" s="337"/>
      <c r="EF63" s="337"/>
      <c r="EG63" s="337"/>
      <c r="EH63" s="337"/>
      <c r="EI63" s="337"/>
      <c r="EJ63" s="337"/>
      <c r="EK63" s="337"/>
      <c r="EL63" s="337"/>
      <c r="EM63" s="337"/>
      <c r="EN63" s="337"/>
      <c r="EO63" s="337"/>
      <c r="EP63" s="337"/>
      <c r="EQ63" s="337"/>
      <c r="ER63" s="337"/>
      <c r="ES63" s="337"/>
      <c r="ET63" s="337"/>
      <c r="EU63" s="337"/>
      <c r="EV63" s="337"/>
      <c r="EW63" s="337"/>
      <c r="EX63" s="337"/>
      <c r="EY63" s="337"/>
      <c r="EZ63" s="337"/>
      <c r="FA63" s="337"/>
      <c r="FB63" s="337"/>
      <c r="FC63" s="337"/>
      <c r="FD63" s="337"/>
      <c r="FE63" s="337"/>
      <c r="FF63" s="337"/>
      <c r="FG63" s="337"/>
      <c r="FH63" s="337"/>
      <c r="FI63" s="337"/>
      <c r="FJ63" s="337"/>
      <c r="FK63" s="337"/>
      <c r="FL63" s="337"/>
      <c r="FM63" s="337"/>
      <c r="FN63" s="337"/>
      <c r="FO63" s="337"/>
      <c r="FP63" s="337"/>
      <c r="FQ63" s="337"/>
      <c r="FR63" s="337"/>
      <c r="FS63" s="337"/>
      <c r="FT63" s="337"/>
      <c r="FU63" s="337"/>
      <c r="FV63" s="337"/>
      <c r="FW63" s="337"/>
      <c r="FX63" s="337"/>
      <c r="FY63" s="337"/>
      <c r="FZ63" s="337"/>
      <c r="GA63" s="337"/>
      <c r="GB63" s="337"/>
      <c r="GC63" s="337"/>
      <c r="GD63" s="337"/>
      <c r="GE63" s="337"/>
      <c r="GF63" s="337"/>
      <c r="GG63" s="337"/>
      <c r="GH63" s="337"/>
      <c r="GI63" s="337"/>
      <c r="GJ63" s="337"/>
      <c r="GK63" s="337"/>
      <c r="GL63" s="337"/>
      <c r="GM63" s="337"/>
      <c r="GN63" s="337"/>
      <c r="GO63" s="337"/>
      <c r="GP63" s="337"/>
      <c r="GQ63" s="337"/>
      <c r="GR63" s="337"/>
      <c r="GS63" s="337"/>
      <c r="GT63" s="337"/>
      <c r="GU63" s="337"/>
      <c r="GV63" s="337"/>
      <c r="GW63" s="337"/>
      <c r="GX63" s="337"/>
      <c r="GY63" s="337"/>
      <c r="GZ63" s="337"/>
      <c r="HA63" s="337"/>
      <c r="HB63" s="337"/>
      <c r="HC63" s="337"/>
      <c r="HD63" s="337"/>
      <c r="HE63" s="337"/>
      <c r="HF63" s="337"/>
      <c r="HG63" s="337"/>
      <c r="HH63" s="337"/>
      <c r="HI63" s="337"/>
      <c r="HJ63" s="337"/>
      <c r="HK63" s="337"/>
      <c r="HL63" s="337"/>
      <c r="HM63" s="337"/>
      <c r="HN63" s="337"/>
      <c r="HO63" s="337"/>
      <c r="HP63" s="337"/>
      <c r="HQ63" s="337"/>
      <c r="HR63" s="337"/>
      <c r="HS63" s="337"/>
      <c r="HT63" s="337"/>
      <c r="HU63" s="337"/>
      <c r="HV63" s="337"/>
    </row>
    <row r="64" spans="1:230" ht="73.5" customHeight="1">
      <c r="G64" s="1356"/>
      <c r="H64" s="1356"/>
      <c r="I64" s="1356"/>
      <c r="J64" s="1356"/>
      <c r="K64" s="1356"/>
      <c r="L64" s="1356"/>
      <c r="M64" s="1356"/>
      <c r="O64" s="1347"/>
    </row>
    <row r="65" spans="7:16" ht="77.25" customHeight="1">
      <c r="G65" s="1356"/>
      <c r="H65" s="1356"/>
      <c r="I65" s="1356"/>
      <c r="J65" s="1356"/>
      <c r="K65" s="1356"/>
      <c r="L65" s="1356"/>
      <c r="M65" s="1356"/>
      <c r="N65" s="337"/>
      <c r="O65" s="1347"/>
    </row>
    <row r="66" spans="7:16" ht="94.5" customHeight="1">
      <c r="G66" s="1356"/>
      <c r="H66" s="1356"/>
      <c r="I66" s="1356"/>
      <c r="J66" s="1356"/>
      <c r="K66" s="1356"/>
      <c r="L66" s="1356"/>
      <c r="N66" s="337"/>
      <c r="O66" s="1347"/>
    </row>
    <row r="67" spans="7:16" ht="18" customHeight="1">
      <c r="M67" s="337"/>
      <c r="N67" s="337"/>
      <c r="O67" s="1347"/>
    </row>
    <row r="68" spans="7:16" ht="38.25" customHeight="1">
      <c r="H68" s="337"/>
      <c r="I68" s="337"/>
      <c r="J68" s="337"/>
      <c r="K68" s="337"/>
      <c r="L68" s="337"/>
      <c r="M68" s="337"/>
      <c r="N68" s="337"/>
      <c r="O68" s="1347"/>
    </row>
    <row r="69" spans="7:16" ht="18.75" customHeight="1">
      <c r="I69" s="337"/>
      <c r="J69" s="337"/>
      <c r="K69" s="337"/>
      <c r="L69" s="337"/>
      <c r="N69" s="1355"/>
      <c r="O69" s="1347"/>
    </row>
    <row r="70" spans="7:16" ht="15">
      <c r="N70" s="1356"/>
    </row>
    <row r="71" spans="7:16" ht="15">
      <c r="N71" s="1356"/>
    </row>
    <row r="72" spans="7:16" ht="15">
      <c r="N72" s="1356"/>
      <c r="O72" s="1355"/>
    </row>
    <row r="73" spans="7:16" ht="15">
      <c r="N73" s="1356"/>
    </row>
    <row r="74" spans="7:16" ht="15">
      <c r="N74" s="1356"/>
    </row>
    <row r="76" spans="7:16">
      <c r="N76" s="337"/>
    </row>
    <row r="77" spans="7:16">
      <c r="N77" s="337"/>
    </row>
    <row r="78" spans="7:16">
      <c r="N78" s="337"/>
    </row>
    <row r="79" spans="7:16">
      <c r="N79" s="337"/>
      <c r="O79" s="337"/>
      <c r="P79" s="337"/>
    </row>
    <row r="80" spans="7:16" ht="18.75" customHeight="1">
      <c r="O80" s="337"/>
      <c r="P80" s="337"/>
    </row>
    <row r="81" spans="15:16">
      <c r="O81" s="337"/>
      <c r="P81" s="337"/>
    </row>
    <row r="82" spans="15:16" ht="18.75" customHeight="1">
      <c r="O82" s="337"/>
      <c r="P82" s="337"/>
    </row>
    <row r="84" spans="15:16" ht="18.75" customHeight="1"/>
  </sheetData>
  <mergeCells count="47">
    <mergeCell ref="C23:G23"/>
    <mergeCell ref="H23:P23"/>
    <mergeCell ref="C24:G24"/>
    <mergeCell ref="H24:P24"/>
    <mergeCell ref="D60:E60"/>
    <mergeCell ref="F60:G60"/>
    <mergeCell ref="C21:G21"/>
    <mergeCell ref="H21:P21"/>
    <mergeCell ref="C22:G22"/>
    <mergeCell ref="H22:P22"/>
    <mergeCell ref="C20:G20"/>
    <mergeCell ref="H20:P20"/>
    <mergeCell ref="C17:G17"/>
    <mergeCell ref="H17:P17"/>
    <mergeCell ref="C18:G18"/>
    <mergeCell ref="H18:P18"/>
    <mergeCell ref="C19:G19"/>
    <mergeCell ref="H19:P19"/>
    <mergeCell ref="C14:G14"/>
    <mergeCell ref="H14:P14"/>
    <mergeCell ref="C15:G15"/>
    <mergeCell ref="H15:P15"/>
    <mergeCell ref="C16:G16"/>
    <mergeCell ref="H16:P16"/>
    <mergeCell ref="C11:G11"/>
    <mergeCell ref="H11:P11"/>
    <mergeCell ref="C12:G12"/>
    <mergeCell ref="H12:P12"/>
    <mergeCell ref="C13:G13"/>
    <mergeCell ref="H13:P13"/>
    <mergeCell ref="C8:G8"/>
    <mergeCell ref="H8:P8"/>
    <mergeCell ref="C9:G9"/>
    <mergeCell ref="H9:P9"/>
    <mergeCell ref="C10:G10"/>
    <mergeCell ref="H10:P10"/>
    <mergeCell ref="C5:G5"/>
    <mergeCell ref="H5:P5"/>
    <mergeCell ref="C6:G6"/>
    <mergeCell ref="H6:P6"/>
    <mergeCell ref="C7:G7"/>
    <mergeCell ref="H7:P7"/>
    <mergeCell ref="B2:P2"/>
    <mergeCell ref="C3:G3"/>
    <mergeCell ref="H3:P3"/>
    <mergeCell ref="C4:G4"/>
    <mergeCell ref="H4:P4"/>
  </mergeCells>
  <printOptions horizontalCentered="1"/>
  <pageMargins left="0.19685039370078741" right="0.19685039370078741" top="0.19685039370078741" bottom="0.19685039370078741" header="0" footer="0"/>
  <pageSetup paperSize="9" scale="49" orientation="portrait" horizontalDpi="4294967295"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V66"/>
  <sheetViews>
    <sheetView view="pageBreakPreview" zoomScaleSheetLayoutView="100" workbookViewId="0">
      <selection sqref="A1:AB1048576"/>
    </sheetView>
  </sheetViews>
  <sheetFormatPr defaultColWidth="6.140625" defaultRowHeight="12.75"/>
  <cols>
    <col min="1" max="3" width="6.140625" style="575"/>
    <col min="4" max="4" width="4.140625" style="575" customWidth="1"/>
    <col min="5" max="5" width="7.7109375" style="575" customWidth="1"/>
    <col min="6" max="6" width="10.140625" style="575" customWidth="1"/>
    <col min="7" max="7" width="5.140625" style="575" customWidth="1"/>
    <col min="8" max="8" width="3" style="575" customWidth="1"/>
    <col min="9" max="9" width="9.140625" style="575" customWidth="1"/>
    <col min="10" max="10" width="6.5703125" style="575" bestFit="1" customWidth="1"/>
    <col min="11" max="11" width="11.28515625" style="575" customWidth="1"/>
    <col min="12" max="12" width="7.7109375" style="575" customWidth="1"/>
    <col min="13" max="13" width="6.5703125" style="575" bestFit="1" customWidth="1"/>
    <col min="14" max="14" width="7.5703125" style="575" bestFit="1" customWidth="1"/>
    <col min="15" max="15" width="7.85546875" style="575" customWidth="1"/>
    <col min="16" max="16" width="10.42578125" style="575" bestFit="1" customWidth="1"/>
    <col min="17" max="17" width="5.28515625" style="575" customWidth="1"/>
    <col min="18" max="18" width="2.85546875" style="575" customWidth="1"/>
    <col min="19" max="19" width="0.7109375" style="575" customWidth="1"/>
    <col min="20" max="20" width="6.140625" style="337"/>
    <col min="21" max="21" width="11" style="337" bestFit="1" customWidth="1"/>
    <col min="22" max="22" width="6.140625" style="337"/>
    <col min="23" max="23" width="11.42578125" style="337" customWidth="1"/>
    <col min="24" max="24" width="9.28515625" style="337" customWidth="1"/>
    <col min="25" max="25" width="12.28515625" style="337" bestFit="1" customWidth="1"/>
    <col min="26" max="178" width="6.140625" style="337"/>
    <col min="179" max="179" width="8.42578125" style="337" customWidth="1"/>
    <col min="180" max="183" width="6.140625" style="337"/>
    <col min="184" max="184" width="8.85546875" style="337" customWidth="1"/>
    <col min="185" max="186" width="6.140625" style="337"/>
    <col min="187" max="187" width="5.28515625" style="337" customWidth="1"/>
    <col min="188" max="191" width="6.140625" style="337"/>
    <col min="192" max="192" width="7.5703125" style="337" customWidth="1"/>
    <col min="193" max="16384" width="6.140625" style="337"/>
  </cols>
  <sheetData>
    <row r="1" spans="1:256" ht="21" customHeight="1">
      <c r="A1" s="559"/>
      <c r="B1" s="560"/>
      <c r="C1" s="560"/>
      <c r="D1" s="560"/>
      <c r="E1" s="560"/>
      <c r="F1" s="560"/>
      <c r="G1" s="560"/>
      <c r="H1" s="560"/>
      <c r="I1" s="560"/>
      <c r="J1" s="560"/>
      <c r="K1" s="560"/>
      <c r="L1" s="560"/>
      <c r="M1" s="560"/>
      <c r="N1" s="560"/>
      <c r="O1" s="560"/>
      <c r="P1" s="560"/>
      <c r="Q1" s="560"/>
      <c r="R1" s="560"/>
      <c r="S1" s="561"/>
      <c r="T1" s="1337"/>
      <c r="U1" s="1337"/>
      <c r="V1" s="1337"/>
      <c r="W1" s="1337"/>
      <c r="X1" s="1337"/>
      <c r="Y1" s="1337"/>
      <c r="Z1" s="1337"/>
      <c r="AA1" s="1337"/>
      <c r="AB1" s="1337"/>
      <c r="AC1" s="1337"/>
      <c r="AD1" s="1337"/>
      <c r="AE1" s="1337"/>
      <c r="AF1" s="1337"/>
      <c r="AG1" s="1337"/>
      <c r="AH1" s="1337"/>
      <c r="AI1" s="1337"/>
      <c r="AJ1" s="1337"/>
      <c r="AK1" s="1337"/>
      <c r="AL1" s="1337"/>
      <c r="AM1" s="1337"/>
      <c r="AN1" s="1337"/>
      <c r="AO1" s="1337"/>
      <c r="AP1" s="1337"/>
      <c r="AQ1" s="1337"/>
      <c r="AR1" s="1337"/>
      <c r="AS1" s="1337"/>
      <c r="AT1" s="1337"/>
      <c r="AU1" s="1337"/>
      <c r="AV1" s="1337"/>
      <c r="AW1" s="1337"/>
      <c r="AX1" s="1337"/>
      <c r="AY1" s="1337"/>
      <c r="AZ1" s="1337"/>
      <c r="BA1" s="1337"/>
      <c r="BB1" s="1337"/>
      <c r="BC1" s="1337"/>
      <c r="BD1" s="1337"/>
      <c r="BE1" s="1337"/>
      <c r="BF1" s="1337"/>
      <c r="BG1" s="1337"/>
      <c r="BH1" s="1337"/>
      <c r="BI1" s="1337"/>
      <c r="BJ1" s="1337"/>
      <c r="BK1" s="1337"/>
      <c r="BL1" s="1337"/>
      <c r="BM1" s="1337"/>
      <c r="BN1" s="1337"/>
      <c r="BO1" s="1337"/>
      <c r="BP1" s="1337"/>
      <c r="BQ1" s="1337"/>
      <c r="BR1" s="1337"/>
      <c r="BS1" s="1337"/>
      <c r="BT1" s="1337"/>
      <c r="BU1" s="1337"/>
      <c r="BV1" s="1337"/>
      <c r="BW1" s="1337"/>
      <c r="BX1" s="1337"/>
      <c r="BY1" s="1337"/>
      <c r="BZ1" s="1337"/>
      <c r="CA1" s="1337"/>
      <c r="CB1" s="1337"/>
      <c r="CC1" s="1337"/>
      <c r="CD1" s="1337"/>
      <c r="CE1" s="1337"/>
      <c r="CF1" s="1337"/>
      <c r="CG1" s="1337"/>
      <c r="CH1" s="1337"/>
      <c r="CI1" s="1337"/>
      <c r="CJ1" s="1337"/>
      <c r="CK1" s="1337"/>
      <c r="CL1" s="1337"/>
      <c r="CM1" s="1337"/>
      <c r="CN1" s="1337"/>
      <c r="CO1" s="1337"/>
      <c r="CP1" s="1337"/>
      <c r="CQ1" s="1337"/>
      <c r="CR1" s="1337"/>
      <c r="CS1" s="1337"/>
      <c r="CT1" s="1337"/>
      <c r="CU1" s="1337"/>
      <c r="CV1" s="1337"/>
      <c r="CW1" s="1337"/>
      <c r="CX1" s="1337"/>
      <c r="CY1" s="1337"/>
      <c r="CZ1" s="1337"/>
      <c r="DA1" s="1337"/>
      <c r="DB1" s="1337"/>
      <c r="DC1" s="1337"/>
      <c r="DD1" s="1337"/>
      <c r="DE1" s="1337"/>
      <c r="DF1" s="1337"/>
      <c r="DG1" s="1337"/>
      <c r="DH1" s="1337"/>
      <c r="DI1" s="1337"/>
      <c r="DJ1" s="1337"/>
      <c r="DK1" s="1337"/>
      <c r="DL1" s="1337"/>
      <c r="DM1" s="1337"/>
      <c r="DN1" s="1337"/>
      <c r="DO1" s="1337"/>
      <c r="DP1" s="1337"/>
      <c r="DQ1" s="1337"/>
      <c r="DR1" s="1337"/>
      <c r="DS1" s="1337"/>
      <c r="DT1" s="1337"/>
      <c r="DU1" s="1337"/>
      <c r="DV1" s="1337"/>
      <c r="DW1" s="1337"/>
      <c r="DX1" s="1337"/>
      <c r="DY1" s="1337"/>
      <c r="DZ1" s="1337"/>
      <c r="EA1" s="1337"/>
      <c r="EB1" s="1337"/>
      <c r="EC1" s="1337"/>
      <c r="ED1" s="1337"/>
      <c r="EE1" s="1337"/>
      <c r="EF1" s="1337"/>
      <c r="EG1" s="1337"/>
      <c r="EH1" s="1337"/>
      <c r="EI1" s="1337"/>
      <c r="EJ1" s="1337"/>
      <c r="EK1" s="1337"/>
      <c r="EL1" s="1337"/>
      <c r="EM1" s="1337"/>
      <c r="EN1" s="1337"/>
      <c r="EO1" s="1337"/>
      <c r="EP1" s="1337"/>
      <c r="EQ1" s="1337"/>
      <c r="ER1" s="1337"/>
      <c r="ES1" s="1337"/>
      <c r="ET1" s="1337"/>
      <c r="EU1" s="1337"/>
      <c r="EV1" s="1337"/>
      <c r="EW1" s="1337"/>
      <c r="EX1" s="1337"/>
      <c r="EY1" s="1337"/>
      <c r="EZ1" s="1337"/>
      <c r="FA1" s="1337"/>
      <c r="FB1" s="1337"/>
      <c r="FC1" s="1337"/>
      <c r="FD1" s="1337"/>
      <c r="FE1" s="1337"/>
      <c r="FF1" s="1337"/>
      <c r="FG1" s="1337"/>
      <c r="FH1" s="1337"/>
      <c r="FI1" s="1337"/>
      <c r="FJ1" s="1337"/>
      <c r="FK1" s="1337"/>
      <c r="FL1" s="1337"/>
      <c r="FM1" s="1337"/>
      <c r="FN1" s="1337"/>
      <c r="FO1" s="1337"/>
      <c r="FP1" s="1337"/>
      <c r="FQ1" s="1337"/>
      <c r="FR1" s="1337"/>
      <c r="FS1" s="1337"/>
      <c r="FT1" s="1337"/>
      <c r="FU1" s="1337"/>
      <c r="FV1" s="1337"/>
      <c r="FW1" s="1337"/>
      <c r="FX1" s="1337"/>
      <c r="FY1" s="1337"/>
      <c r="FZ1" s="1337"/>
      <c r="GA1" s="1337"/>
      <c r="GB1" s="1337"/>
      <c r="GC1" s="1337"/>
      <c r="GD1" s="1337"/>
      <c r="GE1" s="1337"/>
      <c r="GF1" s="1337"/>
      <c r="GG1" s="1337"/>
      <c r="GH1" s="1337"/>
      <c r="GI1" s="1337"/>
      <c r="GJ1" s="1337"/>
      <c r="GK1" s="1337"/>
      <c r="GL1" s="1337"/>
      <c r="GM1" s="1337"/>
      <c r="GN1" s="1337"/>
      <c r="GO1" s="1337"/>
      <c r="GP1" s="1337"/>
      <c r="GQ1" s="1337"/>
      <c r="GR1" s="1337"/>
      <c r="GS1" s="1337"/>
      <c r="GT1" s="1337"/>
      <c r="GU1" s="1337"/>
      <c r="GV1" s="1337"/>
      <c r="GW1" s="1337"/>
      <c r="GX1" s="1337"/>
      <c r="GY1" s="1337"/>
      <c r="GZ1" s="1337"/>
      <c r="HA1" s="1337"/>
      <c r="HB1" s="1337"/>
      <c r="HC1" s="1337"/>
      <c r="HD1" s="1337"/>
      <c r="HE1" s="1337"/>
      <c r="HF1" s="1337"/>
      <c r="HG1" s="1337"/>
      <c r="HH1" s="1337"/>
      <c r="HI1" s="1337"/>
      <c r="HJ1" s="1337"/>
      <c r="HK1" s="1337"/>
      <c r="HL1" s="1337"/>
      <c r="HM1" s="1337"/>
      <c r="HN1" s="1337"/>
      <c r="HO1" s="1337"/>
      <c r="HP1" s="1337"/>
      <c r="HQ1" s="1337"/>
      <c r="HR1" s="1337"/>
      <c r="HS1" s="1337"/>
      <c r="HT1" s="1337"/>
      <c r="HU1" s="1337"/>
      <c r="HV1" s="1337"/>
      <c r="HW1" s="1337"/>
      <c r="HX1" s="1337"/>
      <c r="HY1" s="1337"/>
      <c r="HZ1" s="1337"/>
      <c r="IA1" s="1337"/>
      <c r="IB1" s="1337"/>
      <c r="IC1" s="1337"/>
      <c r="ID1" s="1337"/>
      <c r="IE1" s="1337"/>
      <c r="IF1" s="1337"/>
      <c r="IG1" s="1337"/>
      <c r="IH1" s="1337"/>
      <c r="II1" s="1337"/>
      <c r="IJ1" s="1337"/>
      <c r="IK1" s="1337"/>
      <c r="IL1" s="1337"/>
      <c r="IM1" s="1337"/>
      <c r="IN1" s="1337"/>
      <c r="IO1" s="1337"/>
      <c r="IP1" s="1337"/>
      <c r="IQ1" s="1337"/>
      <c r="IR1" s="1337"/>
      <c r="IS1" s="1337"/>
      <c r="IT1" s="1337"/>
      <c r="IU1" s="1337"/>
      <c r="IV1" s="1337"/>
    </row>
    <row r="2" spans="1:256" ht="21" customHeight="1" thickBot="1">
      <c r="A2" s="568"/>
      <c r="B2" s="1337"/>
      <c r="C2" s="1337"/>
      <c r="D2" s="1337"/>
      <c r="E2" s="1337"/>
      <c r="F2" s="1337"/>
      <c r="G2" s="1337"/>
      <c r="H2" s="1337"/>
      <c r="I2" s="1337"/>
      <c r="J2" s="1337"/>
      <c r="K2" s="1337"/>
      <c r="L2" s="1337"/>
      <c r="M2" s="1337"/>
      <c r="N2" s="1337"/>
      <c r="O2" s="1357"/>
      <c r="P2" s="1357"/>
      <c r="Q2" s="1337"/>
      <c r="R2" s="1337"/>
      <c r="S2" s="569"/>
      <c r="T2" s="1337"/>
      <c r="U2" s="1337"/>
      <c r="V2" s="1337"/>
      <c r="W2" s="1337"/>
      <c r="X2" s="1337"/>
      <c r="Y2" s="1337"/>
      <c r="Z2" s="1337"/>
      <c r="AA2" s="1337"/>
      <c r="AB2" s="1337"/>
      <c r="AC2" s="1337"/>
      <c r="AD2" s="1337"/>
      <c r="AE2" s="1337"/>
      <c r="AF2" s="1337"/>
      <c r="AG2" s="1337"/>
      <c r="AH2" s="1337"/>
      <c r="AI2" s="1337"/>
      <c r="AJ2" s="1337"/>
      <c r="AK2" s="1337"/>
      <c r="AL2" s="1337"/>
      <c r="AM2" s="1337"/>
      <c r="AN2" s="1337"/>
      <c r="AO2" s="1337"/>
      <c r="AP2" s="1337"/>
      <c r="AQ2" s="1337"/>
      <c r="AR2" s="1337"/>
      <c r="AS2" s="1337"/>
      <c r="AT2" s="1337"/>
      <c r="AU2" s="1337"/>
      <c r="AV2" s="1337"/>
      <c r="AW2" s="1337"/>
      <c r="AX2" s="1337"/>
      <c r="AY2" s="1337"/>
      <c r="AZ2" s="1337"/>
      <c r="BA2" s="1337"/>
      <c r="BB2" s="1337"/>
      <c r="BC2" s="1337"/>
      <c r="BD2" s="1337"/>
      <c r="BE2" s="1337"/>
      <c r="BF2" s="1337"/>
      <c r="BG2" s="1337"/>
      <c r="BH2" s="1337"/>
      <c r="BI2" s="1337"/>
      <c r="BJ2" s="1337"/>
      <c r="BK2" s="1337"/>
      <c r="BL2" s="1337"/>
      <c r="BM2" s="1337"/>
      <c r="BN2" s="1337"/>
      <c r="BO2" s="1337"/>
      <c r="BP2" s="1337"/>
      <c r="BQ2" s="1337"/>
      <c r="BR2" s="1337"/>
      <c r="BS2" s="1337"/>
      <c r="BT2" s="1337"/>
      <c r="BU2" s="1337"/>
      <c r="BV2" s="1337"/>
      <c r="BW2" s="1337"/>
      <c r="BX2" s="1337"/>
      <c r="BY2" s="1337"/>
      <c r="BZ2" s="1337"/>
      <c r="CA2" s="1337"/>
      <c r="CB2" s="1337"/>
      <c r="CC2" s="1337"/>
      <c r="CD2" s="1337"/>
      <c r="CE2" s="1337"/>
      <c r="CF2" s="1337"/>
      <c r="CG2" s="1337"/>
      <c r="CH2" s="1337"/>
      <c r="CI2" s="1337"/>
      <c r="CJ2" s="1337"/>
      <c r="CK2" s="1337"/>
      <c r="CL2" s="1337"/>
      <c r="CM2" s="1337"/>
      <c r="CN2" s="1337"/>
      <c r="CO2" s="1337"/>
      <c r="CP2" s="1337"/>
      <c r="CQ2" s="1337"/>
      <c r="CR2" s="1337"/>
      <c r="CS2" s="1337"/>
      <c r="CT2" s="1337"/>
      <c r="CU2" s="1337"/>
      <c r="CV2" s="1337"/>
      <c r="CW2" s="1337"/>
      <c r="CX2" s="1337"/>
      <c r="CY2" s="1337"/>
      <c r="CZ2" s="1337"/>
      <c r="DA2" s="1337"/>
      <c r="DB2" s="1337"/>
      <c r="DC2" s="1337"/>
      <c r="DD2" s="1337"/>
      <c r="DE2" s="1337"/>
      <c r="DF2" s="1337"/>
      <c r="DG2" s="1337"/>
      <c r="DH2" s="1337"/>
      <c r="DI2" s="1337"/>
      <c r="DJ2" s="1337"/>
      <c r="DK2" s="1337"/>
      <c r="DL2" s="1337"/>
      <c r="DM2" s="1337"/>
      <c r="DN2" s="1337"/>
      <c r="DO2" s="1337"/>
      <c r="DP2" s="1337"/>
      <c r="DQ2" s="1337"/>
      <c r="DR2" s="1337"/>
      <c r="DS2" s="1337"/>
      <c r="DT2" s="1337"/>
      <c r="DU2" s="1337"/>
      <c r="DV2" s="1337"/>
      <c r="DW2" s="1337"/>
      <c r="DX2" s="1337"/>
      <c r="DY2" s="1337"/>
      <c r="DZ2" s="1337"/>
      <c r="EA2" s="1337"/>
      <c r="EB2" s="1337"/>
      <c r="EC2" s="1337"/>
      <c r="ED2" s="1337"/>
      <c r="EE2" s="1337"/>
      <c r="EF2" s="1337"/>
      <c r="EG2" s="1337"/>
      <c r="EH2" s="1337"/>
      <c r="EI2" s="1337"/>
      <c r="EJ2" s="1337"/>
      <c r="EK2" s="1337"/>
      <c r="EL2" s="1337"/>
      <c r="EM2" s="1337"/>
      <c r="EN2" s="1337"/>
      <c r="EO2" s="1337"/>
      <c r="EP2" s="1337"/>
      <c r="EQ2" s="1337"/>
      <c r="ER2" s="1337"/>
      <c r="ES2" s="1337"/>
      <c r="ET2" s="1337"/>
      <c r="EU2" s="1337"/>
      <c r="EV2" s="1337"/>
      <c r="EW2" s="1337"/>
      <c r="EX2" s="1337"/>
      <c r="EY2" s="1337"/>
      <c r="EZ2" s="1337"/>
      <c r="FA2" s="1337"/>
      <c r="FB2" s="1337"/>
      <c r="FC2" s="1337"/>
      <c r="FD2" s="1337"/>
      <c r="FE2" s="1337"/>
      <c r="FF2" s="1337"/>
      <c r="FG2" s="1337"/>
      <c r="FH2" s="1337"/>
      <c r="FI2" s="1337"/>
      <c r="FJ2" s="1337"/>
      <c r="FK2" s="1337"/>
      <c r="FL2" s="1337"/>
      <c r="FM2" s="1337"/>
      <c r="FN2" s="1337"/>
      <c r="FO2" s="1337"/>
      <c r="FP2" s="1337"/>
      <c r="FQ2" s="1337"/>
      <c r="FR2" s="1337"/>
      <c r="FS2" s="1337"/>
      <c r="FT2" s="1337"/>
      <c r="FU2" s="1337"/>
      <c r="FV2" s="1337"/>
      <c r="FW2" s="1337"/>
      <c r="FX2" s="1337"/>
      <c r="FY2" s="1337"/>
      <c r="FZ2" s="1337"/>
      <c r="GA2" s="1337"/>
      <c r="GB2" s="1337"/>
      <c r="GC2" s="1337"/>
      <c r="GD2" s="1337"/>
      <c r="GE2" s="1337"/>
      <c r="GF2" s="1337"/>
      <c r="GG2" s="1337"/>
      <c r="GH2" s="1337"/>
      <c r="GI2" s="1337"/>
      <c r="GJ2" s="1337"/>
      <c r="GK2" s="1337"/>
      <c r="GL2" s="1337"/>
      <c r="GM2" s="1337"/>
      <c r="GN2" s="1337"/>
      <c r="GO2" s="1337"/>
      <c r="GP2" s="1337"/>
      <c r="GQ2" s="1337"/>
      <c r="GR2" s="1337"/>
      <c r="GS2" s="1337"/>
      <c r="GT2" s="1337"/>
      <c r="GU2" s="1337"/>
      <c r="GV2" s="1337"/>
      <c r="GW2" s="1337"/>
      <c r="GX2" s="1337"/>
      <c r="GY2" s="1337"/>
      <c r="GZ2" s="1337"/>
      <c r="HA2" s="1337"/>
      <c r="HB2" s="1337"/>
      <c r="HC2" s="1337"/>
      <c r="HD2" s="1337"/>
      <c r="HE2" s="1337"/>
      <c r="HF2" s="1337"/>
      <c r="HG2" s="1337"/>
      <c r="HH2" s="1337"/>
      <c r="HI2" s="1337"/>
      <c r="HJ2" s="1337"/>
      <c r="HK2" s="1337"/>
      <c r="HL2" s="1337"/>
      <c r="HM2" s="1337"/>
      <c r="HN2" s="1337"/>
      <c r="HO2" s="1337"/>
      <c r="HP2" s="1337"/>
      <c r="HQ2" s="1337"/>
      <c r="HR2" s="1337"/>
      <c r="HS2" s="1337"/>
      <c r="HT2" s="1337"/>
      <c r="HU2" s="1337"/>
      <c r="HV2" s="1337"/>
      <c r="HW2" s="1337"/>
      <c r="HX2" s="1337"/>
      <c r="HY2" s="1337"/>
      <c r="HZ2" s="1337"/>
      <c r="IA2" s="1337"/>
      <c r="IB2" s="1337"/>
      <c r="IC2" s="1337"/>
      <c r="ID2" s="1337"/>
      <c r="IE2" s="1337"/>
      <c r="IF2" s="1337"/>
      <c r="IG2" s="1337"/>
      <c r="IH2" s="1337"/>
      <c r="II2" s="1337"/>
      <c r="IJ2" s="1337"/>
      <c r="IK2" s="1337"/>
      <c r="IL2" s="1337"/>
      <c r="IM2" s="1337"/>
      <c r="IN2" s="1337"/>
      <c r="IO2" s="1337"/>
      <c r="IP2" s="1337"/>
      <c r="IQ2" s="1337"/>
      <c r="IR2" s="1337"/>
      <c r="IS2" s="1337"/>
      <c r="IT2" s="1337"/>
      <c r="IU2" s="1337"/>
      <c r="IV2" s="1337"/>
    </row>
    <row r="3" spans="1:256" ht="21" customHeight="1" thickBot="1">
      <c r="A3" s="568"/>
      <c r="B3" s="1984" t="s">
        <v>984</v>
      </c>
      <c r="C3" s="1985"/>
      <c r="D3" s="1985"/>
      <c r="E3" s="1985"/>
      <c r="F3" s="1985"/>
      <c r="G3" s="1985"/>
      <c r="H3" s="1985"/>
      <c r="I3" s="1985"/>
      <c r="J3" s="1985"/>
      <c r="K3" s="1985"/>
      <c r="L3" s="1985"/>
      <c r="M3" s="1985"/>
      <c r="N3" s="1985"/>
      <c r="O3" s="1985"/>
      <c r="P3" s="1985"/>
      <c r="Q3" s="1986"/>
      <c r="R3" s="337"/>
      <c r="S3" s="565"/>
    </row>
    <row r="4" spans="1:256" ht="38.25" customHeight="1">
      <c r="A4" s="350"/>
      <c r="B4" s="1987" t="s">
        <v>1981</v>
      </c>
      <c r="C4" s="1988"/>
      <c r="D4" s="1989"/>
      <c r="E4" s="1172" t="s">
        <v>1982</v>
      </c>
      <c r="F4" s="1813" t="s">
        <v>1983</v>
      </c>
      <c r="G4" s="1990"/>
      <c r="H4" s="1814"/>
      <c r="I4" s="1172" t="s">
        <v>1984</v>
      </c>
      <c r="J4" s="1172" t="s">
        <v>1985</v>
      </c>
      <c r="K4" s="1172" t="s">
        <v>1931</v>
      </c>
      <c r="L4" s="1813" t="s">
        <v>2</v>
      </c>
      <c r="M4" s="1990"/>
      <c r="N4" s="1990"/>
      <c r="O4" s="1990"/>
      <c r="P4" s="1814"/>
      <c r="Q4" s="1173" t="s">
        <v>28</v>
      </c>
      <c r="R4" s="337"/>
      <c r="S4" s="565"/>
      <c r="V4" s="577"/>
      <c r="W4" s="1039" t="s">
        <v>1986</v>
      </c>
      <c r="X4" s="1039" t="s">
        <v>1987</v>
      </c>
      <c r="Y4" s="337" t="s">
        <v>4453</v>
      </c>
    </row>
    <row r="5" spans="1:256" ht="21" customHeight="1">
      <c r="A5" s="350"/>
      <c r="B5" s="1991">
        <f t="shared" ref="B5:B19" si="0">E5*F5</f>
        <v>13374743663.835167</v>
      </c>
      <c r="C5" s="1992"/>
      <c r="D5" s="1992"/>
      <c r="E5" s="1044">
        <f t="shared" ref="E5:E19" si="1">V5*K5</f>
        <v>2400</v>
      </c>
      <c r="F5" s="1992">
        <f>(W5+X5)/2*IRR_Inflation_Factor</f>
        <v>5572809.85993132</v>
      </c>
      <c r="G5" s="1992"/>
      <c r="H5" s="1992"/>
      <c r="I5" s="1358">
        <v>36</v>
      </c>
      <c r="J5" s="1358">
        <v>3</v>
      </c>
      <c r="K5" s="1358">
        <v>200</v>
      </c>
      <c r="L5" s="1994" t="s">
        <v>1988</v>
      </c>
      <c r="M5" s="1994"/>
      <c r="N5" s="1994"/>
      <c r="O5" s="1994"/>
      <c r="P5" s="1994"/>
      <c r="Q5" s="572">
        <v>1</v>
      </c>
      <c r="R5" s="337"/>
      <c r="S5" s="565"/>
      <c r="V5" s="1359">
        <f>I5/J5</f>
        <v>12</v>
      </c>
      <c r="W5" s="1358">
        <v>220000</v>
      </c>
      <c r="X5" s="1358">
        <v>380000</v>
      </c>
      <c r="Y5" s="1358">
        <v>4900000</v>
      </c>
    </row>
    <row r="6" spans="1:256" ht="21" customHeight="1">
      <c r="A6" s="350"/>
      <c r="B6" s="1991">
        <f t="shared" si="0"/>
        <v>3450000000</v>
      </c>
      <c r="C6" s="1992"/>
      <c r="D6" s="1992"/>
      <c r="E6" s="1044">
        <f t="shared" si="1"/>
        <v>300</v>
      </c>
      <c r="F6" s="1993">
        <v>11500000</v>
      </c>
      <c r="G6" s="1845"/>
      <c r="H6" s="1839"/>
      <c r="I6" s="1358">
        <v>36</v>
      </c>
      <c r="J6" s="1358">
        <v>6</v>
      </c>
      <c r="K6" s="1358">
        <v>50</v>
      </c>
      <c r="L6" s="1994" t="s">
        <v>1989</v>
      </c>
      <c r="M6" s="1994"/>
      <c r="N6" s="1994"/>
      <c r="O6" s="1994"/>
      <c r="P6" s="1994"/>
      <c r="Q6" s="572">
        <v>2</v>
      </c>
      <c r="R6" s="337"/>
      <c r="S6" s="565"/>
      <c r="V6" s="1359">
        <f>I6/J6</f>
        <v>6</v>
      </c>
      <c r="W6" s="1358">
        <v>500000</v>
      </c>
      <c r="X6" s="1358">
        <v>500000</v>
      </c>
      <c r="Y6" s="1360">
        <v>11500000</v>
      </c>
    </row>
    <row r="7" spans="1:256" ht="21" customHeight="1">
      <c r="A7" s="350"/>
      <c r="B7" s="1991">
        <f t="shared" si="0"/>
        <v>380000000</v>
      </c>
      <c r="C7" s="1992"/>
      <c r="D7" s="1992"/>
      <c r="E7" s="1044">
        <f t="shared" si="1"/>
        <v>40</v>
      </c>
      <c r="F7" s="1993">
        <v>9500000</v>
      </c>
      <c r="G7" s="1845"/>
      <c r="H7" s="1839"/>
      <c r="I7" s="1358">
        <v>36</v>
      </c>
      <c r="J7" s="1358">
        <v>42</v>
      </c>
      <c r="K7" s="1358">
        <v>40</v>
      </c>
      <c r="L7" s="1994" t="s">
        <v>1990</v>
      </c>
      <c r="M7" s="1994"/>
      <c r="N7" s="1994"/>
      <c r="O7" s="1994"/>
      <c r="P7" s="1994"/>
      <c r="Q7" s="572">
        <v>3</v>
      </c>
      <c r="R7" s="337"/>
      <c r="S7" s="565"/>
      <c r="V7" s="1359">
        <v>1</v>
      </c>
      <c r="W7" s="1358">
        <v>4800000</v>
      </c>
      <c r="X7" s="1358">
        <v>31500000</v>
      </c>
      <c r="Y7" s="1360">
        <v>9500000</v>
      </c>
    </row>
    <row r="8" spans="1:256" ht="21" customHeight="1">
      <c r="A8" s="1234"/>
      <c r="B8" s="1991">
        <f t="shared" si="0"/>
        <v>9055816022.3883953</v>
      </c>
      <c r="C8" s="1992"/>
      <c r="D8" s="1992"/>
      <c r="E8" s="1044">
        <f t="shared" si="1"/>
        <v>1500</v>
      </c>
      <c r="F8" s="1992">
        <f t="shared" ref="F8:F26" si="2">(W8+X8)/2*IRR_Inflation_Factor</f>
        <v>6037210.6815922633</v>
      </c>
      <c r="G8" s="1992"/>
      <c r="H8" s="1992"/>
      <c r="I8" s="1358">
        <v>36</v>
      </c>
      <c r="J8" s="1358">
        <v>6</v>
      </c>
      <c r="K8" s="1358">
        <v>250</v>
      </c>
      <c r="L8" s="1994" t="s">
        <v>1991</v>
      </c>
      <c r="M8" s="1994"/>
      <c r="N8" s="1994"/>
      <c r="O8" s="1994"/>
      <c r="P8" s="1994"/>
      <c r="Q8" s="572">
        <v>4</v>
      </c>
      <c r="R8" s="337"/>
      <c r="S8" s="565"/>
      <c r="V8" s="1359">
        <f>I8/J8</f>
        <v>6</v>
      </c>
      <c r="W8" s="1358">
        <v>270000</v>
      </c>
      <c r="X8" s="1358">
        <v>380000</v>
      </c>
      <c r="Y8" s="1360">
        <v>4500000</v>
      </c>
    </row>
    <row r="9" spans="1:256" ht="21" customHeight="1">
      <c r="A9" s="1234"/>
      <c r="B9" s="1991">
        <f t="shared" si="0"/>
        <v>438858776.46959144</v>
      </c>
      <c r="C9" s="1992"/>
      <c r="D9" s="1992"/>
      <c r="E9" s="1044">
        <f t="shared" si="1"/>
        <v>35</v>
      </c>
      <c r="F9" s="1992">
        <f t="shared" si="2"/>
        <v>12538822.18484547</v>
      </c>
      <c r="G9" s="1992"/>
      <c r="H9" s="1992"/>
      <c r="I9" s="1358">
        <v>36</v>
      </c>
      <c r="J9" s="1358">
        <v>42</v>
      </c>
      <c r="K9" s="1358">
        <v>35</v>
      </c>
      <c r="L9" s="1994" t="s">
        <v>1992</v>
      </c>
      <c r="M9" s="1994"/>
      <c r="N9" s="1994"/>
      <c r="O9" s="1994"/>
      <c r="P9" s="1994"/>
      <c r="Q9" s="572">
        <v>5</v>
      </c>
      <c r="R9" s="337"/>
      <c r="S9" s="565"/>
      <c r="V9" s="1359">
        <v>1</v>
      </c>
      <c r="W9" s="1358">
        <v>200000</v>
      </c>
      <c r="X9" s="1358">
        <v>1150000</v>
      </c>
      <c r="Y9" s="1360">
        <v>9000000</v>
      </c>
    </row>
    <row r="10" spans="1:256" ht="21" customHeight="1">
      <c r="A10" s="350"/>
      <c r="B10" s="1991">
        <f t="shared" si="0"/>
        <v>1597538826.5136449</v>
      </c>
      <c r="C10" s="1992"/>
      <c r="D10" s="1992"/>
      <c r="E10" s="1044">
        <f t="shared" si="1"/>
        <v>400</v>
      </c>
      <c r="F10" s="1992">
        <f t="shared" si="2"/>
        <v>3993847.0662841122</v>
      </c>
      <c r="G10" s="1992"/>
      <c r="H10" s="1992"/>
      <c r="I10" s="1358">
        <v>36</v>
      </c>
      <c r="J10" s="1358">
        <v>21</v>
      </c>
      <c r="K10" s="1358">
        <v>200</v>
      </c>
      <c r="L10" s="1994" t="s">
        <v>1993</v>
      </c>
      <c r="M10" s="1994"/>
      <c r="N10" s="1994"/>
      <c r="O10" s="1994"/>
      <c r="P10" s="1994"/>
      <c r="Q10" s="572">
        <v>6</v>
      </c>
      <c r="R10" s="337"/>
      <c r="S10" s="565"/>
      <c r="V10" s="1359">
        <v>2</v>
      </c>
      <c r="W10" s="1358">
        <v>50000</v>
      </c>
      <c r="X10" s="1358">
        <v>380000</v>
      </c>
      <c r="Y10" s="1360">
        <v>1500000</v>
      </c>
    </row>
    <row r="11" spans="1:256" ht="21" customHeight="1">
      <c r="A11" s="350"/>
      <c r="B11" s="1991">
        <f t="shared" si="0"/>
        <v>12037269297.451651</v>
      </c>
      <c r="C11" s="1992"/>
      <c r="D11" s="1992"/>
      <c r="E11" s="1044">
        <f t="shared" si="1"/>
        <v>14400</v>
      </c>
      <c r="F11" s="1992">
        <f t="shared" si="2"/>
        <v>835921.47898969799</v>
      </c>
      <c r="G11" s="1992"/>
      <c r="H11" s="1992"/>
      <c r="I11" s="1358">
        <v>36</v>
      </c>
      <c r="J11" s="1358">
        <v>0.5</v>
      </c>
      <c r="K11" s="1358">
        <v>200</v>
      </c>
      <c r="L11" s="1994" t="s">
        <v>1994</v>
      </c>
      <c r="M11" s="1994"/>
      <c r="N11" s="1994"/>
      <c r="O11" s="1994"/>
      <c r="P11" s="1994"/>
      <c r="Q11" s="572">
        <v>7</v>
      </c>
      <c r="R11" s="337"/>
      <c r="S11" s="565"/>
      <c r="V11" s="1359">
        <f t="shared" ref="V11:V16" si="3">I11/J11</f>
        <v>72</v>
      </c>
      <c r="W11" s="1358">
        <v>30000</v>
      </c>
      <c r="X11" s="1358">
        <v>60000</v>
      </c>
      <c r="Y11" s="1360">
        <v>390000</v>
      </c>
    </row>
    <row r="12" spans="1:256" ht="21" customHeight="1">
      <c r="A12" s="373"/>
      <c r="B12" s="1991">
        <f t="shared" si="0"/>
        <v>1203726929.7451651</v>
      </c>
      <c r="C12" s="1992"/>
      <c r="D12" s="1992"/>
      <c r="E12" s="1044">
        <f t="shared" si="1"/>
        <v>1080</v>
      </c>
      <c r="F12" s="1992">
        <f t="shared" si="2"/>
        <v>1114561.971986264</v>
      </c>
      <c r="G12" s="1992"/>
      <c r="H12" s="1992"/>
      <c r="I12" s="1358">
        <v>36</v>
      </c>
      <c r="J12" s="1358">
        <v>1</v>
      </c>
      <c r="K12" s="1358">
        <v>30</v>
      </c>
      <c r="L12" s="1994" t="s">
        <v>1995</v>
      </c>
      <c r="M12" s="1994"/>
      <c r="N12" s="1994"/>
      <c r="O12" s="1994"/>
      <c r="P12" s="1994"/>
      <c r="Q12" s="572">
        <v>8</v>
      </c>
      <c r="R12" s="337"/>
      <c r="S12" s="565"/>
      <c r="V12" s="1359">
        <f t="shared" si="3"/>
        <v>36</v>
      </c>
      <c r="W12" s="1358">
        <v>60000</v>
      </c>
      <c r="X12" s="1358">
        <v>60000</v>
      </c>
      <c r="Y12" s="1360">
        <v>9500000</v>
      </c>
    </row>
    <row r="13" spans="1:256" ht="21" customHeight="1">
      <c r="A13" s="350"/>
      <c r="B13" s="1991">
        <f t="shared" si="0"/>
        <v>1755435105.8783658</v>
      </c>
      <c r="C13" s="1992"/>
      <c r="D13" s="1992"/>
      <c r="E13" s="1044">
        <f t="shared" si="1"/>
        <v>540</v>
      </c>
      <c r="F13" s="1992">
        <f t="shared" si="2"/>
        <v>3250805.7516266033</v>
      </c>
      <c r="G13" s="1992"/>
      <c r="H13" s="1992"/>
      <c r="I13" s="1358">
        <v>36</v>
      </c>
      <c r="J13" s="1358">
        <v>2</v>
      </c>
      <c r="K13" s="1358">
        <v>30</v>
      </c>
      <c r="L13" s="1994" t="s">
        <v>1996</v>
      </c>
      <c r="M13" s="1994"/>
      <c r="N13" s="1994"/>
      <c r="O13" s="1994"/>
      <c r="P13" s="1994"/>
      <c r="Q13" s="572">
        <v>9</v>
      </c>
      <c r="R13" s="337"/>
      <c r="S13" s="565"/>
      <c r="V13" s="1359">
        <f t="shared" si="3"/>
        <v>18</v>
      </c>
      <c r="W13" s="1358">
        <v>130000</v>
      </c>
      <c r="X13" s="1358">
        <v>220000</v>
      </c>
      <c r="Y13" s="1360">
        <v>2500000</v>
      </c>
    </row>
    <row r="14" spans="1:256" ht="21" customHeight="1">
      <c r="A14" s="373"/>
      <c r="B14" s="1991">
        <f t="shared" si="0"/>
        <v>11368532114.259892</v>
      </c>
      <c r="C14" s="1992"/>
      <c r="D14" s="1992"/>
      <c r="E14" s="1044">
        <f t="shared" si="1"/>
        <v>360</v>
      </c>
      <c r="F14" s="1992">
        <f t="shared" si="2"/>
        <v>31579255.872944143</v>
      </c>
      <c r="G14" s="1992"/>
      <c r="H14" s="1992"/>
      <c r="I14" s="1358">
        <v>36</v>
      </c>
      <c r="J14" s="1358">
        <v>3</v>
      </c>
      <c r="K14" s="1358">
        <v>30</v>
      </c>
      <c r="L14" s="1994" t="s">
        <v>1997</v>
      </c>
      <c r="M14" s="1994"/>
      <c r="N14" s="1994"/>
      <c r="O14" s="1994"/>
      <c r="P14" s="1994"/>
      <c r="Q14" s="572">
        <v>10</v>
      </c>
      <c r="R14" s="337"/>
      <c r="S14" s="565"/>
      <c r="V14" s="1359">
        <f t="shared" si="3"/>
        <v>12</v>
      </c>
      <c r="W14" s="1358">
        <v>1100000</v>
      </c>
      <c r="X14" s="1358">
        <v>2300000</v>
      </c>
      <c r="Y14" s="1360">
        <v>1800000</v>
      </c>
    </row>
    <row r="15" spans="1:256" ht="21" customHeight="1">
      <c r="A15" s="373"/>
      <c r="B15" s="1991">
        <f t="shared" si="0"/>
        <v>6419876958.6408806</v>
      </c>
      <c r="C15" s="1992"/>
      <c r="D15" s="1992"/>
      <c r="E15" s="1044">
        <f t="shared" si="1"/>
        <v>14400</v>
      </c>
      <c r="F15" s="1992">
        <f t="shared" si="2"/>
        <v>445824.78879450558</v>
      </c>
      <c r="G15" s="1992"/>
      <c r="H15" s="1992"/>
      <c r="I15" s="1358">
        <v>36</v>
      </c>
      <c r="J15" s="1358">
        <v>0.5</v>
      </c>
      <c r="K15" s="1358">
        <v>200</v>
      </c>
      <c r="L15" s="1994" t="s">
        <v>1998</v>
      </c>
      <c r="M15" s="1994"/>
      <c r="N15" s="1994"/>
      <c r="O15" s="1994"/>
      <c r="P15" s="1994"/>
      <c r="Q15" s="572">
        <v>11</v>
      </c>
      <c r="R15" s="337"/>
      <c r="S15" s="565"/>
      <c r="V15" s="1359">
        <f t="shared" si="3"/>
        <v>72</v>
      </c>
      <c r="W15" s="1358">
        <v>10000</v>
      </c>
      <c r="X15" s="1358">
        <v>38000</v>
      </c>
      <c r="Y15" s="1360">
        <v>1800000</v>
      </c>
    </row>
    <row r="16" spans="1:256" ht="21" customHeight="1">
      <c r="A16" s="373"/>
      <c r="B16" s="1991">
        <f t="shared" si="0"/>
        <v>2061939648.1745882</v>
      </c>
      <c r="C16" s="1992"/>
      <c r="D16" s="1992"/>
      <c r="E16" s="1044">
        <f t="shared" si="1"/>
        <v>300</v>
      </c>
      <c r="F16" s="1992">
        <f t="shared" si="2"/>
        <v>6873132.1605819603</v>
      </c>
      <c r="G16" s="1992"/>
      <c r="H16" s="1992"/>
      <c r="I16" s="1358">
        <v>36</v>
      </c>
      <c r="J16" s="1358">
        <v>6</v>
      </c>
      <c r="K16" s="1358">
        <v>50</v>
      </c>
      <c r="L16" s="1994" t="s">
        <v>1999</v>
      </c>
      <c r="M16" s="1994"/>
      <c r="N16" s="1994"/>
      <c r="O16" s="1994"/>
      <c r="P16" s="1994"/>
      <c r="Q16" s="572">
        <v>12</v>
      </c>
      <c r="R16" s="337"/>
      <c r="S16" s="565"/>
      <c r="V16" s="1359">
        <f t="shared" si="3"/>
        <v>6</v>
      </c>
      <c r="W16" s="1358">
        <v>90000</v>
      </c>
      <c r="X16" s="1358">
        <v>650000</v>
      </c>
      <c r="Y16" s="1360">
        <v>8000000</v>
      </c>
    </row>
    <row r="17" spans="1:25" ht="21" customHeight="1">
      <c r="A17" s="373"/>
      <c r="B17" s="1991">
        <f t="shared" si="0"/>
        <v>23127160.918714974</v>
      </c>
      <c r="C17" s="1992"/>
      <c r="D17" s="1992"/>
      <c r="E17" s="1044">
        <f t="shared" si="1"/>
        <v>3</v>
      </c>
      <c r="F17" s="1992">
        <f t="shared" si="2"/>
        <v>7709053.6395716583</v>
      </c>
      <c r="G17" s="1992"/>
      <c r="H17" s="1992"/>
      <c r="I17" s="1358">
        <v>36</v>
      </c>
      <c r="J17" s="1358">
        <v>42</v>
      </c>
      <c r="K17" s="1358">
        <v>3</v>
      </c>
      <c r="L17" s="1994" t="s">
        <v>2000</v>
      </c>
      <c r="M17" s="1994"/>
      <c r="N17" s="1994"/>
      <c r="O17" s="1994"/>
      <c r="P17" s="1994"/>
      <c r="Q17" s="572">
        <v>13</v>
      </c>
      <c r="R17" s="337"/>
      <c r="S17" s="565"/>
      <c r="V17" s="1359">
        <v>1</v>
      </c>
      <c r="W17" s="1358">
        <v>280000</v>
      </c>
      <c r="X17" s="1358">
        <v>550000</v>
      </c>
      <c r="Y17" s="1360"/>
    </row>
    <row r="18" spans="1:25" ht="21" customHeight="1">
      <c r="A18" s="373"/>
      <c r="B18" s="1991">
        <f t="shared" si="0"/>
        <v>3260093768.0598216</v>
      </c>
      <c r="C18" s="1992"/>
      <c r="D18" s="1992"/>
      <c r="E18" s="1044">
        <f t="shared" si="1"/>
        <v>3600</v>
      </c>
      <c r="F18" s="1992">
        <f t="shared" si="2"/>
        <v>905581.60223883938</v>
      </c>
      <c r="G18" s="1992"/>
      <c r="H18" s="1992"/>
      <c r="I18" s="1358">
        <v>36</v>
      </c>
      <c r="J18" s="1358">
        <v>1</v>
      </c>
      <c r="K18" s="1358">
        <v>100</v>
      </c>
      <c r="L18" s="1994" t="s">
        <v>2001</v>
      </c>
      <c r="M18" s="1994"/>
      <c r="N18" s="1994"/>
      <c r="O18" s="1994"/>
      <c r="P18" s="1994"/>
      <c r="Q18" s="572">
        <v>14</v>
      </c>
      <c r="R18" s="337"/>
      <c r="S18" s="565"/>
      <c r="V18" s="1359">
        <f>I18/J18</f>
        <v>36</v>
      </c>
      <c r="W18" s="1358">
        <v>2500</v>
      </c>
      <c r="X18" s="1358">
        <v>95000</v>
      </c>
      <c r="Y18" s="1360"/>
    </row>
    <row r="19" spans="1:25" ht="33" customHeight="1">
      <c r="A19" s="350"/>
      <c r="B19" s="1991">
        <f t="shared" si="0"/>
        <v>777406975.46041918</v>
      </c>
      <c r="C19" s="1992"/>
      <c r="D19" s="1992"/>
      <c r="E19" s="1044">
        <f t="shared" si="1"/>
        <v>90</v>
      </c>
      <c r="F19" s="1992">
        <f t="shared" si="2"/>
        <v>8637855.2828935459</v>
      </c>
      <c r="G19" s="1992"/>
      <c r="H19" s="1992"/>
      <c r="I19" s="1358">
        <v>36</v>
      </c>
      <c r="J19" s="1358">
        <v>6</v>
      </c>
      <c r="K19" s="1358">
        <v>15</v>
      </c>
      <c r="L19" s="1994" t="s">
        <v>2002</v>
      </c>
      <c r="M19" s="1994"/>
      <c r="N19" s="1994"/>
      <c r="O19" s="1994"/>
      <c r="P19" s="1994"/>
      <c r="Q19" s="572">
        <v>15</v>
      </c>
      <c r="R19" s="337"/>
      <c r="S19" s="565"/>
      <c r="V19" s="1359">
        <f>I19/J19</f>
        <v>6</v>
      </c>
      <c r="W19" s="1358">
        <v>380000</v>
      </c>
      <c r="X19" s="1358">
        <v>550000</v>
      </c>
      <c r="Y19" s="1360"/>
    </row>
    <row r="20" spans="1:25" ht="21" customHeight="1">
      <c r="A20" s="350"/>
      <c r="B20" s="1991">
        <f>E20*F20</f>
        <v>4988779386.6105175</v>
      </c>
      <c r="C20" s="1992"/>
      <c r="D20" s="1992"/>
      <c r="E20" s="1044">
        <f>V20*K20</f>
        <v>288</v>
      </c>
      <c r="F20" s="1992">
        <f t="shared" si="2"/>
        <v>17322150.647953186</v>
      </c>
      <c r="G20" s="1992"/>
      <c r="H20" s="1992"/>
      <c r="I20" s="1358">
        <v>36</v>
      </c>
      <c r="J20" s="1358">
        <v>1</v>
      </c>
      <c r="K20" s="1358">
        <v>8</v>
      </c>
      <c r="L20" s="1994" t="s">
        <v>2003</v>
      </c>
      <c r="M20" s="1994"/>
      <c r="N20" s="1994"/>
      <c r="O20" s="1994"/>
      <c r="P20" s="1994"/>
      <c r="Q20" s="572">
        <v>16</v>
      </c>
      <c r="S20" s="565"/>
      <c r="V20" s="1359">
        <f>I20/J20</f>
        <v>36</v>
      </c>
      <c r="W20" s="1358">
        <v>65000</v>
      </c>
      <c r="X20" s="1358">
        <v>1800000</v>
      </c>
      <c r="Y20" s="1360"/>
    </row>
    <row r="21" spans="1:25" ht="21" customHeight="1">
      <c r="A21" s="350"/>
      <c r="B21" s="1991">
        <f>10*F21</f>
        <v>16254028.758133017</v>
      </c>
      <c r="C21" s="1992"/>
      <c r="D21" s="1992"/>
      <c r="E21" s="1044" t="s">
        <v>1197</v>
      </c>
      <c r="F21" s="1992">
        <f t="shared" si="2"/>
        <v>1625402.8758133017</v>
      </c>
      <c r="G21" s="1992"/>
      <c r="H21" s="1992"/>
      <c r="I21" s="1358">
        <v>36</v>
      </c>
      <c r="J21" s="1358">
        <v>1</v>
      </c>
      <c r="K21" s="1358"/>
      <c r="L21" s="1994" t="s">
        <v>2004</v>
      </c>
      <c r="M21" s="1994"/>
      <c r="N21" s="1994"/>
      <c r="O21" s="1994"/>
      <c r="P21" s="1994"/>
      <c r="Q21" s="572">
        <v>17</v>
      </c>
      <c r="S21" s="565"/>
      <c r="V21" s="1359">
        <f>I21/J21</f>
        <v>36</v>
      </c>
      <c r="W21" s="1358">
        <v>75000</v>
      </c>
      <c r="X21" s="1358">
        <v>100000</v>
      </c>
      <c r="Y21" s="1360"/>
    </row>
    <row r="22" spans="1:25" ht="35.25" customHeight="1">
      <c r="A22" s="350"/>
      <c r="B22" s="1991">
        <f>E22*F22</f>
        <v>3371549965.2584481</v>
      </c>
      <c r="C22" s="1992"/>
      <c r="D22" s="1992"/>
      <c r="E22" s="1044">
        <f>V22*K22</f>
        <v>60</v>
      </c>
      <c r="F22" s="1992">
        <f t="shared" si="2"/>
        <v>56192499.420974135</v>
      </c>
      <c r="G22" s="1992"/>
      <c r="H22" s="1992"/>
      <c r="I22" s="1358">
        <v>36</v>
      </c>
      <c r="J22" s="1358">
        <v>42</v>
      </c>
      <c r="K22" s="1358">
        <v>60</v>
      </c>
      <c r="L22" s="1994" t="s">
        <v>2005</v>
      </c>
      <c r="M22" s="1994"/>
      <c r="N22" s="1994"/>
      <c r="O22" s="1994"/>
      <c r="P22" s="1994"/>
      <c r="Q22" s="572">
        <v>18</v>
      </c>
      <c r="S22" s="565"/>
      <c r="V22" s="577">
        <v>1</v>
      </c>
      <c r="W22" s="1043">
        <v>2750000</v>
      </c>
      <c r="X22" s="1043">
        <v>3300000</v>
      </c>
    </row>
    <row r="23" spans="1:25" ht="35.25" customHeight="1">
      <c r="A23" s="373"/>
      <c r="B23" s="1991">
        <f>E23*F23</f>
        <v>157896279.3647207</v>
      </c>
      <c r="C23" s="1992"/>
      <c r="D23" s="1992"/>
      <c r="E23" s="1044">
        <f>V23*K23</f>
        <v>10</v>
      </c>
      <c r="F23" s="1992">
        <f t="shared" si="2"/>
        <v>15789627.936472071</v>
      </c>
      <c r="G23" s="1992"/>
      <c r="H23" s="1992"/>
      <c r="I23" s="1358">
        <v>36</v>
      </c>
      <c r="J23" s="1358">
        <v>42</v>
      </c>
      <c r="K23" s="1358">
        <v>10</v>
      </c>
      <c r="L23" s="1994" t="s">
        <v>2006</v>
      </c>
      <c r="M23" s="1994"/>
      <c r="N23" s="1994"/>
      <c r="O23" s="1994"/>
      <c r="P23" s="1994"/>
      <c r="Q23" s="572">
        <v>19</v>
      </c>
      <c r="S23" s="565"/>
      <c r="V23" s="577">
        <v>1</v>
      </c>
      <c r="W23" s="1043">
        <v>850000</v>
      </c>
      <c r="X23" s="1043">
        <v>850000</v>
      </c>
    </row>
    <row r="24" spans="1:25" ht="40.5" customHeight="1">
      <c r="A24" s="373"/>
      <c r="B24" s="1991">
        <f>E24*F24</f>
        <v>26006446.013012826</v>
      </c>
      <c r="C24" s="1992"/>
      <c r="D24" s="1992"/>
      <c r="E24" s="1044">
        <v>2</v>
      </c>
      <c r="F24" s="1992">
        <f t="shared" si="2"/>
        <v>13003223.006506413</v>
      </c>
      <c r="G24" s="1992"/>
      <c r="H24" s="1992"/>
      <c r="I24" s="1358">
        <v>36</v>
      </c>
      <c r="J24" s="1358">
        <v>42</v>
      </c>
      <c r="K24" s="1361" t="s">
        <v>2007</v>
      </c>
      <c r="L24" s="1994" t="s">
        <v>2008</v>
      </c>
      <c r="M24" s="1994"/>
      <c r="N24" s="1994"/>
      <c r="O24" s="1994"/>
      <c r="P24" s="1994"/>
      <c r="Q24" s="572">
        <v>20</v>
      </c>
      <c r="S24" s="565"/>
      <c r="V24" s="577">
        <v>1</v>
      </c>
      <c r="W24" s="1043">
        <v>700000</v>
      </c>
      <c r="X24" s="1043">
        <v>700000</v>
      </c>
    </row>
    <row r="25" spans="1:25" ht="42" customHeight="1">
      <c r="A25" s="373"/>
      <c r="B25" s="1991">
        <f>E25*F25</f>
        <v>1588250810.0804262</v>
      </c>
      <c r="C25" s="1992"/>
      <c r="D25" s="1992"/>
      <c r="E25" s="1044">
        <v>3</v>
      </c>
      <c r="F25" s="1992">
        <f t="shared" si="2"/>
        <v>529416936.69347537</v>
      </c>
      <c r="G25" s="1992"/>
      <c r="H25" s="1992"/>
      <c r="I25" s="1358">
        <v>36</v>
      </c>
      <c r="J25" s="1358">
        <v>42</v>
      </c>
      <c r="K25" s="1361" t="s">
        <v>2009</v>
      </c>
      <c r="L25" s="1994" t="s">
        <v>2010</v>
      </c>
      <c r="M25" s="1994"/>
      <c r="N25" s="1994"/>
      <c r="O25" s="1994"/>
      <c r="P25" s="1994"/>
      <c r="Q25" s="572">
        <v>21</v>
      </c>
      <c r="S25" s="565"/>
      <c r="V25" s="577">
        <v>1</v>
      </c>
      <c r="W25" s="1043">
        <v>28500000</v>
      </c>
      <c r="X25" s="1043">
        <v>28500000</v>
      </c>
    </row>
    <row r="26" spans="1:25" ht="21" customHeight="1" thickBot="1">
      <c r="A26" s="373"/>
      <c r="B26" s="2005">
        <f>E26*F26</f>
        <v>2786404929.9656596</v>
      </c>
      <c r="C26" s="2006"/>
      <c r="D26" s="2006"/>
      <c r="E26" s="1362">
        <v>6</v>
      </c>
      <c r="F26" s="2006">
        <f t="shared" si="2"/>
        <v>464400821.66094327</v>
      </c>
      <c r="G26" s="2006"/>
      <c r="H26" s="2006"/>
      <c r="I26" s="1363">
        <v>36</v>
      </c>
      <c r="J26" s="1363">
        <v>42</v>
      </c>
      <c r="K26" s="1363" t="s">
        <v>2011</v>
      </c>
      <c r="L26" s="2007" t="s">
        <v>2012</v>
      </c>
      <c r="M26" s="2007"/>
      <c r="N26" s="2007"/>
      <c r="O26" s="2007"/>
      <c r="P26" s="2007"/>
      <c r="Q26" s="573">
        <v>22</v>
      </c>
      <c r="S26" s="565"/>
      <c r="V26" s="577">
        <v>1</v>
      </c>
      <c r="W26" s="1046">
        <v>25000000</v>
      </c>
      <c r="X26" s="1046">
        <v>25000000</v>
      </c>
    </row>
    <row r="27" spans="1:25" ht="21" customHeight="1" thickBot="1">
      <c r="A27" s="373"/>
      <c r="B27" s="1995">
        <f>SUM(B5:B26)</f>
        <v>80139507093.847214</v>
      </c>
      <c r="C27" s="1996"/>
      <c r="D27" s="1996"/>
      <c r="E27" s="570"/>
      <c r="F27" s="1996"/>
      <c r="G27" s="1996"/>
      <c r="H27" s="1996"/>
      <c r="I27" s="571"/>
      <c r="J27" s="571"/>
      <c r="K27" s="571"/>
      <c r="L27" s="1997" t="s">
        <v>1010</v>
      </c>
      <c r="M27" s="1998"/>
      <c r="N27" s="1998"/>
      <c r="O27" s="1998"/>
      <c r="P27" s="1999"/>
      <c r="Q27" s="1364">
        <v>23</v>
      </c>
      <c r="S27" s="565"/>
    </row>
    <row r="28" spans="1:25" ht="21" customHeight="1">
      <c r="A28" s="350"/>
      <c r="R28" s="337"/>
      <c r="S28" s="565"/>
    </row>
    <row r="29" spans="1:25" ht="21" customHeight="1" thickBot="1">
      <c r="A29" s="387"/>
      <c r="R29" s="337"/>
      <c r="S29" s="565"/>
    </row>
    <row r="30" spans="1:25" ht="21" customHeight="1" thickBot="1">
      <c r="A30" s="388"/>
      <c r="C30" s="2000" t="s">
        <v>985</v>
      </c>
      <c r="D30" s="2001"/>
      <c r="E30" s="2001"/>
      <c r="F30" s="2001"/>
      <c r="G30" s="2001"/>
      <c r="H30" s="2001"/>
      <c r="I30" s="2001"/>
      <c r="J30" s="2001"/>
      <c r="K30" s="2001"/>
      <c r="L30" s="2001"/>
      <c r="M30" s="2001"/>
      <c r="N30" s="2001"/>
      <c r="O30" s="2001"/>
      <c r="P30" s="2001"/>
      <c r="Q30" s="2002"/>
      <c r="R30" s="337"/>
      <c r="S30" s="565"/>
    </row>
    <row r="31" spans="1:25" ht="39" customHeight="1">
      <c r="A31" s="388"/>
      <c r="C31" s="2003" t="s">
        <v>2013</v>
      </c>
      <c r="D31" s="2004"/>
      <c r="E31" s="2004"/>
      <c r="F31" s="2004" t="s">
        <v>1984</v>
      </c>
      <c r="G31" s="2004"/>
      <c r="H31" s="2004" t="s">
        <v>2014</v>
      </c>
      <c r="I31" s="2004"/>
      <c r="J31" s="2004"/>
      <c r="K31" s="1365" t="s">
        <v>2015</v>
      </c>
      <c r="L31" s="2004" t="s">
        <v>1016</v>
      </c>
      <c r="M31" s="2004"/>
      <c r="N31" s="2004"/>
      <c r="O31" s="2004"/>
      <c r="P31" s="2004"/>
      <c r="Q31" s="1366" t="s">
        <v>28</v>
      </c>
      <c r="R31" s="337"/>
      <c r="S31" s="565"/>
    </row>
    <row r="32" spans="1:25" ht="33.75" customHeight="1">
      <c r="A32" s="388"/>
      <c r="C32" s="1867">
        <f>F32*H32</f>
        <v>13500000000</v>
      </c>
      <c r="D32" s="1869"/>
      <c r="E32" s="1869"/>
      <c r="F32" s="1869">
        <v>30</v>
      </c>
      <c r="G32" s="1869"/>
      <c r="H32" s="1869">
        <v>450000000</v>
      </c>
      <c r="I32" s="1869"/>
      <c r="J32" s="1869"/>
      <c r="K32" s="1367">
        <v>1</v>
      </c>
      <c r="L32" s="2013" t="s">
        <v>2016</v>
      </c>
      <c r="M32" s="2013"/>
      <c r="N32" s="2013"/>
      <c r="O32" s="2013"/>
      <c r="P32" s="2013"/>
      <c r="Q32" s="1207">
        <v>1</v>
      </c>
      <c r="R32" s="337"/>
      <c r="S32" s="565"/>
    </row>
    <row r="33" spans="1:29" ht="38.25" customHeight="1" thickBot="1">
      <c r="A33" s="388"/>
      <c r="C33" s="2008">
        <f>F33*H33</f>
        <v>13500000000</v>
      </c>
      <c r="D33" s="2009"/>
      <c r="E33" s="2009"/>
      <c r="F33" s="2009">
        <v>30</v>
      </c>
      <c r="G33" s="2009"/>
      <c r="H33" s="2009">
        <v>450000000</v>
      </c>
      <c r="I33" s="2009"/>
      <c r="J33" s="2009"/>
      <c r="K33" s="1368">
        <v>1</v>
      </c>
      <c r="L33" s="2014" t="s">
        <v>2017</v>
      </c>
      <c r="M33" s="2014"/>
      <c r="N33" s="2014"/>
      <c r="O33" s="2014"/>
      <c r="P33" s="2014"/>
      <c r="Q33" s="1369">
        <v>2</v>
      </c>
      <c r="R33" s="337"/>
      <c r="S33" s="565"/>
    </row>
    <row r="34" spans="1:29" ht="21" customHeight="1" thickBot="1">
      <c r="A34" s="388"/>
      <c r="C34" s="2008">
        <f>SUM(C32:E33)</f>
        <v>27000000000</v>
      </c>
      <c r="D34" s="2009"/>
      <c r="E34" s="2009"/>
      <c r="F34" s="2009"/>
      <c r="G34" s="2009"/>
      <c r="H34" s="2009"/>
      <c r="I34" s="2009"/>
      <c r="J34" s="2009"/>
      <c r="K34" s="1045"/>
      <c r="L34" s="2010" t="s">
        <v>1010</v>
      </c>
      <c r="M34" s="2011"/>
      <c r="N34" s="2011"/>
      <c r="O34" s="2011"/>
      <c r="P34" s="2012"/>
      <c r="Q34" s="1369">
        <v>3</v>
      </c>
      <c r="R34" s="337"/>
      <c r="S34" s="565"/>
    </row>
    <row r="35" spans="1:29" ht="21" customHeight="1">
      <c r="A35" s="389"/>
      <c r="C35" s="337"/>
      <c r="G35" s="337"/>
      <c r="I35" s="337"/>
      <c r="J35" s="337"/>
      <c r="R35" s="337"/>
      <c r="S35" s="565"/>
    </row>
    <row r="36" spans="1:29" ht="21" customHeight="1">
      <c r="A36" s="389"/>
      <c r="C36" s="337"/>
      <c r="G36" s="337"/>
      <c r="H36" s="337"/>
      <c r="I36" s="337"/>
      <c r="J36" s="337"/>
      <c r="R36" s="337"/>
      <c r="S36" s="565"/>
    </row>
    <row r="37" spans="1:29" ht="21" customHeight="1">
      <c r="A37" s="1258"/>
      <c r="R37" s="1370"/>
      <c r="S37" s="1258"/>
    </row>
    <row r="38" spans="1:29" ht="21" customHeight="1">
      <c r="A38" s="1258"/>
      <c r="C38" s="337"/>
      <c r="D38" s="337"/>
      <c r="E38" s="337"/>
      <c r="F38" s="337"/>
      <c r="G38" s="337"/>
      <c r="H38" s="337"/>
    </row>
    <row r="39" spans="1:29" ht="21" customHeight="1">
      <c r="C39" s="337"/>
      <c r="D39" s="337"/>
      <c r="E39" s="337"/>
      <c r="F39" s="337"/>
      <c r="G39" s="337"/>
      <c r="H39" s="337"/>
      <c r="J39" s="337"/>
      <c r="K39" s="337"/>
      <c r="L39" s="337"/>
      <c r="M39" s="337"/>
      <c r="N39" s="337"/>
      <c r="O39" s="337"/>
      <c r="P39" s="337"/>
      <c r="Q39" s="337"/>
      <c r="R39" s="337"/>
    </row>
    <row r="40" spans="1:29" ht="21" customHeight="1">
      <c r="C40" s="337"/>
      <c r="D40" s="337"/>
      <c r="E40" s="337"/>
      <c r="F40" s="337"/>
      <c r="G40" s="337"/>
      <c r="H40" s="337"/>
      <c r="J40" s="337"/>
      <c r="K40" s="337"/>
      <c r="L40" s="337"/>
      <c r="M40" s="337"/>
      <c r="N40" s="337"/>
      <c r="O40" s="337"/>
      <c r="P40" s="337"/>
      <c r="Q40" s="337"/>
      <c r="R40" s="337"/>
    </row>
    <row r="41" spans="1:29" ht="21" customHeight="1">
      <c r="C41" s="337"/>
      <c r="D41" s="337"/>
      <c r="E41" s="337"/>
      <c r="F41" s="337"/>
      <c r="G41" s="337"/>
      <c r="H41" s="337"/>
      <c r="J41" s="337"/>
      <c r="K41" s="337"/>
      <c r="L41" s="337"/>
      <c r="M41" s="337"/>
      <c r="N41" s="337"/>
      <c r="O41" s="337"/>
      <c r="P41" s="337"/>
      <c r="Q41" s="337"/>
      <c r="R41" s="337"/>
    </row>
    <row r="42" spans="1:29" ht="21" customHeight="1"/>
    <row r="43" spans="1:29" ht="21" customHeight="1">
      <c r="R43" s="1371"/>
      <c r="S43" s="1371"/>
      <c r="T43" s="1371"/>
      <c r="U43" s="1371"/>
      <c r="V43" s="1371"/>
      <c r="W43" s="1371"/>
      <c r="X43" s="1371"/>
      <c r="Y43" s="1371"/>
      <c r="Z43" s="1371"/>
      <c r="AA43" s="1371"/>
      <c r="AB43" s="1371"/>
      <c r="AC43" s="1371"/>
    </row>
    <row r="44" spans="1:29" ht="21" customHeight="1"/>
    <row r="45" spans="1:29" ht="21" customHeight="1"/>
    <row r="46" spans="1:29" ht="21" customHeight="1"/>
    <row r="47" spans="1:29" ht="21" customHeight="1"/>
    <row r="48" spans="1:29" ht="21" customHeight="1"/>
    <row r="49" spans="20:256" s="575" customFormat="1" ht="21" customHeight="1">
      <c r="T49" s="337"/>
      <c r="U49" s="337"/>
      <c r="V49" s="337"/>
      <c r="W49" s="337"/>
      <c r="X49" s="337"/>
      <c r="Y49" s="337"/>
      <c r="Z49" s="337"/>
      <c r="AA49" s="337"/>
      <c r="AB49" s="337"/>
      <c r="AC49" s="337"/>
      <c r="AD49" s="337"/>
      <c r="AE49" s="337"/>
      <c r="AF49" s="337"/>
      <c r="AG49" s="337"/>
      <c r="AH49" s="337"/>
      <c r="AI49" s="337"/>
      <c r="AJ49" s="337"/>
      <c r="AK49" s="337"/>
      <c r="AL49" s="337"/>
      <c r="AM49" s="337"/>
      <c r="AN49" s="337"/>
      <c r="AO49" s="337"/>
      <c r="AP49" s="337"/>
      <c r="AQ49" s="337"/>
      <c r="AR49" s="337"/>
      <c r="AS49" s="337"/>
      <c r="AT49" s="337"/>
      <c r="AU49" s="337"/>
      <c r="AV49" s="337"/>
      <c r="AW49" s="337"/>
      <c r="AX49" s="337"/>
      <c r="AY49" s="337"/>
      <c r="AZ49" s="337"/>
      <c r="BA49" s="337"/>
      <c r="BB49" s="337"/>
      <c r="BC49" s="337"/>
      <c r="BD49" s="337"/>
      <c r="BE49" s="337"/>
      <c r="BF49" s="337"/>
      <c r="BG49" s="337"/>
      <c r="BH49" s="337"/>
      <c r="BI49" s="337"/>
      <c r="BJ49" s="337"/>
      <c r="BK49" s="337"/>
      <c r="BL49" s="337"/>
      <c r="BM49" s="337"/>
      <c r="BN49" s="337"/>
      <c r="BO49" s="337"/>
      <c r="BP49" s="337"/>
      <c r="BQ49" s="337"/>
      <c r="BR49" s="337"/>
      <c r="BS49" s="337"/>
      <c r="BT49" s="337"/>
      <c r="BU49" s="337"/>
      <c r="BV49" s="337"/>
      <c r="BW49" s="337"/>
      <c r="BX49" s="337"/>
      <c r="BY49" s="337"/>
      <c r="BZ49" s="337"/>
      <c r="CA49" s="337"/>
      <c r="CB49" s="337"/>
      <c r="CC49" s="337"/>
      <c r="CD49" s="337"/>
      <c r="CE49" s="337"/>
      <c r="CF49" s="337"/>
      <c r="CG49" s="337"/>
      <c r="CH49" s="337"/>
      <c r="CI49" s="337"/>
      <c r="CJ49" s="337"/>
      <c r="CK49" s="337"/>
      <c r="CL49" s="337"/>
      <c r="CM49" s="337"/>
      <c r="CN49" s="337"/>
      <c r="CO49" s="337"/>
      <c r="CP49" s="337"/>
      <c r="CQ49" s="337"/>
      <c r="CR49" s="337"/>
      <c r="CS49" s="337"/>
      <c r="CT49" s="337"/>
      <c r="CU49" s="337"/>
      <c r="CV49" s="337"/>
      <c r="CW49" s="337"/>
      <c r="CX49" s="337"/>
      <c r="CY49" s="337"/>
      <c r="CZ49" s="337"/>
      <c r="DA49" s="337"/>
      <c r="DB49" s="337"/>
      <c r="DC49" s="337"/>
      <c r="DD49" s="337"/>
      <c r="DE49" s="337"/>
      <c r="DF49" s="337"/>
      <c r="DG49" s="337"/>
      <c r="DH49" s="337"/>
      <c r="DI49" s="337"/>
      <c r="DJ49" s="337"/>
      <c r="DK49" s="337"/>
      <c r="DL49" s="337"/>
      <c r="DM49" s="337"/>
      <c r="DN49" s="337"/>
      <c r="DO49" s="337"/>
      <c r="DP49" s="337"/>
      <c r="DQ49" s="337"/>
      <c r="DR49" s="337"/>
      <c r="DS49" s="337"/>
      <c r="DT49" s="337"/>
      <c r="DU49" s="337"/>
      <c r="DV49" s="337"/>
      <c r="DW49" s="337"/>
      <c r="DX49" s="337"/>
      <c r="DY49" s="337"/>
      <c r="DZ49" s="337"/>
      <c r="EA49" s="337"/>
      <c r="EB49" s="337"/>
      <c r="EC49" s="337"/>
      <c r="ED49" s="337"/>
      <c r="EE49" s="337"/>
      <c r="EF49" s="337"/>
      <c r="EG49" s="337"/>
      <c r="EH49" s="337"/>
      <c r="EI49" s="337"/>
      <c r="EJ49" s="337"/>
      <c r="EK49" s="337"/>
      <c r="EL49" s="337"/>
      <c r="EM49" s="337"/>
      <c r="EN49" s="337"/>
      <c r="EO49" s="337"/>
      <c r="EP49" s="337"/>
      <c r="EQ49" s="337"/>
      <c r="ER49" s="337"/>
      <c r="ES49" s="337"/>
      <c r="ET49" s="337"/>
      <c r="EU49" s="337"/>
      <c r="EV49" s="337"/>
      <c r="EW49" s="337"/>
      <c r="EX49" s="337"/>
      <c r="EY49" s="337"/>
      <c r="EZ49" s="337"/>
      <c r="FA49" s="337"/>
      <c r="FB49" s="337"/>
      <c r="FC49" s="337"/>
      <c r="FD49" s="337"/>
      <c r="FE49" s="337"/>
      <c r="FF49" s="337"/>
      <c r="FG49" s="337"/>
      <c r="FH49" s="337"/>
      <c r="FI49" s="337"/>
      <c r="FJ49" s="337"/>
      <c r="FK49" s="337"/>
      <c r="FL49" s="337"/>
      <c r="FM49" s="337"/>
      <c r="FN49" s="337"/>
      <c r="FO49" s="337"/>
      <c r="FP49" s="337"/>
      <c r="FQ49" s="337"/>
      <c r="FR49" s="337"/>
      <c r="FS49" s="337"/>
      <c r="FT49" s="337"/>
      <c r="FU49" s="337"/>
      <c r="FV49" s="337"/>
      <c r="FW49" s="337"/>
      <c r="FX49" s="337"/>
      <c r="FY49" s="337"/>
      <c r="FZ49" s="337"/>
      <c r="GA49" s="337"/>
      <c r="GB49" s="337"/>
      <c r="GC49" s="337"/>
      <c r="GD49" s="337"/>
      <c r="GE49" s="337"/>
      <c r="GF49" s="337"/>
      <c r="GG49" s="337"/>
      <c r="GH49" s="337"/>
      <c r="GI49" s="337"/>
      <c r="GJ49" s="337"/>
      <c r="GK49" s="337"/>
      <c r="GL49" s="337"/>
      <c r="GM49" s="337"/>
      <c r="GN49" s="337"/>
      <c r="GO49" s="337"/>
      <c r="GP49" s="337"/>
      <c r="GQ49" s="337"/>
      <c r="GR49" s="337"/>
      <c r="GS49" s="337"/>
      <c r="GT49" s="337"/>
      <c r="GU49" s="337"/>
      <c r="GV49" s="337"/>
      <c r="GW49" s="337"/>
      <c r="GX49" s="337"/>
      <c r="GY49" s="337"/>
      <c r="GZ49" s="337"/>
      <c r="HA49" s="337"/>
      <c r="HB49" s="337"/>
      <c r="HC49" s="337"/>
      <c r="HD49" s="337"/>
      <c r="HE49" s="337"/>
      <c r="HF49" s="337"/>
      <c r="HG49" s="337"/>
      <c r="HH49" s="337"/>
      <c r="HI49" s="337"/>
      <c r="HJ49" s="337"/>
      <c r="HK49" s="337"/>
      <c r="HL49" s="337"/>
      <c r="HM49" s="337"/>
      <c r="HN49" s="337"/>
      <c r="HO49" s="337"/>
      <c r="HP49" s="337"/>
      <c r="HQ49" s="337"/>
      <c r="HR49" s="337"/>
      <c r="HS49" s="337"/>
      <c r="HT49" s="337"/>
      <c r="HU49" s="337"/>
      <c r="HV49" s="337"/>
      <c r="HW49" s="337"/>
      <c r="HX49" s="337"/>
      <c r="HY49" s="337"/>
      <c r="HZ49" s="337"/>
      <c r="IA49" s="337"/>
      <c r="IB49" s="337"/>
      <c r="IC49" s="337"/>
      <c r="ID49" s="337"/>
      <c r="IE49" s="337"/>
      <c r="IF49" s="337"/>
      <c r="IG49" s="337"/>
      <c r="IH49" s="337"/>
      <c r="II49" s="337"/>
      <c r="IJ49" s="337"/>
      <c r="IK49" s="337"/>
      <c r="IL49" s="337"/>
      <c r="IM49" s="337"/>
      <c r="IN49" s="337"/>
      <c r="IO49" s="337"/>
      <c r="IP49" s="337"/>
      <c r="IQ49" s="337"/>
      <c r="IR49" s="337"/>
      <c r="IS49" s="337"/>
      <c r="IT49" s="337"/>
      <c r="IU49" s="337"/>
      <c r="IV49" s="337"/>
    </row>
    <row r="50" spans="20:256" s="575" customFormat="1" ht="21" customHeight="1">
      <c r="T50" s="337"/>
      <c r="U50" s="337"/>
      <c r="V50" s="337"/>
      <c r="W50" s="337"/>
      <c r="X50" s="337"/>
      <c r="Y50" s="337"/>
      <c r="Z50" s="337"/>
      <c r="AA50" s="337"/>
      <c r="AB50" s="337"/>
      <c r="AC50" s="337"/>
      <c r="AD50" s="337"/>
      <c r="AE50" s="337"/>
      <c r="AF50" s="337"/>
      <c r="AG50" s="337"/>
      <c r="AH50" s="337"/>
      <c r="AI50" s="337"/>
      <c r="AJ50" s="337"/>
      <c r="AK50" s="337"/>
      <c r="AL50" s="337"/>
      <c r="AM50" s="337"/>
      <c r="AN50" s="337"/>
      <c r="AO50" s="337"/>
      <c r="AP50" s="337"/>
      <c r="AQ50" s="337"/>
      <c r="AR50" s="337"/>
      <c r="AS50" s="337"/>
      <c r="AT50" s="337"/>
      <c r="AU50" s="337"/>
      <c r="AV50" s="337"/>
      <c r="AW50" s="337"/>
      <c r="AX50" s="337"/>
      <c r="AY50" s="337"/>
      <c r="AZ50" s="337"/>
      <c r="BA50" s="337"/>
      <c r="BB50" s="337"/>
      <c r="BC50" s="337"/>
      <c r="BD50" s="337"/>
      <c r="BE50" s="337"/>
      <c r="BF50" s="337"/>
      <c r="BG50" s="337"/>
      <c r="BH50" s="337"/>
      <c r="BI50" s="337"/>
      <c r="BJ50" s="337"/>
      <c r="BK50" s="337"/>
      <c r="BL50" s="337"/>
      <c r="BM50" s="337"/>
      <c r="BN50" s="337"/>
      <c r="BO50" s="337"/>
      <c r="BP50" s="337"/>
      <c r="BQ50" s="337"/>
      <c r="BR50" s="337"/>
      <c r="BS50" s="337"/>
      <c r="BT50" s="337"/>
      <c r="BU50" s="337"/>
      <c r="BV50" s="337"/>
      <c r="BW50" s="337"/>
      <c r="BX50" s="337"/>
      <c r="BY50" s="337"/>
      <c r="BZ50" s="337"/>
      <c r="CA50" s="337"/>
      <c r="CB50" s="337"/>
      <c r="CC50" s="337"/>
      <c r="CD50" s="337"/>
      <c r="CE50" s="337"/>
      <c r="CF50" s="337"/>
      <c r="CG50" s="337"/>
      <c r="CH50" s="337"/>
      <c r="CI50" s="337"/>
      <c r="CJ50" s="337"/>
      <c r="CK50" s="337"/>
      <c r="CL50" s="337"/>
      <c r="CM50" s="337"/>
      <c r="CN50" s="337"/>
      <c r="CO50" s="337"/>
      <c r="CP50" s="337"/>
      <c r="CQ50" s="337"/>
      <c r="CR50" s="337"/>
      <c r="CS50" s="337"/>
      <c r="CT50" s="337"/>
      <c r="CU50" s="337"/>
      <c r="CV50" s="337"/>
      <c r="CW50" s="337"/>
      <c r="CX50" s="337"/>
      <c r="CY50" s="337"/>
      <c r="CZ50" s="337"/>
      <c r="DA50" s="337"/>
      <c r="DB50" s="337"/>
      <c r="DC50" s="337"/>
      <c r="DD50" s="337"/>
      <c r="DE50" s="337"/>
      <c r="DF50" s="337"/>
      <c r="DG50" s="337"/>
      <c r="DH50" s="337"/>
      <c r="DI50" s="337"/>
      <c r="DJ50" s="337"/>
      <c r="DK50" s="337"/>
      <c r="DL50" s="337"/>
      <c r="DM50" s="337"/>
      <c r="DN50" s="337"/>
      <c r="DO50" s="337"/>
      <c r="DP50" s="337"/>
      <c r="DQ50" s="337"/>
      <c r="DR50" s="337"/>
      <c r="DS50" s="337"/>
      <c r="DT50" s="337"/>
      <c r="DU50" s="337"/>
      <c r="DV50" s="337"/>
      <c r="DW50" s="337"/>
      <c r="DX50" s="337"/>
      <c r="DY50" s="337"/>
      <c r="DZ50" s="337"/>
      <c r="EA50" s="337"/>
      <c r="EB50" s="337"/>
      <c r="EC50" s="337"/>
      <c r="ED50" s="337"/>
      <c r="EE50" s="337"/>
      <c r="EF50" s="337"/>
      <c r="EG50" s="337"/>
      <c r="EH50" s="337"/>
      <c r="EI50" s="337"/>
      <c r="EJ50" s="337"/>
      <c r="EK50" s="337"/>
      <c r="EL50" s="337"/>
      <c r="EM50" s="337"/>
      <c r="EN50" s="337"/>
      <c r="EO50" s="337"/>
      <c r="EP50" s="337"/>
      <c r="EQ50" s="337"/>
      <c r="ER50" s="337"/>
      <c r="ES50" s="337"/>
      <c r="ET50" s="337"/>
      <c r="EU50" s="337"/>
      <c r="EV50" s="337"/>
      <c r="EW50" s="337"/>
      <c r="EX50" s="337"/>
      <c r="EY50" s="337"/>
      <c r="EZ50" s="337"/>
      <c r="FA50" s="337"/>
      <c r="FB50" s="337"/>
      <c r="FC50" s="337"/>
      <c r="FD50" s="337"/>
      <c r="FE50" s="337"/>
      <c r="FF50" s="337"/>
      <c r="FG50" s="337"/>
      <c r="FH50" s="337"/>
      <c r="FI50" s="337"/>
      <c r="FJ50" s="337"/>
      <c r="FK50" s="337"/>
      <c r="FL50" s="337"/>
      <c r="FM50" s="337"/>
      <c r="FN50" s="337"/>
      <c r="FO50" s="337"/>
      <c r="FP50" s="337"/>
      <c r="FQ50" s="337"/>
      <c r="FR50" s="337"/>
      <c r="FS50" s="337"/>
      <c r="FT50" s="337"/>
      <c r="FU50" s="337"/>
      <c r="FV50" s="337"/>
      <c r="FW50" s="337"/>
      <c r="FX50" s="337"/>
      <c r="FY50" s="337"/>
      <c r="FZ50" s="337"/>
      <c r="GA50" s="337"/>
      <c r="GB50" s="337"/>
      <c r="GC50" s="337"/>
      <c r="GD50" s="337"/>
      <c r="GE50" s="337"/>
      <c r="GF50" s="337"/>
      <c r="GG50" s="337"/>
      <c r="GH50" s="337"/>
      <c r="GI50" s="337"/>
      <c r="GJ50" s="337"/>
      <c r="GK50" s="337"/>
      <c r="GL50" s="337"/>
      <c r="GM50" s="337"/>
      <c r="GN50" s="337"/>
      <c r="GO50" s="337"/>
      <c r="GP50" s="337"/>
      <c r="GQ50" s="337"/>
      <c r="GR50" s="337"/>
      <c r="GS50" s="337"/>
      <c r="GT50" s="337"/>
      <c r="GU50" s="337"/>
      <c r="GV50" s="337"/>
      <c r="GW50" s="337"/>
      <c r="GX50" s="337"/>
      <c r="GY50" s="337"/>
      <c r="GZ50" s="337"/>
      <c r="HA50" s="337"/>
      <c r="HB50" s="337"/>
      <c r="HC50" s="337"/>
      <c r="HD50" s="337"/>
      <c r="HE50" s="337"/>
      <c r="HF50" s="337"/>
      <c r="HG50" s="337"/>
      <c r="HH50" s="337"/>
      <c r="HI50" s="337"/>
      <c r="HJ50" s="337"/>
      <c r="HK50" s="337"/>
      <c r="HL50" s="337"/>
      <c r="HM50" s="337"/>
      <c r="HN50" s="337"/>
      <c r="HO50" s="337"/>
      <c r="HP50" s="337"/>
      <c r="HQ50" s="337"/>
      <c r="HR50" s="337"/>
      <c r="HS50" s="337"/>
      <c r="HT50" s="337"/>
      <c r="HU50" s="337"/>
      <c r="HV50" s="337"/>
      <c r="HW50" s="337"/>
      <c r="HX50" s="337"/>
      <c r="HY50" s="337"/>
      <c r="HZ50" s="337"/>
      <c r="IA50" s="337"/>
      <c r="IB50" s="337"/>
      <c r="IC50" s="337"/>
      <c r="ID50" s="337"/>
      <c r="IE50" s="337"/>
      <c r="IF50" s="337"/>
      <c r="IG50" s="337"/>
      <c r="IH50" s="337"/>
      <c r="II50" s="337"/>
      <c r="IJ50" s="337"/>
      <c r="IK50" s="337"/>
      <c r="IL50" s="337"/>
      <c r="IM50" s="337"/>
      <c r="IN50" s="337"/>
      <c r="IO50" s="337"/>
      <c r="IP50" s="337"/>
      <c r="IQ50" s="337"/>
      <c r="IR50" s="337"/>
      <c r="IS50" s="337"/>
      <c r="IT50" s="337"/>
      <c r="IU50" s="337"/>
      <c r="IV50" s="337"/>
    </row>
    <row r="51" spans="20:256" s="575" customFormat="1" ht="21" customHeight="1">
      <c r="T51" s="337"/>
      <c r="U51" s="337"/>
      <c r="V51" s="337"/>
      <c r="W51" s="337"/>
      <c r="X51" s="337"/>
      <c r="Y51" s="337"/>
      <c r="Z51" s="337"/>
      <c r="AA51" s="337"/>
      <c r="AB51" s="337"/>
      <c r="AC51" s="337"/>
      <c r="AD51" s="337"/>
      <c r="AE51" s="337"/>
      <c r="AF51" s="337"/>
      <c r="AG51" s="337"/>
      <c r="AH51" s="337"/>
      <c r="AI51" s="337"/>
      <c r="AJ51" s="337"/>
      <c r="AK51" s="337"/>
      <c r="AL51" s="337"/>
      <c r="AM51" s="337"/>
      <c r="AN51" s="337"/>
      <c r="AO51" s="337"/>
      <c r="AP51" s="337"/>
      <c r="AQ51" s="337"/>
      <c r="AR51" s="337"/>
      <c r="AS51" s="337"/>
      <c r="AT51" s="337"/>
      <c r="AU51" s="337"/>
      <c r="AV51" s="337"/>
      <c r="AW51" s="337"/>
      <c r="AX51" s="337"/>
      <c r="AY51" s="337"/>
      <c r="AZ51" s="337"/>
      <c r="BA51" s="337"/>
      <c r="BB51" s="337"/>
      <c r="BC51" s="337"/>
      <c r="BD51" s="337"/>
      <c r="BE51" s="337"/>
      <c r="BF51" s="337"/>
      <c r="BG51" s="337"/>
      <c r="BH51" s="337"/>
      <c r="BI51" s="337"/>
      <c r="BJ51" s="337"/>
      <c r="BK51" s="337"/>
      <c r="BL51" s="337"/>
      <c r="BM51" s="337"/>
      <c r="BN51" s="337"/>
      <c r="BO51" s="337"/>
      <c r="BP51" s="337"/>
      <c r="BQ51" s="337"/>
      <c r="BR51" s="337"/>
      <c r="BS51" s="337"/>
      <c r="BT51" s="337"/>
      <c r="BU51" s="337"/>
      <c r="BV51" s="337"/>
      <c r="BW51" s="337"/>
      <c r="BX51" s="337"/>
      <c r="BY51" s="337"/>
      <c r="BZ51" s="337"/>
      <c r="CA51" s="337"/>
      <c r="CB51" s="337"/>
      <c r="CC51" s="337"/>
      <c r="CD51" s="337"/>
      <c r="CE51" s="337"/>
      <c r="CF51" s="337"/>
      <c r="CG51" s="337"/>
      <c r="CH51" s="337"/>
      <c r="CI51" s="337"/>
      <c r="CJ51" s="337"/>
      <c r="CK51" s="337"/>
      <c r="CL51" s="337"/>
      <c r="CM51" s="337"/>
      <c r="CN51" s="337"/>
      <c r="CO51" s="337"/>
      <c r="CP51" s="337"/>
      <c r="CQ51" s="337"/>
      <c r="CR51" s="337"/>
      <c r="CS51" s="337"/>
      <c r="CT51" s="337"/>
      <c r="CU51" s="337"/>
      <c r="CV51" s="337"/>
      <c r="CW51" s="337"/>
      <c r="CX51" s="337"/>
      <c r="CY51" s="337"/>
      <c r="CZ51" s="337"/>
      <c r="DA51" s="337"/>
      <c r="DB51" s="337"/>
      <c r="DC51" s="337"/>
      <c r="DD51" s="337"/>
      <c r="DE51" s="337"/>
      <c r="DF51" s="337"/>
      <c r="DG51" s="337"/>
      <c r="DH51" s="337"/>
      <c r="DI51" s="337"/>
      <c r="DJ51" s="337"/>
      <c r="DK51" s="337"/>
      <c r="DL51" s="337"/>
      <c r="DM51" s="337"/>
      <c r="DN51" s="337"/>
      <c r="DO51" s="337"/>
      <c r="DP51" s="337"/>
      <c r="DQ51" s="337"/>
      <c r="DR51" s="337"/>
      <c r="DS51" s="337"/>
      <c r="DT51" s="337"/>
      <c r="DU51" s="337"/>
      <c r="DV51" s="337"/>
      <c r="DW51" s="337"/>
      <c r="DX51" s="337"/>
      <c r="DY51" s="337"/>
      <c r="DZ51" s="337"/>
      <c r="EA51" s="337"/>
      <c r="EB51" s="337"/>
      <c r="EC51" s="337"/>
      <c r="ED51" s="337"/>
      <c r="EE51" s="337"/>
      <c r="EF51" s="337"/>
      <c r="EG51" s="337"/>
      <c r="EH51" s="337"/>
      <c r="EI51" s="337"/>
      <c r="EJ51" s="337"/>
      <c r="EK51" s="337"/>
      <c r="EL51" s="337"/>
      <c r="EM51" s="337"/>
      <c r="EN51" s="337"/>
      <c r="EO51" s="337"/>
      <c r="EP51" s="337"/>
      <c r="EQ51" s="337"/>
      <c r="ER51" s="337"/>
      <c r="ES51" s="337"/>
      <c r="ET51" s="337"/>
      <c r="EU51" s="337"/>
      <c r="EV51" s="337"/>
      <c r="EW51" s="337"/>
      <c r="EX51" s="337"/>
      <c r="EY51" s="337"/>
      <c r="EZ51" s="337"/>
      <c r="FA51" s="337"/>
      <c r="FB51" s="337"/>
      <c r="FC51" s="337"/>
      <c r="FD51" s="337"/>
      <c r="FE51" s="337"/>
      <c r="FF51" s="337"/>
      <c r="FG51" s="337"/>
      <c r="FH51" s="337"/>
      <c r="FI51" s="337"/>
      <c r="FJ51" s="337"/>
      <c r="FK51" s="337"/>
      <c r="FL51" s="337"/>
      <c r="FM51" s="337"/>
      <c r="FN51" s="337"/>
      <c r="FO51" s="337"/>
      <c r="FP51" s="337"/>
      <c r="FQ51" s="337"/>
      <c r="FR51" s="337"/>
      <c r="FS51" s="337"/>
      <c r="FT51" s="337"/>
      <c r="FU51" s="337"/>
      <c r="FV51" s="337"/>
      <c r="FW51" s="337"/>
      <c r="FX51" s="337"/>
      <c r="FY51" s="337"/>
      <c r="FZ51" s="337"/>
      <c r="GA51" s="337"/>
      <c r="GB51" s="337"/>
      <c r="GC51" s="337"/>
      <c r="GD51" s="337"/>
      <c r="GE51" s="337"/>
      <c r="GF51" s="337"/>
      <c r="GG51" s="337"/>
      <c r="GH51" s="337"/>
      <c r="GI51" s="337"/>
      <c r="GJ51" s="337"/>
      <c r="GK51" s="337"/>
      <c r="GL51" s="337"/>
      <c r="GM51" s="337"/>
      <c r="GN51" s="337"/>
      <c r="GO51" s="337"/>
      <c r="GP51" s="337"/>
      <c r="GQ51" s="337"/>
      <c r="GR51" s="337"/>
      <c r="GS51" s="337"/>
      <c r="GT51" s="337"/>
      <c r="GU51" s="337"/>
      <c r="GV51" s="337"/>
      <c r="GW51" s="337"/>
      <c r="GX51" s="337"/>
      <c r="GY51" s="337"/>
      <c r="GZ51" s="337"/>
      <c r="HA51" s="337"/>
      <c r="HB51" s="337"/>
      <c r="HC51" s="337"/>
      <c r="HD51" s="337"/>
      <c r="HE51" s="337"/>
      <c r="HF51" s="337"/>
      <c r="HG51" s="337"/>
      <c r="HH51" s="337"/>
      <c r="HI51" s="337"/>
      <c r="HJ51" s="337"/>
      <c r="HK51" s="337"/>
      <c r="HL51" s="337"/>
      <c r="HM51" s="337"/>
      <c r="HN51" s="337"/>
      <c r="HO51" s="337"/>
      <c r="HP51" s="337"/>
      <c r="HQ51" s="337"/>
      <c r="HR51" s="337"/>
      <c r="HS51" s="337"/>
      <c r="HT51" s="337"/>
      <c r="HU51" s="337"/>
      <c r="HV51" s="337"/>
      <c r="HW51" s="337"/>
      <c r="HX51" s="337"/>
      <c r="HY51" s="337"/>
      <c r="HZ51" s="337"/>
      <c r="IA51" s="337"/>
      <c r="IB51" s="337"/>
      <c r="IC51" s="337"/>
      <c r="ID51" s="337"/>
      <c r="IE51" s="337"/>
      <c r="IF51" s="337"/>
      <c r="IG51" s="337"/>
      <c r="IH51" s="337"/>
      <c r="II51" s="337"/>
      <c r="IJ51" s="337"/>
      <c r="IK51" s="337"/>
      <c r="IL51" s="337"/>
      <c r="IM51" s="337"/>
      <c r="IN51" s="337"/>
      <c r="IO51" s="337"/>
      <c r="IP51" s="337"/>
      <c r="IQ51" s="337"/>
      <c r="IR51" s="337"/>
      <c r="IS51" s="337"/>
      <c r="IT51" s="337"/>
      <c r="IU51" s="337"/>
      <c r="IV51" s="337"/>
    </row>
    <row r="52" spans="20:256" s="575" customFormat="1" ht="21" customHeight="1">
      <c r="T52" s="337"/>
      <c r="U52" s="337"/>
      <c r="V52" s="337"/>
      <c r="W52" s="337"/>
      <c r="X52" s="337"/>
      <c r="Y52" s="337"/>
      <c r="Z52" s="337"/>
      <c r="AA52" s="337"/>
      <c r="AB52" s="337"/>
      <c r="AC52" s="337"/>
      <c r="AD52" s="337"/>
      <c r="AE52" s="337"/>
      <c r="AF52" s="337"/>
      <c r="AG52" s="337"/>
      <c r="AH52" s="337"/>
      <c r="AI52" s="337"/>
      <c r="AJ52" s="337"/>
      <c r="AK52" s="337"/>
      <c r="AL52" s="337"/>
      <c r="AM52" s="337"/>
      <c r="AN52" s="337"/>
      <c r="AO52" s="337"/>
      <c r="AP52" s="337"/>
      <c r="AQ52" s="337"/>
      <c r="AR52" s="337"/>
      <c r="AS52" s="337"/>
      <c r="AT52" s="337"/>
      <c r="AU52" s="337"/>
      <c r="AV52" s="337"/>
      <c r="AW52" s="337"/>
      <c r="AX52" s="337"/>
      <c r="AY52" s="337"/>
      <c r="AZ52" s="337"/>
      <c r="BA52" s="337"/>
      <c r="BB52" s="337"/>
      <c r="BC52" s="337"/>
      <c r="BD52" s="337"/>
      <c r="BE52" s="337"/>
      <c r="BF52" s="337"/>
      <c r="BG52" s="337"/>
      <c r="BH52" s="337"/>
      <c r="BI52" s="337"/>
      <c r="BJ52" s="337"/>
      <c r="BK52" s="337"/>
      <c r="BL52" s="337"/>
      <c r="BM52" s="337"/>
      <c r="BN52" s="337"/>
      <c r="BO52" s="337"/>
      <c r="BP52" s="337"/>
      <c r="BQ52" s="337"/>
      <c r="BR52" s="337"/>
      <c r="BS52" s="337"/>
      <c r="BT52" s="337"/>
      <c r="BU52" s="337"/>
      <c r="BV52" s="337"/>
      <c r="BW52" s="337"/>
      <c r="BX52" s="337"/>
      <c r="BY52" s="337"/>
      <c r="BZ52" s="337"/>
      <c r="CA52" s="337"/>
      <c r="CB52" s="337"/>
      <c r="CC52" s="337"/>
      <c r="CD52" s="337"/>
      <c r="CE52" s="337"/>
      <c r="CF52" s="337"/>
      <c r="CG52" s="337"/>
      <c r="CH52" s="337"/>
      <c r="CI52" s="337"/>
      <c r="CJ52" s="337"/>
      <c r="CK52" s="337"/>
      <c r="CL52" s="337"/>
      <c r="CM52" s="337"/>
      <c r="CN52" s="337"/>
      <c r="CO52" s="337"/>
      <c r="CP52" s="337"/>
      <c r="CQ52" s="337"/>
      <c r="CR52" s="337"/>
      <c r="CS52" s="337"/>
      <c r="CT52" s="337"/>
      <c r="CU52" s="337"/>
      <c r="CV52" s="337"/>
      <c r="CW52" s="337"/>
      <c r="CX52" s="337"/>
      <c r="CY52" s="337"/>
      <c r="CZ52" s="337"/>
      <c r="DA52" s="337"/>
      <c r="DB52" s="337"/>
      <c r="DC52" s="337"/>
      <c r="DD52" s="337"/>
      <c r="DE52" s="337"/>
      <c r="DF52" s="337"/>
      <c r="DG52" s="337"/>
      <c r="DH52" s="337"/>
      <c r="DI52" s="337"/>
      <c r="DJ52" s="337"/>
      <c r="DK52" s="337"/>
      <c r="DL52" s="337"/>
      <c r="DM52" s="337"/>
      <c r="DN52" s="337"/>
      <c r="DO52" s="337"/>
      <c r="DP52" s="337"/>
      <c r="DQ52" s="337"/>
      <c r="DR52" s="337"/>
      <c r="DS52" s="337"/>
      <c r="DT52" s="337"/>
      <c r="DU52" s="337"/>
      <c r="DV52" s="337"/>
      <c r="DW52" s="337"/>
      <c r="DX52" s="337"/>
      <c r="DY52" s="337"/>
      <c r="DZ52" s="337"/>
      <c r="EA52" s="337"/>
      <c r="EB52" s="337"/>
      <c r="EC52" s="337"/>
      <c r="ED52" s="337"/>
      <c r="EE52" s="337"/>
      <c r="EF52" s="337"/>
      <c r="EG52" s="337"/>
      <c r="EH52" s="337"/>
      <c r="EI52" s="337"/>
      <c r="EJ52" s="337"/>
      <c r="EK52" s="337"/>
      <c r="EL52" s="337"/>
      <c r="EM52" s="337"/>
      <c r="EN52" s="337"/>
      <c r="EO52" s="337"/>
      <c r="EP52" s="337"/>
      <c r="EQ52" s="337"/>
      <c r="ER52" s="337"/>
      <c r="ES52" s="337"/>
      <c r="ET52" s="337"/>
      <c r="EU52" s="337"/>
      <c r="EV52" s="337"/>
      <c r="EW52" s="337"/>
      <c r="EX52" s="337"/>
      <c r="EY52" s="337"/>
      <c r="EZ52" s="337"/>
      <c r="FA52" s="337"/>
      <c r="FB52" s="337"/>
      <c r="FC52" s="337"/>
      <c r="FD52" s="337"/>
      <c r="FE52" s="337"/>
      <c r="FF52" s="337"/>
      <c r="FG52" s="337"/>
      <c r="FH52" s="337"/>
      <c r="FI52" s="337"/>
      <c r="FJ52" s="337"/>
      <c r="FK52" s="337"/>
      <c r="FL52" s="337"/>
      <c r="FM52" s="337"/>
      <c r="FN52" s="337"/>
      <c r="FO52" s="337"/>
      <c r="FP52" s="337"/>
      <c r="FQ52" s="337"/>
      <c r="FR52" s="337"/>
      <c r="FS52" s="337"/>
      <c r="FT52" s="337"/>
      <c r="FU52" s="337"/>
      <c r="FV52" s="337"/>
      <c r="FW52" s="337"/>
      <c r="FX52" s="337"/>
      <c r="FY52" s="337"/>
      <c r="FZ52" s="337"/>
      <c r="GA52" s="337"/>
      <c r="GB52" s="337"/>
      <c r="GC52" s="337"/>
      <c r="GD52" s="337"/>
      <c r="GE52" s="337"/>
      <c r="GF52" s="337"/>
      <c r="GG52" s="337"/>
      <c r="GH52" s="337"/>
      <c r="GI52" s="337"/>
      <c r="GJ52" s="337"/>
      <c r="GK52" s="337"/>
      <c r="GL52" s="337"/>
      <c r="GM52" s="337"/>
      <c r="GN52" s="337"/>
      <c r="GO52" s="337"/>
      <c r="GP52" s="337"/>
      <c r="GQ52" s="337"/>
      <c r="GR52" s="337"/>
      <c r="GS52" s="337"/>
      <c r="GT52" s="337"/>
      <c r="GU52" s="337"/>
      <c r="GV52" s="337"/>
      <c r="GW52" s="337"/>
      <c r="GX52" s="337"/>
      <c r="GY52" s="337"/>
      <c r="GZ52" s="337"/>
      <c r="HA52" s="337"/>
      <c r="HB52" s="337"/>
      <c r="HC52" s="337"/>
      <c r="HD52" s="337"/>
      <c r="HE52" s="337"/>
      <c r="HF52" s="337"/>
      <c r="HG52" s="337"/>
      <c r="HH52" s="337"/>
      <c r="HI52" s="337"/>
      <c r="HJ52" s="337"/>
      <c r="HK52" s="337"/>
      <c r="HL52" s="337"/>
      <c r="HM52" s="337"/>
      <c r="HN52" s="337"/>
      <c r="HO52" s="337"/>
      <c r="HP52" s="337"/>
      <c r="HQ52" s="337"/>
      <c r="HR52" s="337"/>
      <c r="HS52" s="337"/>
      <c r="HT52" s="337"/>
      <c r="HU52" s="337"/>
      <c r="HV52" s="337"/>
      <c r="HW52" s="337"/>
      <c r="HX52" s="337"/>
      <c r="HY52" s="337"/>
      <c r="HZ52" s="337"/>
      <c r="IA52" s="337"/>
      <c r="IB52" s="337"/>
      <c r="IC52" s="337"/>
      <c r="ID52" s="337"/>
      <c r="IE52" s="337"/>
      <c r="IF52" s="337"/>
      <c r="IG52" s="337"/>
      <c r="IH52" s="337"/>
      <c r="II52" s="337"/>
      <c r="IJ52" s="337"/>
      <c r="IK52" s="337"/>
      <c r="IL52" s="337"/>
      <c r="IM52" s="337"/>
      <c r="IN52" s="337"/>
      <c r="IO52" s="337"/>
      <c r="IP52" s="337"/>
      <c r="IQ52" s="337"/>
      <c r="IR52" s="337"/>
      <c r="IS52" s="337"/>
      <c r="IT52" s="337"/>
      <c r="IU52" s="337"/>
      <c r="IV52" s="337"/>
    </row>
    <row r="53" spans="20:256" s="575" customFormat="1" ht="21" customHeight="1">
      <c r="T53" s="337"/>
      <c r="U53" s="337"/>
      <c r="V53" s="337"/>
      <c r="W53" s="337"/>
      <c r="X53" s="337"/>
      <c r="Y53" s="337"/>
      <c r="Z53" s="337"/>
      <c r="AA53" s="337"/>
      <c r="AB53" s="337"/>
      <c r="AC53" s="337"/>
      <c r="AD53" s="337"/>
      <c r="AE53" s="337"/>
      <c r="AF53" s="337"/>
      <c r="AG53" s="337"/>
      <c r="AH53" s="337"/>
      <c r="AI53" s="337"/>
      <c r="AJ53" s="337"/>
      <c r="AK53" s="337"/>
      <c r="AL53" s="337"/>
      <c r="AM53" s="337"/>
      <c r="AN53" s="337"/>
      <c r="AO53" s="337"/>
      <c r="AP53" s="337"/>
      <c r="AQ53" s="337"/>
      <c r="AR53" s="337"/>
      <c r="AS53" s="337"/>
      <c r="AT53" s="337"/>
      <c r="AU53" s="337"/>
      <c r="AV53" s="337"/>
      <c r="AW53" s="337"/>
      <c r="AX53" s="337"/>
      <c r="AY53" s="337"/>
      <c r="AZ53" s="337"/>
      <c r="BA53" s="337"/>
      <c r="BB53" s="337"/>
      <c r="BC53" s="337"/>
      <c r="BD53" s="337"/>
      <c r="BE53" s="337"/>
      <c r="BF53" s="337"/>
      <c r="BG53" s="337"/>
      <c r="BH53" s="337"/>
      <c r="BI53" s="337"/>
      <c r="BJ53" s="337"/>
      <c r="BK53" s="337"/>
      <c r="BL53" s="337"/>
      <c r="BM53" s="337"/>
      <c r="BN53" s="337"/>
      <c r="BO53" s="337"/>
      <c r="BP53" s="337"/>
      <c r="BQ53" s="337"/>
      <c r="BR53" s="337"/>
      <c r="BS53" s="337"/>
      <c r="BT53" s="337"/>
      <c r="BU53" s="337"/>
      <c r="BV53" s="337"/>
      <c r="BW53" s="337"/>
      <c r="BX53" s="337"/>
      <c r="BY53" s="337"/>
      <c r="BZ53" s="337"/>
      <c r="CA53" s="337"/>
      <c r="CB53" s="337"/>
      <c r="CC53" s="337"/>
      <c r="CD53" s="337"/>
      <c r="CE53" s="337"/>
      <c r="CF53" s="337"/>
      <c r="CG53" s="337"/>
      <c r="CH53" s="337"/>
      <c r="CI53" s="337"/>
      <c r="CJ53" s="337"/>
      <c r="CK53" s="337"/>
      <c r="CL53" s="337"/>
      <c r="CM53" s="337"/>
      <c r="CN53" s="337"/>
      <c r="CO53" s="337"/>
      <c r="CP53" s="337"/>
      <c r="CQ53" s="337"/>
      <c r="CR53" s="337"/>
      <c r="CS53" s="337"/>
      <c r="CT53" s="337"/>
      <c r="CU53" s="337"/>
      <c r="CV53" s="337"/>
      <c r="CW53" s="337"/>
      <c r="CX53" s="337"/>
      <c r="CY53" s="337"/>
      <c r="CZ53" s="337"/>
      <c r="DA53" s="337"/>
      <c r="DB53" s="337"/>
      <c r="DC53" s="337"/>
      <c r="DD53" s="337"/>
      <c r="DE53" s="337"/>
      <c r="DF53" s="337"/>
      <c r="DG53" s="337"/>
      <c r="DH53" s="337"/>
      <c r="DI53" s="337"/>
      <c r="DJ53" s="337"/>
      <c r="DK53" s="337"/>
      <c r="DL53" s="337"/>
      <c r="DM53" s="337"/>
      <c r="DN53" s="337"/>
      <c r="DO53" s="337"/>
      <c r="DP53" s="337"/>
      <c r="DQ53" s="337"/>
      <c r="DR53" s="337"/>
      <c r="DS53" s="337"/>
      <c r="DT53" s="337"/>
      <c r="DU53" s="337"/>
      <c r="DV53" s="337"/>
      <c r="DW53" s="337"/>
      <c r="DX53" s="337"/>
      <c r="DY53" s="337"/>
      <c r="DZ53" s="337"/>
      <c r="EA53" s="337"/>
      <c r="EB53" s="337"/>
      <c r="EC53" s="337"/>
      <c r="ED53" s="337"/>
      <c r="EE53" s="337"/>
      <c r="EF53" s="337"/>
      <c r="EG53" s="337"/>
      <c r="EH53" s="337"/>
      <c r="EI53" s="337"/>
      <c r="EJ53" s="337"/>
      <c r="EK53" s="337"/>
      <c r="EL53" s="337"/>
      <c r="EM53" s="337"/>
      <c r="EN53" s="337"/>
      <c r="EO53" s="337"/>
      <c r="EP53" s="337"/>
      <c r="EQ53" s="337"/>
      <c r="ER53" s="337"/>
      <c r="ES53" s="337"/>
      <c r="ET53" s="337"/>
      <c r="EU53" s="337"/>
      <c r="EV53" s="337"/>
      <c r="EW53" s="337"/>
      <c r="EX53" s="337"/>
      <c r="EY53" s="337"/>
      <c r="EZ53" s="337"/>
      <c r="FA53" s="337"/>
      <c r="FB53" s="337"/>
      <c r="FC53" s="337"/>
      <c r="FD53" s="337"/>
      <c r="FE53" s="337"/>
      <c r="FF53" s="337"/>
      <c r="FG53" s="337"/>
      <c r="FH53" s="337"/>
      <c r="FI53" s="337"/>
      <c r="FJ53" s="337"/>
      <c r="FK53" s="337"/>
      <c r="FL53" s="337"/>
      <c r="FM53" s="337"/>
      <c r="FN53" s="337"/>
      <c r="FO53" s="337"/>
      <c r="FP53" s="337"/>
      <c r="FQ53" s="337"/>
      <c r="FR53" s="337"/>
      <c r="FS53" s="337"/>
      <c r="FT53" s="337"/>
      <c r="FU53" s="337"/>
      <c r="FV53" s="337"/>
      <c r="FW53" s="337"/>
      <c r="FX53" s="337"/>
      <c r="FY53" s="337"/>
      <c r="FZ53" s="337"/>
      <c r="GA53" s="337"/>
      <c r="GB53" s="337"/>
      <c r="GC53" s="337"/>
      <c r="GD53" s="337"/>
      <c r="GE53" s="337"/>
      <c r="GF53" s="337"/>
      <c r="GG53" s="337"/>
      <c r="GH53" s="337"/>
      <c r="GI53" s="337"/>
      <c r="GJ53" s="337"/>
      <c r="GK53" s="337"/>
      <c r="GL53" s="337"/>
      <c r="GM53" s="337"/>
      <c r="GN53" s="337"/>
      <c r="GO53" s="337"/>
      <c r="GP53" s="337"/>
      <c r="GQ53" s="337"/>
      <c r="GR53" s="337"/>
      <c r="GS53" s="337"/>
      <c r="GT53" s="337"/>
      <c r="GU53" s="337"/>
      <c r="GV53" s="337"/>
      <c r="GW53" s="337"/>
      <c r="GX53" s="337"/>
      <c r="GY53" s="337"/>
      <c r="GZ53" s="337"/>
      <c r="HA53" s="337"/>
      <c r="HB53" s="337"/>
      <c r="HC53" s="337"/>
      <c r="HD53" s="337"/>
      <c r="HE53" s="337"/>
      <c r="HF53" s="337"/>
      <c r="HG53" s="337"/>
      <c r="HH53" s="337"/>
      <c r="HI53" s="337"/>
      <c r="HJ53" s="337"/>
      <c r="HK53" s="337"/>
      <c r="HL53" s="337"/>
      <c r="HM53" s="337"/>
      <c r="HN53" s="337"/>
      <c r="HO53" s="337"/>
      <c r="HP53" s="337"/>
      <c r="HQ53" s="337"/>
      <c r="HR53" s="337"/>
      <c r="HS53" s="337"/>
      <c r="HT53" s="337"/>
      <c r="HU53" s="337"/>
      <c r="HV53" s="337"/>
      <c r="HW53" s="337"/>
      <c r="HX53" s="337"/>
      <c r="HY53" s="337"/>
      <c r="HZ53" s="337"/>
      <c r="IA53" s="337"/>
      <c r="IB53" s="337"/>
      <c r="IC53" s="337"/>
      <c r="ID53" s="337"/>
      <c r="IE53" s="337"/>
      <c r="IF53" s="337"/>
      <c r="IG53" s="337"/>
      <c r="IH53" s="337"/>
      <c r="II53" s="337"/>
      <c r="IJ53" s="337"/>
      <c r="IK53" s="337"/>
      <c r="IL53" s="337"/>
      <c r="IM53" s="337"/>
      <c r="IN53" s="337"/>
      <c r="IO53" s="337"/>
      <c r="IP53" s="337"/>
      <c r="IQ53" s="337"/>
      <c r="IR53" s="337"/>
      <c r="IS53" s="337"/>
      <c r="IT53" s="337"/>
      <c r="IU53" s="337"/>
      <c r="IV53" s="337"/>
    </row>
    <row r="54" spans="20:256" s="575" customFormat="1" ht="21" customHeight="1">
      <c r="T54" s="337"/>
      <c r="U54" s="337"/>
      <c r="V54" s="337"/>
      <c r="W54" s="337"/>
      <c r="X54" s="337"/>
      <c r="Y54" s="337"/>
      <c r="Z54" s="337"/>
      <c r="AA54" s="337"/>
      <c r="AB54" s="337"/>
      <c r="AC54" s="337"/>
      <c r="AD54" s="337"/>
      <c r="AE54" s="337"/>
      <c r="AF54" s="337"/>
      <c r="AG54" s="337"/>
      <c r="AH54" s="337"/>
      <c r="AI54" s="337"/>
      <c r="AJ54" s="337"/>
      <c r="AK54" s="337"/>
      <c r="AL54" s="337"/>
      <c r="AM54" s="337"/>
      <c r="AN54" s="337"/>
      <c r="AO54" s="337"/>
      <c r="AP54" s="337"/>
      <c r="AQ54" s="337"/>
      <c r="AR54" s="337"/>
      <c r="AS54" s="337"/>
      <c r="AT54" s="337"/>
      <c r="AU54" s="337"/>
      <c r="AV54" s="337"/>
      <c r="AW54" s="337"/>
      <c r="AX54" s="337"/>
      <c r="AY54" s="337"/>
      <c r="AZ54" s="337"/>
      <c r="BA54" s="337"/>
      <c r="BB54" s="337"/>
      <c r="BC54" s="337"/>
      <c r="BD54" s="337"/>
      <c r="BE54" s="337"/>
      <c r="BF54" s="337"/>
      <c r="BG54" s="337"/>
      <c r="BH54" s="337"/>
      <c r="BI54" s="337"/>
      <c r="BJ54" s="337"/>
      <c r="BK54" s="337"/>
      <c r="BL54" s="337"/>
      <c r="BM54" s="337"/>
      <c r="BN54" s="337"/>
      <c r="BO54" s="337"/>
      <c r="BP54" s="337"/>
      <c r="BQ54" s="337"/>
      <c r="BR54" s="337"/>
      <c r="BS54" s="337"/>
      <c r="BT54" s="337"/>
      <c r="BU54" s="337"/>
      <c r="BV54" s="337"/>
      <c r="BW54" s="337"/>
      <c r="BX54" s="337"/>
      <c r="BY54" s="337"/>
      <c r="BZ54" s="337"/>
      <c r="CA54" s="337"/>
      <c r="CB54" s="337"/>
      <c r="CC54" s="337"/>
      <c r="CD54" s="337"/>
      <c r="CE54" s="337"/>
      <c r="CF54" s="337"/>
      <c r="CG54" s="337"/>
      <c r="CH54" s="337"/>
      <c r="CI54" s="337"/>
      <c r="CJ54" s="337"/>
      <c r="CK54" s="337"/>
      <c r="CL54" s="337"/>
      <c r="CM54" s="337"/>
      <c r="CN54" s="337"/>
      <c r="CO54" s="337"/>
      <c r="CP54" s="337"/>
      <c r="CQ54" s="337"/>
      <c r="CR54" s="337"/>
      <c r="CS54" s="337"/>
      <c r="CT54" s="337"/>
      <c r="CU54" s="337"/>
      <c r="CV54" s="337"/>
      <c r="CW54" s="337"/>
      <c r="CX54" s="337"/>
      <c r="CY54" s="337"/>
      <c r="CZ54" s="337"/>
      <c r="DA54" s="337"/>
      <c r="DB54" s="337"/>
      <c r="DC54" s="337"/>
      <c r="DD54" s="337"/>
      <c r="DE54" s="337"/>
      <c r="DF54" s="337"/>
      <c r="DG54" s="337"/>
      <c r="DH54" s="337"/>
      <c r="DI54" s="337"/>
      <c r="DJ54" s="337"/>
      <c r="DK54" s="337"/>
      <c r="DL54" s="337"/>
      <c r="DM54" s="337"/>
      <c r="DN54" s="337"/>
      <c r="DO54" s="337"/>
      <c r="DP54" s="337"/>
      <c r="DQ54" s="337"/>
      <c r="DR54" s="337"/>
      <c r="DS54" s="337"/>
      <c r="DT54" s="337"/>
      <c r="DU54" s="337"/>
      <c r="DV54" s="337"/>
      <c r="DW54" s="337"/>
      <c r="DX54" s="337"/>
      <c r="DY54" s="337"/>
      <c r="DZ54" s="337"/>
      <c r="EA54" s="337"/>
      <c r="EB54" s="337"/>
      <c r="EC54" s="337"/>
      <c r="ED54" s="337"/>
      <c r="EE54" s="337"/>
      <c r="EF54" s="337"/>
      <c r="EG54" s="337"/>
      <c r="EH54" s="337"/>
      <c r="EI54" s="337"/>
      <c r="EJ54" s="337"/>
      <c r="EK54" s="337"/>
      <c r="EL54" s="337"/>
      <c r="EM54" s="337"/>
      <c r="EN54" s="337"/>
      <c r="EO54" s="337"/>
      <c r="EP54" s="337"/>
      <c r="EQ54" s="337"/>
      <c r="ER54" s="337"/>
      <c r="ES54" s="337"/>
      <c r="ET54" s="337"/>
      <c r="EU54" s="337"/>
      <c r="EV54" s="337"/>
      <c r="EW54" s="337"/>
      <c r="EX54" s="337"/>
      <c r="EY54" s="337"/>
      <c r="EZ54" s="337"/>
      <c r="FA54" s="337"/>
      <c r="FB54" s="337"/>
      <c r="FC54" s="337"/>
      <c r="FD54" s="337"/>
      <c r="FE54" s="337"/>
      <c r="FF54" s="337"/>
      <c r="FG54" s="337"/>
      <c r="FH54" s="337"/>
      <c r="FI54" s="337"/>
      <c r="FJ54" s="337"/>
      <c r="FK54" s="337"/>
      <c r="FL54" s="337"/>
      <c r="FM54" s="337"/>
      <c r="FN54" s="337"/>
      <c r="FO54" s="337"/>
      <c r="FP54" s="337"/>
      <c r="FQ54" s="337"/>
      <c r="FR54" s="337"/>
      <c r="FS54" s="337"/>
      <c r="FT54" s="337"/>
      <c r="FU54" s="337"/>
      <c r="FV54" s="337"/>
      <c r="FW54" s="337"/>
      <c r="FX54" s="337"/>
      <c r="FY54" s="337"/>
      <c r="FZ54" s="337"/>
      <c r="GA54" s="337"/>
      <c r="GB54" s="337"/>
      <c r="GC54" s="337"/>
      <c r="GD54" s="337"/>
      <c r="GE54" s="337"/>
      <c r="GF54" s="337"/>
      <c r="GG54" s="337"/>
      <c r="GH54" s="337"/>
      <c r="GI54" s="337"/>
      <c r="GJ54" s="337"/>
      <c r="GK54" s="337"/>
      <c r="GL54" s="337"/>
      <c r="GM54" s="337"/>
      <c r="GN54" s="337"/>
      <c r="GO54" s="337"/>
      <c r="GP54" s="337"/>
      <c r="GQ54" s="337"/>
      <c r="GR54" s="337"/>
      <c r="GS54" s="337"/>
      <c r="GT54" s="337"/>
      <c r="GU54" s="337"/>
      <c r="GV54" s="337"/>
      <c r="GW54" s="337"/>
      <c r="GX54" s="337"/>
      <c r="GY54" s="337"/>
      <c r="GZ54" s="337"/>
      <c r="HA54" s="337"/>
      <c r="HB54" s="337"/>
      <c r="HC54" s="337"/>
      <c r="HD54" s="337"/>
      <c r="HE54" s="337"/>
      <c r="HF54" s="337"/>
      <c r="HG54" s="337"/>
      <c r="HH54" s="337"/>
      <c r="HI54" s="337"/>
      <c r="HJ54" s="337"/>
      <c r="HK54" s="337"/>
      <c r="HL54" s="337"/>
      <c r="HM54" s="337"/>
      <c r="HN54" s="337"/>
      <c r="HO54" s="337"/>
      <c r="HP54" s="337"/>
      <c r="HQ54" s="337"/>
      <c r="HR54" s="337"/>
      <c r="HS54" s="337"/>
      <c r="HT54" s="337"/>
      <c r="HU54" s="337"/>
      <c r="HV54" s="337"/>
      <c r="HW54" s="337"/>
      <c r="HX54" s="337"/>
      <c r="HY54" s="337"/>
      <c r="HZ54" s="337"/>
      <c r="IA54" s="337"/>
      <c r="IB54" s="337"/>
      <c r="IC54" s="337"/>
      <c r="ID54" s="337"/>
      <c r="IE54" s="337"/>
      <c r="IF54" s="337"/>
      <c r="IG54" s="337"/>
      <c r="IH54" s="337"/>
      <c r="II54" s="337"/>
      <c r="IJ54" s="337"/>
      <c r="IK54" s="337"/>
      <c r="IL54" s="337"/>
      <c r="IM54" s="337"/>
      <c r="IN54" s="337"/>
      <c r="IO54" s="337"/>
      <c r="IP54" s="337"/>
      <c r="IQ54" s="337"/>
      <c r="IR54" s="337"/>
      <c r="IS54" s="337"/>
      <c r="IT54" s="337"/>
      <c r="IU54" s="337"/>
      <c r="IV54" s="337"/>
    </row>
    <row r="55" spans="20:256" s="575" customFormat="1" ht="21" customHeight="1">
      <c r="T55" s="337"/>
      <c r="U55" s="337"/>
      <c r="V55" s="337"/>
      <c r="W55" s="337"/>
      <c r="X55" s="337"/>
      <c r="Y55" s="337"/>
      <c r="Z55" s="337"/>
      <c r="AA55" s="337"/>
      <c r="AB55" s="337"/>
      <c r="AC55" s="337"/>
      <c r="AD55" s="337"/>
      <c r="AE55" s="337"/>
      <c r="AF55" s="337"/>
      <c r="AG55" s="337"/>
      <c r="AH55" s="337"/>
      <c r="AI55" s="337"/>
      <c r="AJ55" s="337"/>
      <c r="AK55" s="337"/>
      <c r="AL55" s="337"/>
      <c r="AM55" s="337"/>
      <c r="AN55" s="337"/>
      <c r="AO55" s="337"/>
      <c r="AP55" s="337"/>
      <c r="AQ55" s="337"/>
      <c r="AR55" s="337"/>
      <c r="AS55" s="337"/>
      <c r="AT55" s="337"/>
      <c r="AU55" s="337"/>
      <c r="AV55" s="337"/>
      <c r="AW55" s="337"/>
      <c r="AX55" s="337"/>
      <c r="AY55" s="337"/>
      <c r="AZ55" s="337"/>
      <c r="BA55" s="337"/>
      <c r="BB55" s="337"/>
      <c r="BC55" s="337"/>
      <c r="BD55" s="337"/>
      <c r="BE55" s="337"/>
      <c r="BF55" s="337"/>
      <c r="BG55" s="337"/>
      <c r="BH55" s="337"/>
      <c r="BI55" s="337"/>
      <c r="BJ55" s="337"/>
      <c r="BK55" s="337"/>
      <c r="BL55" s="337"/>
      <c r="BM55" s="337"/>
      <c r="BN55" s="337"/>
      <c r="BO55" s="337"/>
      <c r="BP55" s="337"/>
      <c r="BQ55" s="337"/>
      <c r="BR55" s="337"/>
      <c r="BS55" s="337"/>
      <c r="BT55" s="337"/>
      <c r="BU55" s="337"/>
      <c r="BV55" s="337"/>
      <c r="BW55" s="337"/>
      <c r="BX55" s="337"/>
      <c r="BY55" s="337"/>
      <c r="BZ55" s="337"/>
      <c r="CA55" s="337"/>
      <c r="CB55" s="337"/>
      <c r="CC55" s="337"/>
      <c r="CD55" s="337"/>
      <c r="CE55" s="337"/>
      <c r="CF55" s="337"/>
      <c r="CG55" s="337"/>
      <c r="CH55" s="337"/>
      <c r="CI55" s="337"/>
      <c r="CJ55" s="337"/>
      <c r="CK55" s="337"/>
      <c r="CL55" s="337"/>
      <c r="CM55" s="337"/>
      <c r="CN55" s="337"/>
      <c r="CO55" s="337"/>
      <c r="CP55" s="337"/>
      <c r="CQ55" s="337"/>
      <c r="CR55" s="337"/>
      <c r="CS55" s="337"/>
      <c r="CT55" s="337"/>
      <c r="CU55" s="337"/>
      <c r="CV55" s="337"/>
      <c r="CW55" s="337"/>
      <c r="CX55" s="337"/>
      <c r="CY55" s="337"/>
      <c r="CZ55" s="337"/>
      <c r="DA55" s="337"/>
      <c r="DB55" s="337"/>
      <c r="DC55" s="337"/>
      <c r="DD55" s="337"/>
      <c r="DE55" s="337"/>
      <c r="DF55" s="337"/>
      <c r="DG55" s="337"/>
      <c r="DH55" s="337"/>
      <c r="DI55" s="337"/>
      <c r="DJ55" s="337"/>
      <c r="DK55" s="337"/>
      <c r="DL55" s="337"/>
      <c r="DM55" s="337"/>
      <c r="DN55" s="337"/>
      <c r="DO55" s="337"/>
      <c r="DP55" s="337"/>
      <c r="DQ55" s="337"/>
      <c r="DR55" s="337"/>
      <c r="DS55" s="337"/>
      <c r="DT55" s="337"/>
      <c r="DU55" s="337"/>
      <c r="DV55" s="337"/>
      <c r="DW55" s="337"/>
      <c r="DX55" s="337"/>
      <c r="DY55" s="337"/>
      <c r="DZ55" s="337"/>
      <c r="EA55" s="337"/>
      <c r="EB55" s="337"/>
      <c r="EC55" s="337"/>
      <c r="ED55" s="337"/>
      <c r="EE55" s="337"/>
      <c r="EF55" s="337"/>
      <c r="EG55" s="337"/>
      <c r="EH55" s="337"/>
      <c r="EI55" s="337"/>
      <c r="EJ55" s="337"/>
      <c r="EK55" s="337"/>
      <c r="EL55" s="337"/>
      <c r="EM55" s="337"/>
      <c r="EN55" s="337"/>
      <c r="EO55" s="337"/>
      <c r="EP55" s="337"/>
      <c r="EQ55" s="337"/>
      <c r="ER55" s="337"/>
      <c r="ES55" s="337"/>
      <c r="ET55" s="337"/>
      <c r="EU55" s="337"/>
      <c r="EV55" s="337"/>
      <c r="EW55" s="337"/>
      <c r="EX55" s="337"/>
      <c r="EY55" s="337"/>
      <c r="EZ55" s="337"/>
      <c r="FA55" s="337"/>
      <c r="FB55" s="337"/>
      <c r="FC55" s="337"/>
      <c r="FD55" s="337"/>
      <c r="FE55" s="337"/>
      <c r="FF55" s="337"/>
      <c r="FG55" s="337"/>
      <c r="FH55" s="337"/>
      <c r="FI55" s="337"/>
      <c r="FJ55" s="337"/>
      <c r="FK55" s="337"/>
      <c r="FL55" s="337"/>
      <c r="FM55" s="337"/>
      <c r="FN55" s="337"/>
      <c r="FO55" s="337"/>
      <c r="FP55" s="337"/>
      <c r="FQ55" s="337"/>
      <c r="FR55" s="337"/>
      <c r="FS55" s="337"/>
      <c r="FT55" s="337"/>
      <c r="FU55" s="337"/>
      <c r="FV55" s="337"/>
      <c r="FW55" s="337"/>
      <c r="FX55" s="337"/>
      <c r="FY55" s="337"/>
      <c r="FZ55" s="337"/>
      <c r="GA55" s="337"/>
      <c r="GB55" s="337"/>
      <c r="GC55" s="337"/>
      <c r="GD55" s="337"/>
      <c r="GE55" s="337"/>
      <c r="GF55" s="337"/>
      <c r="GG55" s="337"/>
      <c r="GH55" s="337"/>
      <c r="GI55" s="337"/>
      <c r="GJ55" s="337"/>
      <c r="GK55" s="337"/>
      <c r="GL55" s="337"/>
      <c r="GM55" s="337"/>
      <c r="GN55" s="337"/>
      <c r="GO55" s="337"/>
      <c r="GP55" s="337"/>
      <c r="GQ55" s="337"/>
      <c r="GR55" s="337"/>
      <c r="GS55" s="337"/>
      <c r="GT55" s="337"/>
      <c r="GU55" s="337"/>
      <c r="GV55" s="337"/>
      <c r="GW55" s="337"/>
      <c r="GX55" s="337"/>
      <c r="GY55" s="337"/>
      <c r="GZ55" s="337"/>
      <c r="HA55" s="337"/>
      <c r="HB55" s="337"/>
      <c r="HC55" s="337"/>
      <c r="HD55" s="337"/>
      <c r="HE55" s="337"/>
      <c r="HF55" s="337"/>
      <c r="HG55" s="337"/>
      <c r="HH55" s="337"/>
      <c r="HI55" s="337"/>
      <c r="HJ55" s="337"/>
      <c r="HK55" s="337"/>
      <c r="HL55" s="337"/>
      <c r="HM55" s="337"/>
      <c r="HN55" s="337"/>
      <c r="HO55" s="337"/>
      <c r="HP55" s="337"/>
      <c r="HQ55" s="337"/>
      <c r="HR55" s="337"/>
      <c r="HS55" s="337"/>
      <c r="HT55" s="337"/>
      <c r="HU55" s="337"/>
      <c r="HV55" s="337"/>
      <c r="HW55" s="337"/>
      <c r="HX55" s="337"/>
      <c r="HY55" s="337"/>
      <c r="HZ55" s="337"/>
      <c r="IA55" s="337"/>
      <c r="IB55" s="337"/>
      <c r="IC55" s="337"/>
      <c r="ID55" s="337"/>
      <c r="IE55" s="337"/>
      <c r="IF55" s="337"/>
      <c r="IG55" s="337"/>
      <c r="IH55" s="337"/>
      <c r="II55" s="337"/>
      <c r="IJ55" s="337"/>
      <c r="IK55" s="337"/>
      <c r="IL55" s="337"/>
      <c r="IM55" s="337"/>
      <c r="IN55" s="337"/>
      <c r="IO55" s="337"/>
      <c r="IP55" s="337"/>
      <c r="IQ55" s="337"/>
      <c r="IR55" s="337"/>
      <c r="IS55" s="337"/>
      <c r="IT55" s="337"/>
      <c r="IU55" s="337"/>
      <c r="IV55" s="337"/>
    </row>
    <row r="56" spans="20:256" s="575" customFormat="1" ht="21" customHeight="1">
      <c r="T56" s="337"/>
      <c r="U56" s="337"/>
      <c r="V56" s="337"/>
      <c r="W56" s="337"/>
      <c r="X56" s="337"/>
      <c r="Y56" s="337"/>
      <c r="Z56" s="337"/>
      <c r="AA56" s="337"/>
      <c r="AB56" s="337"/>
      <c r="AC56" s="337"/>
      <c r="AD56" s="337"/>
      <c r="AE56" s="337"/>
      <c r="AF56" s="337"/>
      <c r="AG56" s="337"/>
      <c r="AH56" s="337"/>
      <c r="AI56" s="337"/>
      <c r="AJ56" s="337"/>
      <c r="AK56" s="337"/>
      <c r="AL56" s="337"/>
      <c r="AM56" s="337"/>
      <c r="AN56" s="337"/>
      <c r="AO56" s="337"/>
      <c r="AP56" s="337"/>
      <c r="AQ56" s="337"/>
      <c r="AR56" s="337"/>
      <c r="AS56" s="337"/>
      <c r="AT56" s="337"/>
      <c r="AU56" s="337"/>
      <c r="AV56" s="337"/>
      <c r="AW56" s="337"/>
      <c r="AX56" s="337"/>
      <c r="AY56" s="337"/>
      <c r="AZ56" s="337"/>
      <c r="BA56" s="337"/>
      <c r="BB56" s="337"/>
      <c r="BC56" s="337"/>
      <c r="BD56" s="337"/>
      <c r="BE56" s="337"/>
      <c r="BF56" s="337"/>
      <c r="BG56" s="337"/>
      <c r="BH56" s="337"/>
      <c r="BI56" s="337"/>
      <c r="BJ56" s="337"/>
      <c r="BK56" s="337"/>
      <c r="BL56" s="337"/>
      <c r="BM56" s="337"/>
      <c r="BN56" s="337"/>
      <c r="BO56" s="337"/>
      <c r="BP56" s="337"/>
      <c r="BQ56" s="337"/>
      <c r="BR56" s="337"/>
      <c r="BS56" s="337"/>
      <c r="BT56" s="337"/>
      <c r="BU56" s="337"/>
      <c r="BV56" s="337"/>
      <c r="BW56" s="337"/>
      <c r="BX56" s="337"/>
      <c r="BY56" s="337"/>
      <c r="BZ56" s="337"/>
      <c r="CA56" s="337"/>
      <c r="CB56" s="337"/>
      <c r="CC56" s="337"/>
      <c r="CD56" s="337"/>
      <c r="CE56" s="337"/>
      <c r="CF56" s="337"/>
      <c r="CG56" s="337"/>
      <c r="CH56" s="337"/>
      <c r="CI56" s="337"/>
      <c r="CJ56" s="337"/>
      <c r="CK56" s="337"/>
      <c r="CL56" s="337"/>
      <c r="CM56" s="337"/>
      <c r="CN56" s="337"/>
      <c r="CO56" s="337"/>
      <c r="CP56" s="337"/>
      <c r="CQ56" s="337"/>
      <c r="CR56" s="337"/>
      <c r="CS56" s="337"/>
      <c r="CT56" s="337"/>
      <c r="CU56" s="337"/>
      <c r="CV56" s="337"/>
      <c r="CW56" s="337"/>
      <c r="CX56" s="337"/>
      <c r="CY56" s="337"/>
      <c r="CZ56" s="337"/>
      <c r="DA56" s="337"/>
      <c r="DB56" s="337"/>
      <c r="DC56" s="337"/>
      <c r="DD56" s="337"/>
      <c r="DE56" s="337"/>
      <c r="DF56" s="337"/>
      <c r="DG56" s="337"/>
      <c r="DH56" s="337"/>
      <c r="DI56" s="337"/>
      <c r="DJ56" s="337"/>
      <c r="DK56" s="337"/>
      <c r="DL56" s="337"/>
      <c r="DM56" s="337"/>
      <c r="DN56" s="337"/>
      <c r="DO56" s="337"/>
      <c r="DP56" s="337"/>
      <c r="DQ56" s="337"/>
      <c r="DR56" s="337"/>
      <c r="DS56" s="337"/>
      <c r="DT56" s="337"/>
      <c r="DU56" s="337"/>
      <c r="DV56" s="337"/>
      <c r="DW56" s="337"/>
      <c r="DX56" s="337"/>
      <c r="DY56" s="337"/>
      <c r="DZ56" s="337"/>
      <c r="EA56" s="337"/>
      <c r="EB56" s="337"/>
      <c r="EC56" s="337"/>
      <c r="ED56" s="337"/>
      <c r="EE56" s="337"/>
      <c r="EF56" s="337"/>
      <c r="EG56" s="337"/>
      <c r="EH56" s="337"/>
      <c r="EI56" s="337"/>
      <c r="EJ56" s="337"/>
      <c r="EK56" s="337"/>
      <c r="EL56" s="337"/>
      <c r="EM56" s="337"/>
      <c r="EN56" s="337"/>
      <c r="EO56" s="337"/>
      <c r="EP56" s="337"/>
      <c r="EQ56" s="337"/>
      <c r="ER56" s="337"/>
      <c r="ES56" s="337"/>
      <c r="ET56" s="337"/>
      <c r="EU56" s="337"/>
      <c r="EV56" s="337"/>
      <c r="EW56" s="337"/>
      <c r="EX56" s="337"/>
      <c r="EY56" s="337"/>
      <c r="EZ56" s="337"/>
      <c r="FA56" s="337"/>
      <c r="FB56" s="337"/>
      <c r="FC56" s="337"/>
      <c r="FD56" s="337"/>
      <c r="FE56" s="337"/>
      <c r="FF56" s="337"/>
      <c r="FG56" s="337"/>
      <c r="FH56" s="337"/>
      <c r="FI56" s="337"/>
      <c r="FJ56" s="337"/>
      <c r="FK56" s="337"/>
      <c r="FL56" s="337"/>
      <c r="FM56" s="337"/>
      <c r="FN56" s="337"/>
      <c r="FO56" s="337"/>
      <c r="FP56" s="337"/>
      <c r="FQ56" s="337"/>
      <c r="FR56" s="337"/>
      <c r="FS56" s="337"/>
      <c r="FT56" s="337"/>
      <c r="FU56" s="337"/>
      <c r="FV56" s="337"/>
      <c r="FW56" s="337"/>
      <c r="FX56" s="337"/>
      <c r="FY56" s="337"/>
      <c r="FZ56" s="337"/>
      <c r="GA56" s="337"/>
      <c r="GB56" s="337"/>
      <c r="GC56" s="337"/>
      <c r="GD56" s="337"/>
      <c r="GE56" s="337"/>
      <c r="GF56" s="337"/>
      <c r="GG56" s="337"/>
      <c r="GH56" s="337"/>
      <c r="GI56" s="337"/>
      <c r="GJ56" s="337"/>
      <c r="GK56" s="337"/>
      <c r="GL56" s="337"/>
      <c r="GM56" s="337"/>
      <c r="GN56" s="337"/>
      <c r="GO56" s="337"/>
      <c r="GP56" s="337"/>
      <c r="GQ56" s="337"/>
      <c r="GR56" s="337"/>
      <c r="GS56" s="337"/>
      <c r="GT56" s="337"/>
      <c r="GU56" s="337"/>
      <c r="GV56" s="337"/>
      <c r="GW56" s="337"/>
      <c r="GX56" s="337"/>
      <c r="GY56" s="337"/>
      <c r="GZ56" s="337"/>
      <c r="HA56" s="337"/>
      <c r="HB56" s="337"/>
      <c r="HC56" s="337"/>
      <c r="HD56" s="337"/>
      <c r="HE56" s="337"/>
      <c r="HF56" s="337"/>
      <c r="HG56" s="337"/>
      <c r="HH56" s="337"/>
      <c r="HI56" s="337"/>
      <c r="HJ56" s="337"/>
      <c r="HK56" s="337"/>
      <c r="HL56" s="337"/>
      <c r="HM56" s="337"/>
      <c r="HN56" s="337"/>
      <c r="HO56" s="337"/>
      <c r="HP56" s="337"/>
      <c r="HQ56" s="337"/>
      <c r="HR56" s="337"/>
      <c r="HS56" s="337"/>
      <c r="HT56" s="337"/>
      <c r="HU56" s="337"/>
      <c r="HV56" s="337"/>
      <c r="HW56" s="337"/>
      <c r="HX56" s="337"/>
      <c r="HY56" s="337"/>
      <c r="HZ56" s="337"/>
      <c r="IA56" s="337"/>
      <c r="IB56" s="337"/>
      <c r="IC56" s="337"/>
      <c r="ID56" s="337"/>
      <c r="IE56" s="337"/>
      <c r="IF56" s="337"/>
      <c r="IG56" s="337"/>
      <c r="IH56" s="337"/>
      <c r="II56" s="337"/>
      <c r="IJ56" s="337"/>
      <c r="IK56" s="337"/>
      <c r="IL56" s="337"/>
      <c r="IM56" s="337"/>
      <c r="IN56" s="337"/>
      <c r="IO56" s="337"/>
      <c r="IP56" s="337"/>
      <c r="IQ56" s="337"/>
      <c r="IR56" s="337"/>
      <c r="IS56" s="337"/>
      <c r="IT56" s="337"/>
      <c r="IU56" s="337"/>
      <c r="IV56" s="337"/>
    </row>
    <row r="57" spans="20:256" s="575" customFormat="1" ht="21" customHeight="1">
      <c r="T57" s="337"/>
      <c r="U57" s="337"/>
      <c r="V57" s="337"/>
      <c r="W57" s="337"/>
      <c r="X57" s="337"/>
      <c r="Y57" s="337"/>
      <c r="Z57" s="337"/>
      <c r="AA57" s="337"/>
      <c r="AB57" s="337"/>
      <c r="AC57" s="337"/>
      <c r="AD57" s="337"/>
      <c r="AE57" s="337"/>
      <c r="AF57" s="337"/>
      <c r="AG57" s="337"/>
      <c r="AH57" s="337"/>
      <c r="AI57" s="337"/>
      <c r="AJ57" s="337"/>
      <c r="AK57" s="337"/>
      <c r="AL57" s="337"/>
      <c r="AM57" s="337"/>
      <c r="AN57" s="337"/>
      <c r="AO57" s="337"/>
      <c r="AP57" s="337"/>
      <c r="AQ57" s="337"/>
      <c r="AR57" s="337"/>
      <c r="AS57" s="337"/>
      <c r="AT57" s="337"/>
      <c r="AU57" s="337"/>
      <c r="AV57" s="337"/>
      <c r="AW57" s="337"/>
      <c r="AX57" s="337"/>
      <c r="AY57" s="337"/>
      <c r="AZ57" s="337"/>
      <c r="BA57" s="337"/>
      <c r="BB57" s="337"/>
      <c r="BC57" s="337"/>
      <c r="BD57" s="337"/>
      <c r="BE57" s="337"/>
      <c r="BF57" s="337"/>
      <c r="BG57" s="337"/>
      <c r="BH57" s="337"/>
      <c r="BI57" s="337"/>
      <c r="BJ57" s="337"/>
      <c r="BK57" s="337"/>
      <c r="BL57" s="337"/>
      <c r="BM57" s="337"/>
      <c r="BN57" s="337"/>
      <c r="BO57" s="337"/>
      <c r="BP57" s="337"/>
      <c r="BQ57" s="337"/>
      <c r="BR57" s="337"/>
      <c r="BS57" s="337"/>
      <c r="BT57" s="337"/>
      <c r="BU57" s="337"/>
      <c r="BV57" s="337"/>
      <c r="BW57" s="337"/>
      <c r="BX57" s="337"/>
      <c r="BY57" s="337"/>
      <c r="BZ57" s="337"/>
      <c r="CA57" s="337"/>
      <c r="CB57" s="337"/>
      <c r="CC57" s="337"/>
      <c r="CD57" s="337"/>
      <c r="CE57" s="337"/>
      <c r="CF57" s="337"/>
      <c r="CG57" s="337"/>
      <c r="CH57" s="337"/>
      <c r="CI57" s="337"/>
      <c r="CJ57" s="337"/>
      <c r="CK57" s="337"/>
      <c r="CL57" s="337"/>
      <c r="CM57" s="337"/>
      <c r="CN57" s="337"/>
      <c r="CO57" s="337"/>
      <c r="CP57" s="337"/>
      <c r="CQ57" s="337"/>
      <c r="CR57" s="337"/>
      <c r="CS57" s="337"/>
      <c r="CT57" s="337"/>
      <c r="CU57" s="337"/>
      <c r="CV57" s="337"/>
      <c r="CW57" s="337"/>
      <c r="CX57" s="337"/>
      <c r="CY57" s="337"/>
      <c r="CZ57" s="337"/>
      <c r="DA57" s="337"/>
      <c r="DB57" s="337"/>
      <c r="DC57" s="337"/>
      <c r="DD57" s="337"/>
      <c r="DE57" s="337"/>
      <c r="DF57" s="337"/>
      <c r="DG57" s="337"/>
      <c r="DH57" s="337"/>
      <c r="DI57" s="337"/>
      <c r="DJ57" s="337"/>
      <c r="DK57" s="337"/>
      <c r="DL57" s="337"/>
      <c r="DM57" s="337"/>
      <c r="DN57" s="337"/>
      <c r="DO57" s="337"/>
      <c r="DP57" s="337"/>
      <c r="DQ57" s="337"/>
      <c r="DR57" s="337"/>
      <c r="DS57" s="337"/>
      <c r="DT57" s="337"/>
      <c r="DU57" s="337"/>
      <c r="DV57" s="337"/>
      <c r="DW57" s="337"/>
      <c r="DX57" s="337"/>
      <c r="DY57" s="337"/>
      <c r="DZ57" s="337"/>
      <c r="EA57" s="337"/>
      <c r="EB57" s="337"/>
      <c r="EC57" s="337"/>
      <c r="ED57" s="337"/>
      <c r="EE57" s="337"/>
      <c r="EF57" s="337"/>
      <c r="EG57" s="337"/>
      <c r="EH57" s="337"/>
      <c r="EI57" s="337"/>
      <c r="EJ57" s="337"/>
      <c r="EK57" s="337"/>
      <c r="EL57" s="337"/>
      <c r="EM57" s="337"/>
      <c r="EN57" s="337"/>
      <c r="EO57" s="337"/>
      <c r="EP57" s="337"/>
      <c r="EQ57" s="337"/>
      <c r="ER57" s="337"/>
      <c r="ES57" s="337"/>
      <c r="ET57" s="337"/>
      <c r="EU57" s="337"/>
      <c r="EV57" s="337"/>
      <c r="EW57" s="337"/>
      <c r="EX57" s="337"/>
      <c r="EY57" s="337"/>
      <c r="EZ57" s="337"/>
      <c r="FA57" s="337"/>
      <c r="FB57" s="337"/>
      <c r="FC57" s="337"/>
      <c r="FD57" s="337"/>
      <c r="FE57" s="337"/>
      <c r="FF57" s="337"/>
      <c r="FG57" s="337"/>
      <c r="FH57" s="337"/>
      <c r="FI57" s="337"/>
      <c r="FJ57" s="337"/>
      <c r="FK57" s="337"/>
      <c r="FL57" s="337"/>
      <c r="FM57" s="337"/>
      <c r="FN57" s="337"/>
      <c r="FO57" s="337"/>
      <c r="FP57" s="337"/>
      <c r="FQ57" s="337"/>
      <c r="FR57" s="337"/>
      <c r="FS57" s="337"/>
      <c r="FT57" s="337"/>
      <c r="FU57" s="337"/>
      <c r="FV57" s="337"/>
      <c r="FW57" s="337"/>
      <c r="FX57" s="337"/>
      <c r="FY57" s="337"/>
      <c r="FZ57" s="337"/>
      <c r="GA57" s="337"/>
      <c r="GB57" s="337"/>
      <c r="GC57" s="337"/>
      <c r="GD57" s="337"/>
      <c r="GE57" s="337"/>
      <c r="GF57" s="337"/>
      <c r="GG57" s="337"/>
      <c r="GH57" s="337"/>
      <c r="GI57" s="337"/>
      <c r="GJ57" s="337"/>
      <c r="GK57" s="337"/>
      <c r="GL57" s="337"/>
      <c r="GM57" s="337"/>
      <c r="GN57" s="337"/>
      <c r="GO57" s="337"/>
      <c r="GP57" s="337"/>
      <c r="GQ57" s="337"/>
      <c r="GR57" s="337"/>
      <c r="GS57" s="337"/>
      <c r="GT57" s="337"/>
      <c r="GU57" s="337"/>
      <c r="GV57" s="337"/>
      <c r="GW57" s="337"/>
      <c r="GX57" s="337"/>
      <c r="GY57" s="337"/>
      <c r="GZ57" s="337"/>
      <c r="HA57" s="337"/>
      <c r="HB57" s="337"/>
      <c r="HC57" s="337"/>
      <c r="HD57" s="337"/>
      <c r="HE57" s="337"/>
      <c r="HF57" s="337"/>
      <c r="HG57" s="337"/>
      <c r="HH57" s="337"/>
      <c r="HI57" s="337"/>
      <c r="HJ57" s="337"/>
      <c r="HK57" s="337"/>
      <c r="HL57" s="337"/>
      <c r="HM57" s="337"/>
      <c r="HN57" s="337"/>
      <c r="HO57" s="337"/>
      <c r="HP57" s="337"/>
      <c r="HQ57" s="337"/>
      <c r="HR57" s="337"/>
      <c r="HS57" s="337"/>
      <c r="HT57" s="337"/>
      <c r="HU57" s="337"/>
      <c r="HV57" s="337"/>
      <c r="HW57" s="337"/>
      <c r="HX57" s="337"/>
      <c r="HY57" s="337"/>
      <c r="HZ57" s="337"/>
      <c r="IA57" s="337"/>
      <c r="IB57" s="337"/>
      <c r="IC57" s="337"/>
      <c r="ID57" s="337"/>
      <c r="IE57" s="337"/>
      <c r="IF57" s="337"/>
      <c r="IG57" s="337"/>
      <c r="IH57" s="337"/>
      <c r="II57" s="337"/>
      <c r="IJ57" s="337"/>
      <c r="IK57" s="337"/>
      <c r="IL57" s="337"/>
      <c r="IM57" s="337"/>
      <c r="IN57" s="337"/>
      <c r="IO57" s="337"/>
      <c r="IP57" s="337"/>
      <c r="IQ57" s="337"/>
      <c r="IR57" s="337"/>
      <c r="IS57" s="337"/>
      <c r="IT57" s="337"/>
      <c r="IU57" s="337"/>
      <c r="IV57" s="337"/>
    </row>
    <row r="58" spans="20:256" s="575" customFormat="1" ht="21" customHeight="1">
      <c r="T58" s="337"/>
      <c r="U58" s="337"/>
      <c r="V58" s="337"/>
      <c r="W58" s="337"/>
      <c r="X58" s="337"/>
      <c r="Y58" s="337"/>
      <c r="Z58" s="337"/>
      <c r="AA58" s="337"/>
      <c r="AB58" s="337"/>
      <c r="AC58" s="337"/>
      <c r="AD58" s="337"/>
      <c r="AE58" s="337"/>
      <c r="AF58" s="337"/>
      <c r="AG58" s="337"/>
      <c r="AH58" s="337"/>
      <c r="AI58" s="337"/>
      <c r="AJ58" s="337"/>
      <c r="AK58" s="337"/>
      <c r="AL58" s="337"/>
      <c r="AM58" s="337"/>
      <c r="AN58" s="337"/>
      <c r="AO58" s="337"/>
      <c r="AP58" s="337"/>
      <c r="AQ58" s="337"/>
      <c r="AR58" s="337"/>
      <c r="AS58" s="337"/>
      <c r="AT58" s="337"/>
      <c r="AU58" s="337"/>
      <c r="AV58" s="337"/>
      <c r="AW58" s="337"/>
      <c r="AX58" s="337"/>
      <c r="AY58" s="337"/>
      <c r="AZ58" s="337"/>
      <c r="BA58" s="337"/>
      <c r="BB58" s="337"/>
      <c r="BC58" s="337"/>
      <c r="BD58" s="337"/>
      <c r="BE58" s="337"/>
      <c r="BF58" s="337"/>
      <c r="BG58" s="337"/>
      <c r="BH58" s="337"/>
      <c r="BI58" s="337"/>
      <c r="BJ58" s="337"/>
      <c r="BK58" s="337"/>
      <c r="BL58" s="337"/>
      <c r="BM58" s="337"/>
      <c r="BN58" s="337"/>
      <c r="BO58" s="337"/>
      <c r="BP58" s="337"/>
      <c r="BQ58" s="337"/>
      <c r="BR58" s="337"/>
      <c r="BS58" s="337"/>
      <c r="BT58" s="337"/>
      <c r="BU58" s="337"/>
      <c r="BV58" s="337"/>
      <c r="BW58" s="337"/>
      <c r="BX58" s="337"/>
      <c r="BY58" s="337"/>
      <c r="BZ58" s="337"/>
      <c r="CA58" s="337"/>
      <c r="CB58" s="337"/>
      <c r="CC58" s="337"/>
      <c r="CD58" s="337"/>
      <c r="CE58" s="337"/>
      <c r="CF58" s="337"/>
      <c r="CG58" s="337"/>
      <c r="CH58" s="337"/>
      <c r="CI58" s="337"/>
      <c r="CJ58" s="337"/>
      <c r="CK58" s="337"/>
      <c r="CL58" s="337"/>
      <c r="CM58" s="337"/>
      <c r="CN58" s="337"/>
      <c r="CO58" s="337"/>
      <c r="CP58" s="337"/>
      <c r="CQ58" s="337"/>
      <c r="CR58" s="337"/>
      <c r="CS58" s="337"/>
      <c r="CT58" s="337"/>
      <c r="CU58" s="337"/>
      <c r="CV58" s="337"/>
      <c r="CW58" s="337"/>
      <c r="CX58" s="337"/>
      <c r="CY58" s="337"/>
      <c r="CZ58" s="337"/>
      <c r="DA58" s="337"/>
      <c r="DB58" s="337"/>
      <c r="DC58" s="337"/>
      <c r="DD58" s="337"/>
      <c r="DE58" s="337"/>
      <c r="DF58" s="337"/>
      <c r="DG58" s="337"/>
      <c r="DH58" s="337"/>
      <c r="DI58" s="337"/>
      <c r="DJ58" s="337"/>
      <c r="DK58" s="337"/>
      <c r="DL58" s="337"/>
      <c r="DM58" s="337"/>
      <c r="DN58" s="337"/>
      <c r="DO58" s="337"/>
      <c r="DP58" s="337"/>
      <c r="DQ58" s="337"/>
      <c r="DR58" s="337"/>
      <c r="DS58" s="337"/>
      <c r="DT58" s="337"/>
      <c r="DU58" s="337"/>
      <c r="DV58" s="337"/>
      <c r="DW58" s="337"/>
      <c r="DX58" s="337"/>
      <c r="DY58" s="337"/>
      <c r="DZ58" s="337"/>
      <c r="EA58" s="337"/>
      <c r="EB58" s="337"/>
      <c r="EC58" s="337"/>
      <c r="ED58" s="337"/>
      <c r="EE58" s="337"/>
      <c r="EF58" s="337"/>
      <c r="EG58" s="337"/>
      <c r="EH58" s="337"/>
      <c r="EI58" s="337"/>
      <c r="EJ58" s="337"/>
      <c r="EK58" s="337"/>
      <c r="EL58" s="337"/>
      <c r="EM58" s="337"/>
      <c r="EN58" s="337"/>
      <c r="EO58" s="337"/>
      <c r="EP58" s="337"/>
      <c r="EQ58" s="337"/>
      <c r="ER58" s="337"/>
      <c r="ES58" s="337"/>
      <c r="ET58" s="337"/>
      <c r="EU58" s="337"/>
      <c r="EV58" s="337"/>
      <c r="EW58" s="337"/>
      <c r="EX58" s="337"/>
      <c r="EY58" s="337"/>
      <c r="EZ58" s="337"/>
      <c r="FA58" s="337"/>
      <c r="FB58" s="337"/>
      <c r="FC58" s="337"/>
      <c r="FD58" s="337"/>
      <c r="FE58" s="337"/>
      <c r="FF58" s="337"/>
      <c r="FG58" s="337"/>
      <c r="FH58" s="337"/>
      <c r="FI58" s="337"/>
      <c r="FJ58" s="337"/>
      <c r="FK58" s="337"/>
      <c r="FL58" s="337"/>
      <c r="FM58" s="337"/>
      <c r="FN58" s="337"/>
      <c r="FO58" s="337"/>
      <c r="FP58" s="337"/>
      <c r="FQ58" s="337"/>
      <c r="FR58" s="337"/>
      <c r="FS58" s="337"/>
      <c r="FT58" s="337"/>
      <c r="FU58" s="337"/>
      <c r="FV58" s="337"/>
      <c r="FW58" s="337"/>
      <c r="FX58" s="337"/>
      <c r="FY58" s="337"/>
      <c r="FZ58" s="337"/>
      <c r="GA58" s="337"/>
      <c r="GB58" s="337"/>
      <c r="GC58" s="337"/>
      <c r="GD58" s="337"/>
      <c r="GE58" s="337"/>
      <c r="GF58" s="337"/>
      <c r="GG58" s="337"/>
      <c r="GH58" s="337"/>
      <c r="GI58" s="337"/>
      <c r="GJ58" s="337"/>
      <c r="GK58" s="337"/>
      <c r="GL58" s="337"/>
      <c r="GM58" s="337"/>
      <c r="GN58" s="337"/>
      <c r="GO58" s="337"/>
      <c r="GP58" s="337"/>
      <c r="GQ58" s="337"/>
      <c r="GR58" s="337"/>
      <c r="GS58" s="337"/>
      <c r="GT58" s="337"/>
      <c r="GU58" s="337"/>
      <c r="GV58" s="337"/>
      <c r="GW58" s="337"/>
      <c r="GX58" s="337"/>
      <c r="GY58" s="337"/>
      <c r="GZ58" s="337"/>
      <c r="HA58" s="337"/>
      <c r="HB58" s="337"/>
      <c r="HC58" s="337"/>
      <c r="HD58" s="337"/>
      <c r="HE58" s="337"/>
      <c r="HF58" s="337"/>
      <c r="HG58" s="337"/>
      <c r="HH58" s="337"/>
      <c r="HI58" s="337"/>
      <c r="HJ58" s="337"/>
      <c r="HK58" s="337"/>
      <c r="HL58" s="337"/>
      <c r="HM58" s="337"/>
      <c r="HN58" s="337"/>
      <c r="HO58" s="337"/>
      <c r="HP58" s="337"/>
      <c r="HQ58" s="337"/>
      <c r="HR58" s="337"/>
      <c r="HS58" s="337"/>
      <c r="HT58" s="337"/>
      <c r="HU58" s="337"/>
      <c r="HV58" s="337"/>
      <c r="HW58" s="337"/>
      <c r="HX58" s="337"/>
      <c r="HY58" s="337"/>
      <c r="HZ58" s="337"/>
      <c r="IA58" s="337"/>
      <c r="IB58" s="337"/>
      <c r="IC58" s="337"/>
      <c r="ID58" s="337"/>
      <c r="IE58" s="337"/>
      <c r="IF58" s="337"/>
      <c r="IG58" s="337"/>
      <c r="IH58" s="337"/>
      <c r="II58" s="337"/>
      <c r="IJ58" s="337"/>
      <c r="IK58" s="337"/>
      <c r="IL58" s="337"/>
      <c r="IM58" s="337"/>
      <c r="IN58" s="337"/>
      <c r="IO58" s="337"/>
      <c r="IP58" s="337"/>
      <c r="IQ58" s="337"/>
      <c r="IR58" s="337"/>
      <c r="IS58" s="337"/>
      <c r="IT58" s="337"/>
      <c r="IU58" s="337"/>
      <c r="IV58" s="337"/>
    </row>
    <row r="59" spans="20:256" ht="21" customHeight="1"/>
    <row r="60" spans="20:256" ht="21" customHeight="1"/>
    <row r="61" spans="20:256" ht="21" customHeight="1"/>
    <row r="62" spans="20:256" ht="21" customHeight="1"/>
    <row r="63" spans="20:256" ht="21" customHeight="1"/>
    <row r="64" spans="20:256" ht="21" customHeight="1">
      <c r="V64" s="577"/>
      <c r="W64" s="577"/>
      <c r="X64" s="577"/>
    </row>
    <row r="65" ht="21" customHeight="1"/>
    <row r="66" ht="21" customHeight="1"/>
  </sheetData>
  <mergeCells count="90">
    <mergeCell ref="C34:E34"/>
    <mergeCell ref="F34:G34"/>
    <mergeCell ref="H34:J34"/>
    <mergeCell ref="L34:P34"/>
    <mergeCell ref="C32:E32"/>
    <mergeCell ref="F32:G32"/>
    <mergeCell ref="H32:J32"/>
    <mergeCell ref="L32:P32"/>
    <mergeCell ref="C33:E33"/>
    <mergeCell ref="F33:G33"/>
    <mergeCell ref="H33:J33"/>
    <mergeCell ref="L33:P33"/>
    <mergeCell ref="B25:D25"/>
    <mergeCell ref="F25:H25"/>
    <mergeCell ref="L25:P25"/>
    <mergeCell ref="B26:D26"/>
    <mergeCell ref="F26:H26"/>
    <mergeCell ref="L26:P26"/>
    <mergeCell ref="B27:D27"/>
    <mergeCell ref="F27:H27"/>
    <mergeCell ref="L27:P27"/>
    <mergeCell ref="C30:Q30"/>
    <mergeCell ref="C31:E31"/>
    <mergeCell ref="F31:G31"/>
    <mergeCell ref="H31:J31"/>
    <mergeCell ref="L31:P31"/>
    <mergeCell ref="B21:D21"/>
    <mergeCell ref="F21:H21"/>
    <mergeCell ref="L21:P21"/>
    <mergeCell ref="B22:D22"/>
    <mergeCell ref="F22:H22"/>
    <mergeCell ref="L22:P22"/>
    <mergeCell ref="B23:D23"/>
    <mergeCell ref="F23:H23"/>
    <mergeCell ref="L23:P23"/>
    <mergeCell ref="B24:D24"/>
    <mergeCell ref="F24:H24"/>
    <mergeCell ref="L24:P24"/>
    <mergeCell ref="B17:D17"/>
    <mergeCell ref="F17:H17"/>
    <mergeCell ref="L17:P17"/>
    <mergeCell ref="B18:D18"/>
    <mergeCell ref="F18:H18"/>
    <mergeCell ref="L18:P18"/>
    <mergeCell ref="B19:D19"/>
    <mergeCell ref="F19:H19"/>
    <mergeCell ref="L19:P19"/>
    <mergeCell ref="B20:D20"/>
    <mergeCell ref="F20:H20"/>
    <mergeCell ref="L20:P20"/>
    <mergeCell ref="B13:D13"/>
    <mergeCell ref="F13:H13"/>
    <mergeCell ref="L13:P13"/>
    <mergeCell ref="B14:D14"/>
    <mergeCell ref="F14:H14"/>
    <mergeCell ref="L14:P14"/>
    <mergeCell ref="B15:D15"/>
    <mergeCell ref="F15:H15"/>
    <mergeCell ref="L15:P15"/>
    <mergeCell ref="B16:D16"/>
    <mergeCell ref="F16:H16"/>
    <mergeCell ref="L16:P16"/>
    <mergeCell ref="B9:D9"/>
    <mergeCell ref="F9:H9"/>
    <mergeCell ref="L9:P9"/>
    <mergeCell ref="B10:D10"/>
    <mergeCell ref="F10:H10"/>
    <mergeCell ref="L10:P10"/>
    <mergeCell ref="B11:D11"/>
    <mergeCell ref="F11:H11"/>
    <mergeCell ref="L11:P11"/>
    <mergeCell ref="B12:D12"/>
    <mergeCell ref="F12:H12"/>
    <mergeCell ref="L12:P12"/>
    <mergeCell ref="B8:D8"/>
    <mergeCell ref="F8:H8"/>
    <mergeCell ref="L8:P8"/>
    <mergeCell ref="B5:D5"/>
    <mergeCell ref="F5:H5"/>
    <mergeCell ref="L5:P5"/>
    <mergeCell ref="B6:D6"/>
    <mergeCell ref="F6:H6"/>
    <mergeCell ref="L6:P6"/>
    <mergeCell ref="B3:Q3"/>
    <mergeCell ref="B4:D4"/>
    <mergeCell ref="F4:H4"/>
    <mergeCell ref="L4:P4"/>
    <mergeCell ref="B7:D7"/>
    <mergeCell ref="F7:H7"/>
    <mergeCell ref="L7:P7"/>
  </mergeCells>
  <printOptions horizontalCentered="1"/>
  <pageMargins left="0.19685039370078741" right="0.19685039370078741" top="0.19685039370078741" bottom="0.19685039370078741" header="0" footer="0"/>
  <pageSetup paperSize="9" scale="80" orientation="portrait" horizontalDpi="4294967295"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S111"/>
  <sheetViews>
    <sheetView view="pageBreakPreview" zoomScale="63" zoomScaleSheetLayoutView="63" workbookViewId="0">
      <selection sqref="A1:W1048576"/>
    </sheetView>
  </sheetViews>
  <sheetFormatPr defaultColWidth="6.140625" defaultRowHeight="12.75"/>
  <cols>
    <col min="1" max="1" width="4.85546875" style="575" customWidth="1"/>
    <col min="2" max="3" width="6.140625" style="575"/>
    <col min="4" max="4" width="8.42578125" style="575" customWidth="1"/>
    <col min="5" max="5" width="9.140625" style="575" customWidth="1"/>
    <col min="6" max="6" width="5.85546875" style="575" customWidth="1"/>
    <col min="7" max="7" width="6.28515625" style="575" customWidth="1"/>
    <col min="8" max="8" width="8.42578125" style="575" customWidth="1"/>
    <col min="9" max="9" width="7.42578125" style="575" customWidth="1"/>
    <col min="10" max="10" width="7" style="575" customWidth="1"/>
    <col min="11" max="11" width="6.42578125" style="575" customWidth="1"/>
    <col min="12" max="12" width="7.7109375" style="575" customWidth="1"/>
    <col min="13" max="13" width="6.5703125" style="575" bestFit="1" customWidth="1"/>
    <col min="14" max="14" width="7.5703125" style="575" bestFit="1" customWidth="1"/>
    <col min="15" max="15" width="7.85546875" style="575" customWidth="1"/>
    <col min="16" max="16" width="10.42578125" style="575" bestFit="1" customWidth="1"/>
    <col min="17" max="17" width="5.28515625" style="575" customWidth="1"/>
    <col min="18" max="18" width="2.140625" style="575" customWidth="1"/>
    <col min="19" max="19" width="0.7109375" style="575" customWidth="1"/>
    <col min="20" max="149" width="6.140625" style="337"/>
    <col min="150" max="150" width="8.42578125" style="337" customWidth="1"/>
    <col min="151" max="154" width="6.140625" style="337"/>
    <col min="155" max="155" width="8.85546875" style="337" customWidth="1"/>
    <col min="156" max="157" width="6.140625" style="337"/>
    <col min="158" max="158" width="5.28515625" style="337" customWidth="1"/>
    <col min="159" max="162" width="6.140625" style="337"/>
    <col min="163" max="163" width="7.5703125" style="337" customWidth="1"/>
    <col min="164" max="16384" width="6.140625" style="337"/>
  </cols>
  <sheetData>
    <row r="1" spans="1:227" ht="21" customHeight="1" thickBot="1">
      <c r="A1" s="559"/>
      <c r="B1" s="560"/>
      <c r="C1" s="560"/>
      <c r="D1" s="560"/>
      <c r="E1" s="560"/>
      <c r="F1" s="560"/>
      <c r="G1" s="560"/>
      <c r="H1" s="560"/>
      <c r="I1" s="560"/>
      <c r="J1" s="560"/>
      <c r="K1" s="560"/>
      <c r="L1" s="560"/>
      <c r="M1" s="560"/>
      <c r="N1" s="560"/>
      <c r="O1" s="560"/>
      <c r="P1" s="560"/>
      <c r="Q1" s="560"/>
      <c r="R1" s="560"/>
      <c r="S1" s="561"/>
      <c r="T1" s="1337"/>
      <c r="U1" s="1337"/>
      <c r="V1" s="1337"/>
      <c r="W1" s="1337"/>
      <c r="X1" s="1337"/>
      <c r="Y1" s="1337"/>
      <c r="Z1" s="1337"/>
      <c r="AA1" s="1337"/>
      <c r="AB1" s="1337"/>
      <c r="AC1" s="1337"/>
      <c r="AD1" s="1337"/>
      <c r="AE1" s="1337"/>
      <c r="AF1" s="1337"/>
      <c r="AG1" s="1337"/>
      <c r="AH1" s="1337"/>
      <c r="AI1" s="1337"/>
      <c r="AJ1" s="1337"/>
      <c r="AK1" s="1337"/>
      <c r="AL1" s="1337"/>
      <c r="AM1" s="1337"/>
      <c r="AN1" s="1337"/>
      <c r="AO1" s="1337"/>
      <c r="AP1" s="1337"/>
      <c r="AQ1" s="1337"/>
      <c r="AR1" s="1337"/>
      <c r="AS1" s="1337"/>
      <c r="AT1" s="1337"/>
      <c r="AU1" s="1337"/>
      <c r="AV1" s="1337"/>
      <c r="AW1" s="1337"/>
      <c r="AX1" s="1337"/>
      <c r="AY1" s="1337"/>
      <c r="AZ1" s="1337"/>
      <c r="BA1" s="1337"/>
      <c r="BB1" s="1337"/>
      <c r="BC1" s="1337"/>
      <c r="BD1" s="1337"/>
      <c r="BE1" s="1337"/>
      <c r="BF1" s="1337"/>
      <c r="BG1" s="1337"/>
      <c r="BH1" s="1337"/>
      <c r="BI1" s="1337"/>
      <c r="BJ1" s="1337"/>
      <c r="BK1" s="1337"/>
      <c r="BL1" s="1337"/>
      <c r="BM1" s="1337"/>
      <c r="BN1" s="1337"/>
      <c r="BO1" s="1337"/>
      <c r="BP1" s="1337"/>
      <c r="BQ1" s="1337"/>
      <c r="BR1" s="1337"/>
      <c r="BS1" s="1337"/>
      <c r="BT1" s="1337"/>
      <c r="BU1" s="1337"/>
      <c r="BV1" s="1337"/>
      <c r="BW1" s="1337"/>
      <c r="BX1" s="1337"/>
      <c r="BY1" s="1337"/>
      <c r="BZ1" s="1337"/>
      <c r="CA1" s="1337"/>
      <c r="CB1" s="1337"/>
      <c r="CC1" s="1337"/>
      <c r="CD1" s="1337"/>
      <c r="CE1" s="1337"/>
      <c r="CF1" s="1337"/>
      <c r="CG1" s="1337"/>
      <c r="CH1" s="1337"/>
      <c r="CI1" s="1337"/>
      <c r="CJ1" s="1337"/>
      <c r="CK1" s="1337"/>
      <c r="CL1" s="1337"/>
      <c r="CM1" s="1337"/>
      <c r="CN1" s="1337"/>
      <c r="CO1" s="1337"/>
      <c r="CP1" s="1337"/>
      <c r="CQ1" s="1337"/>
      <c r="CR1" s="1337"/>
      <c r="CS1" s="1337"/>
      <c r="CT1" s="1337"/>
      <c r="CU1" s="1337"/>
      <c r="CV1" s="1337"/>
      <c r="CW1" s="1337"/>
      <c r="CX1" s="1337"/>
      <c r="CY1" s="1337"/>
      <c r="CZ1" s="1337"/>
      <c r="DA1" s="1337"/>
      <c r="DB1" s="1337"/>
      <c r="DC1" s="1337"/>
      <c r="DD1" s="1337"/>
      <c r="DE1" s="1337"/>
      <c r="DF1" s="1337"/>
      <c r="DG1" s="1337"/>
      <c r="DH1" s="1337"/>
      <c r="DI1" s="1337"/>
      <c r="DJ1" s="1337"/>
      <c r="DK1" s="1337"/>
      <c r="DL1" s="1337"/>
      <c r="DM1" s="1337"/>
      <c r="DN1" s="1337"/>
      <c r="DO1" s="1337"/>
      <c r="DP1" s="1337"/>
      <c r="DQ1" s="1337"/>
      <c r="DR1" s="1337"/>
      <c r="DS1" s="1337"/>
      <c r="DT1" s="1337"/>
      <c r="DU1" s="1337"/>
      <c r="DV1" s="1337"/>
      <c r="DW1" s="1337"/>
      <c r="DX1" s="1337"/>
      <c r="DY1" s="1337"/>
      <c r="DZ1" s="1337"/>
      <c r="EA1" s="1337"/>
      <c r="EB1" s="1337"/>
      <c r="EC1" s="1337"/>
      <c r="ED1" s="1337"/>
      <c r="EE1" s="1337"/>
      <c r="EF1" s="1337"/>
      <c r="EG1" s="1337"/>
      <c r="EH1" s="1337"/>
      <c r="EI1" s="1337"/>
      <c r="EJ1" s="1337"/>
      <c r="EK1" s="1337"/>
      <c r="EL1" s="1337"/>
      <c r="EM1" s="1337"/>
      <c r="EN1" s="1337"/>
      <c r="EO1" s="1337"/>
      <c r="EP1" s="1337"/>
      <c r="EQ1" s="1337"/>
      <c r="ER1" s="1337"/>
      <c r="ES1" s="1337"/>
      <c r="ET1" s="1337"/>
      <c r="EU1" s="1337"/>
      <c r="EV1" s="1337"/>
      <c r="EW1" s="1337"/>
      <c r="EX1" s="1337"/>
      <c r="EY1" s="1337"/>
      <c r="EZ1" s="1337"/>
      <c r="FA1" s="1337"/>
      <c r="FB1" s="1337"/>
      <c r="FC1" s="1337"/>
      <c r="FD1" s="1337"/>
      <c r="FE1" s="1337"/>
      <c r="FF1" s="1337"/>
      <c r="FG1" s="1337"/>
      <c r="FH1" s="1337"/>
      <c r="FI1" s="1337"/>
      <c r="FJ1" s="1337"/>
      <c r="FK1" s="1337"/>
      <c r="FL1" s="1337"/>
      <c r="FM1" s="1337"/>
      <c r="FN1" s="1337"/>
      <c r="FO1" s="1337"/>
      <c r="FP1" s="1337"/>
      <c r="FQ1" s="1337"/>
      <c r="FR1" s="1337"/>
      <c r="FS1" s="1337"/>
      <c r="FT1" s="1337"/>
      <c r="FU1" s="1337"/>
      <c r="FV1" s="1337"/>
      <c r="FW1" s="1337"/>
      <c r="FX1" s="1337"/>
      <c r="FY1" s="1337"/>
      <c r="FZ1" s="1337"/>
      <c r="GA1" s="1337"/>
      <c r="GB1" s="1337"/>
      <c r="GC1" s="1337"/>
      <c r="GD1" s="1337"/>
      <c r="GE1" s="1337"/>
      <c r="GF1" s="1337"/>
      <c r="GG1" s="1337"/>
      <c r="GH1" s="1337"/>
      <c r="GI1" s="1337"/>
      <c r="GJ1" s="1337"/>
      <c r="GK1" s="1337"/>
      <c r="GL1" s="1337"/>
      <c r="GM1" s="1337"/>
      <c r="GN1" s="1337"/>
      <c r="GO1" s="1337"/>
      <c r="GP1" s="1337"/>
      <c r="GQ1" s="1337"/>
      <c r="GR1" s="1337"/>
      <c r="GS1" s="1337"/>
      <c r="GT1" s="1337"/>
      <c r="GU1" s="1337"/>
      <c r="GV1" s="1337"/>
      <c r="GW1" s="1337"/>
      <c r="GX1" s="1337"/>
      <c r="GY1" s="1337"/>
      <c r="GZ1" s="1337"/>
      <c r="HA1" s="1337"/>
      <c r="HB1" s="1337"/>
      <c r="HC1" s="1337"/>
      <c r="HD1" s="1337"/>
      <c r="HE1" s="1337"/>
      <c r="HF1" s="1337"/>
      <c r="HG1" s="1337"/>
      <c r="HH1" s="1337"/>
      <c r="HI1" s="1337"/>
      <c r="HJ1" s="1337"/>
      <c r="HK1" s="1337"/>
      <c r="HL1" s="1337"/>
      <c r="HM1" s="1337"/>
      <c r="HN1" s="1337"/>
      <c r="HO1" s="1337"/>
      <c r="HP1" s="1337"/>
      <c r="HQ1" s="1337"/>
      <c r="HR1" s="1337"/>
      <c r="HS1" s="1337"/>
    </row>
    <row r="2" spans="1:227" ht="21" customHeight="1" thickBot="1">
      <c r="A2" s="568"/>
      <c r="B2" s="1984" t="s">
        <v>986</v>
      </c>
      <c r="C2" s="1985"/>
      <c r="D2" s="1985"/>
      <c r="E2" s="1985"/>
      <c r="F2" s="1985"/>
      <c r="G2" s="1985"/>
      <c r="H2" s="1985"/>
      <c r="I2" s="1985"/>
      <c r="J2" s="1985"/>
      <c r="K2" s="1985"/>
      <c r="L2" s="1985"/>
      <c r="M2" s="1985"/>
      <c r="N2" s="1985"/>
      <c r="O2" s="2017"/>
      <c r="P2" s="2017"/>
      <c r="Q2" s="1986"/>
      <c r="R2" s="1337"/>
      <c r="S2" s="569"/>
      <c r="T2" s="1337"/>
      <c r="U2" s="1337"/>
      <c r="V2" s="1337"/>
      <c r="W2" s="1337"/>
      <c r="X2" s="1337"/>
      <c r="Y2" s="1337"/>
      <c r="Z2" s="1337"/>
      <c r="AA2" s="1337"/>
      <c r="AB2" s="1337"/>
      <c r="AC2" s="1337"/>
      <c r="AD2" s="1337"/>
      <c r="AE2" s="1337"/>
      <c r="AF2" s="1337"/>
      <c r="AG2" s="1337"/>
      <c r="AH2" s="1337"/>
      <c r="AI2" s="1337"/>
      <c r="AJ2" s="1337"/>
      <c r="AK2" s="1337"/>
      <c r="AL2" s="1337"/>
      <c r="AM2" s="1337"/>
      <c r="AN2" s="1337"/>
      <c r="AO2" s="1337"/>
      <c r="AP2" s="1337"/>
      <c r="AQ2" s="1337"/>
      <c r="AR2" s="1337"/>
      <c r="AS2" s="1337"/>
      <c r="AT2" s="1337"/>
      <c r="AU2" s="1337"/>
      <c r="AV2" s="1337"/>
      <c r="AW2" s="1337"/>
      <c r="AX2" s="1337"/>
      <c r="AY2" s="1337"/>
      <c r="AZ2" s="1337"/>
      <c r="BA2" s="1337"/>
      <c r="BB2" s="1337"/>
      <c r="BC2" s="1337"/>
      <c r="BD2" s="1337"/>
      <c r="BE2" s="1337"/>
      <c r="BF2" s="1337"/>
      <c r="BG2" s="1337"/>
      <c r="BH2" s="1337"/>
      <c r="BI2" s="1337"/>
      <c r="BJ2" s="1337"/>
      <c r="BK2" s="1337"/>
      <c r="BL2" s="1337"/>
      <c r="BM2" s="1337"/>
      <c r="BN2" s="1337"/>
      <c r="BO2" s="1337"/>
      <c r="BP2" s="1337"/>
      <c r="BQ2" s="1337"/>
      <c r="BR2" s="1337"/>
      <c r="BS2" s="1337"/>
      <c r="BT2" s="1337"/>
      <c r="BU2" s="1337"/>
      <c r="BV2" s="1337"/>
      <c r="BW2" s="1337"/>
      <c r="BX2" s="1337"/>
      <c r="BY2" s="1337"/>
      <c r="BZ2" s="1337"/>
      <c r="CA2" s="1337"/>
      <c r="CB2" s="1337"/>
      <c r="CC2" s="1337"/>
      <c r="CD2" s="1337"/>
      <c r="CE2" s="1337"/>
      <c r="CF2" s="1337"/>
      <c r="CG2" s="1337"/>
      <c r="CH2" s="1337"/>
      <c r="CI2" s="1337"/>
      <c r="CJ2" s="1337"/>
      <c r="CK2" s="1337"/>
      <c r="CL2" s="1337"/>
      <c r="CM2" s="1337"/>
      <c r="CN2" s="1337"/>
      <c r="CO2" s="1337"/>
      <c r="CP2" s="1337"/>
      <c r="CQ2" s="1337"/>
      <c r="CR2" s="1337"/>
      <c r="CS2" s="1337"/>
      <c r="CT2" s="1337"/>
      <c r="CU2" s="1337"/>
      <c r="CV2" s="1337"/>
      <c r="CW2" s="1337"/>
      <c r="CX2" s="1337"/>
      <c r="CY2" s="1337"/>
      <c r="CZ2" s="1337"/>
      <c r="DA2" s="1337"/>
      <c r="DB2" s="1337"/>
      <c r="DC2" s="1337"/>
      <c r="DD2" s="1337"/>
      <c r="DE2" s="1337"/>
      <c r="DF2" s="1337"/>
      <c r="DG2" s="1337"/>
      <c r="DH2" s="1337"/>
      <c r="DI2" s="1337"/>
      <c r="DJ2" s="1337"/>
      <c r="DK2" s="1337"/>
      <c r="DL2" s="1337"/>
      <c r="DM2" s="1337"/>
      <c r="DN2" s="1337"/>
      <c r="DO2" s="1337"/>
      <c r="DP2" s="1337"/>
      <c r="DQ2" s="1337"/>
      <c r="DR2" s="1337"/>
      <c r="DS2" s="1337"/>
      <c r="DT2" s="1337"/>
      <c r="DU2" s="1337"/>
      <c r="DV2" s="1337"/>
      <c r="DW2" s="1337"/>
      <c r="DX2" s="1337"/>
      <c r="DY2" s="1337"/>
      <c r="DZ2" s="1337"/>
      <c r="EA2" s="1337"/>
      <c r="EB2" s="1337"/>
      <c r="EC2" s="1337"/>
      <c r="ED2" s="1337"/>
      <c r="EE2" s="1337"/>
      <c r="EF2" s="1337"/>
      <c r="EG2" s="1337"/>
      <c r="EH2" s="1337"/>
      <c r="EI2" s="1337"/>
      <c r="EJ2" s="1337"/>
      <c r="EK2" s="1337"/>
      <c r="EL2" s="1337"/>
      <c r="EM2" s="1337"/>
      <c r="EN2" s="1337"/>
      <c r="EO2" s="1337"/>
      <c r="EP2" s="1337"/>
      <c r="EQ2" s="1337"/>
      <c r="ER2" s="1337"/>
      <c r="ES2" s="1337"/>
      <c r="ET2" s="1337"/>
      <c r="EU2" s="1337"/>
      <c r="EV2" s="1337"/>
      <c r="EW2" s="1337"/>
      <c r="EX2" s="1337"/>
      <c r="EY2" s="1337"/>
      <c r="EZ2" s="1337"/>
      <c r="FA2" s="1337"/>
      <c r="FB2" s="1337"/>
      <c r="FC2" s="1337"/>
      <c r="FD2" s="1337"/>
      <c r="FE2" s="1337"/>
      <c r="FF2" s="1337"/>
      <c r="FG2" s="1337"/>
      <c r="FH2" s="1337"/>
      <c r="FI2" s="1337"/>
      <c r="FJ2" s="1337"/>
      <c r="FK2" s="1337"/>
      <c r="FL2" s="1337"/>
      <c r="FM2" s="1337"/>
      <c r="FN2" s="1337"/>
      <c r="FO2" s="1337"/>
      <c r="FP2" s="1337"/>
      <c r="FQ2" s="1337"/>
      <c r="FR2" s="1337"/>
      <c r="FS2" s="1337"/>
      <c r="FT2" s="1337"/>
      <c r="FU2" s="1337"/>
      <c r="FV2" s="1337"/>
      <c r="FW2" s="1337"/>
      <c r="FX2" s="1337"/>
      <c r="FY2" s="1337"/>
      <c r="FZ2" s="1337"/>
      <c r="GA2" s="1337"/>
      <c r="GB2" s="1337"/>
      <c r="GC2" s="1337"/>
      <c r="GD2" s="1337"/>
      <c r="GE2" s="1337"/>
      <c r="GF2" s="1337"/>
      <c r="GG2" s="1337"/>
      <c r="GH2" s="1337"/>
      <c r="GI2" s="1337"/>
      <c r="GJ2" s="1337"/>
      <c r="GK2" s="1337"/>
      <c r="GL2" s="1337"/>
      <c r="GM2" s="1337"/>
      <c r="GN2" s="1337"/>
      <c r="GO2" s="1337"/>
      <c r="GP2" s="1337"/>
      <c r="GQ2" s="1337"/>
      <c r="GR2" s="1337"/>
      <c r="GS2" s="1337"/>
      <c r="GT2" s="1337"/>
      <c r="GU2" s="1337"/>
      <c r="GV2" s="1337"/>
      <c r="GW2" s="1337"/>
      <c r="GX2" s="1337"/>
      <c r="GY2" s="1337"/>
      <c r="GZ2" s="1337"/>
      <c r="HA2" s="1337"/>
      <c r="HB2" s="1337"/>
      <c r="HC2" s="1337"/>
      <c r="HD2" s="1337"/>
      <c r="HE2" s="1337"/>
      <c r="HF2" s="1337"/>
      <c r="HG2" s="1337"/>
      <c r="HH2" s="1337"/>
      <c r="HI2" s="1337"/>
      <c r="HJ2" s="1337"/>
      <c r="HK2" s="1337"/>
      <c r="HL2" s="1337"/>
      <c r="HM2" s="1337"/>
      <c r="HN2" s="1337"/>
      <c r="HO2" s="1337"/>
      <c r="HP2" s="1337"/>
      <c r="HQ2" s="1337"/>
      <c r="HR2" s="1337"/>
      <c r="HS2" s="1337"/>
    </row>
    <row r="3" spans="1:227" ht="44.25" customHeight="1">
      <c r="A3" s="568"/>
      <c r="B3" s="2018" t="s">
        <v>2018</v>
      </c>
      <c r="C3" s="2019"/>
      <c r="D3" s="2019"/>
      <c r="E3" s="2020" t="s">
        <v>2019</v>
      </c>
      <c r="F3" s="2020"/>
      <c r="G3" s="2021" t="s">
        <v>2020</v>
      </c>
      <c r="H3" s="2021"/>
      <c r="I3" s="2019" t="s">
        <v>2021</v>
      </c>
      <c r="J3" s="2019"/>
      <c r="K3" s="2019"/>
      <c r="L3" s="2022" t="s">
        <v>1016</v>
      </c>
      <c r="M3" s="2022"/>
      <c r="N3" s="2022"/>
      <c r="O3" s="2022"/>
      <c r="P3" s="2022"/>
      <c r="Q3" s="1372" t="s">
        <v>2022</v>
      </c>
      <c r="R3" s="1337"/>
      <c r="S3" s="569"/>
      <c r="T3" s="1337"/>
      <c r="U3" s="1337"/>
      <c r="V3" s="1337"/>
      <c r="W3" s="1337"/>
      <c r="X3" s="1337"/>
      <c r="Y3" s="1337"/>
      <c r="Z3" s="1337"/>
      <c r="AA3" s="1337"/>
      <c r="AB3" s="1337"/>
      <c r="AC3" s="1337"/>
      <c r="AD3" s="1337"/>
      <c r="AE3" s="1337"/>
      <c r="AF3" s="1337"/>
      <c r="AG3" s="1337"/>
      <c r="AH3" s="1337"/>
      <c r="AI3" s="1337"/>
      <c r="AJ3" s="1337"/>
      <c r="AK3" s="1337"/>
      <c r="AL3" s="1337"/>
      <c r="AM3" s="1337"/>
      <c r="AN3" s="1337"/>
      <c r="AO3" s="1337"/>
      <c r="AP3" s="1337"/>
      <c r="AQ3" s="1337"/>
      <c r="AR3" s="1337"/>
      <c r="AS3" s="1337"/>
      <c r="AT3" s="1337"/>
      <c r="AU3" s="1337"/>
      <c r="AV3" s="1337"/>
      <c r="AW3" s="1337"/>
      <c r="AX3" s="1337"/>
      <c r="AY3" s="1337"/>
      <c r="AZ3" s="1337"/>
      <c r="BA3" s="1337"/>
      <c r="BB3" s="1337"/>
      <c r="BC3" s="1337"/>
      <c r="BD3" s="1337"/>
      <c r="BE3" s="1337"/>
      <c r="BF3" s="1337"/>
      <c r="BG3" s="1337"/>
      <c r="BH3" s="1337"/>
      <c r="BI3" s="1337"/>
      <c r="BJ3" s="1337"/>
      <c r="BK3" s="1337"/>
      <c r="BL3" s="1337"/>
      <c r="BM3" s="1337"/>
      <c r="BN3" s="1337"/>
      <c r="BO3" s="1337"/>
      <c r="BP3" s="1337"/>
      <c r="BQ3" s="1337"/>
      <c r="BR3" s="1337"/>
      <c r="BS3" s="1337"/>
      <c r="BT3" s="1337"/>
      <c r="BU3" s="1337"/>
      <c r="BV3" s="1337"/>
      <c r="BW3" s="1337"/>
      <c r="BX3" s="1337"/>
      <c r="BY3" s="1337"/>
      <c r="BZ3" s="1337"/>
      <c r="CA3" s="1337"/>
      <c r="CB3" s="1337"/>
      <c r="CC3" s="1337"/>
      <c r="CD3" s="1337"/>
      <c r="CE3" s="1337"/>
      <c r="CF3" s="1337"/>
      <c r="CG3" s="1337"/>
      <c r="CH3" s="1337"/>
      <c r="CI3" s="1337"/>
      <c r="CJ3" s="1337"/>
      <c r="CK3" s="1337"/>
      <c r="CL3" s="1337"/>
      <c r="CM3" s="1337"/>
      <c r="CN3" s="1337"/>
      <c r="CO3" s="1337"/>
      <c r="CP3" s="1337"/>
      <c r="CQ3" s="1337"/>
      <c r="CR3" s="1337"/>
      <c r="CS3" s="1337"/>
      <c r="CT3" s="1337"/>
      <c r="CU3" s="1337"/>
      <c r="CV3" s="1337"/>
      <c r="CW3" s="1337"/>
      <c r="CX3" s="1337"/>
      <c r="CY3" s="1337"/>
      <c r="CZ3" s="1337"/>
      <c r="DA3" s="1337"/>
      <c r="DB3" s="1337"/>
      <c r="DC3" s="1337"/>
      <c r="DD3" s="1337"/>
      <c r="DE3" s="1337"/>
      <c r="DF3" s="1337"/>
      <c r="DG3" s="1337"/>
      <c r="DH3" s="1337"/>
      <c r="DI3" s="1337"/>
      <c r="DJ3" s="1337"/>
      <c r="DK3" s="1337"/>
      <c r="DL3" s="1337"/>
      <c r="DM3" s="1337"/>
      <c r="DN3" s="1337"/>
      <c r="DO3" s="1337"/>
      <c r="DP3" s="1337"/>
      <c r="DQ3" s="1337"/>
      <c r="DR3" s="1337"/>
      <c r="DS3" s="1337"/>
      <c r="DT3" s="1337"/>
      <c r="DU3" s="1337"/>
      <c r="DV3" s="1337"/>
      <c r="DW3" s="1337"/>
      <c r="DX3" s="1337"/>
      <c r="DY3" s="1337"/>
      <c r="DZ3" s="1337"/>
      <c r="EA3" s="1337"/>
      <c r="EB3" s="1337"/>
      <c r="EC3" s="1337"/>
      <c r="ED3" s="1337"/>
      <c r="EE3" s="1337"/>
      <c r="EF3" s="1337"/>
      <c r="EG3" s="1337"/>
      <c r="EH3" s="1337"/>
      <c r="EI3" s="1337"/>
      <c r="EJ3" s="1337"/>
      <c r="EK3" s="1337"/>
      <c r="EL3" s="1337"/>
      <c r="EM3" s="1337"/>
      <c r="EN3" s="1337"/>
      <c r="EO3" s="1337"/>
      <c r="EP3" s="1337"/>
      <c r="EQ3" s="1337"/>
      <c r="ER3" s="1337"/>
      <c r="ES3" s="1337"/>
      <c r="ET3" s="1337"/>
      <c r="EU3" s="1337"/>
      <c r="EV3" s="1337"/>
      <c r="EW3" s="1337"/>
      <c r="EX3" s="1337"/>
      <c r="EY3" s="1337"/>
      <c r="EZ3" s="1337"/>
      <c r="FA3" s="1337"/>
      <c r="FB3" s="1337"/>
      <c r="FC3" s="1337"/>
      <c r="FD3" s="1337"/>
      <c r="FE3" s="1337"/>
      <c r="FF3" s="1337"/>
      <c r="FG3" s="1337"/>
      <c r="FH3" s="1337"/>
      <c r="FI3" s="1337"/>
      <c r="FJ3" s="1337"/>
      <c r="FK3" s="1337"/>
      <c r="FL3" s="1337"/>
      <c r="FM3" s="1337"/>
      <c r="FN3" s="1337"/>
      <c r="FO3" s="1337"/>
      <c r="FP3" s="1337"/>
      <c r="FQ3" s="1337"/>
      <c r="FR3" s="1337"/>
      <c r="FS3" s="1337"/>
      <c r="FT3" s="1337"/>
      <c r="FU3" s="1337"/>
      <c r="FV3" s="1337"/>
      <c r="FW3" s="1337"/>
      <c r="FX3" s="1337"/>
      <c r="FY3" s="1337"/>
      <c r="FZ3" s="1337"/>
      <c r="GA3" s="1337"/>
      <c r="GB3" s="1337"/>
      <c r="GC3" s="1337"/>
      <c r="GD3" s="1337"/>
      <c r="GE3" s="1337"/>
      <c r="GF3" s="1337"/>
      <c r="GG3" s="1337"/>
      <c r="GH3" s="1337"/>
      <c r="GI3" s="1337"/>
      <c r="GJ3" s="1337"/>
      <c r="GK3" s="1337"/>
      <c r="GL3" s="1337"/>
      <c r="GM3" s="1337"/>
      <c r="GN3" s="1337"/>
      <c r="GO3" s="1337"/>
      <c r="GP3" s="1337"/>
      <c r="GQ3" s="1337"/>
      <c r="GR3" s="1337"/>
      <c r="GS3" s="1337"/>
      <c r="GT3" s="1337"/>
      <c r="GU3" s="1337"/>
      <c r="GV3" s="1337"/>
      <c r="GW3" s="1337"/>
      <c r="GX3" s="1337"/>
      <c r="GY3" s="1337"/>
      <c r="GZ3" s="1337"/>
      <c r="HA3" s="1337"/>
      <c r="HB3" s="1337"/>
      <c r="HC3" s="1337"/>
      <c r="HD3" s="1337"/>
      <c r="HE3" s="1337"/>
      <c r="HF3" s="1337"/>
      <c r="HG3" s="1337"/>
      <c r="HH3" s="1337"/>
      <c r="HI3" s="1337"/>
      <c r="HJ3" s="1337"/>
      <c r="HK3" s="1337"/>
      <c r="HL3" s="1337"/>
      <c r="HM3" s="1337"/>
      <c r="HN3" s="1337"/>
      <c r="HO3" s="1337"/>
      <c r="HP3" s="1337"/>
      <c r="HQ3" s="1337"/>
      <c r="HR3" s="1337"/>
      <c r="HS3" s="1337"/>
    </row>
    <row r="4" spans="1:227" ht="21" customHeight="1">
      <c r="A4" s="568"/>
      <c r="B4" s="1991">
        <f t="shared" ref="B4:B15" si="0">I4*E4*3</f>
        <v>16718429.57979396</v>
      </c>
      <c r="C4" s="1992"/>
      <c r="D4" s="1992"/>
      <c r="E4" s="2015">
        <v>30</v>
      </c>
      <c r="F4" s="2015"/>
      <c r="G4" s="2016" t="s">
        <v>2023</v>
      </c>
      <c r="H4" s="2016"/>
      <c r="I4" s="1992">
        <f>10000*IRR_Inflation_Factor</f>
        <v>185760.32866437733</v>
      </c>
      <c r="J4" s="1992"/>
      <c r="K4" s="1992"/>
      <c r="L4" s="2013" t="s">
        <v>2024</v>
      </c>
      <c r="M4" s="2013"/>
      <c r="N4" s="2013"/>
      <c r="O4" s="2013"/>
      <c r="P4" s="2013"/>
      <c r="Q4" s="572">
        <v>1</v>
      </c>
      <c r="R4" s="337"/>
      <c r="S4" s="565"/>
    </row>
    <row r="5" spans="1:227" ht="21" customHeight="1">
      <c r="A5" s="350"/>
      <c r="B5" s="1991">
        <f t="shared" si="0"/>
        <v>208980369.74742448</v>
      </c>
      <c r="C5" s="1992"/>
      <c r="D5" s="1992"/>
      <c r="E5" s="2015">
        <v>30</v>
      </c>
      <c r="F5" s="2015"/>
      <c r="G5" s="2016" t="s">
        <v>2023</v>
      </c>
      <c r="H5" s="2016"/>
      <c r="I5" s="1992">
        <f>125000*IRR_Inflation_Factor</f>
        <v>2322004.1083047166</v>
      </c>
      <c r="J5" s="1992"/>
      <c r="K5" s="1992"/>
      <c r="L5" s="2013" t="s">
        <v>2025</v>
      </c>
      <c r="M5" s="2013"/>
      <c r="N5" s="2013"/>
      <c r="O5" s="2013"/>
      <c r="P5" s="2013"/>
      <c r="Q5" s="572">
        <v>2</v>
      </c>
      <c r="R5" s="337"/>
      <c r="S5" s="565"/>
    </row>
    <row r="6" spans="1:227" ht="21" customHeight="1">
      <c r="A6" s="350"/>
      <c r="B6" s="1991">
        <f t="shared" si="0"/>
        <v>417960739.49484891</v>
      </c>
      <c r="C6" s="1992"/>
      <c r="D6" s="1992"/>
      <c r="E6" s="2015">
        <v>10</v>
      </c>
      <c r="F6" s="2015"/>
      <c r="G6" s="2016" t="s">
        <v>2023</v>
      </c>
      <c r="H6" s="2016"/>
      <c r="I6" s="1992">
        <f>750000*IRR_Inflation_Factor</f>
        <v>13932024.649828298</v>
      </c>
      <c r="J6" s="1992"/>
      <c r="K6" s="1992"/>
      <c r="L6" s="2013" t="s">
        <v>2026</v>
      </c>
      <c r="M6" s="2013"/>
      <c r="N6" s="2013"/>
      <c r="O6" s="2013"/>
      <c r="P6" s="2013"/>
      <c r="Q6" s="572">
        <v>3</v>
      </c>
      <c r="R6" s="337"/>
      <c r="S6" s="565"/>
    </row>
    <row r="7" spans="1:227" ht="21" customHeight="1">
      <c r="A7" s="350"/>
      <c r="B7" s="1991">
        <f t="shared" si="0"/>
        <v>167184295.7979396</v>
      </c>
      <c r="C7" s="1992"/>
      <c r="D7" s="1992"/>
      <c r="E7" s="2015">
        <v>10</v>
      </c>
      <c r="F7" s="2015"/>
      <c r="G7" s="2016" t="s">
        <v>2023</v>
      </c>
      <c r="H7" s="2016"/>
      <c r="I7" s="1992">
        <f>300000*IRR_Inflation_Factor</f>
        <v>5572809.85993132</v>
      </c>
      <c r="J7" s="1992"/>
      <c r="K7" s="1992"/>
      <c r="L7" s="2013" t="s">
        <v>2027</v>
      </c>
      <c r="M7" s="2013"/>
      <c r="N7" s="2013"/>
      <c r="O7" s="2013"/>
      <c r="P7" s="2013"/>
      <c r="Q7" s="572">
        <v>4</v>
      </c>
      <c r="R7" s="337"/>
      <c r="S7" s="565"/>
    </row>
    <row r="8" spans="1:227" ht="21" customHeight="1">
      <c r="A8" s="350"/>
      <c r="B8" s="1991">
        <f t="shared" si="0"/>
        <v>178329915.51780224</v>
      </c>
      <c r="C8" s="1992"/>
      <c r="D8" s="1992"/>
      <c r="E8" s="2015">
        <v>10</v>
      </c>
      <c r="F8" s="2015"/>
      <c r="G8" s="2016" t="s">
        <v>2023</v>
      </c>
      <c r="H8" s="2016"/>
      <c r="I8" s="1992">
        <f>320000*IRR_Inflation_Factor</f>
        <v>5944330.5172600746</v>
      </c>
      <c r="J8" s="1992"/>
      <c r="K8" s="1992"/>
      <c r="L8" s="2013" t="s">
        <v>2028</v>
      </c>
      <c r="M8" s="2013"/>
      <c r="N8" s="2013"/>
      <c r="O8" s="2013"/>
      <c r="P8" s="2013"/>
      <c r="Q8" s="572">
        <v>5</v>
      </c>
      <c r="R8" s="337"/>
      <c r="S8" s="565"/>
    </row>
    <row r="9" spans="1:227" ht="21" customHeight="1">
      <c r="A9" s="1234"/>
      <c r="B9" s="1991">
        <f t="shared" si="0"/>
        <v>167184295.79793957</v>
      </c>
      <c r="C9" s="1992"/>
      <c r="D9" s="1992"/>
      <c r="E9" s="2015">
        <v>30</v>
      </c>
      <c r="F9" s="2015"/>
      <c r="G9" s="2016" t="s">
        <v>2023</v>
      </c>
      <c r="H9" s="2016"/>
      <c r="I9" s="1992">
        <f>100000*IRR_Inflation_Factor</f>
        <v>1857603.2866437731</v>
      </c>
      <c r="J9" s="1992"/>
      <c r="K9" s="1992"/>
      <c r="L9" s="2013" t="s">
        <v>2029</v>
      </c>
      <c r="M9" s="2013"/>
      <c r="N9" s="2013"/>
      <c r="O9" s="2013"/>
      <c r="P9" s="2013"/>
      <c r="Q9" s="572">
        <v>6</v>
      </c>
      <c r="R9" s="337"/>
      <c r="S9" s="565"/>
    </row>
    <row r="10" spans="1:227" ht="21" customHeight="1">
      <c r="A10" s="1234"/>
      <c r="B10" s="1991">
        <f t="shared" si="0"/>
        <v>25077644.36969094</v>
      </c>
      <c r="C10" s="1992"/>
      <c r="D10" s="1992"/>
      <c r="E10" s="2015">
        <v>10</v>
      </c>
      <c r="F10" s="2015"/>
      <c r="G10" s="2016" t="s">
        <v>2023</v>
      </c>
      <c r="H10" s="2016"/>
      <c r="I10" s="1992">
        <f>45000*IRR_Inflation_Factor</f>
        <v>835921.47898969799</v>
      </c>
      <c r="J10" s="1992"/>
      <c r="K10" s="1992"/>
      <c r="L10" s="2013" t="s">
        <v>2030</v>
      </c>
      <c r="M10" s="2013"/>
      <c r="N10" s="2013"/>
      <c r="O10" s="2013"/>
      <c r="P10" s="2013"/>
      <c r="Q10" s="572">
        <v>7</v>
      </c>
      <c r="R10" s="337"/>
      <c r="S10" s="565"/>
    </row>
    <row r="11" spans="1:227" ht="21" customHeight="1">
      <c r="A11" s="350"/>
      <c r="B11" s="1991">
        <f t="shared" si="0"/>
        <v>75232933.109072819</v>
      </c>
      <c r="C11" s="1992"/>
      <c r="D11" s="1992"/>
      <c r="E11" s="2015">
        <v>30</v>
      </c>
      <c r="F11" s="2015"/>
      <c r="G11" s="2016" t="s">
        <v>2023</v>
      </c>
      <c r="H11" s="2016"/>
      <c r="I11" s="1992">
        <f>45000*IRR_Inflation_Factor</f>
        <v>835921.47898969799</v>
      </c>
      <c r="J11" s="1992"/>
      <c r="K11" s="1992"/>
      <c r="L11" s="2013" t="s">
        <v>2031</v>
      </c>
      <c r="M11" s="2013"/>
      <c r="N11" s="2013"/>
      <c r="O11" s="2013"/>
      <c r="P11" s="2013"/>
      <c r="Q11" s="572">
        <v>8</v>
      </c>
      <c r="R11" s="337"/>
      <c r="S11" s="565"/>
    </row>
    <row r="12" spans="1:227" ht="21" customHeight="1">
      <c r="A12" s="350"/>
      <c r="B12" s="1991">
        <f t="shared" si="0"/>
        <v>334368591.5958792</v>
      </c>
      <c r="C12" s="1992"/>
      <c r="D12" s="1992"/>
      <c r="E12" s="2015">
        <v>20</v>
      </c>
      <c r="F12" s="2015"/>
      <c r="G12" s="2016" t="s">
        <v>2023</v>
      </c>
      <c r="H12" s="2016"/>
      <c r="I12" s="1992">
        <f>300000*IRR_Inflation_Factor</f>
        <v>5572809.85993132</v>
      </c>
      <c r="J12" s="1992"/>
      <c r="K12" s="1992"/>
      <c r="L12" s="2013" t="s">
        <v>2032</v>
      </c>
      <c r="M12" s="2013"/>
      <c r="N12" s="2013"/>
      <c r="O12" s="2013"/>
      <c r="P12" s="2013"/>
      <c r="Q12" s="572">
        <v>9</v>
      </c>
      <c r="R12" s="337"/>
      <c r="S12" s="565"/>
    </row>
    <row r="13" spans="1:227" ht="21" customHeight="1">
      <c r="A13" s="373"/>
      <c r="B13" s="1991">
        <f t="shared" si="0"/>
        <v>585145035.29278862</v>
      </c>
      <c r="C13" s="1992"/>
      <c r="D13" s="1992"/>
      <c r="E13" s="2015">
        <v>30</v>
      </c>
      <c r="F13" s="2015"/>
      <c r="G13" s="2016" t="s">
        <v>2023</v>
      </c>
      <c r="H13" s="2016"/>
      <c r="I13" s="1992">
        <f>350000*IRR_Inflation_Factor</f>
        <v>6501611.5032532066</v>
      </c>
      <c r="J13" s="1992"/>
      <c r="K13" s="1992"/>
      <c r="L13" s="2013" t="s">
        <v>2033</v>
      </c>
      <c r="M13" s="2013"/>
      <c r="N13" s="2013"/>
      <c r="O13" s="2013"/>
      <c r="P13" s="2013"/>
      <c r="Q13" s="572">
        <v>10</v>
      </c>
      <c r="R13" s="337"/>
      <c r="S13" s="565"/>
    </row>
    <row r="14" spans="1:227" ht="21" customHeight="1">
      <c r="A14" s="350"/>
      <c r="B14" s="1991">
        <f t="shared" si="0"/>
        <v>334368591.59587914</v>
      </c>
      <c r="C14" s="1992"/>
      <c r="D14" s="1992"/>
      <c r="E14" s="2015">
        <v>30</v>
      </c>
      <c r="F14" s="2015"/>
      <c r="G14" s="2016" t="s">
        <v>2023</v>
      </c>
      <c r="H14" s="2016"/>
      <c r="I14" s="1992">
        <f>200000*IRR_Inflation_Factor</f>
        <v>3715206.5732875462</v>
      </c>
      <c r="J14" s="1992"/>
      <c r="K14" s="1992"/>
      <c r="L14" s="2013" t="s">
        <v>2034</v>
      </c>
      <c r="M14" s="2013"/>
      <c r="N14" s="2013"/>
      <c r="O14" s="2013"/>
      <c r="P14" s="2013"/>
      <c r="Q14" s="572">
        <v>11</v>
      </c>
      <c r="R14" s="337"/>
      <c r="S14" s="565"/>
    </row>
    <row r="15" spans="1:227" ht="21" customHeight="1">
      <c r="A15" s="373"/>
      <c r="B15" s="1991">
        <f t="shared" si="0"/>
        <v>317650162.01608527</v>
      </c>
      <c r="C15" s="1992"/>
      <c r="D15" s="1992"/>
      <c r="E15" s="2015">
        <v>3</v>
      </c>
      <c r="F15" s="2015"/>
      <c r="G15" s="2016" t="s">
        <v>2023</v>
      </c>
      <c r="H15" s="2016"/>
      <c r="I15" s="1992">
        <f>1900000*IRR_Inflation_Factor</f>
        <v>35294462.446231693</v>
      </c>
      <c r="J15" s="1992"/>
      <c r="K15" s="1992"/>
      <c r="L15" s="2013" t="s">
        <v>2035</v>
      </c>
      <c r="M15" s="2013"/>
      <c r="N15" s="2013"/>
      <c r="O15" s="2013"/>
      <c r="P15" s="2013"/>
      <c r="Q15" s="572">
        <v>12</v>
      </c>
      <c r="R15" s="337"/>
      <c r="S15" s="565"/>
    </row>
    <row r="16" spans="1:227" ht="21" customHeight="1" thickBot="1">
      <c r="A16" s="373"/>
      <c r="B16" s="2005">
        <f>I16*E16</f>
        <v>30650454.22962226</v>
      </c>
      <c r="C16" s="2006"/>
      <c r="D16" s="2006"/>
      <c r="E16" s="2028">
        <v>3</v>
      </c>
      <c r="F16" s="2028"/>
      <c r="G16" s="2029" t="s">
        <v>2023</v>
      </c>
      <c r="H16" s="2029"/>
      <c r="I16" s="2006">
        <f>550000*IRR_Inflation_Factor</f>
        <v>10216818.076540753</v>
      </c>
      <c r="J16" s="2006"/>
      <c r="K16" s="2006"/>
      <c r="L16" s="2030" t="s">
        <v>2036</v>
      </c>
      <c r="M16" s="2030"/>
      <c r="N16" s="2030"/>
      <c r="O16" s="2030"/>
      <c r="P16" s="2030"/>
      <c r="Q16" s="573">
        <v>13</v>
      </c>
      <c r="R16" s="337"/>
      <c r="S16" s="565"/>
    </row>
    <row r="17" spans="1:19" ht="21" customHeight="1" thickBot="1">
      <c r="A17" s="373"/>
      <c r="B17" s="2023">
        <f>SUM(B4:B16)</f>
        <v>2858851458.1447668</v>
      </c>
      <c r="C17" s="2024"/>
      <c r="D17" s="2024"/>
      <c r="E17" s="2025"/>
      <c r="F17" s="2025"/>
      <c r="G17" s="2026"/>
      <c r="H17" s="2026"/>
      <c r="I17" s="2024"/>
      <c r="J17" s="2024"/>
      <c r="K17" s="2024"/>
      <c r="L17" s="2027" t="s">
        <v>1010</v>
      </c>
      <c r="M17" s="2027"/>
      <c r="N17" s="2027"/>
      <c r="O17" s="2027"/>
      <c r="P17" s="2027"/>
      <c r="Q17" s="574">
        <v>14</v>
      </c>
      <c r="R17" s="337"/>
      <c r="S17" s="565"/>
    </row>
    <row r="18" spans="1:19" ht="21" customHeight="1" thickBot="1">
      <c r="A18" s="373"/>
      <c r="B18" s="576"/>
      <c r="C18" s="576"/>
      <c r="D18" s="576"/>
      <c r="E18" s="1373"/>
      <c r="F18" s="1373"/>
      <c r="H18" s="576"/>
      <c r="I18" s="577"/>
      <c r="K18" s="337"/>
      <c r="M18" s="337"/>
      <c r="N18" s="337"/>
      <c r="O18" s="337"/>
      <c r="P18" s="337"/>
      <c r="R18" s="337"/>
      <c r="S18" s="565"/>
    </row>
    <row r="19" spans="1:19" ht="21" customHeight="1" thickBot="1">
      <c r="A19" s="388"/>
      <c r="B19" s="2038" t="s">
        <v>987</v>
      </c>
      <c r="C19" s="2039"/>
      <c r="D19" s="2039"/>
      <c r="E19" s="2039"/>
      <c r="F19" s="2039"/>
      <c r="G19" s="2039"/>
      <c r="H19" s="2039"/>
      <c r="I19" s="2039"/>
      <c r="J19" s="2039"/>
      <c r="K19" s="2039"/>
      <c r="L19" s="2039"/>
      <c r="M19" s="2039"/>
      <c r="N19" s="2039"/>
      <c r="O19" s="2039"/>
      <c r="P19" s="2039"/>
      <c r="Q19" s="2040"/>
      <c r="R19" s="337"/>
      <c r="S19" s="565"/>
    </row>
    <row r="20" spans="1:19" ht="39" customHeight="1">
      <c r="A20" s="388"/>
      <c r="B20" s="2031" t="s">
        <v>2037</v>
      </c>
      <c r="C20" s="2032"/>
      <c r="D20" s="2032"/>
      <c r="E20" s="2032" t="s">
        <v>2038</v>
      </c>
      <c r="F20" s="2032"/>
      <c r="G20" s="1374" t="s">
        <v>2020</v>
      </c>
      <c r="H20" s="2033" t="s">
        <v>2039</v>
      </c>
      <c r="I20" s="2033"/>
      <c r="J20" s="2033"/>
      <c r="K20" s="1375" t="s">
        <v>2040</v>
      </c>
      <c r="L20" s="2033" t="s">
        <v>1016</v>
      </c>
      <c r="M20" s="2033"/>
      <c r="N20" s="2033"/>
      <c r="O20" s="2033"/>
      <c r="P20" s="2033"/>
      <c r="Q20" s="1376" t="s">
        <v>28</v>
      </c>
      <c r="R20" s="337"/>
      <c r="S20" s="565"/>
    </row>
    <row r="21" spans="1:19" ht="36.75" customHeight="1" thickBot="1">
      <c r="A21" s="389"/>
      <c r="B21" s="2035">
        <f>E21*K21*H21</f>
        <v>81900000</v>
      </c>
      <c r="C21" s="2036"/>
      <c r="D21" s="2036"/>
      <c r="E21" s="2036">
        <v>3</v>
      </c>
      <c r="F21" s="2036"/>
      <c r="G21" s="578">
        <v>36</v>
      </c>
      <c r="H21" s="2037">
        <v>9100000</v>
      </c>
      <c r="I21" s="2037"/>
      <c r="J21" s="2037"/>
      <c r="K21" s="578">
        <v>3</v>
      </c>
      <c r="L21" s="1959" t="s">
        <v>2041</v>
      </c>
      <c r="M21" s="1959"/>
      <c r="N21" s="1959"/>
      <c r="O21" s="1959"/>
      <c r="P21" s="1959"/>
      <c r="Q21" s="579">
        <v>1</v>
      </c>
      <c r="R21" s="337"/>
      <c r="S21" s="565"/>
    </row>
    <row r="22" spans="1:19" ht="36.75" customHeight="1" thickBot="1">
      <c r="A22" s="389"/>
      <c r="B22" s="576"/>
      <c r="C22" s="576"/>
      <c r="D22" s="576"/>
      <c r="E22" s="576"/>
      <c r="F22" s="576"/>
      <c r="G22" s="422"/>
      <c r="H22" s="460"/>
      <c r="I22" s="460"/>
      <c r="J22" s="460"/>
      <c r="K22" s="422"/>
      <c r="L22" s="1377"/>
      <c r="M22" s="1377"/>
      <c r="N22" s="1377"/>
      <c r="O22" s="1377"/>
      <c r="P22" s="1377"/>
      <c r="Q22" s="1378"/>
      <c r="R22" s="337"/>
      <c r="S22" s="565"/>
    </row>
    <row r="23" spans="1:19" ht="21" customHeight="1" thickBot="1">
      <c r="A23" s="373"/>
      <c r="B23" s="1984" t="s">
        <v>988</v>
      </c>
      <c r="C23" s="1985"/>
      <c r="D23" s="1985"/>
      <c r="E23" s="1985"/>
      <c r="F23" s="1985"/>
      <c r="G23" s="1985"/>
      <c r="H23" s="1985"/>
      <c r="I23" s="1985"/>
      <c r="J23" s="1985"/>
      <c r="K23" s="1985"/>
      <c r="L23" s="1985"/>
      <c r="M23" s="1985"/>
      <c r="N23" s="1985"/>
      <c r="O23" s="1985"/>
      <c r="P23" s="1985"/>
      <c r="Q23" s="1986"/>
      <c r="R23" s="337"/>
      <c r="S23" s="565"/>
    </row>
    <row r="24" spans="1:19" ht="60" customHeight="1">
      <c r="A24" s="373"/>
      <c r="B24" s="2031" t="s">
        <v>2042</v>
      </c>
      <c r="C24" s="2032"/>
      <c r="D24" s="2032"/>
      <c r="E24" s="2033" t="s">
        <v>2043</v>
      </c>
      <c r="F24" s="2033"/>
      <c r="G24" s="1379" t="s">
        <v>2044</v>
      </c>
      <c r="H24" s="1379" t="s">
        <v>2045</v>
      </c>
      <c r="I24" s="1380" t="s">
        <v>2046</v>
      </c>
      <c r="J24" s="1380" t="s">
        <v>1985</v>
      </c>
      <c r="K24" s="1380" t="s">
        <v>2047</v>
      </c>
      <c r="L24" s="2034" t="s">
        <v>2048</v>
      </c>
      <c r="M24" s="2034"/>
      <c r="N24" s="2034"/>
      <c r="O24" s="2034"/>
      <c r="P24" s="2034"/>
      <c r="Q24" s="1376" t="s">
        <v>28</v>
      </c>
      <c r="R24" s="337"/>
      <c r="S24" s="565"/>
    </row>
    <row r="25" spans="1:19" ht="21" customHeight="1">
      <c r="A25" s="350"/>
      <c r="B25" s="1991">
        <f t="shared" ref="B25:B36" si="1">E25*H25</f>
        <v>445824788.79450554</v>
      </c>
      <c r="C25" s="1992"/>
      <c r="D25" s="1992"/>
      <c r="E25" s="2041">
        <f>12000000*IRR_Inflation_Factor</f>
        <v>222912394.39725277</v>
      </c>
      <c r="F25" s="2041"/>
      <c r="G25" s="580">
        <v>1</v>
      </c>
      <c r="H25" s="580">
        <v>2</v>
      </c>
      <c r="I25" s="580">
        <v>3</v>
      </c>
      <c r="J25" s="580">
        <f t="shared" ref="J25:J36" si="2">I25*12/H25</f>
        <v>18</v>
      </c>
      <c r="K25" s="580">
        <v>2</v>
      </c>
      <c r="L25" s="2042" t="s">
        <v>2049</v>
      </c>
      <c r="M25" s="2042"/>
      <c r="N25" s="2042"/>
      <c r="O25" s="2042"/>
      <c r="P25" s="2042"/>
      <c r="Q25" s="581">
        <v>1</v>
      </c>
      <c r="R25" s="337"/>
      <c r="S25" s="565"/>
    </row>
    <row r="26" spans="1:19" ht="21" customHeight="1">
      <c r="A26" s="350"/>
      <c r="B26" s="1991">
        <f t="shared" si="1"/>
        <v>668737183.19175828</v>
      </c>
      <c r="C26" s="1992"/>
      <c r="D26" s="1992"/>
      <c r="E26" s="2041">
        <f>12000000*IRR_Inflation_Factor</f>
        <v>222912394.39725277</v>
      </c>
      <c r="F26" s="2041"/>
      <c r="G26" s="580">
        <v>1</v>
      </c>
      <c r="H26" s="580">
        <v>3</v>
      </c>
      <c r="I26" s="580">
        <v>3</v>
      </c>
      <c r="J26" s="580">
        <f t="shared" si="2"/>
        <v>12</v>
      </c>
      <c r="K26" s="580">
        <v>2</v>
      </c>
      <c r="L26" s="2042" t="s">
        <v>2050</v>
      </c>
      <c r="M26" s="2042"/>
      <c r="N26" s="2042"/>
      <c r="O26" s="2042"/>
      <c r="P26" s="2042"/>
      <c r="Q26" s="581">
        <v>2</v>
      </c>
      <c r="S26" s="565"/>
    </row>
    <row r="27" spans="1:19" ht="21" customHeight="1">
      <c r="A27" s="350"/>
      <c r="B27" s="1991">
        <f t="shared" si="1"/>
        <v>222912394.39725277</v>
      </c>
      <c r="C27" s="1992"/>
      <c r="D27" s="1992"/>
      <c r="E27" s="2041">
        <f>12000000*IRR_Inflation_Factor</f>
        <v>222912394.39725277</v>
      </c>
      <c r="F27" s="2041"/>
      <c r="G27" s="580">
        <v>1</v>
      </c>
      <c r="H27" s="580">
        <v>1</v>
      </c>
      <c r="I27" s="580">
        <v>3</v>
      </c>
      <c r="J27" s="580">
        <f t="shared" si="2"/>
        <v>36</v>
      </c>
      <c r="K27" s="580">
        <v>2</v>
      </c>
      <c r="L27" s="2042" t="s">
        <v>2051</v>
      </c>
      <c r="M27" s="2042"/>
      <c r="N27" s="2042"/>
      <c r="O27" s="2042"/>
      <c r="P27" s="2042"/>
      <c r="Q27" s="581">
        <v>3</v>
      </c>
      <c r="S27" s="565"/>
    </row>
    <row r="28" spans="1:19" ht="21" customHeight="1">
      <c r="A28" s="350"/>
      <c r="B28" s="1991">
        <f t="shared" si="1"/>
        <v>668737183.19175828</v>
      </c>
      <c r="C28" s="1992"/>
      <c r="D28" s="1992"/>
      <c r="E28" s="2041">
        <f>12000000*IRR_Inflation_Factor</f>
        <v>222912394.39725277</v>
      </c>
      <c r="F28" s="2041"/>
      <c r="G28" s="580">
        <v>1</v>
      </c>
      <c r="H28" s="580">
        <v>3</v>
      </c>
      <c r="I28" s="580">
        <v>3</v>
      </c>
      <c r="J28" s="580">
        <f t="shared" si="2"/>
        <v>12</v>
      </c>
      <c r="K28" s="580">
        <v>3</v>
      </c>
      <c r="L28" s="2042" t="s">
        <v>2052</v>
      </c>
      <c r="M28" s="2042"/>
      <c r="N28" s="2042"/>
      <c r="O28" s="2042"/>
      <c r="P28" s="2042"/>
      <c r="Q28" s="581">
        <v>4</v>
      </c>
      <c r="S28" s="565"/>
    </row>
    <row r="29" spans="1:19" ht="21" customHeight="1">
      <c r="A29" s="373"/>
      <c r="B29" s="1991">
        <f t="shared" si="1"/>
        <v>185760328.66437733</v>
      </c>
      <c r="C29" s="1992"/>
      <c r="D29" s="1992"/>
      <c r="E29" s="2041">
        <f>10000000*IRR_Inflation_Factor</f>
        <v>185760328.66437733</v>
      </c>
      <c r="F29" s="2041"/>
      <c r="G29" s="580">
        <v>1</v>
      </c>
      <c r="H29" s="580">
        <v>1</v>
      </c>
      <c r="I29" s="580">
        <v>3</v>
      </c>
      <c r="J29" s="580">
        <f t="shared" si="2"/>
        <v>36</v>
      </c>
      <c r="K29" s="580">
        <v>1</v>
      </c>
      <c r="L29" s="2042" t="s">
        <v>2053</v>
      </c>
      <c r="M29" s="2042"/>
      <c r="N29" s="2042"/>
      <c r="O29" s="2042"/>
      <c r="P29" s="2042"/>
      <c r="Q29" s="581">
        <v>5</v>
      </c>
      <c r="S29" s="565"/>
    </row>
    <row r="30" spans="1:19" ht="21" customHeight="1">
      <c r="A30" s="373"/>
      <c r="B30" s="1991">
        <f t="shared" si="1"/>
        <v>185760328.66437733</v>
      </c>
      <c r="C30" s="1992"/>
      <c r="D30" s="1992"/>
      <c r="E30" s="2041">
        <f>10000000*IRR_Inflation_Factor</f>
        <v>185760328.66437733</v>
      </c>
      <c r="F30" s="2041"/>
      <c r="G30" s="580">
        <v>1</v>
      </c>
      <c r="H30" s="580">
        <v>1</v>
      </c>
      <c r="I30" s="580">
        <v>3</v>
      </c>
      <c r="J30" s="580">
        <f t="shared" si="2"/>
        <v>36</v>
      </c>
      <c r="K30" s="580">
        <v>1</v>
      </c>
      <c r="L30" s="2042" t="s">
        <v>2054</v>
      </c>
      <c r="M30" s="2042"/>
      <c r="N30" s="2042"/>
      <c r="O30" s="2042"/>
      <c r="P30" s="2042"/>
      <c r="Q30" s="581">
        <v>6</v>
      </c>
      <c r="S30" s="565"/>
    </row>
    <row r="31" spans="1:19" ht="21" customHeight="1">
      <c r="A31" s="373"/>
      <c r="B31" s="1991">
        <f t="shared" si="1"/>
        <v>185760328.66437733</v>
      </c>
      <c r="C31" s="1992"/>
      <c r="D31" s="1992"/>
      <c r="E31" s="2041">
        <f>10000000*IRR_Inflation_Factor</f>
        <v>185760328.66437733</v>
      </c>
      <c r="F31" s="2041"/>
      <c r="G31" s="580">
        <v>1</v>
      </c>
      <c r="H31" s="580">
        <v>1</v>
      </c>
      <c r="I31" s="580">
        <v>3</v>
      </c>
      <c r="J31" s="580">
        <f t="shared" si="2"/>
        <v>36</v>
      </c>
      <c r="K31" s="580">
        <v>2</v>
      </c>
      <c r="L31" s="2042" t="s">
        <v>2055</v>
      </c>
      <c r="M31" s="2042"/>
      <c r="N31" s="2042"/>
      <c r="O31" s="2042"/>
      <c r="P31" s="2042"/>
      <c r="Q31" s="581">
        <v>7</v>
      </c>
      <c r="S31" s="565"/>
    </row>
    <row r="32" spans="1:19" ht="21" customHeight="1">
      <c r="A32" s="373"/>
      <c r="B32" s="1991">
        <f t="shared" si="1"/>
        <v>371520657.32875466</v>
      </c>
      <c r="C32" s="1992"/>
      <c r="D32" s="1992"/>
      <c r="E32" s="2041">
        <f>10000000*IRR_Inflation_Factor</f>
        <v>185760328.66437733</v>
      </c>
      <c r="F32" s="2041"/>
      <c r="G32" s="580">
        <v>1</v>
      </c>
      <c r="H32" s="580">
        <v>2</v>
      </c>
      <c r="I32" s="580">
        <v>3</v>
      </c>
      <c r="J32" s="580">
        <f t="shared" si="2"/>
        <v>18</v>
      </c>
      <c r="K32" s="580">
        <v>2</v>
      </c>
      <c r="L32" s="2042" t="s">
        <v>2056</v>
      </c>
      <c r="M32" s="2042"/>
      <c r="N32" s="2042"/>
      <c r="O32" s="2042"/>
      <c r="P32" s="2042"/>
      <c r="Q32" s="581">
        <v>8</v>
      </c>
      <c r="S32" s="565"/>
    </row>
    <row r="33" spans="1:19" ht="21" customHeight="1">
      <c r="A33" s="373"/>
      <c r="B33" s="1991">
        <f t="shared" si="1"/>
        <v>668737183.19175828</v>
      </c>
      <c r="C33" s="1992"/>
      <c r="D33" s="1992"/>
      <c r="E33" s="2041">
        <f>12000000*IRR_Inflation_Factor</f>
        <v>222912394.39725277</v>
      </c>
      <c r="F33" s="2041"/>
      <c r="G33" s="580">
        <v>1</v>
      </c>
      <c r="H33" s="580">
        <v>3</v>
      </c>
      <c r="I33" s="580">
        <v>3</v>
      </c>
      <c r="J33" s="580">
        <f t="shared" si="2"/>
        <v>12</v>
      </c>
      <c r="K33" s="580">
        <v>1</v>
      </c>
      <c r="L33" s="2042" t="s">
        <v>2057</v>
      </c>
      <c r="M33" s="2042"/>
      <c r="N33" s="2042"/>
      <c r="O33" s="2042"/>
      <c r="P33" s="2042"/>
      <c r="Q33" s="581">
        <v>9</v>
      </c>
      <c r="S33" s="565"/>
    </row>
    <row r="34" spans="1:19" ht="21" customHeight="1">
      <c r="A34" s="350"/>
      <c r="B34" s="1991">
        <f t="shared" si="1"/>
        <v>557280985.993132</v>
      </c>
      <c r="C34" s="1992"/>
      <c r="D34" s="1992"/>
      <c r="E34" s="2041">
        <f>10000000*IRR_Inflation_Factor</f>
        <v>185760328.66437733</v>
      </c>
      <c r="F34" s="2041"/>
      <c r="G34" s="580">
        <v>1</v>
      </c>
      <c r="H34" s="580">
        <v>3</v>
      </c>
      <c r="I34" s="580">
        <v>3</v>
      </c>
      <c r="J34" s="580">
        <f t="shared" si="2"/>
        <v>12</v>
      </c>
      <c r="K34" s="580">
        <v>3</v>
      </c>
      <c r="L34" s="2042" t="s">
        <v>2058</v>
      </c>
      <c r="M34" s="2042"/>
      <c r="N34" s="2042"/>
      <c r="O34" s="2042"/>
      <c r="P34" s="2042"/>
      <c r="Q34" s="581">
        <v>10</v>
      </c>
      <c r="R34" s="337"/>
      <c r="S34" s="565"/>
    </row>
    <row r="35" spans="1:19" ht="21" customHeight="1">
      <c r="A35" s="387"/>
      <c r="B35" s="1991">
        <f t="shared" si="1"/>
        <v>668737183.19175828</v>
      </c>
      <c r="C35" s="1992"/>
      <c r="D35" s="1992"/>
      <c r="E35" s="2041">
        <f>12000000*IRR_Inflation_Factor</f>
        <v>222912394.39725277</v>
      </c>
      <c r="F35" s="2041"/>
      <c r="G35" s="580">
        <v>1</v>
      </c>
      <c r="H35" s="580">
        <v>3</v>
      </c>
      <c r="I35" s="580">
        <v>3</v>
      </c>
      <c r="J35" s="580">
        <f t="shared" si="2"/>
        <v>12</v>
      </c>
      <c r="K35" s="580">
        <v>2</v>
      </c>
      <c r="L35" s="2042" t="s">
        <v>2059</v>
      </c>
      <c r="M35" s="2042"/>
      <c r="N35" s="2042"/>
      <c r="O35" s="2042"/>
      <c r="P35" s="2042"/>
      <c r="Q35" s="581">
        <v>11</v>
      </c>
      <c r="R35" s="337"/>
      <c r="S35" s="565"/>
    </row>
    <row r="36" spans="1:19" ht="21" customHeight="1" thickBot="1">
      <c r="A36" s="388"/>
      <c r="B36" s="2035">
        <f t="shared" si="1"/>
        <v>222912394.39725277</v>
      </c>
      <c r="C36" s="2036"/>
      <c r="D36" s="2036"/>
      <c r="E36" s="2043">
        <f>12000000*IRR_Inflation_Factor</f>
        <v>222912394.39725277</v>
      </c>
      <c r="F36" s="2043"/>
      <c r="G36" s="582">
        <v>1</v>
      </c>
      <c r="H36" s="582">
        <v>1</v>
      </c>
      <c r="I36" s="582">
        <v>3</v>
      </c>
      <c r="J36" s="582">
        <f t="shared" si="2"/>
        <v>36</v>
      </c>
      <c r="K36" s="582">
        <v>2</v>
      </c>
      <c r="L36" s="2044" t="s">
        <v>2060</v>
      </c>
      <c r="M36" s="2044"/>
      <c r="N36" s="2044"/>
      <c r="O36" s="2044"/>
      <c r="P36" s="2044"/>
      <c r="Q36" s="583">
        <v>12</v>
      </c>
      <c r="R36" s="337"/>
      <c r="S36" s="565"/>
    </row>
    <row r="37" spans="1:19" ht="21" customHeight="1" thickBot="1">
      <c r="A37" s="388"/>
      <c r="B37" s="2023">
        <f>SUM(B25:B36)</f>
        <v>5052680939.6710634</v>
      </c>
      <c r="C37" s="2024"/>
      <c r="D37" s="2024"/>
      <c r="E37" s="2026"/>
      <c r="F37" s="2026"/>
      <c r="G37" s="584"/>
      <c r="H37" s="584"/>
      <c r="I37" s="584"/>
      <c r="J37" s="584"/>
      <c r="K37" s="584"/>
      <c r="L37" s="2045" t="s">
        <v>1010</v>
      </c>
      <c r="M37" s="2045"/>
      <c r="N37" s="2045"/>
      <c r="O37" s="2045"/>
      <c r="P37" s="2045"/>
      <c r="Q37" s="585">
        <v>13</v>
      </c>
      <c r="R37" s="337"/>
      <c r="S37" s="565"/>
    </row>
    <row r="38" spans="1:19" ht="21" customHeight="1">
      <c r="A38" s="388"/>
      <c r="B38" s="337"/>
      <c r="C38" s="337"/>
      <c r="D38" s="337"/>
      <c r="E38" s="337"/>
      <c r="F38" s="337"/>
      <c r="G38" s="337"/>
      <c r="H38" s="337"/>
      <c r="I38" s="337"/>
      <c r="J38" s="337"/>
      <c r="K38" s="337"/>
      <c r="L38" s="337"/>
      <c r="M38" s="337"/>
      <c r="N38" s="337"/>
      <c r="O38" s="337"/>
      <c r="P38" s="337"/>
      <c r="Q38" s="337"/>
      <c r="R38" s="337"/>
      <c r="S38" s="565"/>
    </row>
    <row r="39" spans="1:19" ht="21" customHeight="1">
      <c r="A39" s="389"/>
      <c r="C39" s="337"/>
      <c r="G39" s="337"/>
      <c r="H39" s="337"/>
      <c r="I39" s="337"/>
      <c r="J39" s="337"/>
      <c r="R39" s="337"/>
      <c r="S39" s="565"/>
    </row>
    <row r="40" spans="1:19" ht="21" customHeight="1">
      <c r="A40" s="1258"/>
      <c r="R40" s="1370"/>
      <c r="S40" s="1258"/>
    </row>
    <row r="41" spans="1:19" ht="21" customHeight="1">
      <c r="A41" s="1258"/>
      <c r="B41" s="337"/>
      <c r="C41" s="337"/>
      <c r="D41" s="337"/>
      <c r="E41" s="337"/>
      <c r="F41" s="337"/>
      <c r="G41" s="337"/>
      <c r="H41" s="576"/>
      <c r="I41" s="577"/>
      <c r="J41" s="576"/>
      <c r="L41" s="337"/>
      <c r="M41" s="337"/>
      <c r="N41" s="337"/>
      <c r="O41" s="337"/>
      <c r="P41" s="337"/>
    </row>
    <row r="42" spans="1:19" ht="21" customHeight="1">
      <c r="L42" s="337"/>
      <c r="M42" s="337"/>
      <c r="N42" s="337"/>
      <c r="O42" s="337"/>
      <c r="P42" s="337"/>
      <c r="R42" s="337"/>
    </row>
    <row r="43" spans="1:19" ht="21" customHeight="1">
      <c r="R43" s="337"/>
    </row>
    <row r="44" spans="1:19" ht="21" customHeight="1">
      <c r="R44" s="337"/>
    </row>
    <row r="45" spans="1:19" ht="21" customHeight="1">
      <c r="R45" s="337"/>
      <c r="S45" s="337"/>
    </row>
    <row r="46" spans="1:19" ht="21" customHeight="1">
      <c r="R46" s="337"/>
      <c r="S46" s="337"/>
    </row>
    <row r="47" spans="1:19" ht="21" customHeight="1">
      <c r="R47" s="337"/>
      <c r="S47" s="337"/>
    </row>
    <row r="48" spans="1:19" ht="21" customHeight="1">
      <c r="R48" s="337"/>
      <c r="S48" s="337"/>
    </row>
    <row r="49" spans="4:208" ht="21" customHeight="1">
      <c r="R49" s="337"/>
      <c r="S49" s="337"/>
    </row>
    <row r="50" spans="4:208" ht="21" customHeight="1">
      <c r="R50" s="337"/>
      <c r="S50" s="337"/>
    </row>
    <row r="51" spans="4:208" ht="21" customHeight="1">
      <c r="R51" s="337"/>
      <c r="S51" s="337"/>
    </row>
    <row r="52" spans="4:208" s="575" customFormat="1" ht="21" customHeight="1">
      <c r="R52" s="337"/>
      <c r="S52" s="337"/>
      <c r="T52" s="337"/>
      <c r="U52" s="337"/>
      <c r="V52" s="337"/>
      <c r="W52" s="337"/>
      <c r="X52" s="337"/>
      <c r="Y52" s="337"/>
      <c r="Z52" s="337"/>
      <c r="AA52" s="337"/>
      <c r="AB52" s="337"/>
      <c r="AC52" s="337"/>
      <c r="AD52" s="337"/>
      <c r="AE52" s="337"/>
      <c r="AF52" s="337"/>
      <c r="AG52" s="337"/>
      <c r="AH52" s="337"/>
      <c r="AI52" s="337"/>
      <c r="AJ52" s="337"/>
      <c r="AK52" s="337"/>
      <c r="AL52" s="337"/>
      <c r="AM52" s="337"/>
      <c r="AN52" s="337"/>
      <c r="AO52" s="337"/>
      <c r="AP52" s="337"/>
      <c r="AQ52" s="337"/>
      <c r="AR52" s="337"/>
      <c r="AS52" s="337"/>
      <c r="AT52" s="337"/>
      <c r="AU52" s="337"/>
      <c r="AV52" s="337"/>
      <c r="AW52" s="337"/>
      <c r="AX52" s="337"/>
      <c r="AY52" s="337"/>
      <c r="AZ52" s="337"/>
      <c r="BA52" s="337"/>
      <c r="BB52" s="337"/>
      <c r="BC52" s="337"/>
      <c r="BD52" s="337"/>
      <c r="BE52" s="337"/>
      <c r="BF52" s="337"/>
      <c r="BG52" s="337"/>
      <c r="BH52" s="337"/>
      <c r="BI52" s="337"/>
      <c r="BJ52" s="337"/>
      <c r="BK52" s="337"/>
      <c r="BL52" s="337"/>
      <c r="BM52" s="337"/>
      <c r="BN52" s="337"/>
      <c r="BO52" s="337"/>
      <c r="BP52" s="337"/>
      <c r="BQ52" s="337"/>
      <c r="BR52" s="337"/>
      <c r="BS52" s="337"/>
      <c r="BT52" s="337"/>
      <c r="BU52" s="337"/>
      <c r="BV52" s="337"/>
      <c r="BW52" s="337"/>
      <c r="BX52" s="337"/>
      <c r="BY52" s="337"/>
      <c r="BZ52" s="337"/>
      <c r="CA52" s="337"/>
      <c r="CB52" s="337"/>
      <c r="CC52" s="337"/>
      <c r="CD52" s="337"/>
      <c r="CE52" s="337"/>
      <c r="CF52" s="337"/>
      <c r="CG52" s="337"/>
      <c r="CH52" s="337"/>
      <c r="CI52" s="337"/>
      <c r="CJ52" s="337"/>
      <c r="CK52" s="337"/>
      <c r="CL52" s="337"/>
      <c r="CM52" s="337"/>
      <c r="CN52" s="337"/>
      <c r="CO52" s="337"/>
      <c r="CP52" s="337"/>
      <c r="CQ52" s="337"/>
      <c r="CR52" s="337"/>
      <c r="CS52" s="337"/>
      <c r="CT52" s="337"/>
      <c r="CU52" s="337"/>
      <c r="CV52" s="337"/>
      <c r="CW52" s="337"/>
      <c r="CX52" s="337"/>
      <c r="CY52" s="337"/>
      <c r="CZ52" s="337"/>
      <c r="DA52" s="337"/>
      <c r="DB52" s="337"/>
      <c r="DC52" s="337"/>
      <c r="DD52" s="337"/>
      <c r="DE52" s="337"/>
      <c r="DF52" s="337"/>
      <c r="DG52" s="337"/>
      <c r="DH52" s="337"/>
      <c r="DI52" s="337"/>
      <c r="DJ52" s="337"/>
      <c r="DK52" s="337"/>
      <c r="DL52" s="337"/>
      <c r="DM52" s="337"/>
      <c r="DN52" s="337"/>
      <c r="DO52" s="337"/>
      <c r="DP52" s="337"/>
      <c r="DQ52" s="337"/>
      <c r="DR52" s="337"/>
      <c r="DS52" s="337"/>
      <c r="DT52" s="337"/>
      <c r="DU52" s="337"/>
      <c r="DV52" s="337"/>
      <c r="DW52" s="337"/>
      <c r="DX52" s="337"/>
      <c r="DY52" s="337"/>
      <c r="DZ52" s="337"/>
      <c r="EA52" s="337"/>
      <c r="EB52" s="337"/>
      <c r="EC52" s="337"/>
      <c r="ED52" s="337"/>
      <c r="EE52" s="337"/>
      <c r="EF52" s="337"/>
      <c r="EG52" s="337"/>
      <c r="EH52" s="337"/>
      <c r="EI52" s="337"/>
      <c r="EJ52" s="337"/>
      <c r="EK52" s="337"/>
      <c r="EL52" s="337"/>
      <c r="EM52" s="337"/>
      <c r="EN52" s="337"/>
      <c r="EO52" s="337"/>
      <c r="EP52" s="337"/>
      <c r="EQ52" s="337"/>
      <c r="ER52" s="337"/>
      <c r="ES52" s="337"/>
      <c r="ET52" s="337"/>
      <c r="EU52" s="337"/>
      <c r="EV52" s="337"/>
      <c r="EW52" s="337"/>
      <c r="EX52" s="337"/>
      <c r="EY52" s="337"/>
      <c r="EZ52" s="337"/>
      <c r="FA52" s="337"/>
      <c r="FB52" s="337"/>
      <c r="FC52" s="337"/>
      <c r="FD52" s="337"/>
      <c r="FE52" s="337"/>
      <c r="FF52" s="337"/>
      <c r="FG52" s="337"/>
      <c r="FH52" s="337"/>
      <c r="FI52" s="337"/>
      <c r="FJ52" s="337"/>
      <c r="FK52" s="337"/>
      <c r="FL52" s="337"/>
      <c r="FM52" s="337"/>
      <c r="FN52" s="337"/>
      <c r="FO52" s="337"/>
      <c r="FP52" s="337"/>
      <c r="FQ52" s="337"/>
      <c r="FR52" s="337"/>
      <c r="FS52" s="337"/>
      <c r="FT52" s="337"/>
      <c r="FU52" s="337"/>
      <c r="FV52" s="337"/>
      <c r="FW52" s="337"/>
      <c r="FX52" s="337"/>
      <c r="FY52" s="337"/>
      <c r="FZ52" s="337"/>
      <c r="GA52" s="337"/>
      <c r="GB52" s="337"/>
      <c r="GC52" s="337"/>
      <c r="GD52" s="337"/>
      <c r="GE52" s="337"/>
      <c r="GF52" s="337"/>
      <c r="GG52" s="337"/>
      <c r="GH52" s="337"/>
      <c r="GI52" s="337"/>
      <c r="GJ52" s="337"/>
      <c r="GK52" s="337"/>
      <c r="GL52" s="337"/>
      <c r="GM52" s="337"/>
      <c r="GN52" s="337"/>
      <c r="GO52" s="337"/>
      <c r="GP52" s="337"/>
      <c r="GQ52" s="337"/>
      <c r="GR52" s="337"/>
      <c r="GS52" s="337"/>
      <c r="GT52" s="337"/>
      <c r="GU52" s="337"/>
      <c r="GV52" s="337"/>
      <c r="GW52" s="337"/>
      <c r="GX52" s="337"/>
      <c r="GY52" s="337"/>
      <c r="GZ52" s="337"/>
    </row>
    <row r="53" spans="4:208" s="575" customFormat="1" ht="21" customHeight="1">
      <c r="R53" s="337"/>
      <c r="S53" s="337"/>
      <c r="T53" s="337"/>
      <c r="U53" s="337"/>
      <c r="V53" s="337"/>
      <c r="W53" s="337"/>
      <c r="X53" s="337"/>
      <c r="Y53" s="337"/>
      <c r="Z53" s="337"/>
      <c r="AA53" s="337"/>
      <c r="AB53" s="337"/>
      <c r="AC53" s="337"/>
      <c r="AD53" s="337"/>
      <c r="AE53" s="337"/>
      <c r="AF53" s="337"/>
      <c r="AG53" s="337"/>
      <c r="AH53" s="337"/>
      <c r="AI53" s="337"/>
      <c r="AJ53" s="337"/>
      <c r="AK53" s="337"/>
      <c r="AL53" s="337"/>
      <c r="AM53" s="337"/>
      <c r="AN53" s="337"/>
      <c r="AO53" s="337"/>
      <c r="AP53" s="337"/>
      <c r="AQ53" s="337"/>
      <c r="AR53" s="337"/>
      <c r="AS53" s="337"/>
      <c r="AT53" s="337"/>
      <c r="AU53" s="337"/>
      <c r="AV53" s="337"/>
      <c r="AW53" s="337"/>
      <c r="AX53" s="337"/>
      <c r="AY53" s="337"/>
      <c r="AZ53" s="337"/>
      <c r="BA53" s="337"/>
      <c r="BB53" s="337"/>
      <c r="BC53" s="337"/>
      <c r="BD53" s="337"/>
      <c r="BE53" s="337"/>
      <c r="BF53" s="337"/>
      <c r="BG53" s="337"/>
      <c r="BH53" s="337"/>
      <c r="BI53" s="337"/>
      <c r="BJ53" s="337"/>
      <c r="BK53" s="337"/>
      <c r="BL53" s="337"/>
      <c r="BM53" s="337"/>
      <c r="BN53" s="337"/>
      <c r="BO53" s="337"/>
      <c r="BP53" s="337"/>
      <c r="BQ53" s="337"/>
      <c r="BR53" s="337"/>
      <c r="BS53" s="337"/>
      <c r="BT53" s="337"/>
      <c r="BU53" s="337"/>
      <c r="BV53" s="337"/>
      <c r="BW53" s="337"/>
      <c r="BX53" s="337"/>
      <c r="BY53" s="337"/>
      <c r="BZ53" s="337"/>
      <c r="CA53" s="337"/>
      <c r="CB53" s="337"/>
      <c r="CC53" s="337"/>
      <c r="CD53" s="337"/>
      <c r="CE53" s="337"/>
      <c r="CF53" s="337"/>
      <c r="CG53" s="337"/>
      <c r="CH53" s="337"/>
      <c r="CI53" s="337"/>
      <c r="CJ53" s="337"/>
      <c r="CK53" s="337"/>
      <c r="CL53" s="337"/>
      <c r="CM53" s="337"/>
      <c r="CN53" s="337"/>
      <c r="CO53" s="337"/>
      <c r="CP53" s="337"/>
      <c r="CQ53" s="337"/>
      <c r="CR53" s="337"/>
      <c r="CS53" s="337"/>
      <c r="CT53" s="337"/>
      <c r="CU53" s="337"/>
      <c r="CV53" s="337"/>
      <c r="CW53" s="337"/>
      <c r="CX53" s="337"/>
      <c r="CY53" s="337"/>
      <c r="CZ53" s="337"/>
      <c r="DA53" s="337"/>
      <c r="DB53" s="337"/>
      <c r="DC53" s="337"/>
      <c r="DD53" s="337"/>
      <c r="DE53" s="337"/>
      <c r="DF53" s="337"/>
      <c r="DG53" s="337"/>
      <c r="DH53" s="337"/>
      <c r="DI53" s="337"/>
      <c r="DJ53" s="337"/>
      <c r="DK53" s="337"/>
      <c r="DL53" s="337"/>
      <c r="DM53" s="337"/>
      <c r="DN53" s="337"/>
      <c r="DO53" s="337"/>
      <c r="DP53" s="337"/>
      <c r="DQ53" s="337"/>
      <c r="DR53" s="337"/>
      <c r="DS53" s="337"/>
      <c r="DT53" s="337"/>
      <c r="DU53" s="337"/>
      <c r="DV53" s="337"/>
      <c r="DW53" s="337"/>
      <c r="DX53" s="337"/>
      <c r="DY53" s="337"/>
      <c r="DZ53" s="337"/>
      <c r="EA53" s="337"/>
      <c r="EB53" s="337"/>
      <c r="EC53" s="337"/>
      <c r="ED53" s="337"/>
      <c r="EE53" s="337"/>
      <c r="EF53" s="337"/>
      <c r="EG53" s="337"/>
      <c r="EH53" s="337"/>
      <c r="EI53" s="337"/>
      <c r="EJ53" s="337"/>
      <c r="EK53" s="337"/>
      <c r="EL53" s="337"/>
      <c r="EM53" s="337"/>
      <c r="EN53" s="337"/>
      <c r="EO53" s="337"/>
      <c r="EP53" s="337"/>
      <c r="EQ53" s="337"/>
      <c r="ER53" s="337"/>
      <c r="ES53" s="337"/>
      <c r="ET53" s="337"/>
      <c r="EU53" s="337"/>
      <c r="EV53" s="337"/>
      <c r="EW53" s="337"/>
      <c r="EX53" s="337"/>
      <c r="EY53" s="337"/>
      <c r="EZ53" s="337"/>
      <c r="FA53" s="337"/>
      <c r="FB53" s="337"/>
      <c r="FC53" s="337"/>
      <c r="FD53" s="337"/>
      <c r="FE53" s="337"/>
      <c r="FF53" s="337"/>
      <c r="FG53" s="337"/>
      <c r="FH53" s="337"/>
      <c r="FI53" s="337"/>
      <c r="FJ53" s="337"/>
      <c r="FK53" s="337"/>
      <c r="FL53" s="337"/>
      <c r="FM53" s="337"/>
      <c r="FN53" s="337"/>
      <c r="FO53" s="337"/>
      <c r="FP53" s="337"/>
      <c r="FQ53" s="337"/>
      <c r="FR53" s="337"/>
      <c r="FS53" s="337"/>
      <c r="FT53" s="337"/>
      <c r="FU53" s="337"/>
      <c r="FV53" s="337"/>
      <c r="FW53" s="337"/>
      <c r="FX53" s="337"/>
      <c r="FY53" s="337"/>
      <c r="FZ53" s="337"/>
      <c r="GA53" s="337"/>
      <c r="GB53" s="337"/>
      <c r="GC53" s="337"/>
      <c r="GD53" s="337"/>
      <c r="GE53" s="337"/>
      <c r="GF53" s="337"/>
      <c r="GG53" s="337"/>
      <c r="GH53" s="337"/>
      <c r="GI53" s="337"/>
      <c r="GJ53" s="337"/>
      <c r="GK53" s="337"/>
      <c r="GL53" s="337"/>
      <c r="GM53" s="337"/>
      <c r="GN53" s="337"/>
      <c r="GO53" s="337"/>
      <c r="GP53" s="337"/>
      <c r="GQ53" s="337"/>
      <c r="GR53" s="337"/>
      <c r="GS53" s="337"/>
      <c r="GT53" s="337"/>
      <c r="GU53" s="337"/>
      <c r="GV53" s="337"/>
      <c r="GW53" s="337"/>
      <c r="GX53" s="337"/>
      <c r="GY53" s="337"/>
      <c r="GZ53" s="337"/>
    </row>
    <row r="54" spans="4:208" s="575" customFormat="1" ht="21" customHeight="1">
      <c r="R54" s="337"/>
      <c r="S54" s="337"/>
      <c r="T54" s="337"/>
      <c r="U54" s="337"/>
      <c r="V54" s="337"/>
      <c r="W54" s="337"/>
      <c r="X54" s="337"/>
      <c r="Y54" s="337"/>
      <c r="Z54" s="337"/>
      <c r="AA54" s="337"/>
      <c r="AB54" s="337"/>
      <c r="AC54" s="337"/>
      <c r="AD54" s="337"/>
      <c r="AE54" s="337"/>
      <c r="AF54" s="337"/>
      <c r="AG54" s="337"/>
      <c r="AH54" s="337"/>
      <c r="AI54" s="337"/>
      <c r="AJ54" s="337"/>
      <c r="AK54" s="337"/>
      <c r="AL54" s="337"/>
      <c r="AM54" s="337"/>
      <c r="AN54" s="337"/>
      <c r="AO54" s="337"/>
      <c r="AP54" s="337"/>
      <c r="AQ54" s="337"/>
      <c r="AR54" s="337"/>
      <c r="AS54" s="337"/>
      <c r="AT54" s="337"/>
      <c r="AU54" s="337"/>
      <c r="AV54" s="337"/>
      <c r="AW54" s="337"/>
      <c r="AX54" s="337"/>
      <c r="AY54" s="337"/>
      <c r="AZ54" s="337"/>
      <c r="BA54" s="337"/>
      <c r="BB54" s="337"/>
      <c r="BC54" s="337"/>
      <c r="BD54" s="337"/>
      <c r="BE54" s="337"/>
      <c r="BF54" s="337"/>
      <c r="BG54" s="337"/>
      <c r="BH54" s="337"/>
      <c r="BI54" s="337"/>
      <c r="BJ54" s="337"/>
      <c r="BK54" s="337"/>
      <c r="BL54" s="337"/>
      <c r="BM54" s="337"/>
      <c r="BN54" s="337"/>
      <c r="BO54" s="337"/>
      <c r="BP54" s="337"/>
      <c r="BQ54" s="337"/>
      <c r="BR54" s="337"/>
      <c r="BS54" s="337"/>
      <c r="BT54" s="337"/>
      <c r="BU54" s="337"/>
      <c r="BV54" s="337"/>
      <c r="BW54" s="337"/>
      <c r="BX54" s="337"/>
      <c r="BY54" s="337"/>
      <c r="BZ54" s="337"/>
      <c r="CA54" s="337"/>
      <c r="CB54" s="337"/>
      <c r="CC54" s="337"/>
      <c r="CD54" s="337"/>
      <c r="CE54" s="337"/>
      <c r="CF54" s="337"/>
      <c r="CG54" s="337"/>
      <c r="CH54" s="337"/>
      <c r="CI54" s="337"/>
      <c r="CJ54" s="337"/>
      <c r="CK54" s="337"/>
      <c r="CL54" s="337"/>
      <c r="CM54" s="337"/>
      <c r="CN54" s="337"/>
      <c r="CO54" s="337"/>
      <c r="CP54" s="337"/>
      <c r="CQ54" s="337"/>
      <c r="CR54" s="337"/>
      <c r="CS54" s="337"/>
      <c r="CT54" s="337"/>
      <c r="CU54" s="337"/>
      <c r="CV54" s="337"/>
      <c r="CW54" s="337"/>
      <c r="CX54" s="337"/>
      <c r="CY54" s="337"/>
      <c r="CZ54" s="337"/>
      <c r="DA54" s="337"/>
      <c r="DB54" s="337"/>
      <c r="DC54" s="337"/>
      <c r="DD54" s="337"/>
      <c r="DE54" s="337"/>
      <c r="DF54" s="337"/>
      <c r="DG54" s="337"/>
      <c r="DH54" s="337"/>
      <c r="DI54" s="337"/>
      <c r="DJ54" s="337"/>
      <c r="DK54" s="337"/>
      <c r="DL54" s="337"/>
      <c r="DM54" s="337"/>
      <c r="DN54" s="337"/>
      <c r="DO54" s="337"/>
      <c r="DP54" s="337"/>
      <c r="DQ54" s="337"/>
      <c r="DR54" s="337"/>
      <c r="DS54" s="337"/>
      <c r="DT54" s="337"/>
      <c r="DU54" s="337"/>
      <c r="DV54" s="337"/>
      <c r="DW54" s="337"/>
      <c r="DX54" s="337"/>
      <c r="DY54" s="337"/>
      <c r="DZ54" s="337"/>
      <c r="EA54" s="337"/>
      <c r="EB54" s="337"/>
      <c r="EC54" s="337"/>
      <c r="ED54" s="337"/>
      <c r="EE54" s="337"/>
      <c r="EF54" s="337"/>
      <c r="EG54" s="337"/>
      <c r="EH54" s="337"/>
      <c r="EI54" s="337"/>
      <c r="EJ54" s="337"/>
      <c r="EK54" s="337"/>
      <c r="EL54" s="337"/>
      <c r="EM54" s="337"/>
      <c r="EN54" s="337"/>
      <c r="EO54" s="337"/>
      <c r="EP54" s="337"/>
      <c r="EQ54" s="337"/>
      <c r="ER54" s="337"/>
      <c r="ES54" s="337"/>
      <c r="ET54" s="337"/>
      <c r="EU54" s="337"/>
      <c r="EV54" s="337"/>
      <c r="EW54" s="337"/>
      <c r="EX54" s="337"/>
      <c r="EY54" s="337"/>
      <c r="EZ54" s="337"/>
      <c r="FA54" s="337"/>
      <c r="FB54" s="337"/>
      <c r="FC54" s="337"/>
      <c r="FD54" s="337"/>
      <c r="FE54" s="337"/>
      <c r="FF54" s="337"/>
      <c r="FG54" s="337"/>
      <c r="FH54" s="337"/>
      <c r="FI54" s="337"/>
      <c r="FJ54" s="337"/>
      <c r="FK54" s="337"/>
      <c r="FL54" s="337"/>
      <c r="FM54" s="337"/>
      <c r="FN54" s="337"/>
      <c r="FO54" s="337"/>
      <c r="FP54" s="337"/>
      <c r="FQ54" s="337"/>
      <c r="FR54" s="337"/>
      <c r="FS54" s="337"/>
      <c r="FT54" s="337"/>
      <c r="FU54" s="337"/>
      <c r="FV54" s="337"/>
      <c r="FW54" s="337"/>
      <c r="FX54" s="337"/>
      <c r="FY54" s="337"/>
      <c r="FZ54" s="337"/>
      <c r="GA54" s="337"/>
      <c r="GB54" s="337"/>
      <c r="GC54" s="337"/>
      <c r="GD54" s="337"/>
      <c r="GE54" s="337"/>
      <c r="GF54" s="337"/>
      <c r="GG54" s="337"/>
      <c r="GH54" s="337"/>
      <c r="GI54" s="337"/>
      <c r="GJ54" s="337"/>
      <c r="GK54" s="337"/>
      <c r="GL54" s="337"/>
      <c r="GM54" s="337"/>
      <c r="GN54" s="337"/>
      <c r="GO54" s="337"/>
      <c r="GP54" s="337"/>
      <c r="GQ54" s="337"/>
      <c r="GR54" s="337"/>
      <c r="GS54" s="337"/>
      <c r="GT54" s="337"/>
      <c r="GU54" s="337"/>
      <c r="GV54" s="337"/>
      <c r="GW54" s="337"/>
      <c r="GX54" s="337"/>
      <c r="GY54" s="337"/>
      <c r="GZ54" s="337"/>
    </row>
    <row r="55" spans="4:208" s="575" customFormat="1" ht="21" customHeight="1">
      <c r="R55" s="337"/>
      <c r="S55" s="337"/>
      <c r="T55" s="337"/>
      <c r="U55" s="337"/>
      <c r="V55" s="337"/>
      <c r="W55" s="337"/>
      <c r="X55" s="337"/>
      <c r="Y55" s="337"/>
      <c r="Z55" s="337"/>
      <c r="AA55" s="337"/>
      <c r="AB55" s="337"/>
      <c r="AC55" s="337"/>
      <c r="AD55" s="337"/>
      <c r="AE55" s="337"/>
      <c r="AF55" s="337"/>
      <c r="AG55" s="337"/>
      <c r="AH55" s="337"/>
      <c r="AI55" s="337"/>
      <c r="AJ55" s="337"/>
      <c r="AK55" s="337"/>
      <c r="AL55" s="337"/>
      <c r="AM55" s="337"/>
      <c r="AN55" s="337"/>
      <c r="AO55" s="337"/>
      <c r="AP55" s="337"/>
      <c r="AQ55" s="337"/>
      <c r="AR55" s="337"/>
      <c r="AS55" s="337"/>
      <c r="AT55" s="337"/>
      <c r="AU55" s="337"/>
      <c r="AV55" s="337"/>
      <c r="AW55" s="337"/>
      <c r="AX55" s="337"/>
      <c r="AY55" s="337"/>
      <c r="AZ55" s="337"/>
      <c r="BA55" s="337"/>
      <c r="BB55" s="337"/>
      <c r="BC55" s="337"/>
      <c r="BD55" s="337"/>
      <c r="BE55" s="337"/>
      <c r="BF55" s="337"/>
      <c r="BG55" s="337"/>
      <c r="BH55" s="337"/>
      <c r="BI55" s="337"/>
      <c r="BJ55" s="337"/>
      <c r="BK55" s="337"/>
      <c r="BL55" s="337"/>
      <c r="BM55" s="337"/>
      <c r="BN55" s="337"/>
      <c r="BO55" s="337"/>
      <c r="BP55" s="337"/>
      <c r="BQ55" s="337"/>
      <c r="BR55" s="337"/>
      <c r="BS55" s="337"/>
      <c r="BT55" s="337"/>
      <c r="BU55" s="337"/>
      <c r="BV55" s="337"/>
      <c r="BW55" s="337"/>
      <c r="BX55" s="337"/>
      <c r="BY55" s="337"/>
      <c r="BZ55" s="337"/>
      <c r="CA55" s="337"/>
      <c r="CB55" s="337"/>
      <c r="CC55" s="337"/>
      <c r="CD55" s="337"/>
      <c r="CE55" s="337"/>
      <c r="CF55" s="337"/>
      <c r="CG55" s="337"/>
      <c r="CH55" s="337"/>
      <c r="CI55" s="337"/>
      <c r="CJ55" s="337"/>
      <c r="CK55" s="337"/>
      <c r="CL55" s="337"/>
      <c r="CM55" s="337"/>
      <c r="CN55" s="337"/>
      <c r="CO55" s="337"/>
      <c r="CP55" s="337"/>
      <c r="CQ55" s="337"/>
      <c r="CR55" s="337"/>
      <c r="CS55" s="337"/>
      <c r="CT55" s="337"/>
      <c r="CU55" s="337"/>
      <c r="CV55" s="337"/>
      <c r="CW55" s="337"/>
      <c r="CX55" s="337"/>
      <c r="CY55" s="337"/>
      <c r="CZ55" s="337"/>
      <c r="DA55" s="337"/>
      <c r="DB55" s="337"/>
      <c r="DC55" s="337"/>
      <c r="DD55" s="337"/>
      <c r="DE55" s="337"/>
      <c r="DF55" s="337"/>
      <c r="DG55" s="337"/>
      <c r="DH55" s="337"/>
      <c r="DI55" s="337"/>
      <c r="DJ55" s="337"/>
      <c r="DK55" s="337"/>
      <c r="DL55" s="337"/>
      <c r="DM55" s="337"/>
      <c r="DN55" s="337"/>
      <c r="DO55" s="337"/>
      <c r="DP55" s="337"/>
      <c r="DQ55" s="337"/>
      <c r="DR55" s="337"/>
      <c r="DS55" s="337"/>
      <c r="DT55" s="337"/>
      <c r="DU55" s="337"/>
      <c r="DV55" s="337"/>
      <c r="DW55" s="337"/>
      <c r="DX55" s="337"/>
      <c r="DY55" s="337"/>
      <c r="DZ55" s="337"/>
      <c r="EA55" s="337"/>
      <c r="EB55" s="337"/>
      <c r="EC55" s="337"/>
      <c r="ED55" s="337"/>
      <c r="EE55" s="337"/>
      <c r="EF55" s="337"/>
      <c r="EG55" s="337"/>
      <c r="EH55" s="337"/>
      <c r="EI55" s="337"/>
      <c r="EJ55" s="337"/>
      <c r="EK55" s="337"/>
      <c r="EL55" s="337"/>
      <c r="EM55" s="337"/>
      <c r="EN55" s="337"/>
      <c r="EO55" s="337"/>
      <c r="EP55" s="337"/>
      <c r="EQ55" s="337"/>
      <c r="ER55" s="337"/>
      <c r="ES55" s="337"/>
      <c r="ET55" s="337"/>
      <c r="EU55" s="337"/>
      <c r="EV55" s="337"/>
      <c r="EW55" s="337"/>
      <c r="EX55" s="337"/>
      <c r="EY55" s="337"/>
      <c r="EZ55" s="337"/>
      <c r="FA55" s="337"/>
      <c r="FB55" s="337"/>
      <c r="FC55" s="337"/>
      <c r="FD55" s="337"/>
      <c r="FE55" s="337"/>
      <c r="FF55" s="337"/>
      <c r="FG55" s="337"/>
      <c r="FH55" s="337"/>
      <c r="FI55" s="337"/>
      <c r="FJ55" s="337"/>
      <c r="FK55" s="337"/>
      <c r="FL55" s="337"/>
      <c r="FM55" s="337"/>
      <c r="FN55" s="337"/>
      <c r="FO55" s="337"/>
      <c r="FP55" s="337"/>
      <c r="FQ55" s="337"/>
      <c r="FR55" s="337"/>
      <c r="FS55" s="337"/>
      <c r="FT55" s="337"/>
      <c r="FU55" s="337"/>
      <c r="FV55" s="337"/>
      <c r="FW55" s="337"/>
      <c r="FX55" s="337"/>
      <c r="FY55" s="337"/>
      <c r="FZ55" s="337"/>
      <c r="GA55" s="337"/>
      <c r="GB55" s="337"/>
      <c r="GC55" s="337"/>
      <c r="GD55" s="337"/>
      <c r="GE55" s="337"/>
      <c r="GF55" s="337"/>
      <c r="GG55" s="337"/>
      <c r="GH55" s="337"/>
      <c r="GI55" s="337"/>
      <c r="GJ55" s="337"/>
      <c r="GK55" s="337"/>
      <c r="GL55" s="337"/>
      <c r="GM55" s="337"/>
      <c r="GN55" s="337"/>
      <c r="GO55" s="337"/>
      <c r="GP55" s="337"/>
      <c r="GQ55" s="337"/>
      <c r="GR55" s="337"/>
      <c r="GS55" s="337"/>
      <c r="GT55" s="337"/>
      <c r="GU55" s="337"/>
      <c r="GV55" s="337"/>
      <c r="GW55" s="337"/>
      <c r="GX55" s="337"/>
      <c r="GY55" s="337"/>
      <c r="GZ55" s="337"/>
    </row>
    <row r="56" spans="4:208" s="575" customFormat="1" ht="21" customHeight="1">
      <c r="R56" s="337"/>
      <c r="S56" s="337"/>
      <c r="T56" s="337"/>
      <c r="U56" s="337"/>
      <c r="V56" s="337"/>
      <c r="W56" s="337"/>
      <c r="X56" s="337"/>
      <c r="Y56" s="337"/>
      <c r="Z56" s="337"/>
      <c r="AA56" s="337"/>
      <c r="AB56" s="337"/>
      <c r="AC56" s="337"/>
      <c r="AD56" s="337"/>
      <c r="AE56" s="337"/>
      <c r="AF56" s="337"/>
      <c r="AG56" s="337"/>
      <c r="AH56" s="337"/>
      <c r="AI56" s="337"/>
      <c r="AJ56" s="337"/>
      <c r="AK56" s="337"/>
      <c r="AL56" s="337"/>
      <c r="AM56" s="337"/>
      <c r="AN56" s="337"/>
      <c r="AO56" s="337"/>
      <c r="AP56" s="337"/>
      <c r="AQ56" s="337"/>
      <c r="AR56" s="337"/>
      <c r="AS56" s="337"/>
      <c r="AT56" s="337"/>
      <c r="AU56" s="337"/>
      <c r="AV56" s="337"/>
      <c r="AW56" s="337"/>
      <c r="AX56" s="337"/>
      <c r="AY56" s="337"/>
      <c r="AZ56" s="337"/>
      <c r="BA56" s="337"/>
      <c r="BB56" s="337"/>
      <c r="BC56" s="337"/>
      <c r="BD56" s="337"/>
      <c r="BE56" s="337"/>
      <c r="BF56" s="337"/>
      <c r="BG56" s="337"/>
      <c r="BH56" s="337"/>
      <c r="BI56" s="337"/>
      <c r="BJ56" s="337"/>
      <c r="BK56" s="337"/>
      <c r="BL56" s="337"/>
      <c r="BM56" s="337"/>
      <c r="BN56" s="337"/>
      <c r="BO56" s="337"/>
      <c r="BP56" s="337"/>
      <c r="BQ56" s="337"/>
      <c r="BR56" s="337"/>
      <c r="BS56" s="337"/>
      <c r="BT56" s="337"/>
      <c r="BU56" s="337"/>
      <c r="BV56" s="337"/>
      <c r="BW56" s="337"/>
      <c r="BX56" s="337"/>
      <c r="BY56" s="337"/>
      <c r="BZ56" s="337"/>
      <c r="CA56" s="337"/>
      <c r="CB56" s="337"/>
      <c r="CC56" s="337"/>
      <c r="CD56" s="337"/>
      <c r="CE56" s="337"/>
      <c r="CF56" s="337"/>
      <c r="CG56" s="337"/>
      <c r="CH56" s="337"/>
      <c r="CI56" s="337"/>
      <c r="CJ56" s="337"/>
      <c r="CK56" s="337"/>
      <c r="CL56" s="337"/>
      <c r="CM56" s="337"/>
      <c r="CN56" s="337"/>
      <c r="CO56" s="337"/>
      <c r="CP56" s="337"/>
      <c r="CQ56" s="337"/>
      <c r="CR56" s="337"/>
      <c r="CS56" s="337"/>
      <c r="CT56" s="337"/>
      <c r="CU56" s="337"/>
      <c r="CV56" s="337"/>
      <c r="CW56" s="337"/>
      <c r="CX56" s="337"/>
      <c r="CY56" s="337"/>
      <c r="CZ56" s="337"/>
      <c r="DA56" s="337"/>
      <c r="DB56" s="337"/>
      <c r="DC56" s="337"/>
      <c r="DD56" s="337"/>
      <c r="DE56" s="337"/>
      <c r="DF56" s="337"/>
      <c r="DG56" s="337"/>
      <c r="DH56" s="337"/>
      <c r="DI56" s="337"/>
      <c r="DJ56" s="337"/>
      <c r="DK56" s="337"/>
      <c r="DL56" s="337"/>
      <c r="DM56" s="337"/>
      <c r="DN56" s="337"/>
      <c r="DO56" s="337"/>
      <c r="DP56" s="337"/>
      <c r="DQ56" s="337"/>
      <c r="DR56" s="337"/>
      <c r="DS56" s="337"/>
      <c r="DT56" s="337"/>
      <c r="DU56" s="337"/>
      <c r="DV56" s="337"/>
      <c r="DW56" s="337"/>
      <c r="DX56" s="337"/>
      <c r="DY56" s="337"/>
      <c r="DZ56" s="337"/>
      <c r="EA56" s="337"/>
      <c r="EB56" s="337"/>
      <c r="EC56" s="337"/>
      <c r="ED56" s="337"/>
      <c r="EE56" s="337"/>
      <c r="EF56" s="337"/>
      <c r="EG56" s="337"/>
      <c r="EH56" s="337"/>
      <c r="EI56" s="337"/>
      <c r="EJ56" s="337"/>
      <c r="EK56" s="337"/>
      <c r="EL56" s="337"/>
      <c r="EM56" s="337"/>
      <c r="EN56" s="337"/>
      <c r="EO56" s="337"/>
      <c r="EP56" s="337"/>
      <c r="EQ56" s="337"/>
      <c r="ER56" s="337"/>
      <c r="ES56" s="337"/>
      <c r="ET56" s="337"/>
      <c r="EU56" s="337"/>
      <c r="EV56" s="337"/>
      <c r="EW56" s="337"/>
      <c r="EX56" s="337"/>
      <c r="EY56" s="337"/>
      <c r="EZ56" s="337"/>
      <c r="FA56" s="337"/>
      <c r="FB56" s="337"/>
      <c r="FC56" s="337"/>
      <c r="FD56" s="337"/>
      <c r="FE56" s="337"/>
      <c r="FF56" s="337"/>
      <c r="FG56" s="337"/>
      <c r="FH56" s="337"/>
      <c r="FI56" s="337"/>
      <c r="FJ56" s="337"/>
      <c r="FK56" s="337"/>
      <c r="FL56" s="337"/>
      <c r="FM56" s="337"/>
      <c r="FN56" s="337"/>
      <c r="FO56" s="337"/>
      <c r="FP56" s="337"/>
      <c r="FQ56" s="337"/>
      <c r="FR56" s="337"/>
      <c r="FS56" s="337"/>
      <c r="FT56" s="337"/>
      <c r="FU56" s="337"/>
      <c r="FV56" s="337"/>
      <c r="FW56" s="337"/>
      <c r="FX56" s="337"/>
      <c r="FY56" s="337"/>
      <c r="FZ56" s="337"/>
      <c r="GA56" s="337"/>
      <c r="GB56" s="337"/>
      <c r="GC56" s="337"/>
      <c r="GD56" s="337"/>
      <c r="GE56" s="337"/>
      <c r="GF56" s="337"/>
      <c r="GG56" s="337"/>
      <c r="GH56" s="337"/>
      <c r="GI56" s="337"/>
      <c r="GJ56" s="337"/>
      <c r="GK56" s="337"/>
      <c r="GL56" s="337"/>
      <c r="GM56" s="337"/>
      <c r="GN56" s="337"/>
      <c r="GO56" s="337"/>
      <c r="GP56" s="337"/>
      <c r="GQ56" s="337"/>
      <c r="GR56" s="337"/>
      <c r="GS56" s="337"/>
      <c r="GT56" s="337"/>
      <c r="GU56" s="337"/>
      <c r="GV56" s="337"/>
      <c r="GW56" s="337"/>
      <c r="GX56" s="337"/>
      <c r="GY56" s="337"/>
      <c r="GZ56" s="337"/>
    </row>
    <row r="57" spans="4:208" s="575" customFormat="1" ht="21" customHeight="1">
      <c r="R57" s="337"/>
      <c r="S57" s="337"/>
      <c r="T57" s="337"/>
      <c r="U57" s="337"/>
      <c r="V57" s="337"/>
      <c r="W57" s="337"/>
      <c r="X57" s="337"/>
      <c r="Y57" s="337"/>
      <c r="Z57" s="337"/>
      <c r="AA57" s="337"/>
      <c r="AB57" s="337"/>
      <c r="AC57" s="337"/>
      <c r="AD57" s="337"/>
      <c r="AE57" s="337"/>
      <c r="AF57" s="337"/>
      <c r="AG57" s="337"/>
      <c r="AH57" s="337"/>
      <c r="AI57" s="337"/>
      <c r="AJ57" s="337"/>
      <c r="AK57" s="337"/>
      <c r="AL57" s="337"/>
      <c r="AM57" s="337"/>
      <c r="AN57" s="337"/>
      <c r="AO57" s="337"/>
      <c r="AP57" s="337"/>
      <c r="AQ57" s="337"/>
      <c r="AR57" s="337"/>
      <c r="AS57" s="337"/>
      <c r="AT57" s="337"/>
      <c r="AU57" s="337"/>
      <c r="AV57" s="337"/>
      <c r="AW57" s="337"/>
      <c r="AX57" s="337"/>
      <c r="AY57" s="337"/>
      <c r="AZ57" s="337"/>
      <c r="BA57" s="337"/>
      <c r="BB57" s="337"/>
      <c r="BC57" s="337"/>
      <c r="BD57" s="337"/>
      <c r="BE57" s="337"/>
      <c r="BF57" s="337"/>
      <c r="BG57" s="337"/>
      <c r="BH57" s="337"/>
      <c r="BI57" s="337"/>
      <c r="BJ57" s="337"/>
      <c r="BK57" s="337"/>
      <c r="BL57" s="337"/>
      <c r="BM57" s="337"/>
      <c r="BN57" s="337"/>
      <c r="BO57" s="337"/>
      <c r="BP57" s="337"/>
      <c r="BQ57" s="337"/>
      <c r="BR57" s="337"/>
      <c r="BS57" s="337"/>
      <c r="BT57" s="337"/>
      <c r="BU57" s="337"/>
      <c r="BV57" s="337"/>
      <c r="BW57" s="337"/>
      <c r="BX57" s="337"/>
      <c r="BY57" s="337"/>
      <c r="BZ57" s="337"/>
      <c r="CA57" s="337"/>
      <c r="CB57" s="337"/>
      <c r="CC57" s="337"/>
      <c r="CD57" s="337"/>
      <c r="CE57" s="337"/>
      <c r="CF57" s="337"/>
      <c r="CG57" s="337"/>
      <c r="CH57" s="337"/>
      <c r="CI57" s="337"/>
      <c r="CJ57" s="337"/>
      <c r="CK57" s="337"/>
      <c r="CL57" s="337"/>
      <c r="CM57" s="337"/>
      <c r="CN57" s="337"/>
      <c r="CO57" s="337"/>
      <c r="CP57" s="337"/>
      <c r="CQ57" s="337"/>
      <c r="CR57" s="337"/>
      <c r="CS57" s="337"/>
      <c r="CT57" s="337"/>
      <c r="CU57" s="337"/>
      <c r="CV57" s="337"/>
      <c r="CW57" s="337"/>
      <c r="CX57" s="337"/>
      <c r="CY57" s="337"/>
      <c r="CZ57" s="337"/>
      <c r="DA57" s="337"/>
      <c r="DB57" s="337"/>
      <c r="DC57" s="337"/>
      <c r="DD57" s="337"/>
      <c r="DE57" s="337"/>
      <c r="DF57" s="337"/>
      <c r="DG57" s="337"/>
      <c r="DH57" s="337"/>
      <c r="DI57" s="337"/>
      <c r="DJ57" s="337"/>
      <c r="DK57" s="337"/>
      <c r="DL57" s="337"/>
      <c r="DM57" s="337"/>
      <c r="DN57" s="337"/>
      <c r="DO57" s="337"/>
      <c r="DP57" s="337"/>
      <c r="DQ57" s="337"/>
      <c r="DR57" s="337"/>
      <c r="DS57" s="337"/>
      <c r="DT57" s="337"/>
      <c r="DU57" s="337"/>
      <c r="DV57" s="337"/>
      <c r="DW57" s="337"/>
      <c r="DX57" s="337"/>
      <c r="DY57" s="337"/>
      <c r="DZ57" s="337"/>
      <c r="EA57" s="337"/>
      <c r="EB57" s="337"/>
      <c r="EC57" s="337"/>
      <c r="ED57" s="337"/>
      <c r="EE57" s="337"/>
      <c r="EF57" s="337"/>
      <c r="EG57" s="337"/>
      <c r="EH57" s="337"/>
      <c r="EI57" s="337"/>
      <c r="EJ57" s="337"/>
      <c r="EK57" s="337"/>
      <c r="EL57" s="337"/>
      <c r="EM57" s="337"/>
      <c r="EN57" s="337"/>
      <c r="EO57" s="337"/>
      <c r="EP57" s="337"/>
      <c r="EQ57" s="337"/>
      <c r="ER57" s="337"/>
      <c r="ES57" s="337"/>
      <c r="ET57" s="337"/>
      <c r="EU57" s="337"/>
      <c r="EV57" s="337"/>
      <c r="EW57" s="337"/>
      <c r="EX57" s="337"/>
      <c r="EY57" s="337"/>
      <c r="EZ57" s="337"/>
      <c r="FA57" s="337"/>
      <c r="FB57" s="337"/>
      <c r="FC57" s="337"/>
      <c r="FD57" s="337"/>
      <c r="FE57" s="337"/>
      <c r="FF57" s="337"/>
      <c r="FG57" s="337"/>
      <c r="FH57" s="337"/>
      <c r="FI57" s="337"/>
      <c r="FJ57" s="337"/>
      <c r="FK57" s="337"/>
      <c r="FL57" s="337"/>
      <c r="FM57" s="337"/>
      <c r="FN57" s="337"/>
      <c r="FO57" s="337"/>
      <c r="FP57" s="337"/>
      <c r="FQ57" s="337"/>
      <c r="FR57" s="337"/>
      <c r="FS57" s="337"/>
      <c r="FT57" s="337"/>
      <c r="FU57" s="337"/>
      <c r="FV57" s="337"/>
      <c r="FW57" s="337"/>
      <c r="FX57" s="337"/>
      <c r="FY57" s="337"/>
      <c r="FZ57" s="337"/>
      <c r="GA57" s="337"/>
      <c r="GB57" s="337"/>
      <c r="GC57" s="337"/>
      <c r="GD57" s="337"/>
      <c r="GE57" s="337"/>
      <c r="GF57" s="337"/>
      <c r="GG57" s="337"/>
      <c r="GH57" s="337"/>
      <c r="GI57" s="337"/>
      <c r="GJ57" s="337"/>
      <c r="GK57" s="337"/>
      <c r="GL57" s="337"/>
      <c r="GM57" s="337"/>
      <c r="GN57" s="337"/>
      <c r="GO57" s="337"/>
      <c r="GP57" s="337"/>
      <c r="GQ57" s="337"/>
      <c r="GR57" s="337"/>
      <c r="GS57" s="337"/>
      <c r="GT57" s="337"/>
      <c r="GU57" s="337"/>
      <c r="GV57" s="337"/>
      <c r="GW57" s="337"/>
      <c r="GX57" s="337"/>
      <c r="GY57" s="337"/>
      <c r="GZ57" s="337"/>
    </row>
    <row r="58" spans="4:208" s="575" customFormat="1" ht="21" customHeight="1">
      <c r="D58" s="577"/>
      <c r="N58" s="337"/>
      <c r="O58" s="337"/>
      <c r="P58" s="337"/>
      <c r="Q58" s="337"/>
      <c r="R58" s="1381" t="s">
        <v>2022</v>
      </c>
      <c r="S58" s="337"/>
      <c r="T58" s="337"/>
      <c r="U58" s="337"/>
      <c r="V58" s="337"/>
      <c r="W58" s="337"/>
      <c r="X58" s="337"/>
      <c r="Y58" s="337"/>
      <c r="Z58" s="337"/>
      <c r="AA58" s="337"/>
      <c r="AB58" s="337"/>
      <c r="AC58" s="337"/>
      <c r="AD58" s="337"/>
      <c r="AE58" s="337"/>
      <c r="AF58" s="337"/>
      <c r="AG58" s="337"/>
      <c r="AH58" s="337"/>
      <c r="AI58" s="337"/>
      <c r="AJ58" s="337"/>
      <c r="AK58" s="337"/>
      <c r="AL58" s="337"/>
      <c r="AM58" s="337"/>
      <c r="AN58" s="337"/>
      <c r="AO58" s="337"/>
      <c r="AP58" s="337"/>
      <c r="AQ58" s="337"/>
      <c r="AR58" s="337"/>
      <c r="AS58" s="337"/>
      <c r="AT58" s="337"/>
      <c r="AU58" s="337"/>
      <c r="AV58" s="337"/>
      <c r="AW58" s="337"/>
      <c r="AX58" s="337"/>
      <c r="AY58" s="337"/>
      <c r="AZ58" s="337"/>
      <c r="BA58" s="337"/>
      <c r="BB58" s="337"/>
      <c r="BC58" s="337"/>
      <c r="BD58" s="337"/>
      <c r="BE58" s="337"/>
      <c r="BF58" s="337"/>
      <c r="BG58" s="337"/>
      <c r="BH58" s="337"/>
      <c r="BI58" s="337"/>
      <c r="BJ58" s="337"/>
      <c r="BK58" s="337"/>
      <c r="BL58" s="337"/>
      <c r="BM58" s="337"/>
      <c r="BN58" s="337"/>
      <c r="BO58" s="337"/>
      <c r="BP58" s="337"/>
      <c r="BQ58" s="337"/>
      <c r="BR58" s="337"/>
      <c r="BS58" s="337"/>
      <c r="BT58" s="337"/>
      <c r="BU58" s="337"/>
      <c r="BV58" s="337"/>
      <c r="BW58" s="337"/>
      <c r="BX58" s="337"/>
      <c r="BY58" s="337"/>
      <c r="BZ58" s="337"/>
      <c r="CA58" s="337"/>
      <c r="CB58" s="337"/>
      <c r="CC58" s="337"/>
      <c r="CD58" s="337"/>
      <c r="CE58" s="337"/>
      <c r="CF58" s="337"/>
      <c r="CG58" s="337"/>
      <c r="CH58" s="337"/>
      <c r="CI58" s="337"/>
      <c r="CJ58" s="337"/>
      <c r="CK58" s="337"/>
      <c r="CL58" s="337"/>
      <c r="CM58" s="337"/>
      <c r="CN58" s="337"/>
      <c r="CO58" s="337"/>
      <c r="CP58" s="337"/>
      <c r="CQ58" s="337"/>
      <c r="CR58" s="337"/>
      <c r="CS58" s="337"/>
      <c r="CT58" s="337"/>
      <c r="CU58" s="337"/>
      <c r="CV58" s="337"/>
      <c r="CW58" s="337"/>
      <c r="CX58" s="337"/>
      <c r="CY58" s="337"/>
      <c r="CZ58" s="337"/>
      <c r="DA58" s="337"/>
      <c r="DB58" s="337"/>
      <c r="DC58" s="337"/>
      <c r="DD58" s="337"/>
      <c r="DE58" s="337"/>
      <c r="DF58" s="337"/>
      <c r="DG58" s="337"/>
      <c r="DH58" s="337"/>
      <c r="DI58" s="337"/>
      <c r="DJ58" s="337"/>
      <c r="DK58" s="337"/>
      <c r="DL58" s="337"/>
      <c r="DM58" s="337"/>
      <c r="DN58" s="337"/>
      <c r="DO58" s="337"/>
      <c r="DP58" s="337"/>
      <c r="DQ58" s="337"/>
      <c r="DR58" s="337"/>
      <c r="DS58" s="337"/>
      <c r="DT58" s="337"/>
      <c r="DU58" s="337"/>
      <c r="DV58" s="337"/>
      <c r="DW58" s="337"/>
      <c r="DX58" s="337"/>
      <c r="DY58" s="337"/>
      <c r="DZ58" s="337"/>
      <c r="EA58" s="337"/>
      <c r="EB58" s="337"/>
      <c r="EC58" s="337"/>
      <c r="ED58" s="337"/>
      <c r="EE58" s="337"/>
      <c r="EF58" s="337"/>
      <c r="EG58" s="337"/>
      <c r="EH58" s="337"/>
      <c r="EI58" s="337"/>
      <c r="EJ58" s="337"/>
      <c r="EK58" s="337"/>
      <c r="EL58" s="337"/>
      <c r="EM58" s="337"/>
      <c r="EN58" s="337"/>
      <c r="EO58" s="337"/>
      <c r="EP58" s="337"/>
      <c r="EQ58" s="337"/>
      <c r="ER58" s="337"/>
      <c r="ES58" s="337"/>
      <c r="ET58" s="337"/>
      <c r="EU58" s="337"/>
      <c r="EV58" s="337"/>
      <c r="EW58" s="337"/>
      <c r="EX58" s="337"/>
      <c r="EY58" s="337"/>
      <c r="EZ58" s="337"/>
      <c r="FA58" s="337"/>
      <c r="FB58" s="337"/>
      <c r="FC58" s="337"/>
      <c r="FD58" s="337"/>
      <c r="FE58" s="337"/>
      <c r="FF58" s="337"/>
      <c r="FG58" s="337"/>
      <c r="FH58" s="337"/>
      <c r="FI58" s="337"/>
      <c r="FJ58" s="337"/>
      <c r="FK58" s="337"/>
      <c r="FL58" s="337"/>
      <c r="FM58" s="337"/>
      <c r="FN58" s="337"/>
      <c r="FO58" s="337"/>
      <c r="FP58" s="337"/>
      <c r="FQ58" s="337"/>
      <c r="FR58" s="337"/>
      <c r="FS58" s="337"/>
      <c r="FT58" s="337"/>
      <c r="FU58" s="337"/>
      <c r="FV58" s="337"/>
      <c r="FW58" s="337"/>
      <c r="FX58" s="337"/>
      <c r="FY58" s="337"/>
      <c r="FZ58" s="337"/>
      <c r="GA58" s="337"/>
      <c r="GB58" s="337"/>
      <c r="GC58" s="337"/>
      <c r="GD58" s="337"/>
      <c r="GE58" s="337"/>
      <c r="GF58" s="337"/>
      <c r="GG58" s="337"/>
      <c r="GH58" s="337"/>
      <c r="GI58" s="337"/>
      <c r="GJ58" s="337"/>
      <c r="GK58" s="337"/>
      <c r="GL58" s="337"/>
      <c r="GM58" s="337"/>
      <c r="GN58" s="337"/>
      <c r="GO58" s="337"/>
      <c r="GP58" s="337"/>
      <c r="GQ58" s="337"/>
      <c r="GR58" s="337"/>
      <c r="GS58" s="337"/>
      <c r="GT58" s="337"/>
      <c r="GU58" s="337"/>
      <c r="GV58" s="337"/>
      <c r="GW58" s="337"/>
      <c r="GX58" s="337"/>
      <c r="GY58" s="337"/>
      <c r="GZ58" s="337"/>
    </row>
    <row r="59" spans="4:208" s="575" customFormat="1" ht="21" customHeight="1" thickBot="1">
      <c r="N59" s="337"/>
      <c r="O59" s="337"/>
      <c r="P59" s="337"/>
      <c r="Q59" s="337"/>
      <c r="R59" s="1382">
        <v>1</v>
      </c>
      <c r="S59" s="337"/>
      <c r="T59" s="337"/>
      <c r="U59" s="337"/>
      <c r="V59" s="337"/>
      <c r="W59" s="337"/>
      <c r="X59" s="337"/>
      <c r="Y59" s="337"/>
      <c r="Z59" s="337"/>
      <c r="AA59" s="337"/>
      <c r="AB59" s="337"/>
      <c r="AC59" s="337"/>
      <c r="AD59" s="337"/>
      <c r="AE59" s="337"/>
      <c r="AF59" s="337"/>
      <c r="AG59" s="337"/>
      <c r="AH59" s="337"/>
      <c r="AI59" s="337"/>
      <c r="AJ59" s="337"/>
      <c r="AK59" s="337"/>
      <c r="AL59" s="337"/>
      <c r="AM59" s="337"/>
      <c r="AN59" s="337"/>
      <c r="AO59" s="337"/>
      <c r="AP59" s="337"/>
      <c r="AQ59" s="337"/>
      <c r="AR59" s="337"/>
      <c r="AS59" s="337"/>
      <c r="AT59" s="337"/>
      <c r="AU59" s="337"/>
      <c r="AV59" s="337"/>
      <c r="AW59" s="337"/>
      <c r="AX59" s="337"/>
      <c r="AY59" s="337"/>
      <c r="AZ59" s="337"/>
      <c r="BA59" s="337"/>
      <c r="BB59" s="337"/>
      <c r="BC59" s="337"/>
      <c r="BD59" s="337"/>
      <c r="BE59" s="337"/>
      <c r="BF59" s="337"/>
      <c r="BG59" s="337"/>
      <c r="BH59" s="337"/>
      <c r="BI59" s="337"/>
      <c r="BJ59" s="337"/>
      <c r="BK59" s="337"/>
      <c r="BL59" s="337"/>
      <c r="BM59" s="337"/>
      <c r="BN59" s="337"/>
      <c r="BO59" s="337"/>
      <c r="BP59" s="337"/>
      <c r="BQ59" s="337"/>
      <c r="BR59" s="337"/>
      <c r="BS59" s="337"/>
      <c r="BT59" s="337"/>
      <c r="BU59" s="337"/>
      <c r="BV59" s="337"/>
      <c r="BW59" s="337"/>
      <c r="BX59" s="337"/>
      <c r="BY59" s="337"/>
      <c r="BZ59" s="337"/>
      <c r="CA59" s="337"/>
      <c r="CB59" s="337"/>
      <c r="CC59" s="337"/>
      <c r="CD59" s="337"/>
      <c r="CE59" s="337"/>
      <c r="CF59" s="337"/>
      <c r="CG59" s="337"/>
      <c r="CH59" s="337"/>
      <c r="CI59" s="337"/>
      <c r="CJ59" s="337"/>
      <c r="CK59" s="337"/>
      <c r="CL59" s="337"/>
      <c r="CM59" s="337"/>
      <c r="CN59" s="337"/>
      <c r="CO59" s="337"/>
      <c r="CP59" s="337"/>
      <c r="CQ59" s="337"/>
      <c r="CR59" s="337"/>
      <c r="CS59" s="337"/>
      <c r="CT59" s="337"/>
      <c r="CU59" s="337"/>
      <c r="CV59" s="337"/>
      <c r="CW59" s="337"/>
      <c r="CX59" s="337"/>
      <c r="CY59" s="337"/>
      <c r="CZ59" s="337"/>
      <c r="DA59" s="337"/>
      <c r="DB59" s="337"/>
      <c r="DC59" s="337"/>
      <c r="DD59" s="337"/>
      <c r="DE59" s="337"/>
      <c r="DF59" s="337"/>
      <c r="DG59" s="337"/>
      <c r="DH59" s="337"/>
      <c r="DI59" s="337"/>
      <c r="DJ59" s="337"/>
      <c r="DK59" s="337"/>
      <c r="DL59" s="337"/>
      <c r="DM59" s="337"/>
      <c r="DN59" s="337"/>
      <c r="DO59" s="337"/>
      <c r="DP59" s="337"/>
      <c r="DQ59" s="337"/>
      <c r="DR59" s="337"/>
      <c r="DS59" s="337"/>
      <c r="DT59" s="337"/>
      <c r="DU59" s="337"/>
      <c r="DV59" s="337"/>
      <c r="DW59" s="337"/>
      <c r="DX59" s="337"/>
      <c r="DY59" s="337"/>
      <c r="DZ59" s="337"/>
      <c r="EA59" s="337"/>
      <c r="EB59" s="337"/>
      <c r="EC59" s="337"/>
      <c r="ED59" s="337"/>
      <c r="EE59" s="337"/>
      <c r="EF59" s="337"/>
      <c r="EG59" s="337"/>
      <c r="EH59" s="337"/>
      <c r="EI59" s="337"/>
      <c r="EJ59" s="337"/>
      <c r="EK59" s="337"/>
      <c r="EL59" s="337"/>
      <c r="EM59" s="337"/>
      <c r="EN59" s="337"/>
      <c r="EO59" s="337"/>
      <c r="EP59" s="337"/>
      <c r="EQ59" s="337"/>
      <c r="ER59" s="337"/>
      <c r="ES59" s="337"/>
      <c r="ET59" s="337"/>
      <c r="EU59" s="337"/>
      <c r="EV59" s="337"/>
      <c r="EW59" s="337"/>
      <c r="EX59" s="337"/>
      <c r="EY59" s="337"/>
      <c r="EZ59" s="337"/>
      <c r="FA59" s="337"/>
      <c r="FB59" s="337"/>
      <c r="FC59" s="337"/>
      <c r="FD59" s="337"/>
      <c r="FE59" s="337"/>
      <c r="FF59" s="337"/>
      <c r="FG59" s="337"/>
      <c r="FH59" s="337"/>
      <c r="FI59" s="337"/>
      <c r="FJ59" s="337"/>
      <c r="FK59" s="337"/>
      <c r="FL59" s="337"/>
      <c r="FM59" s="337"/>
      <c r="FN59" s="337"/>
      <c r="FO59" s="337"/>
      <c r="FP59" s="337"/>
      <c r="FQ59" s="337"/>
      <c r="FR59" s="337"/>
      <c r="FS59" s="337"/>
      <c r="FT59" s="337"/>
      <c r="FU59" s="337"/>
      <c r="FV59" s="337"/>
      <c r="FW59" s="337"/>
      <c r="FX59" s="337"/>
      <c r="FY59" s="337"/>
      <c r="FZ59" s="337"/>
      <c r="GA59" s="337"/>
      <c r="GB59" s="337"/>
      <c r="GC59" s="337"/>
      <c r="GD59" s="337"/>
      <c r="GE59" s="337"/>
      <c r="GF59" s="337"/>
      <c r="GG59" s="337"/>
      <c r="GH59" s="337"/>
      <c r="GI59" s="337"/>
      <c r="GJ59" s="337"/>
      <c r="GK59" s="337"/>
      <c r="GL59" s="337"/>
      <c r="GM59" s="337"/>
      <c r="GN59" s="337"/>
      <c r="GO59" s="337"/>
      <c r="GP59" s="337"/>
      <c r="GQ59" s="337"/>
      <c r="GR59" s="337"/>
      <c r="GS59" s="337"/>
      <c r="GT59" s="337"/>
      <c r="GU59" s="337"/>
      <c r="GV59" s="337"/>
      <c r="GW59" s="337"/>
      <c r="GX59" s="337"/>
      <c r="GY59" s="337"/>
      <c r="GZ59" s="337"/>
    </row>
    <row r="60" spans="4:208" s="575" customFormat="1" ht="21" customHeight="1">
      <c r="R60" s="337"/>
      <c r="S60" s="337"/>
      <c r="T60" s="337"/>
      <c r="U60" s="337"/>
      <c r="V60" s="337"/>
      <c r="W60" s="337"/>
      <c r="X60" s="337"/>
      <c r="Y60" s="337"/>
      <c r="Z60" s="337"/>
      <c r="AA60" s="337"/>
      <c r="AB60" s="337"/>
      <c r="AC60" s="337"/>
      <c r="AD60" s="337"/>
      <c r="AE60" s="337"/>
      <c r="AF60" s="337"/>
      <c r="AG60" s="337"/>
      <c r="AH60" s="337"/>
      <c r="AI60" s="337"/>
      <c r="AJ60" s="337"/>
      <c r="AK60" s="337"/>
      <c r="AL60" s="337"/>
      <c r="AM60" s="337"/>
      <c r="AN60" s="337"/>
      <c r="AO60" s="337"/>
      <c r="AP60" s="337"/>
      <c r="AQ60" s="337"/>
      <c r="AR60" s="337"/>
      <c r="AS60" s="337"/>
      <c r="AT60" s="337"/>
      <c r="AU60" s="337"/>
      <c r="AV60" s="337"/>
      <c r="AW60" s="337"/>
      <c r="AX60" s="337"/>
      <c r="AY60" s="337"/>
      <c r="AZ60" s="337"/>
      <c r="BA60" s="337"/>
      <c r="BB60" s="337"/>
      <c r="BC60" s="337"/>
      <c r="BD60" s="337"/>
      <c r="BE60" s="337"/>
      <c r="BF60" s="337"/>
      <c r="BG60" s="337"/>
      <c r="BH60" s="337"/>
      <c r="BI60" s="337"/>
      <c r="BJ60" s="337"/>
      <c r="BK60" s="337"/>
      <c r="BL60" s="337"/>
      <c r="BM60" s="337"/>
      <c r="BN60" s="337"/>
      <c r="BO60" s="337"/>
      <c r="BP60" s="337"/>
      <c r="BQ60" s="337"/>
      <c r="BR60" s="337"/>
      <c r="BS60" s="337"/>
      <c r="BT60" s="337"/>
      <c r="BU60" s="337"/>
      <c r="BV60" s="337"/>
      <c r="BW60" s="337"/>
      <c r="BX60" s="337"/>
      <c r="BY60" s="337"/>
      <c r="BZ60" s="337"/>
      <c r="CA60" s="337"/>
      <c r="CB60" s="337"/>
      <c r="CC60" s="337"/>
      <c r="CD60" s="337"/>
      <c r="CE60" s="337"/>
      <c r="CF60" s="337"/>
      <c r="CG60" s="337"/>
      <c r="CH60" s="337"/>
      <c r="CI60" s="337"/>
      <c r="CJ60" s="337"/>
      <c r="CK60" s="337"/>
      <c r="CL60" s="337"/>
      <c r="CM60" s="337"/>
      <c r="CN60" s="337"/>
      <c r="CO60" s="337"/>
      <c r="CP60" s="337"/>
      <c r="CQ60" s="337"/>
      <c r="CR60" s="337"/>
      <c r="CS60" s="337"/>
      <c r="CT60" s="337"/>
      <c r="CU60" s="337"/>
      <c r="CV60" s="337"/>
      <c r="CW60" s="337"/>
      <c r="CX60" s="337"/>
      <c r="CY60" s="337"/>
      <c r="CZ60" s="337"/>
      <c r="DA60" s="337"/>
      <c r="DB60" s="337"/>
      <c r="DC60" s="337"/>
      <c r="DD60" s="337"/>
      <c r="DE60" s="337"/>
      <c r="DF60" s="337"/>
      <c r="DG60" s="337"/>
      <c r="DH60" s="337"/>
      <c r="DI60" s="337"/>
      <c r="DJ60" s="337"/>
      <c r="DK60" s="337"/>
      <c r="DL60" s="337"/>
      <c r="DM60" s="337"/>
      <c r="DN60" s="337"/>
      <c r="DO60" s="337"/>
      <c r="DP60" s="337"/>
      <c r="DQ60" s="337"/>
      <c r="DR60" s="337"/>
      <c r="DS60" s="337"/>
      <c r="DT60" s="337"/>
      <c r="DU60" s="337"/>
      <c r="DV60" s="337"/>
      <c r="DW60" s="337"/>
      <c r="DX60" s="337"/>
      <c r="DY60" s="337"/>
      <c r="DZ60" s="337"/>
      <c r="EA60" s="337"/>
      <c r="EB60" s="337"/>
      <c r="EC60" s="337"/>
      <c r="ED60" s="337"/>
      <c r="EE60" s="337"/>
      <c r="EF60" s="337"/>
      <c r="EG60" s="337"/>
      <c r="EH60" s="337"/>
      <c r="EI60" s="337"/>
      <c r="EJ60" s="337"/>
      <c r="EK60" s="337"/>
      <c r="EL60" s="337"/>
      <c r="EM60" s="337"/>
      <c r="EN60" s="337"/>
      <c r="EO60" s="337"/>
      <c r="EP60" s="337"/>
      <c r="EQ60" s="337"/>
      <c r="ER60" s="337"/>
      <c r="ES60" s="337"/>
      <c r="ET60" s="337"/>
      <c r="EU60" s="337"/>
      <c r="EV60" s="337"/>
      <c r="EW60" s="337"/>
      <c r="EX60" s="337"/>
      <c r="EY60" s="337"/>
      <c r="EZ60" s="337"/>
      <c r="FA60" s="337"/>
      <c r="FB60" s="337"/>
      <c r="FC60" s="337"/>
      <c r="FD60" s="337"/>
      <c r="FE60" s="337"/>
      <c r="FF60" s="337"/>
      <c r="FG60" s="337"/>
      <c r="FH60" s="337"/>
      <c r="FI60" s="337"/>
      <c r="FJ60" s="337"/>
      <c r="FK60" s="337"/>
      <c r="FL60" s="337"/>
      <c r="FM60" s="337"/>
      <c r="FN60" s="337"/>
      <c r="FO60" s="337"/>
      <c r="FP60" s="337"/>
      <c r="FQ60" s="337"/>
      <c r="FR60" s="337"/>
      <c r="FS60" s="337"/>
      <c r="FT60" s="337"/>
      <c r="FU60" s="337"/>
      <c r="FV60" s="337"/>
      <c r="FW60" s="337"/>
      <c r="FX60" s="337"/>
      <c r="FY60" s="337"/>
      <c r="FZ60" s="337"/>
      <c r="GA60" s="337"/>
      <c r="GB60" s="337"/>
      <c r="GC60" s="337"/>
      <c r="GD60" s="337"/>
      <c r="GE60" s="337"/>
      <c r="GF60" s="337"/>
      <c r="GG60" s="337"/>
      <c r="GH60" s="337"/>
      <c r="GI60" s="337"/>
      <c r="GJ60" s="337"/>
      <c r="GK60" s="337"/>
      <c r="GL60" s="337"/>
      <c r="GM60" s="337"/>
      <c r="GN60" s="337"/>
      <c r="GO60" s="337"/>
      <c r="GP60" s="337"/>
      <c r="GQ60" s="337"/>
      <c r="GR60" s="337"/>
      <c r="GS60" s="337"/>
      <c r="GT60" s="337"/>
      <c r="GU60" s="337"/>
      <c r="GV60" s="337"/>
      <c r="GW60" s="337"/>
      <c r="GX60" s="337"/>
      <c r="GY60" s="337"/>
      <c r="GZ60" s="337"/>
    </row>
    <row r="61" spans="4:208" s="575" customFormat="1" ht="21" customHeight="1">
      <c r="R61" s="337"/>
      <c r="S61" s="337"/>
      <c r="T61" s="337"/>
      <c r="U61" s="337"/>
      <c r="V61" s="337"/>
      <c r="W61" s="337"/>
      <c r="X61" s="337"/>
      <c r="Y61" s="337"/>
      <c r="Z61" s="337"/>
      <c r="AA61" s="337"/>
      <c r="AB61" s="337"/>
      <c r="AC61" s="337"/>
      <c r="AD61" s="337"/>
      <c r="AE61" s="337"/>
      <c r="AF61" s="337"/>
      <c r="AG61" s="337"/>
      <c r="AH61" s="337"/>
      <c r="AI61" s="337"/>
      <c r="AJ61" s="337"/>
      <c r="AK61" s="337"/>
      <c r="AL61" s="337"/>
      <c r="AM61" s="337"/>
      <c r="AN61" s="337"/>
      <c r="AO61" s="337"/>
      <c r="AP61" s="337"/>
      <c r="AQ61" s="337"/>
      <c r="AR61" s="337"/>
      <c r="AS61" s="337"/>
      <c r="AT61" s="337"/>
      <c r="AU61" s="337"/>
      <c r="AV61" s="337"/>
      <c r="AW61" s="337"/>
      <c r="AX61" s="337"/>
      <c r="AY61" s="337"/>
      <c r="AZ61" s="337"/>
      <c r="BA61" s="337"/>
      <c r="BB61" s="337"/>
      <c r="BC61" s="337"/>
      <c r="BD61" s="337"/>
      <c r="BE61" s="337"/>
      <c r="BF61" s="337"/>
      <c r="BG61" s="337"/>
      <c r="BH61" s="337"/>
      <c r="BI61" s="337"/>
      <c r="BJ61" s="337"/>
      <c r="BK61" s="337"/>
      <c r="BL61" s="337"/>
      <c r="BM61" s="337"/>
      <c r="BN61" s="337"/>
      <c r="BO61" s="337"/>
      <c r="BP61" s="337"/>
      <c r="BQ61" s="337"/>
      <c r="BR61" s="337"/>
      <c r="BS61" s="337"/>
      <c r="BT61" s="337"/>
      <c r="BU61" s="337"/>
      <c r="BV61" s="337"/>
      <c r="BW61" s="337"/>
      <c r="BX61" s="337"/>
      <c r="BY61" s="337"/>
      <c r="BZ61" s="337"/>
      <c r="CA61" s="337"/>
      <c r="CB61" s="337"/>
      <c r="CC61" s="337"/>
      <c r="CD61" s="337"/>
      <c r="CE61" s="337"/>
      <c r="CF61" s="337"/>
      <c r="CG61" s="337"/>
      <c r="CH61" s="337"/>
      <c r="CI61" s="337"/>
      <c r="CJ61" s="337"/>
      <c r="CK61" s="337"/>
      <c r="CL61" s="337"/>
      <c r="CM61" s="337"/>
      <c r="CN61" s="337"/>
      <c r="CO61" s="337"/>
      <c r="CP61" s="337"/>
      <c r="CQ61" s="337"/>
      <c r="CR61" s="337"/>
      <c r="CS61" s="337"/>
      <c r="CT61" s="337"/>
      <c r="CU61" s="337"/>
      <c r="CV61" s="337"/>
      <c r="CW61" s="337"/>
      <c r="CX61" s="337"/>
      <c r="CY61" s="337"/>
      <c r="CZ61" s="337"/>
      <c r="DA61" s="337"/>
      <c r="DB61" s="337"/>
      <c r="DC61" s="337"/>
      <c r="DD61" s="337"/>
      <c r="DE61" s="337"/>
      <c r="DF61" s="337"/>
      <c r="DG61" s="337"/>
      <c r="DH61" s="337"/>
      <c r="DI61" s="337"/>
      <c r="DJ61" s="337"/>
      <c r="DK61" s="337"/>
      <c r="DL61" s="337"/>
      <c r="DM61" s="337"/>
      <c r="DN61" s="337"/>
      <c r="DO61" s="337"/>
      <c r="DP61" s="337"/>
      <c r="DQ61" s="337"/>
      <c r="DR61" s="337"/>
      <c r="DS61" s="337"/>
      <c r="DT61" s="337"/>
      <c r="DU61" s="337"/>
      <c r="DV61" s="337"/>
      <c r="DW61" s="337"/>
      <c r="DX61" s="337"/>
      <c r="DY61" s="337"/>
      <c r="DZ61" s="337"/>
      <c r="EA61" s="337"/>
      <c r="EB61" s="337"/>
      <c r="EC61" s="337"/>
      <c r="ED61" s="337"/>
      <c r="EE61" s="337"/>
      <c r="EF61" s="337"/>
      <c r="EG61" s="337"/>
      <c r="EH61" s="337"/>
      <c r="EI61" s="337"/>
      <c r="EJ61" s="337"/>
      <c r="EK61" s="337"/>
      <c r="EL61" s="337"/>
      <c r="EM61" s="337"/>
      <c r="EN61" s="337"/>
      <c r="EO61" s="337"/>
      <c r="EP61" s="337"/>
      <c r="EQ61" s="337"/>
      <c r="ER61" s="337"/>
      <c r="ES61" s="337"/>
      <c r="ET61" s="337"/>
      <c r="EU61" s="337"/>
      <c r="EV61" s="337"/>
      <c r="EW61" s="337"/>
      <c r="EX61" s="337"/>
      <c r="EY61" s="337"/>
      <c r="EZ61" s="337"/>
      <c r="FA61" s="337"/>
      <c r="FB61" s="337"/>
      <c r="FC61" s="337"/>
      <c r="FD61" s="337"/>
      <c r="FE61" s="337"/>
      <c r="FF61" s="337"/>
      <c r="FG61" s="337"/>
      <c r="FH61" s="337"/>
      <c r="FI61" s="337"/>
      <c r="FJ61" s="337"/>
      <c r="FK61" s="337"/>
      <c r="FL61" s="337"/>
      <c r="FM61" s="337"/>
      <c r="FN61" s="337"/>
      <c r="FO61" s="337"/>
      <c r="FP61" s="337"/>
      <c r="FQ61" s="337"/>
      <c r="FR61" s="337"/>
      <c r="FS61" s="337"/>
      <c r="FT61" s="337"/>
      <c r="FU61" s="337"/>
      <c r="FV61" s="337"/>
      <c r="FW61" s="337"/>
      <c r="FX61" s="337"/>
      <c r="FY61" s="337"/>
      <c r="FZ61" s="337"/>
      <c r="GA61" s="337"/>
      <c r="GB61" s="337"/>
      <c r="GC61" s="337"/>
      <c r="GD61" s="337"/>
      <c r="GE61" s="337"/>
      <c r="GF61" s="337"/>
      <c r="GG61" s="337"/>
      <c r="GH61" s="337"/>
      <c r="GI61" s="337"/>
      <c r="GJ61" s="337"/>
      <c r="GK61" s="337"/>
      <c r="GL61" s="337"/>
      <c r="GM61" s="337"/>
      <c r="GN61" s="337"/>
      <c r="GO61" s="337"/>
      <c r="GP61" s="337"/>
      <c r="GQ61" s="337"/>
      <c r="GR61" s="337"/>
      <c r="GS61" s="337"/>
      <c r="GT61" s="337"/>
      <c r="GU61" s="337"/>
      <c r="GV61" s="337"/>
      <c r="GW61" s="337"/>
      <c r="GX61" s="337"/>
      <c r="GY61" s="337"/>
      <c r="GZ61" s="337"/>
    </row>
    <row r="62" spans="4:208" ht="21" customHeight="1">
      <c r="D62" s="577"/>
      <c r="E62" s="577"/>
      <c r="F62" s="577"/>
      <c r="G62" s="576"/>
      <c r="H62" s="576"/>
      <c r="I62" s="577"/>
      <c r="J62" s="576"/>
      <c r="K62" s="337"/>
      <c r="L62" s="577"/>
      <c r="M62" s="337"/>
      <c r="N62" s="337"/>
      <c r="O62" s="337"/>
      <c r="P62" s="337"/>
      <c r="Q62" s="577"/>
      <c r="R62" s="337"/>
      <c r="S62" s="337"/>
    </row>
    <row r="63" spans="4:208" ht="21" customHeight="1">
      <c r="K63" s="337"/>
      <c r="M63" s="337"/>
      <c r="N63" s="337"/>
      <c r="O63" s="337"/>
      <c r="P63" s="337"/>
      <c r="R63" s="337"/>
      <c r="S63" s="337"/>
    </row>
    <row r="64" spans="4:208" ht="21" customHeight="1">
      <c r="D64" s="337"/>
      <c r="E64" s="337"/>
      <c r="F64" s="337"/>
      <c r="G64" s="337"/>
      <c r="H64" s="337"/>
      <c r="I64" s="337"/>
      <c r="J64" s="337"/>
      <c r="K64" s="337"/>
      <c r="L64" s="337"/>
      <c r="M64" s="337"/>
      <c r="N64" s="337"/>
      <c r="O64" s="337"/>
      <c r="P64" s="337"/>
      <c r="Q64" s="337"/>
      <c r="R64" s="337"/>
      <c r="S64" s="337"/>
    </row>
    <row r="65" spans="2:19" ht="21" customHeight="1">
      <c r="D65" s="337"/>
      <c r="E65" s="337"/>
      <c r="F65" s="337"/>
      <c r="G65" s="337"/>
      <c r="H65" s="337"/>
      <c r="I65" s="337"/>
      <c r="J65" s="337"/>
      <c r="K65" s="337"/>
      <c r="L65" s="337"/>
      <c r="M65" s="337"/>
      <c r="N65" s="337"/>
      <c r="O65" s="337"/>
      <c r="P65" s="337"/>
      <c r="Q65" s="337"/>
      <c r="R65" s="337"/>
      <c r="S65" s="337"/>
    </row>
    <row r="66" spans="2:19" ht="21" customHeight="1">
      <c r="D66" s="337"/>
      <c r="E66" s="337"/>
      <c r="F66" s="337"/>
      <c r="G66" s="337"/>
      <c r="H66" s="337"/>
      <c r="I66" s="337"/>
      <c r="J66" s="337"/>
      <c r="K66" s="337"/>
      <c r="L66" s="337"/>
      <c r="M66" s="337"/>
      <c r="N66" s="337"/>
      <c r="O66" s="337"/>
      <c r="P66" s="337"/>
      <c r="Q66" s="337"/>
      <c r="R66" s="337"/>
      <c r="S66" s="337"/>
    </row>
    <row r="67" spans="2:19" ht="21" customHeight="1">
      <c r="D67" s="337"/>
      <c r="E67" s="337"/>
      <c r="F67" s="337"/>
      <c r="G67" s="337"/>
      <c r="H67" s="337"/>
      <c r="I67" s="337"/>
      <c r="J67" s="337"/>
      <c r="K67" s="337"/>
      <c r="L67" s="337"/>
      <c r="M67" s="337"/>
      <c r="N67" s="337"/>
      <c r="O67" s="337"/>
      <c r="P67" s="337"/>
      <c r="Q67" s="337"/>
      <c r="R67" s="337"/>
      <c r="S67" s="337"/>
    </row>
    <row r="68" spans="2:19" ht="21" customHeight="1">
      <c r="D68" s="337"/>
      <c r="E68" s="337"/>
      <c r="F68" s="337"/>
      <c r="G68" s="337"/>
      <c r="H68" s="337"/>
      <c r="I68" s="337"/>
      <c r="J68" s="337"/>
      <c r="K68" s="337"/>
      <c r="L68" s="337"/>
      <c r="M68" s="337"/>
      <c r="N68" s="337"/>
      <c r="O68" s="337"/>
      <c r="P68" s="337"/>
      <c r="Q68" s="337"/>
      <c r="R68" s="337"/>
      <c r="S68" s="337"/>
    </row>
    <row r="69" spans="2:19" ht="21" customHeight="1">
      <c r="D69" s="337"/>
      <c r="E69" s="337"/>
      <c r="F69" s="337"/>
      <c r="G69" s="337"/>
      <c r="H69" s="337"/>
      <c r="I69" s="337"/>
      <c r="J69" s="337"/>
      <c r="K69" s="337"/>
      <c r="L69" s="337"/>
      <c r="M69" s="337"/>
      <c r="N69" s="337"/>
      <c r="O69" s="337"/>
      <c r="P69" s="337"/>
      <c r="Q69" s="337"/>
      <c r="R69" s="337"/>
      <c r="S69" s="337"/>
    </row>
    <row r="70" spans="2:19" ht="21" customHeight="1">
      <c r="D70" s="337"/>
      <c r="E70" s="337"/>
      <c r="F70" s="337"/>
      <c r="G70" s="337"/>
      <c r="H70" s="337"/>
      <c r="I70" s="337"/>
      <c r="J70" s="337"/>
      <c r="K70" s="337"/>
      <c r="L70" s="337"/>
      <c r="M70" s="337"/>
      <c r="N70" s="337"/>
      <c r="O70" s="337"/>
      <c r="P70" s="337"/>
      <c r="Q70" s="337"/>
      <c r="R70" s="337"/>
      <c r="S70" s="337"/>
    </row>
    <row r="71" spans="2:19" ht="21" customHeight="1">
      <c r="D71" s="337"/>
      <c r="E71" s="337"/>
      <c r="F71" s="337"/>
      <c r="G71" s="337"/>
      <c r="H71" s="337"/>
      <c r="I71" s="337"/>
      <c r="J71" s="337"/>
      <c r="K71" s="337"/>
      <c r="L71" s="337"/>
      <c r="M71" s="337"/>
      <c r="N71" s="337"/>
      <c r="O71" s="337"/>
      <c r="P71" s="337"/>
      <c r="Q71" s="337"/>
      <c r="R71" s="337"/>
      <c r="S71" s="337"/>
    </row>
    <row r="72" spans="2:19" ht="21" customHeight="1">
      <c r="D72" s="337"/>
      <c r="E72" s="337"/>
      <c r="F72" s="337"/>
      <c r="G72" s="337"/>
      <c r="H72" s="337"/>
      <c r="I72" s="337"/>
      <c r="J72" s="337"/>
      <c r="K72" s="337"/>
      <c r="L72" s="337"/>
      <c r="M72" s="337"/>
      <c r="N72" s="337"/>
      <c r="O72" s="337"/>
      <c r="P72" s="337"/>
      <c r="Q72" s="337"/>
      <c r="R72" s="337"/>
      <c r="S72" s="337"/>
    </row>
    <row r="73" spans="2:19">
      <c r="D73" s="337"/>
      <c r="E73" s="337"/>
      <c r="F73" s="337"/>
      <c r="G73" s="337"/>
      <c r="H73" s="337"/>
      <c r="I73" s="337"/>
      <c r="J73" s="337"/>
      <c r="K73" s="337"/>
      <c r="L73" s="337"/>
      <c r="M73" s="337"/>
      <c r="N73" s="337"/>
      <c r="O73" s="337"/>
      <c r="P73" s="337"/>
      <c r="Q73" s="337"/>
      <c r="R73" s="337"/>
      <c r="S73" s="337"/>
    </row>
    <row r="74" spans="2:19">
      <c r="D74" s="337"/>
      <c r="E74" s="337"/>
      <c r="F74" s="337"/>
      <c r="G74" s="337"/>
      <c r="H74" s="337"/>
      <c r="I74" s="337"/>
      <c r="J74" s="337"/>
      <c r="K74" s="337"/>
      <c r="L74" s="337"/>
      <c r="M74" s="337"/>
      <c r="N74" s="337"/>
      <c r="O74" s="337"/>
      <c r="P74" s="337"/>
      <c r="Q74" s="337"/>
      <c r="R74" s="337"/>
      <c r="S74" s="337"/>
    </row>
    <row r="75" spans="2:19">
      <c r="D75" s="337"/>
      <c r="E75" s="337"/>
      <c r="F75" s="337"/>
      <c r="G75" s="337"/>
      <c r="H75" s="337"/>
      <c r="I75" s="337"/>
      <c r="J75" s="337"/>
      <c r="K75" s="337"/>
      <c r="L75" s="337"/>
      <c r="M75" s="337"/>
      <c r="N75" s="337"/>
      <c r="O75" s="337"/>
      <c r="P75" s="337"/>
      <c r="Q75" s="337"/>
      <c r="R75" s="337"/>
      <c r="S75" s="337"/>
    </row>
    <row r="76" spans="2:19">
      <c r="D76" s="337"/>
      <c r="E76" s="337"/>
      <c r="F76" s="337"/>
      <c r="G76" s="337"/>
      <c r="H76" s="337"/>
      <c r="I76" s="337"/>
      <c r="J76" s="337"/>
      <c r="K76" s="337"/>
      <c r="L76" s="337"/>
      <c r="M76" s="337"/>
      <c r="N76" s="337"/>
      <c r="O76" s="337"/>
      <c r="P76" s="337"/>
      <c r="Q76" s="337"/>
      <c r="R76" s="337"/>
      <c r="S76" s="337"/>
    </row>
    <row r="77" spans="2:19">
      <c r="D77" s="337"/>
      <c r="E77" s="337"/>
      <c r="F77" s="337"/>
      <c r="G77" s="337"/>
      <c r="H77" s="337"/>
      <c r="I77" s="337"/>
      <c r="J77" s="337"/>
      <c r="K77" s="337"/>
      <c r="L77" s="337"/>
      <c r="M77" s="337"/>
      <c r="N77" s="337"/>
      <c r="O77" s="337"/>
      <c r="P77" s="337"/>
      <c r="Q77" s="337"/>
      <c r="R77" s="337"/>
      <c r="S77" s="337"/>
    </row>
    <row r="78" spans="2:19">
      <c r="B78" s="337"/>
      <c r="C78" s="337"/>
      <c r="D78" s="337"/>
      <c r="E78" s="337"/>
      <c r="F78" s="337"/>
      <c r="G78" s="337"/>
      <c r="H78" s="337"/>
      <c r="I78" s="337"/>
      <c r="J78" s="337"/>
      <c r="K78" s="337"/>
      <c r="L78" s="337"/>
      <c r="M78" s="337"/>
      <c r="N78" s="337"/>
      <c r="O78" s="337"/>
      <c r="P78" s="337"/>
      <c r="Q78" s="337"/>
      <c r="R78" s="337"/>
      <c r="S78" s="337"/>
    </row>
    <row r="79" spans="2:19">
      <c r="B79" s="337"/>
      <c r="C79" s="337"/>
      <c r="D79" s="337"/>
      <c r="E79" s="337"/>
      <c r="F79" s="337"/>
      <c r="G79" s="337"/>
      <c r="H79" s="337"/>
      <c r="I79" s="337"/>
      <c r="J79" s="337"/>
      <c r="K79" s="337"/>
      <c r="L79" s="337"/>
      <c r="M79" s="337"/>
      <c r="N79" s="337"/>
      <c r="O79" s="337"/>
      <c r="P79" s="337"/>
      <c r="Q79" s="337"/>
      <c r="R79" s="337"/>
      <c r="S79" s="337"/>
    </row>
    <row r="80" spans="2:19">
      <c r="B80" s="337"/>
      <c r="C80" s="337"/>
      <c r="D80" s="337"/>
      <c r="E80" s="337"/>
      <c r="F80" s="337"/>
      <c r="G80" s="337"/>
      <c r="H80" s="337"/>
      <c r="I80" s="337"/>
      <c r="J80" s="337"/>
      <c r="K80" s="337"/>
      <c r="L80" s="337"/>
      <c r="M80" s="337"/>
      <c r="N80" s="337"/>
      <c r="O80" s="337"/>
      <c r="P80" s="337"/>
      <c r="Q80" s="337"/>
      <c r="R80" s="337"/>
      <c r="S80" s="337"/>
    </row>
    <row r="81" spans="2:19">
      <c r="B81" s="337"/>
      <c r="C81" s="337"/>
      <c r="D81" s="337"/>
      <c r="E81" s="337"/>
      <c r="F81" s="337"/>
      <c r="G81" s="337"/>
      <c r="H81" s="337"/>
      <c r="I81" s="337"/>
      <c r="J81" s="337"/>
      <c r="K81" s="337"/>
      <c r="L81" s="337"/>
      <c r="M81" s="337"/>
      <c r="N81" s="337"/>
      <c r="O81" s="337"/>
      <c r="P81" s="337"/>
      <c r="Q81" s="337"/>
      <c r="R81" s="337"/>
      <c r="S81" s="337"/>
    </row>
    <row r="82" spans="2:19">
      <c r="B82" s="337"/>
      <c r="C82" s="337"/>
      <c r="D82" s="337"/>
      <c r="E82" s="337"/>
      <c r="F82" s="337"/>
      <c r="G82" s="337"/>
      <c r="H82" s="337"/>
      <c r="I82" s="337"/>
      <c r="J82" s="337"/>
      <c r="K82" s="337"/>
      <c r="L82" s="337"/>
      <c r="M82" s="337"/>
      <c r="N82" s="337"/>
      <c r="O82" s="337"/>
      <c r="P82" s="337"/>
      <c r="Q82" s="337"/>
      <c r="R82" s="337"/>
      <c r="S82" s="337"/>
    </row>
    <row r="83" spans="2:19">
      <c r="B83" s="337"/>
      <c r="C83" s="337"/>
      <c r="D83" s="337"/>
      <c r="E83" s="337"/>
      <c r="F83" s="337"/>
      <c r="G83" s="337"/>
      <c r="H83" s="337"/>
      <c r="I83" s="337"/>
      <c r="J83" s="337"/>
      <c r="K83" s="337"/>
      <c r="L83" s="337"/>
      <c r="M83" s="337"/>
      <c r="N83" s="337"/>
      <c r="O83" s="337"/>
      <c r="P83" s="337"/>
      <c r="Q83" s="337"/>
      <c r="R83" s="337"/>
      <c r="S83" s="337"/>
    </row>
    <row r="84" spans="2:19">
      <c r="B84" s="337"/>
      <c r="C84" s="337"/>
      <c r="D84" s="337"/>
      <c r="E84" s="337"/>
      <c r="F84" s="337"/>
      <c r="G84" s="337"/>
      <c r="H84" s="337"/>
      <c r="I84" s="337"/>
      <c r="J84" s="337"/>
      <c r="K84" s="337"/>
      <c r="L84" s="337"/>
      <c r="M84" s="337"/>
      <c r="N84" s="337"/>
      <c r="O84" s="337"/>
      <c r="P84" s="337"/>
      <c r="Q84" s="337"/>
      <c r="R84" s="337"/>
      <c r="S84" s="337"/>
    </row>
    <row r="85" spans="2:19">
      <c r="B85" s="337"/>
      <c r="C85" s="337"/>
      <c r="D85" s="337"/>
      <c r="E85" s="337"/>
      <c r="F85" s="337"/>
      <c r="G85" s="337"/>
      <c r="H85" s="337"/>
      <c r="I85" s="337"/>
      <c r="J85" s="337"/>
      <c r="K85" s="337"/>
      <c r="L85" s="337"/>
      <c r="M85" s="337"/>
      <c r="N85" s="337"/>
      <c r="O85" s="337"/>
      <c r="P85" s="337"/>
      <c r="Q85" s="337"/>
      <c r="R85" s="337"/>
      <c r="S85" s="337"/>
    </row>
    <row r="86" spans="2:19">
      <c r="B86" s="337"/>
      <c r="C86" s="337"/>
      <c r="D86" s="337"/>
      <c r="E86" s="337"/>
      <c r="F86" s="337"/>
      <c r="G86" s="337"/>
      <c r="H86" s="337"/>
      <c r="I86" s="337"/>
      <c r="J86" s="337"/>
      <c r="K86" s="337"/>
      <c r="L86" s="337"/>
      <c r="M86" s="337"/>
      <c r="N86" s="337"/>
      <c r="O86" s="337"/>
      <c r="P86" s="337"/>
      <c r="Q86" s="337"/>
      <c r="R86" s="337"/>
      <c r="S86" s="337"/>
    </row>
    <row r="87" spans="2:19">
      <c r="B87" s="337"/>
      <c r="C87" s="337"/>
      <c r="D87" s="337"/>
      <c r="E87" s="337"/>
      <c r="F87" s="337"/>
      <c r="G87" s="337"/>
      <c r="H87" s="337"/>
      <c r="I87" s="337"/>
      <c r="J87" s="337"/>
      <c r="K87" s="337"/>
      <c r="L87" s="337"/>
      <c r="M87" s="337"/>
      <c r="N87" s="337"/>
      <c r="O87" s="337"/>
      <c r="P87" s="337"/>
      <c r="Q87" s="337"/>
      <c r="R87" s="337"/>
      <c r="S87" s="337"/>
    </row>
    <row r="88" spans="2:19">
      <c r="B88" s="337"/>
      <c r="C88" s="337"/>
      <c r="D88" s="337"/>
      <c r="E88" s="337"/>
      <c r="F88" s="337"/>
      <c r="G88" s="337"/>
      <c r="H88" s="337"/>
      <c r="I88" s="337"/>
      <c r="J88" s="337"/>
      <c r="K88" s="337"/>
      <c r="L88" s="337"/>
      <c r="M88" s="337"/>
      <c r="N88" s="337"/>
      <c r="O88" s="337"/>
      <c r="P88" s="337"/>
      <c r="Q88" s="337"/>
      <c r="R88" s="337"/>
      <c r="S88" s="337"/>
    </row>
    <row r="89" spans="2:19">
      <c r="B89" s="337"/>
      <c r="C89" s="337"/>
      <c r="D89" s="337"/>
      <c r="E89" s="337"/>
      <c r="F89" s="337"/>
      <c r="G89" s="337"/>
      <c r="H89" s="337"/>
      <c r="I89" s="337"/>
      <c r="J89" s="337"/>
      <c r="K89" s="337"/>
      <c r="L89" s="337"/>
      <c r="M89" s="337"/>
      <c r="N89" s="337"/>
      <c r="O89" s="337"/>
      <c r="P89" s="337"/>
      <c r="Q89" s="337"/>
      <c r="R89" s="337"/>
      <c r="S89" s="337"/>
    </row>
    <row r="90" spans="2:19">
      <c r="B90" s="337"/>
      <c r="C90" s="337"/>
      <c r="D90" s="337"/>
      <c r="E90" s="337"/>
      <c r="F90" s="337"/>
      <c r="G90" s="337"/>
      <c r="H90" s="337"/>
      <c r="I90" s="337"/>
      <c r="J90" s="337"/>
      <c r="K90" s="337"/>
      <c r="L90" s="337"/>
      <c r="M90" s="337"/>
      <c r="N90" s="337"/>
      <c r="O90" s="337"/>
      <c r="P90" s="337"/>
      <c r="Q90" s="337"/>
      <c r="R90" s="337"/>
      <c r="S90" s="337"/>
    </row>
    <row r="91" spans="2:19">
      <c r="B91" s="337"/>
      <c r="C91" s="337"/>
      <c r="D91" s="337"/>
      <c r="E91" s="337"/>
      <c r="F91" s="337"/>
      <c r="G91" s="337"/>
      <c r="H91" s="337"/>
      <c r="I91" s="337"/>
      <c r="J91" s="337"/>
      <c r="K91" s="337"/>
      <c r="L91" s="337"/>
      <c r="M91" s="337"/>
      <c r="N91" s="337"/>
      <c r="O91" s="337"/>
      <c r="P91" s="337"/>
      <c r="Q91" s="337"/>
      <c r="R91" s="337"/>
      <c r="S91" s="337"/>
    </row>
    <row r="92" spans="2:19">
      <c r="B92" s="337"/>
      <c r="C92" s="337"/>
      <c r="D92" s="337"/>
      <c r="E92" s="337"/>
      <c r="F92" s="337"/>
      <c r="G92" s="337"/>
      <c r="H92" s="337"/>
      <c r="I92" s="337"/>
      <c r="J92" s="337"/>
      <c r="K92" s="337"/>
      <c r="L92" s="337"/>
      <c r="M92" s="337"/>
      <c r="N92" s="337"/>
      <c r="O92" s="337"/>
      <c r="P92" s="337"/>
      <c r="Q92" s="337"/>
      <c r="R92" s="337"/>
      <c r="S92" s="337"/>
    </row>
    <row r="93" spans="2:19">
      <c r="B93" s="337"/>
      <c r="C93" s="337"/>
      <c r="D93" s="337"/>
      <c r="E93" s="337"/>
      <c r="F93" s="337"/>
      <c r="G93" s="337"/>
      <c r="H93" s="337"/>
      <c r="I93" s="337"/>
      <c r="J93" s="337"/>
      <c r="K93" s="337"/>
      <c r="L93" s="337"/>
      <c r="M93" s="337"/>
      <c r="N93" s="337"/>
      <c r="O93" s="337"/>
      <c r="P93" s="337"/>
      <c r="Q93" s="337"/>
      <c r="R93" s="337"/>
      <c r="S93" s="337"/>
    </row>
    <row r="94" spans="2:19">
      <c r="B94" s="337"/>
      <c r="C94" s="337"/>
      <c r="D94" s="337"/>
      <c r="E94" s="337"/>
      <c r="F94" s="337"/>
      <c r="G94" s="337"/>
      <c r="H94" s="337"/>
      <c r="I94" s="337"/>
      <c r="J94" s="337"/>
      <c r="K94" s="337"/>
      <c r="L94" s="337"/>
      <c r="M94" s="337"/>
      <c r="N94" s="337"/>
      <c r="O94" s="337"/>
      <c r="P94" s="337"/>
      <c r="Q94" s="337"/>
      <c r="R94" s="337"/>
      <c r="S94" s="337"/>
    </row>
    <row r="95" spans="2:19">
      <c r="B95" s="337"/>
      <c r="C95" s="337"/>
      <c r="D95" s="337"/>
      <c r="E95" s="337"/>
      <c r="F95" s="337"/>
      <c r="G95" s="337"/>
      <c r="H95" s="337"/>
      <c r="I95" s="337"/>
      <c r="J95" s="337"/>
      <c r="K95" s="337"/>
      <c r="L95" s="337"/>
      <c r="M95" s="337"/>
      <c r="N95" s="337"/>
      <c r="O95" s="337"/>
      <c r="P95" s="337"/>
      <c r="Q95" s="337"/>
      <c r="R95" s="337"/>
      <c r="S95" s="337"/>
    </row>
    <row r="96" spans="2:19">
      <c r="B96" s="337"/>
      <c r="C96" s="337"/>
      <c r="D96" s="337"/>
      <c r="E96" s="337"/>
      <c r="F96" s="337"/>
      <c r="G96" s="337"/>
      <c r="H96" s="337"/>
      <c r="I96" s="337"/>
      <c r="J96" s="337"/>
      <c r="K96" s="337"/>
      <c r="L96" s="337"/>
      <c r="M96" s="337"/>
      <c r="N96" s="337"/>
      <c r="O96" s="337"/>
      <c r="P96" s="337"/>
      <c r="Q96" s="337"/>
      <c r="R96" s="337"/>
      <c r="S96" s="337"/>
    </row>
    <row r="97" spans="2:19">
      <c r="B97" s="337"/>
      <c r="C97" s="337"/>
      <c r="D97" s="337"/>
      <c r="E97" s="337"/>
      <c r="F97" s="337"/>
      <c r="G97" s="337"/>
      <c r="H97" s="337"/>
      <c r="I97" s="337"/>
      <c r="J97" s="337"/>
      <c r="K97" s="337"/>
      <c r="L97" s="337"/>
      <c r="M97" s="337"/>
      <c r="N97" s="337"/>
      <c r="O97" s="337"/>
      <c r="P97" s="337"/>
      <c r="Q97" s="337"/>
      <c r="R97" s="337"/>
      <c r="S97" s="337"/>
    </row>
    <row r="98" spans="2:19">
      <c r="B98" s="337"/>
      <c r="C98" s="337"/>
      <c r="D98" s="337"/>
      <c r="E98" s="337"/>
      <c r="F98" s="337"/>
      <c r="G98" s="337"/>
      <c r="H98" s="337"/>
      <c r="I98" s="337"/>
      <c r="J98" s="337"/>
      <c r="K98" s="337"/>
      <c r="L98" s="337"/>
      <c r="M98" s="337"/>
      <c r="N98" s="337"/>
      <c r="O98" s="337"/>
      <c r="P98" s="337"/>
      <c r="Q98" s="337"/>
      <c r="R98" s="337"/>
      <c r="S98" s="337"/>
    </row>
    <row r="99" spans="2:19">
      <c r="B99" s="337"/>
      <c r="C99" s="337"/>
      <c r="D99" s="337"/>
      <c r="E99" s="337"/>
      <c r="F99" s="337"/>
      <c r="G99" s="337"/>
      <c r="H99" s="337"/>
      <c r="I99" s="337"/>
      <c r="J99" s="337"/>
      <c r="K99" s="337"/>
      <c r="L99" s="337"/>
      <c r="M99" s="337"/>
      <c r="N99" s="337"/>
      <c r="O99" s="337"/>
      <c r="P99" s="337"/>
      <c r="Q99" s="337"/>
      <c r="R99" s="337"/>
      <c r="S99" s="337"/>
    </row>
    <row r="100" spans="2:19">
      <c r="B100" s="337"/>
      <c r="C100" s="337"/>
      <c r="D100" s="337"/>
      <c r="E100" s="337"/>
      <c r="F100" s="337"/>
      <c r="G100" s="337"/>
      <c r="H100" s="337"/>
      <c r="I100" s="337"/>
      <c r="J100" s="337"/>
      <c r="K100" s="337"/>
      <c r="L100" s="337"/>
      <c r="M100" s="337"/>
      <c r="N100" s="337"/>
      <c r="O100" s="337"/>
      <c r="P100" s="337"/>
      <c r="Q100" s="337"/>
      <c r="R100" s="337"/>
      <c r="S100" s="337"/>
    </row>
    <row r="101" spans="2:19">
      <c r="B101" s="337"/>
      <c r="C101" s="337"/>
      <c r="D101" s="337"/>
      <c r="E101" s="337"/>
      <c r="F101" s="337"/>
      <c r="G101" s="337"/>
      <c r="H101" s="337"/>
      <c r="I101" s="337"/>
      <c r="J101" s="337"/>
      <c r="K101" s="337"/>
      <c r="L101" s="337"/>
      <c r="M101" s="337"/>
      <c r="N101" s="337"/>
      <c r="O101" s="337"/>
      <c r="P101" s="337"/>
      <c r="Q101" s="337"/>
      <c r="R101" s="337"/>
      <c r="S101" s="337"/>
    </row>
    <row r="102" spans="2:19">
      <c r="B102" s="337"/>
      <c r="C102" s="337"/>
      <c r="D102" s="337"/>
      <c r="E102" s="337"/>
      <c r="F102" s="337"/>
      <c r="G102" s="337"/>
      <c r="H102" s="337"/>
      <c r="I102" s="337"/>
      <c r="J102" s="337"/>
      <c r="K102" s="337"/>
      <c r="L102" s="337"/>
      <c r="M102" s="337"/>
      <c r="N102" s="337"/>
      <c r="O102" s="337"/>
      <c r="P102" s="337"/>
      <c r="Q102" s="337"/>
      <c r="R102" s="337"/>
      <c r="S102" s="337"/>
    </row>
    <row r="103" spans="2:19">
      <c r="B103" s="337"/>
      <c r="C103" s="337"/>
      <c r="D103" s="337"/>
      <c r="E103" s="337"/>
      <c r="F103" s="337"/>
      <c r="G103" s="337"/>
      <c r="H103" s="337"/>
      <c r="I103" s="337"/>
      <c r="J103" s="337"/>
      <c r="K103" s="337"/>
      <c r="L103" s="337"/>
      <c r="M103" s="337"/>
      <c r="N103" s="337"/>
      <c r="O103" s="337"/>
      <c r="P103" s="337"/>
      <c r="Q103" s="337"/>
      <c r="R103" s="337"/>
      <c r="S103" s="337"/>
    </row>
    <row r="104" spans="2:19">
      <c r="B104" s="337"/>
      <c r="C104" s="337"/>
      <c r="D104" s="337"/>
      <c r="E104" s="337"/>
      <c r="F104" s="337"/>
      <c r="G104" s="337"/>
      <c r="H104" s="337"/>
      <c r="I104" s="337"/>
      <c r="J104" s="337"/>
      <c r="K104" s="337"/>
      <c r="L104" s="337"/>
      <c r="M104" s="337"/>
      <c r="N104" s="337"/>
      <c r="O104" s="337"/>
      <c r="P104" s="337"/>
      <c r="Q104" s="337"/>
      <c r="R104" s="337"/>
      <c r="S104" s="337"/>
    </row>
    <row r="105" spans="2:19">
      <c r="B105" s="337"/>
      <c r="C105" s="337"/>
      <c r="D105" s="337"/>
      <c r="E105" s="337"/>
      <c r="F105" s="337"/>
      <c r="G105" s="337"/>
      <c r="H105" s="337"/>
      <c r="I105" s="337"/>
      <c r="J105" s="337"/>
      <c r="K105" s="337"/>
      <c r="L105" s="337"/>
      <c r="M105" s="337"/>
      <c r="N105" s="337"/>
      <c r="O105" s="337"/>
      <c r="P105" s="337"/>
      <c r="Q105" s="337"/>
      <c r="R105" s="337"/>
      <c r="S105" s="337"/>
    </row>
    <row r="106" spans="2:19">
      <c r="B106" s="337"/>
      <c r="C106" s="337"/>
      <c r="D106" s="337"/>
      <c r="E106" s="337"/>
      <c r="F106" s="337"/>
      <c r="G106" s="337"/>
      <c r="H106" s="337"/>
      <c r="I106" s="337"/>
      <c r="J106" s="337"/>
      <c r="K106" s="337"/>
      <c r="L106" s="337"/>
      <c r="M106" s="337"/>
      <c r="N106" s="337"/>
      <c r="O106" s="337"/>
      <c r="P106" s="337"/>
      <c r="Q106" s="337"/>
      <c r="R106" s="337"/>
      <c r="S106" s="337"/>
    </row>
    <row r="107" spans="2:19">
      <c r="B107" s="337"/>
      <c r="C107" s="337"/>
      <c r="D107" s="337"/>
      <c r="E107" s="337"/>
      <c r="F107" s="337"/>
      <c r="G107" s="337"/>
      <c r="H107" s="337"/>
      <c r="I107" s="337"/>
      <c r="J107" s="337"/>
      <c r="K107" s="337"/>
      <c r="L107" s="337"/>
      <c r="M107" s="337"/>
      <c r="N107" s="337"/>
      <c r="O107" s="337"/>
      <c r="P107" s="337"/>
      <c r="Q107" s="337"/>
      <c r="R107" s="337"/>
      <c r="S107" s="337"/>
    </row>
    <row r="108" spans="2:19">
      <c r="B108" s="337"/>
      <c r="C108" s="337"/>
      <c r="D108" s="337"/>
      <c r="E108" s="337"/>
      <c r="F108" s="337"/>
      <c r="G108" s="337"/>
      <c r="H108" s="337"/>
      <c r="I108" s="337"/>
      <c r="J108" s="337"/>
      <c r="K108" s="337"/>
      <c r="L108" s="337"/>
      <c r="M108" s="337"/>
      <c r="N108" s="337"/>
      <c r="O108" s="337"/>
      <c r="P108" s="337"/>
      <c r="Q108" s="337"/>
      <c r="R108" s="337"/>
      <c r="S108" s="337"/>
    </row>
    <row r="109" spans="2:19">
      <c r="B109" s="337"/>
      <c r="C109" s="337"/>
      <c r="D109" s="337"/>
      <c r="E109" s="337"/>
      <c r="F109" s="337"/>
      <c r="G109" s="337"/>
      <c r="H109" s="337"/>
      <c r="I109" s="337"/>
      <c r="J109" s="337"/>
      <c r="K109" s="337"/>
      <c r="L109" s="337"/>
      <c r="M109" s="337"/>
      <c r="N109" s="337"/>
      <c r="O109" s="337"/>
      <c r="P109" s="337"/>
      <c r="Q109" s="337"/>
      <c r="R109" s="337"/>
      <c r="S109" s="337"/>
    </row>
    <row r="110" spans="2:19">
      <c r="B110" s="337"/>
      <c r="C110" s="337"/>
      <c r="D110" s="337"/>
      <c r="E110" s="337"/>
      <c r="F110" s="337"/>
      <c r="G110" s="337"/>
      <c r="H110" s="337"/>
      <c r="I110" s="337"/>
      <c r="J110" s="337"/>
      <c r="K110" s="337"/>
      <c r="L110" s="337"/>
      <c r="M110" s="337"/>
      <c r="N110" s="337"/>
      <c r="O110" s="337"/>
      <c r="P110" s="337"/>
      <c r="Q110" s="337"/>
      <c r="R110" s="337"/>
      <c r="S110" s="337"/>
    </row>
    <row r="111" spans="2:19">
      <c r="B111" s="337"/>
      <c r="C111" s="337"/>
      <c r="D111" s="337"/>
      <c r="E111" s="337"/>
      <c r="F111" s="337"/>
      <c r="G111" s="337"/>
      <c r="H111" s="337"/>
      <c r="I111" s="337"/>
      <c r="J111" s="337"/>
      <c r="K111" s="337"/>
      <c r="L111" s="337"/>
      <c r="M111" s="337"/>
      <c r="N111" s="337"/>
      <c r="O111" s="337"/>
      <c r="P111" s="337"/>
      <c r="Q111" s="337"/>
      <c r="R111" s="337"/>
      <c r="S111" s="337"/>
    </row>
  </sheetData>
  <mergeCells count="128">
    <mergeCell ref="B36:D36"/>
    <mergeCell ref="E36:F36"/>
    <mergeCell ref="L36:P36"/>
    <mergeCell ref="B37:D37"/>
    <mergeCell ref="E37:F37"/>
    <mergeCell ref="L37:P37"/>
    <mergeCell ref="B34:D34"/>
    <mergeCell ref="E34:F34"/>
    <mergeCell ref="L34:P34"/>
    <mergeCell ref="B35:D35"/>
    <mergeCell ref="E35:F35"/>
    <mergeCell ref="L35:P35"/>
    <mergeCell ref="B33:D33"/>
    <mergeCell ref="E33:F33"/>
    <mergeCell ref="L33:P33"/>
    <mergeCell ref="B32:D32"/>
    <mergeCell ref="E32:F32"/>
    <mergeCell ref="L32:P32"/>
    <mergeCell ref="B31:D31"/>
    <mergeCell ref="E31:F31"/>
    <mergeCell ref="L31:P31"/>
    <mergeCell ref="B30:D30"/>
    <mergeCell ref="E30:F30"/>
    <mergeCell ref="L30:P30"/>
    <mergeCell ref="B29:D29"/>
    <mergeCell ref="E29:F29"/>
    <mergeCell ref="L29:P29"/>
    <mergeCell ref="B28:D28"/>
    <mergeCell ref="E28:F28"/>
    <mergeCell ref="L28:P28"/>
    <mergeCell ref="B27:D27"/>
    <mergeCell ref="E27:F27"/>
    <mergeCell ref="L27:P27"/>
    <mergeCell ref="B26:D26"/>
    <mergeCell ref="E26:F26"/>
    <mergeCell ref="L26:P26"/>
    <mergeCell ref="B25:D25"/>
    <mergeCell ref="E25:F25"/>
    <mergeCell ref="L25:P25"/>
    <mergeCell ref="B23:Q23"/>
    <mergeCell ref="B24:D24"/>
    <mergeCell ref="E24:F24"/>
    <mergeCell ref="L24:P24"/>
    <mergeCell ref="B21:D21"/>
    <mergeCell ref="E21:F21"/>
    <mergeCell ref="H21:J21"/>
    <mergeCell ref="L21:P21"/>
    <mergeCell ref="B19:Q19"/>
    <mergeCell ref="B20:D20"/>
    <mergeCell ref="E20:F20"/>
    <mergeCell ref="H20:J20"/>
    <mergeCell ref="L20:P20"/>
    <mergeCell ref="B17:D17"/>
    <mergeCell ref="E17:F17"/>
    <mergeCell ref="G17:H17"/>
    <mergeCell ref="I17:K17"/>
    <mergeCell ref="L17:P17"/>
    <mergeCell ref="B16:D16"/>
    <mergeCell ref="E16:F16"/>
    <mergeCell ref="G16:H16"/>
    <mergeCell ref="I16:K16"/>
    <mergeCell ref="L16:P16"/>
    <mergeCell ref="B15:D15"/>
    <mergeCell ref="E15:F15"/>
    <mergeCell ref="G15:H15"/>
    <mergeCell ref="I15:K15"/>
    <mergeCell ref="L15:P15"/>
    <mergeCell ref="B14:D14"/>
    <mergeCell ref="E14:F14"/>
    <mergeCell ref="G14:H14"/>
    <mergeCell ref="I14:K14"/>
    <mergeCell ref="L14:P14"/>
    <mergeCell ref="B13:D13"/>
    <mergeCell ref="E13:F13"/>
    <mergeCell ref="G13:H13"/>
    <mergeCell ref="I13:K13"/>
    <mergeCell ref="L13:P13"/>
    <mergeCell ref="B12:D12"/>
    <mergeCell ref="E12:F12"/>
    <mergeCell ref="G12:H12"/>
    <mergeCell ref="I12:K12"/>
    <mergeCell ref="L12:P12"/>
    <mergeCell ref="B11:D11"/>
    <mergeCell ref="E11:F11"/>
    <mergeCell ref="G11:H11"/>
    <mergeCell ref="I11:K11"/>
    <mergeCell ref="L11:P11"/>
    <mergeCell ref="B10:D10"/>
    <mergeCell ref="E10:F10"/>
    <mergeCell ref="G10:H10"/>
    <mergeCell ref="I10:K10"/>
    <mergeCell ref="L10:P10"/>
    <mergeCell ref="B9:D9"/>
    <mergeCell ref="E9:F9"/>
    <mergeCell ref="G9:H9"/>
    <mergeCell ref="I9:K9"/>
    <mergeCell ref="L9:P9"/>
    <mergeCell ref="B8:D8"/>
    <mergeCell ref="E8:F8"/>
    <mergeCell ref="G8:H8"/>
    <mergeCell ref="I8:K8"/>
    <mergeCell ref="L8:P8"/>
    <mergeCell ref="B7:D7"/>
    <mergeCell ref="E7:F7"/>
    <mergeCell ref="G7:H7"/>
    <mergeCell ref="I7:K7"/>
    <mergeCell ref="L7:P7"/>
    <mergeCell ref="B6:D6"/>
    <mergeCell ref="E6:F6"/>
    <mergeCell ref="G6:H6"/>
    <mergeCell ref="I6:K6"/>
    <mergeCell ref="L6:P6"/>
    <mergeCell ref="B5:D5"/>
    <mergeCell ref="E5:F5"/>
    <mergeCell ref="G5:H5"/>
    <mergeCell ref="I5:K5"/>
    <mergeCell ref="L5:P5"/>
    <mergeCell ref="B2:Q2"/>
    <mergeCell ref="B3:D3"/>
    <mergeCell ref="E3:F3"/>
    <mergeCell ref="G3:H3"/>
    <mergeCell ref="I3:K3"/>
    <mergeCell ref="L3:P3"/>
    <mergeCell ref="B4:D4"/>
    <mergeCell ref="E4:F4"/>
    <mergeCell ref="G4:H4"/>
    <mergeCell ref="I4:K4"/>
    <mergeCell ref="L4:P4"/>
  </mergeCells>
  <printOptions horizontalCentered="1"/>
  <pageMargins left="0.19685039370078741" right="0.19685039370078741" top="0.19685039370078741" bottom="0.19685039370078741" header="0" footer="0"/>
  <pageSetup paperSize="9" scale="80" orientation="portrait" horizontalDpi="4294967295"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S61"/>
  <sheetViews>
    <sheetView view="pageBreakPreview" zoomScaleSheetLayoutView="100" workbookViewId="0">
      <selection sqref="A1:U1048576"/>
    </sheetView>
  </sheetViews>
  <sheetFormatPr defaultColWidth="6.140625" defaultRowHeight="12.75"/>
  <cols>
    <col min="1" max="5" width="6.140625" style="575"/>
    <col min="6" max="6" width="7" style="575" customWidth="1"/>
    <col min="7" max="11" width="6.140625" style="575"/>
    <col min="12" max="12" width="6.85546875" style="575" customWidth="1"/>
    <col min="13" max="13" width="6.140625" style="575"/>
    <col min="14" max="14" width="7.5703125" style="575" bestFit="1" customWidth="1"/>
    <col min="15" max="18" width="6.140625" style="575"/>
    <col min="19" max="19" width="8.140625" style="575" customWidth="1"/>
    <col min="20" max="20" width="6.140625" style="337"/>
    <col min="21" max="21" width="7.7109375" style="337" bestFit="1" customWidth="1"/>
    <col min="22" max="178" width="6.140625" style="337"/>
    <col min="179" max="179" width="8.42578125" style="337" customWidth="1"/>
    <col min="180" max="183" width="6.140625" style="337"/>
    <col min="184" max="184" width="8.85546875" style="337" customWidth="1"/>
    <col min="185" max="186" width="6.140625" style="337"/>
    <col min="187" max="187" width="5.28515625" style="337" customWidth="1"/>
    <col min="188" max="191" width="6.140625" style="337"/>
    <col min="192" max="192" width="7.5703125" style="337" customWidth="1"/>
    <col min="193" max="16384" width="6.140625" style="337"/>
  </cols>
  <sheetData>
    <row r="1" spans="1:19" ht="25.5" customHeight="1">
      <c r="A1" s="568"/>
      <c r="B1" s="1337"/>
      <c r="C1" s="1337"/>
      <c r="D1" s="1337"/>
      <c r="E1" s="1337"/>
      <c r="F1" s="1337"/>
      <c r="G1" s="1337"/>
      <c r="H1" s="1337"/>
      <c r="I1" s="1337"/>
      <c r="J1" s="1337"/>
      <c r="K1" s="1337"/>
      <c r="L1" s="1337"/>
      <c r="M1" s="1337"/>
      <c r="N1" s="1337"/>
      <c r="O1" s="1337"/>
      <c r="P1" s="1337"/>
      <c r="Q1" s="1337"/>
      <c r="R1" s="1337"/>
      <c r="S1" s="569"/>
    </row>
    <row r="2" spans="1:19" ht="25.5" customHeight="1" thickBot="1">
      <c r="A2" s="568"/>
      <c r="B2" s="337"/>
      <c r="C2" s="1337"/>
      <c r="D2" s="1337"/>
      <c r="E2" s="1337"/>
      <c r="F2" s="1337"/>
      <c r="G2" s="1337"/>
      <c r="H2" s="1337"/>
      <c r="I2" s="1337"/>
      <c r="J2" s="1337"/>
      <c r="K2" s="1337"/>
      <c r="L2" s="1337"/>
      <c r="M2" s="1337"/>
      <c r="N2" s="1337"/>
      <c r="O2" s="1357"/>
      <c r="Q2" s="1337"/>
      <c r="R2" s="1357" t="s">
        <v>990</v>
      </c>
      <c r="S2" s="569"/>
    </row>
    <row r="3" spans="1:19" ht="33" customHeight="1">
      <c r="A3" s="350"/>
      <c r="H3" s="1345"/>
      <c r="I3" s="2057" t="s">
        <v>2061</v>
      </c>
      <c r="J3" s="2046" t="s">
        <v>2062</v>
      </c>
      <c r="K3" s="2046" t="s">
        <v>2063</v>
      </c>
      <c r="L3" s="2046" t="s">
        <v>2064</v>
      </c>
      <c r="M3" s="2046" t="s">
        <v>2065</v>
      </c>
      <c r="N3" s="2046" t="s">
        <v>2066</v>
      </c>
      <c r="O3" s="2046" t="s">
        <v>2067</v>
      </c>
      <c r="P3" s="2046" t="s">
        <v>2068</v>
      </c>
      <c r="Q3" s="2046" t="s">
        <v>2069</v>
      </c>
      <c r="R3" s="2048" t="s">
        <v>2070</v>
      </c>
      <c r="S3" s="391"/>
    </row>
    <row r="4" spans="1:19" ht="20.100000000000001" customHeight="1">
      <c r="A4" s="350"/>
      <c r="H4" s="1345"/>
      <c r="I4" s="2058"/>
      <c r="J4" s="2047"/>
      <c r="K4" s="2047"/>
      <c r="L4" s="2047"/>
      <c r="M4" s="2047"/>
      <c r="N4" s="2047"/>
      <c r="O4" s="2047"/>
      <c r="P4" s="2047"/>
      <c r="Q4" s="2047"/>
      <c r="R4" s="2049"/>
      <c r="S4" s="391"/>
    </row>
    <row r="5" spans="1:19" ht="20.100000000000001" customHeight="1">
      <c r="A5" s="350"/>
      <c r="B5" s="337"/>
      <c r="C5" s="337"/>
      <c r="D5" s="337"/>
      <c r="E5" s="337"/>
      <c r="F5" s="337"/>
      <c r="G5" s="337"/>
      <c r="H5" s="565"/>
      <c r="I5" s="2058"/>
      <c r="J5" s="2047"/>
      <c r="K5" s="2047"/>
      <c r="L5" s="2047"/>
      <c r="M5" s="2047"/>
      <c r="N5" s="2047"/>
      <c r="O5" s="2047"/>
      <c r="P5" s="2047"/>
      <c r="Q5" s="2047"/>
      <c r="R5" s="2049"/>
      <c r="S5" s="391"/>
    </row>
    <row r="6" spans="1:19" ht="20.100000000000001" customHeight="1" thickBot="1">
      <c r="A6" s="350"/>
      <c r="B6" s="381"/>
      <c r="C6" s="381"/>
      <c r="D6" s="381"/>
      <c r="E6" s="381"/>
      <c r="F6" s="381"/>
      <c r="G6" s="381"/>
      <c r="H6" s="567"/>
      <c r="I6" s="2058"/>
      <c r="J6" s="2047"/>
      <c r="K6" s="2047"/>
      <c r="L6" s="2047"/>
      <c r="M6" s="2047"/>
      <c r="N6" s="2047"/>
      <c r="O6" s="2047"/>
      <c r="P6" s="2047"/>
      <c r="Q6" s="2047"/>
      <c r="R6" s="2049"/>
      <c r="S6" s="391"/>
    </row>
    <row r="7" spans="1:19" ht="20.100000000000001" customHeight="1">
      <c r="A7" s="1234"/>
      <c r="B7" s="2050" t="s">
        <v>2071</v>
      </c>
      <c r="C7" s="2051"/>
      <c r="D7" s="2051"/>
      <c r="E7" s="2051"/>
      <c r="F7" s="2051"/>
      <c r="G7" s="2051"/>
      <c r="H7" s="2052"/>
      <c r="I7" s="2056" t="s">
        <v>1142</v>
      </c>
      <c r="J7" s="2056" t="s">
        <v>2072</v>
      </c>
      <c r="K7" s="2056" t="s">
        <v>1154</v>
      </c>
      <c r="L7" s="2056" t="s">
        <v>1142</v>
      </c>
      <c r="M7" s="2056" t="s">
        <v>1142</v>
      </c>
      <c r="N7" s="2056" t="s">
        <v>2073</v>
      </c>
      <c r="O7" s="2056" t="s">
        <v>1142</v>
      </c>
      <c r="P7" s="2056" t="s">
        <v>1154</v>
      </c>
      <c r="Q7" s="2056" t="s">
        <v>2074</v>
      </c>
      <c r="R7" s="2059" t="s">
        <v>2074</v>
      </c>
      <c r="S7" s="391"/>
    </row>
    <row r="8" spans="1:19" ht="24.75" customHeight="1" thickBot="1">
      <c r="A8" s="1234"/>
      <c r="B8" s="2053"/>
      <c r="C8" s="2054"/>
      <c r="D8" s="2054"/>
      <c r="E8" s="2054"/>
      <c r="F8" s="2054"/>
      <c r="G8" s="2054"/>
      <c r="H8" s="2055"/>
      <c r="I8" s="2056"/>
      <c r="J8" s="2056"/>
      <c r="K8" s="2056"/>
      <c r="L8" s="2056"/>
      <c r="M8" s="2056"/>
      <c r="N8" s="2056"/>
      <c r="O8" s="2056"/>
      <c r="P8" s="2056"/>
      <c r="Q8" s="2056"/>
      <c r="R8" s="2059"/>
      <c r="S8" s="391"/>
    </row>
    <row r="9" spans="1:19" ht="20.100000000000001" customHeight="1">
      <c r="A9" s="350"/>
      <c r="B9" s="1383" t="s">
        <v>2075</v>
      </c>
      <c r="C9" s="586"/>
      <c r="D9" s="586"/>
      <c r="E9" s="1384"/>
      <c r="F9" s="1384"/>
      <c r="G9" s="1384"/>
      <c r="H9" s="1384"/>
      <c r="I9" s="1385">
        <v>1960</v>
      </c>
      <c r="J9" s="1385">
        <v>1480</v>
      </c>
      <c r="K9" s="1385">
        <v>340</v>
      </c>
      <c r="L9" s="1385">
        <v>100</v>
      </c>
      <c r="M9" s="1385">
        <v>320</v>
      </c>
      <c r="N9" s="1385">
        <v>50000</v>
      </c>
      <c r="O9" s="1385">
        <v>1480</v>
      </c>
      <c r="P9" s="1385">
        <v>1000</v>
      </c>
      <c r="Q9" s="587">
        <v>1340</v>
      </c>
      <c r="R9" s="347">
        <v>1340</v>
      </c>
      <c r="S9" s="391"/>
    </row>
    <row r="10" spans="1:19" ht="20.100000000000001" customHeight="1">
      <c r="A10" s="350"/>
      <c r="B10" s="1386" t="s">
        <v>2076</v>
      </c>
      <c r="C10" s="588"/>
      <c r="D10" s="588"/>
      <c r="E10" s="1387"/>
      <c r="F10" s="1387"/>
      <c r="G10" s="1387"/>
      <c r="H10" s="1387"/>
      <c r="I10" s="1385">
        <v>480</v>
      </c>
      <c r="J10" s="1385">
        <v>100</v>
      </c>
      <c r="K10" s="1385">
        <v>100</v>
      </c>
      <c r="L10" s="1385">
        <v>40</v>
      </c>
      <c r="M10" s="1385">
        <v>240</v>
      </c>
      <c r="N10" s="1385">
        <v>18000</v>
      </c>
      <c r="O10" s="1385"/>
      <c r="P10" s="1385">
        <v>160</v>
      </c>
      <c r="Q10" s="587">
        <v>280</v>
      </c>
      <c r="R10" s="347">
        <v>280</v>
      </c>
      <c r="S10" s="391"/>
    </row>
    <row r="11" spans="1:19" ht="20.100000000000001" customHeight="1">
      <c r="A11" s="373"/>
      <c r="B11" s="1386" t="s">
        <v>2077</v>
      </c>
      <c r="C11" s="588"/>
      <c r="D11" s="588"/>
      <c r="E11" s="1387"/>
      <c r="F11" s="1387"/>
      <c r="G11" s="1387"/>
      <c r="H11" s="1387"/>
      <c r="I11" s="1385">
        <v>90</v>
      </c>
      <c r="J11" s="1385">
        <v>40</v>
      </c>
      <c r="K11" s="1385">
        <v>100</v>
      </c>
      <c r="L11" s="1385">
        <v>5</v>
      </c>
      <c r="M11" s="1385">
        <v>80</v>
      </c>
      <c r="N11" s="1385">
        <v>5800</v>
      </c>
      <c r="O11" s="1385"/>
      <c r="P11" s="1385"/>
      <c r="Q11" s="587"/>
      <c r="R11" s="347"/>
      <c r="S11" s="391"/>
    </row>
    <row r="12" spans="1:19" ht="20.100000000000001" customHeight="1">
      <c r="A12" s="350"/>
      <c r="B12" s="1386" t="s">
        <v>2078</v>
      </c>
      <c r="C12" s="588"/>
      <c r="D12" s="588"/>
      <c r="E12" s="1387"/>
      <c r="F12" s="1387"/>
      <c r="G12" s="1387"/>
      <c r="H12" s="1387"/>
      <c r="I12" s="1385">
        <v>360</v>
      </c>
      <c r="J12" s="1385">
        <v>300</v>
      </c>
      <c r="K12" s="1385">
        <v>260</v>
      </c>
      <c r="L12" s="1385">
        <v>20</v>
      </c>
      <c r="M12" s="1385">
        <v>240</v>
      </c>
      <c r="N12" s="1385">
        <v>20000</v>
      </c>
      <c r="O12" s="1385">
        <v>200</v>
      </c>
      <c r="P12" s="1385">
        <v>20</v>
      </c>
      <c r="Q12" s="587">
        <v>280</v>
      </c>
      <c r="R12" s="347">
        <v>280</v>
      </c>
      <c r="S12" s="391"/>
    </row>
    <row r="13" spans="1:19" ht="20.100000000000001" customHeight="1">
      <c r="A13" s="373"/>
      <c r="B13" s="1386" t="s">
        <v>2079</v>
      </c>
      <c r="C13" s="588"/>
      <c r="D13" s="588"/>
      <c r="E13" s="1387"/>
      <c r="F13" s="1387"/>
      <c r="G13" s="1387"/>
      <c r="H13" s="1387"/>
      <c r="I13" s="1385">
        <v>90</v>
      </c>
      <c r="J13" s="1385"/>
      <c r="K13" s="1385">
        <v>50</v>
      </c>
      <c r="L13" s="1385">
        <v>120</v>
      </c>
      <c r="M13" s="1385">
        <v>20</v>
      </c>
      <c r="N13" s="1385">
        <v>3600</v>
      </c>
      <c r="O13" s="1385"/>
      <c r="P13" s="1385">
        <v>20</v>
      </c>
      <c r="Q13" s="587">
        <v>60</v>
      </c>
      <c r="R13" s="347">
        <v>60</v>
      </c>
      <c r="S13" s="391"/>
    </row>
    <row r="14" spans="1:19" ht="20.100000000000001" customHeight="1">
      <c r="A14" s="373"/>
      <c r="B14" s="1386" t="s">
        <v>2080</v>
      </c>
      <c r="C14" s="588"/>
      <c r="D14" s="588"/>
      <c r="E14" s="1387"/>
      <c r="F14" s="1387"/>
      <c r="G14" s="1387"/>
      <c r="H14" s="1387"/>
      <c r="I14" s="1385">
        <v>1080</v>
      </c>
      <c r="J14" s="1385">
        <v>200</v>
      </c>
      <c r="K14" s="1385">
        <v>240</v>
      </c>
      <c r="L14" s="1385">
        <v>80</v>
      </c>
      <c r="M14" s="1385">
        <v>500</v>
      </c>
      <c r="N14" s="1385">
        <v>52400</v>
      </c>
      <c r="O14" s="1385">
        <v>180</v>
      </c>
      <c r="P14" s="1385">
        <v>50</v>
      </c>
      <c r="Q14" s="587"/>
      <c r="R14" s="347"/>
      <c r="S14" s="391"/>
    </row>
    <row r="15" spans="1:19" ht="20.100000000000001" customHeight="1">
      <c r="A15" s="373"/>
      <c r="B15" s="1386" t="s">
        <v>2081</v>
      </c>
      <c r="C15" s="588"/>
      <c r="D15" s="588"/>
      <c r="E15" s="1387"/>
      <c r="F15" s="1387"/>
      <c r="G15" s="1387"/>
      <c r="H15" s="1387"/>
      <c r="I15" s="1385">
        <v>720</v>
      </c>
      <c r="J15" s="1385">
        <v>560</v>
      </c>
      <c r="K15" s="1385">
        <v>480</v>
      </c>
      <c r="L15" s="1385">
        <v>40</v>
      </c>
      <c r="M15" s="1385">
        <v>480</v>
      </c>
      <c r="N15" s="1385">
        <v>40000</v>
      </c>
      <c r="O15" s="1385">
        <v>400</v>
      </c>
      <c r="P15" s="1385">
        <v>160</v>
      </c>
      <c r="Q15" s="589">
        <v>280</v>
      </c>
      <c r="R15" s="590">
        <v>280</v>
      </c>
      <c r="S15" s="391"/>
    </row>
    <row r="16" spans="1:19" ht="20.100000000000001" customHeight="1">
      <c r="A16" s="373"/>
      <c r="B16" s="1386" t="s">
        <v>2082</v>
      </c>
      <c r="C16" s="588"/>
      <c r="D16" s="588"/>
      <c r="E16" s="1387"/>
      <c r="F16" s="1387"/>
      <c r="G16" s="1387"/>
      <c r="H16" s="1387"/>
      <c r="I16" s="1385">
        <v>1500</v>
      </c>
      <c r="J16" s="1385">
        <v>700</v>
      </c>
      <c r="K16" s="1385">
        <v>900</v>
      </c>
      <c r="L16" s="1385">
        <v>100</v>
      </c>
      <c r="M16" s="1385">
        <v>0</v>
      </c>
      <c r="N16" s="1385">
        <v>76000</v>
      </c>
      <c r="O16" s="1385">
        <v>60</v>
      </c>
      <c r="P16" s="1385"/>
      <c r="Q16" s="1388"/>
      <c r="R16" s="1389"/>
      <c r="S16" s="391"/>
    </row>
    <row r="17" spans="1:19" ht="20.100000000000001" customHeight="1">
      <c r="A17" s="350"/>
      <c r="B17" s="1386" t="s">
        <v>2083</v>
      </c>
      <c r="C17" s="588"/>
      <c r="D17" s="588"/>
      <c r="E17" s="1387"/>
      <c r="F17" s="1387"/>
      <c r="G17" s="1387"/>
      <c r="H17" s="1387"/>
      <c r="I17" s="1385">
        <v>64</v>
      </c>
      <c r="J17" s="1385">
        <v>8</v>
      </c>
      <c r="K17" s="1385"/>
      <c r="L17" s="1385">
        <v>2</v>
      </c>
      <c r="M17" s="1385">
        <v>50</v>
      </c>
      <c r="N17" s="1385">
        <v>600</v>
      </c>
      <c r="O17" s="1385"/>
      <c r="P17" s="1385"/>
      <c r="Q17" s="1388"/>
      <c r="R17" s="1389"/>
      <c r="S17" s="391"/>
    </row>
    <row r="18" spans="1:19" ht="20.100000000000001" customHeight="1">
      <c r="A18" s="350"/>
      <c r="B18" s="1386" t="s">
        <v>2084</v>
      </c>
      <c r="C18" s="588"/>
      <c r="D18" s="588"/>
      <c r="E18" s="1387"/>
      <c r="F18" s="1387"/>
      <c r="G18" s="1387"/>
      <c r="H18" s="1387"/>
      <c r="I18" s="1385">
        <v>30</v>
      </c>
      <c r="J18" s="1385">
        <v>16</v>
      </c>
      <c r="K18" s="1385">
        <v>15</v>
      </c>
      <c r="L18" s="1385">
        <v>3</v>
      </c>
      <c r="M18" s="1385">
        <v>20</v>
      </c>
      <c r="N18" s="1385">
        <v>1500</v>
      </c>
      <c r="O18" s="1385"/>
      <c r="P18" s="1385"/>
      <c r="Q18" s="1388"/>
      <c r="R18" s="1389"/>
      <c r="S18" s="391"/>
    </row>
    <row r="19" spans="1:19" ht="20.100000000000001" customHeight="1">
      <c r="A19" s="350"/>
      <c r="B19" s="1386" t="s">
        <v>2085</v>
      </c>
      <c r="C19" s="588"/>
      <c r="D19" s="588"/>
      <c r="E19" s="1387"/>
      <c r="F19" s="1387"/>
      <c r="G19" s="1387"/>
      <c r="H19" s="1387"/>
      <c r="I19" s="1385">
        <v>28</v>
      </c>
      <c r="J19" s="1385"/>
      <c r="K19" s="1385">
        <v>44</v>
      </c>
      <c r="L19" s="1385">
        <v>3</v>
      </c>
      <c r="M19" s="1385">
        <v>20</v>
      </c>
      <c r="N19" s="1385">
        <v>2600</v>
      </c>
      <c r="O19" s="1385"/>
      <c r="P19" s="1385"/>
      <c r="Q19" s="1390"/>
      <c r="R19" s="1391"/>
      <c r="S19" s="391"/>
    </row>
    <row r="20" spans="1:19" ht="20.100000000000001" customHeight="1">
      <c r="A20" s="350"/>
      <c r="B20" s="1386" t="s">
        <v>2086</v>
      </c>
      <c r="C20" s="588"/>
      <c r="D20" s="588"/>
      <c r="E20" s="1387"/>
      <c r="F20" s="1387"/>
      <c r="G20" s="1387"/>
      <c r="H20" s="1387"/>
      <c r="I20" s="1385">
        <v>16</v>
      </c>
      <c r="J20" s="1385"/>
      <c r="K20" s="1385">
        <v>26</v>
      </c>
      <c r="L20" s="1385">
        <v>2</v>
      </c>
      <c r="M20" s="1385">
        <v>12</v>
      </c>
      <c r="N20" s="1385">
        <v>1800</v>
      </c>
      <c r="O20" s="1385"/>
      <c r="P20" s="1385"/>
      <c r="Q20" s="1390"/>
      <c r="R20" s="1391"/>
      <c r="S20" s="391"/>
    </row>
    <row r="21" spans="1:19" ht="20.100000000000001" customHeight="1">
      <c r="A21" s="373"/>
      <c r="B21" s="1386" t="s">
        <v>2087</v>
      </c>
      <c r="C21" s="588"/>
      <c r="D21" s="588"/>
      <c r="E21" s="1387"/>
      <c r="F21" s="1387"/>
      <c r="G21" s="1387"/>
      <c r="H21" s="1387"/>
      <c r="I21" s="1385">
        <v>80</v>
      </c>
      <c r="J21" s="1385">
        <v>34</v>
      </c>
      <c r="K21" s="1385">
        <v>30</v>
      </c>
      <c r="L21" s="1385">
        <v>30</v>
      </c>
      <c r="M21" s="1385">
        <v>5</v>
      </c>
      <c r="N21" s="1385">
        <v>3600</v>
      </c>
      <c r="O21" s="1385"/>
      <c r="P21" s="1385"/>
      <c r="Q21" s="1390"/>
      <c r="R21" s="1391"/>
      <c r="S21" s="391"/>
    </row>
    <row r="22" spans="1:19" ht="20.100000000000001" customHeight="1">
      <c r="A22" s="373"/>
      <c r="B22" s="1386" t="s">
        <v>2088</v>
      </c>
      <c r="C22" s="588"/>
      <c r="D22" s="588"/>
      <c r="E22" s="1387"/>
      <c r="F22" s="1387"/>
      <c r="G22" s="1387"/>
      <c r="H22" s="1387"/>
      <c r="I22" s="1385">
        <v>900</v>
      </c>
      <c r="J22" s="1385">
        <v>500</v>
      </c>
      <c r="K22" s="1385">
        <v>400</v>
      </c>
      <c r="L22" s="1385">
        <v>40</v>
      </c>
      <c r="M22" s="1385">
        <v>500</v>
      </c>
      <c r="N22" s="1385">
        <v>38000</v>
      </c>
      <c r="O22" s="1385">
        <v>100</v>
      </c>
      <c r="P22" s="1385"/>
      <c r="Q22" s="1390"/>
      <c r="R22" s="1391"/>
      <c r="S22" s="391"/>
    </row>
    <row r="23" spans="1:19" ht="20.100000000000001" customHeight="1">
      <c r="A23" s="373"/>
      <c r="B23" s="1386" t="s">
        <v>2089</v>
      </c>
      <c r="C23" s="588"/>
      <c r="D23" s="588"/>
      <c r="E23" s="1387"/>
      <c r="F23" s="1387"/>
      <c r="G23" s="1387"/>
      <c r="H23" s="1387"/>
      <c r="I23" s="1385">
        <v>380</v>
      </c>
      <c r="J23" s="1385">
        <v>160</v>
      </c>
      <c r="K23" s="1385">
        <v>280</v>
      </c>
      <c r="L23" s="1385">
        <v>32</v>
      </c>
      <c r="M23" s="1385">
        <v>280</v>
      </c>
      <c r="N23" s="1385">
        <v>18000</v>
      </c>
      <c r="O23" s="1385">
        <v>100</v>
      </c>
      <c r="P23" s="1385"/>
      <c r="Q23" s="1390"/>
      <c r="R23" s="1391"/>
      <c r="S23" s="391"/>
    </row>
    <row r="24" spans="1:19" ht="20.100000000000001" customHeight="1">
      <c r="A24" s="373"/>
      <c r="B24" s="1386" t="s">
        <v>2090</v>
      </c>
      <c r="C24" s="588"/>
      <c r="D24" s="588"/>
      <c r="E24" s="1387"/>
      <c r="F24" s="1387"/>
      <c r="G24" s="1387"/>
      <c r="H24" s="1387"/>
      <c r="I24" s="1385">
        <v>24</v>
      </c>
      <c r="J24" s="1385"/>
      <c r="K24" s="1385">
        <v>36</v>
      </c>
      <c r="L24" s="1385">
        <v>4</v>
      </c>
      <c r="M24" s="1385">
        <v>24</v>
      </c>
      <c r="N24" s="1385">
        <v>2400</v>
      </c>
      <c r="O24" s="1385"/>
      <c r="P24" s="1385"/>
      <c r="Q24" s="1392"/>
      <c r="R24" s="1393"/>
      <c r="S24" s="391"/>
    </row>
    <row r="25" spans="1:19" ht="20.100000000000001" customHeight="1">
      <c r="A25" s="373"/>
      <c r="B25" s="1386" t="s">
        <v>2091</v>
      </c>
      <c r="C25" s="588"/>
      <c r="D25" s="588"/>
      <c r="E25" s="1387"/>
      <c r="F25" s="1387"/>
      <c r="G25" s="1387"/>
      <c r="H25" s="1387"/>
      <c r="I25" s="1385">
        <v>38</v>
      </c>
      <c r="J25" s="1385">
        <v>18</v>
      </c>
      <c r="K25" s="1385">
        <v>70</v>
      </c>
      <c r="L25" s="1385">
        <v>26</v>
      </c>
      <c r="M25" s="1385">
        <v>42</v>
      </c>
      <c r="N25" s="1385">
        <v>2140</v>
      </c>
      <c r="O25" s="1385">
        <v>20</v>
      </c>
      <c r="P25" s="1385"/>
      <c r="Q25" s="1394"/>
      <c r="R25" s="1395"/>
      <c r="S25" s="391"/>
    </row>
    <row r="26" spans="1:19" ht="20.100000000000001" customHeight="1">
      <c r="A26" s="373"/>
      <c r="B26" s="1386" t="s">
        <v>2092</v>
      </c>
      <c r="C26" s="588"/>
      <c r="D26" s="588"/>
      <c r="E26" s="1387"/>
      <c r="F26" s="1387"/>
      <c r="G26" s="1387"/>
      <c r="H26" s="1387"/>
      <c r="I26" s="1385">
        <v>240</v>
      </c>
      <c r="J26" s="1385">
        <v>120</v>
      </c>
      <c r="K26" s="1385">
        <v>840</v>
      </c>
      <c r="L26" s="1385">
        <v>30</v>
      </c>
      <c r="M26" s="1385">
        <v>80</v>
      </c>
      <c r="N26" s="1385">
        <v>5600</v>
      </c>
      <c r="O26" s="1385">
        <v>40</v>
      </c>
      <c r="P26" s="1385"/>
      <c r="Q26" s="1388"/>
      <c r="R26" s="1389"/>
      <c r="S26" s="391"/>
    </row>
    <row r="27" spans="1:19" ht="20.100000000000001" customHeight="1">
      <c r="A27" s="373"/>
      <c r="B27" s="1386" t="s">
        <v>2093</v>
      </c>
      <c r="C27" s="588"/>
      <c r="D27" s="588"/>
      <c r="E27" s="1387"/>
      <c r="F27" s="1387"/>
      <c r="G27" s="1387"/>
      <c r="H27" s="1387"/>
      <c r="I27" s="1385">
        <v>110</v>
      </c>
      <c r="J27" s="1385">
        <v>20</v>
      </c>
      <c r="K27" s="1385">
        <v>84</v>
      </c>
      <c r="L27" s="1385">
        <v>12</v>
      </c>
      <c r="M27" s="1385">
        <v>60</v>
      </c>
      <c r="N27" s="1385">
        <v>5200</v>
      </c>
      <c r="O27" s="1385">
        <v>20</v>
      </c>
      <c r="P27" s="1385"/>
      <c r="Q27" s="1392"/>
      <c r="R27" s="1393"/>
      <c r="S27" s="391"/>
    </row>
    <row r="28" spans="1:19" ht="20.100000000000001" customHeight="1">
      <c r="A28" s="373"/>
      <c r="B28" s="1386" t="s">
        <v>2094</v>
      </c>
      <c r="C28" s="588"/>
      <c r="D28" s="588"/>
      <c r="E28" s="1387"/>
      <c r="F28" s="1387"/>
      <c r="G28" s="1387"/>
      <c r="H28" s="1387"/>
      <c r="I28" s="1385">
        <v>32</v>
      </c>
      <c r="J28" s="1385">
        <v>4</v>
      </c>
      <c r="K28" s="1385"/>
      <c r="L28" s="1385">
        <v>2</v>
      </c>
      <c r="M28" s="1385">
        <v>30</v>
      </c>
      <c r="N28" s="1385">
        <v>500</v>
      </c>
      <c r="O28" s="1385"/>
      <c r="P28" s="1385"/>
      <c r="Q28" s="1392"/>
      <c r="R28" s="1393"/>
      <c r="S28" s="391"/>
    </row>
    <row r="29" spans="1:19" ht="20.100000000000001" customHeight="1">
      <c r="A29" s="373"/>
      <c r="B29" s="1386" t="s">
        <v>2095</v>
      </c>
      <c r="C29" s="588"/>
      <c r="D29" s="588"/>
      <c r="E29" s="1387"/>
      <c r="F29" s="1387"/>
      <c r="G29" s="1387"/>
      <c r="H29" s="1387"/>
      <c r="I29" s="1385">
        <v>28</v>
      </c>
      <c r="J29" s="1385">
        <v>4</v>
      </c>
      <c r="K29" s="1385"/>
      <c r="L29" s="1385">
        <v>2</v>
      </c>
      <c r="M29" s="1385">
        <v>30</v>
      </c>
      <c r="N29" s="1385">
        <v>440</v>
      </c>
      <c r="O29" s="1385"/>
      <c r="P29" s="1385"/>
      <c r="Q29" s="1392"/>
      <c r="R29" s="1393"/>
      <c r="S29" s="391"/>
    </row>
    <row r="30" spans="1:19" ht="20.100000000000001" customHeight="1">
      <c r="A30" s="373"/>
      <c r="B30" s="1386" t="s">
        <v>2096</v>
      </c>
      <c r="C30" s="588"/>
      <c r="D30" s="588"/>
      <c r="E30" s="1387"/>
      <c r="F30" s="1387"/>
      <c r="G30" s="1387"/>
      <c r="H30" s="1387"/>
      <c r="I30" s="1385">
        <v>12</v>
      </c>
      <c r="J30" s="1385"/>
      <c r="K30" s="1385">
        <v>20</v>
      </c>
      <c r="L30" s="1385">
        <v>4</v>
      </c>
      <c r="M30" s="1385">
        <v>20</v>
      </c>
      <c r="N30" s="1385">
        <v>800</v>
      </c>
      <c r="O30" s="1385"/>
      <c r="P30" s="1385"/>
      <c r="Q30" s="591"/>
      <c r="R30" s="592"/>
      <c r="S30" s="391"/>
    </row>
    <row r="31" spans="1:19" ht="20.100000000000001" customHeight="1">
      <c r="A31" s="373"/>
      <c r="B31" s="1386" t="s">
        <v>2097</v>
      </c>
      <c r="C31" s="588"/>
      <c r="D31" s="588"/>
      <c r="E31" s="1387"/>
      <c r="F31" s="1387"/>
      <c r="G31" s="1387"/>
      <c r="H31" s="1387"/>
      <c r="I31" s="1385">
        <v>960</v>
      </c>
      <c r="J31" s="1385">
        <v>120</v>
      </c>
      <c r="K31" s="1385"/>
      <c r="L31" s="1385">
        <v>60</v>
      </c>
      <c r="M31" s="1385">
        <v>900</v>
      </c>
      <c r="N31" s="1385">
        <v>15000</v>
      </c>
      <c r="O31" s="1385">
        <v>80</v>
      </c>
      <c r="P31" s="1385"/>
      <c r="Q31" s="593"/>
      <c r="R31" s="594"/>
      <c r="S31" s="391"/>
    </row>
    <row r="32" spans="1:19" ht="26.25" customHeight="1">
      <c r="A32" s="350"/>
      <c r="B32" s="1386" t="s">
        <v>2098</v>
      </c>
      <c r="C32" s="588"/>
      <c r="D32" s="588"/>
      <c r="E32" s="1387"/>
      <c r="F32" s="1387"/>
      <c r="G32" s="1387"/>
      <c r="H32" s="1387"/>
      <c r="I32" s="1385">
        <v>50</v>
      </c>
      <c r="J32" s="1385"/>
      <c r="K32" s="1385">
        <v>80</v>
      </c>
      <c r="L32" s="1385">
        <v>12</v>
      </c>
      <c r="M32" s="1385">
        <v>36</v>
      </c>
      <c r="N32" s="1385">
        <v>3400</v>
      </c>
      <c r="O32" s="1385"/>
      <c r="P32" s="1385"/>
      <c r="Q32" s="593"/>
      <c r="R32" s="594"/>
      <c r="S32" s="391"/>
    </row>
    <row r="33" spans="1:19" ht="20.100000000000001" customHeight="1">
      <c r="A33" s="350"/>
      <c r="B33" s="1386" t="s">
        <v>2099</v>
      </c>
      <c r="C33" s="588"/>
      <c r="D33" s="588"/>
      <c r="E33" s="1387"/>
      <c r="F33" s="1387"/>
      <c r="G33" s="1387"/>
      <c r="H33" s="1387"/>
      <c r="I33" s="1385">
        <v>64</v>
      </c>
      <c r="J33" s="1385">
        <v>8</v>
      </c>
      <c r="K33" s="1385"/>
      <c r="L33" s="1385">
        <v>2</v>
      </c>
      <c r="M33" s="1385">
        <v>50</v>
      </c>
      <c r="N33" s="1385">
        <v>600</v>
      </c>
      <c r="O33" s="1385"/>
      <c r="P33" s="1385"/>
      <c r="Q33" s="593"/>
      <c r="R33" s="594"/>
      <c r="S33" s="391"/>
    </row>
    <row r="34" spans="1:19" ht="19.5" customHeight="1">
      <c r="A34" s="387"/>
      <c r="B34" s="1386" t="s">
        <v>2100</v>
      </c>
      <c r="C34" s="588"/>
      <c r="D34" s="588"/>
      <c r="E34" s="1387"/>
      <c r="F34" s="1387"/>
      <c r="G34" s="1387"/>
      <c r="H34" s="1387"/>
      <c r="I34" s="1385">
        <v>288</v>
      </c>
      <c r="J34" s="1385">
        <v>80</v>
      </c>
      <c r="K34" s="1385">
        <v>46</v>
      </c>
      <c r="L34" s="1385">
        <v>4.8</v>
      </c>
      <c r="M34" s="1385">
        <v>40</v>
      </c>
      <c r="N34" s="1385">
        <v>3500</v>
      </c>
      <c r="O34" s="1385"/>
      <c r="P34" s="1385"/>
      <c r="Q34" s="593"/>
      <c r="R34" s="594"/>
      <c r="S34" s="391"/>
    </row>
    <row r="35" spans="1:19" ht="21" customHeight="1">
      <c r="A35" s="388"/>
      <c r="B35" s="1386" t="s">
        <v>2101</v>
      </c>
      <c r="C35" s="588"/>
      <c r="D35" s="588"/>
      <c r="E35" s="1387"/>
      <c r="F35" s="1387"/>
      <c r="G35" s="1387"/>
      <c r="H35" s="1387"/>
      <c r="I35" s="1385">
        <v>40</v>
      </c>
      <c r="J35" s="1385"/>
      <c r="K35" s="1385">
        <v>60</v>
      </c>
      <c r="L35" s="1385">
        <v>20</v>
      </c>
      <c r="M35" s="1385">
        <v>70</v>
      </c>
      <c r="N35" s="1385">
        <v>5160</v>
      </c>
      <c r="O35" s="1385"/>
      <c r="P35" s="1385"/>
      <c r="Q35" s="593"/>
      <c r="R35" s="594"/>
      <c r="S35" s="391"/>
    </row>
    <row r="36" spans="1:19" ht="24.75" customHeight="1" thickBot="1">
      <c r="A36" s="389"/>
      <c r="B36" s="1396" t="s">
        <v>2102</v>
      </c>
      <c r="C36" s="595"/>
      <c r="D36" s="595"/>
      <c r="E36" s="1397"/>
      <c r="F36" s="1397"/>
      <c r="G36" s="1397"/>
      <c r="H36" s="1397"/>
      <c r="I36" s="1398">
        <f t="shared" ref="I36:R36" si="0">SUM(I9:I35)</f>
        <v>9664</v>
      </c>
      <c r="J36" s="1398">
        <f t="shared" si="0"/>
        <v>4472</v>
      </c>
      <c r="K36" s="1398">
        <f t="shared" si="0"/>
        <v>4501</v>
      </c>
      <c r="L36" s="1398">
        <f t="shared" si="0"/>
        <v>795.8</v>
      </c>
      <c r="M36" s="1398">
        <f t="shared" si="0"/>
        <v>4149</v>
      </c>
      <c r="N36" s="1398">
        <f t="shared" si="0"/>
        <v>376640</v>
      </c>
      <c r="O36" s="1398">
        <f t="shared" si="0"/>
        <v>2680</v>
      </c>
      <c r="P36" s="1398">
        <f t="shared" si="0"/>
        <v>1410</v>
      </c>
      <c r="Q36" s="1398">
        <f t="shared" si="0"/>
        <v>2240</v>
      </c>
      <c r="R36" s="596">
        <f t="shared" si="0"/>
        <v>2240</v>
      </c>
      <c r="S36" s="391"/>
    </row>
    <row r="37" spans="1:19" ht="16.5" customHeight="1">
      <c r="A37" s="389"/>
      <c r="B37" s="1254"/>
      <c r="C37" s="1255"/>
      <c r="D37" s="1255"/>
      <c r="E37" s="1255"/>
      <c r="F37" s="1256"/>
      <c r="G37" s="1257"/>
      <c r="H37" s="1257"/>
      <c r="I37" s="1257"/>
      <c r="J37" s="1257"/>
      <c r="K37" s="1344"/>
      <c r="L37" s="337"/>
      <c r="M37" s="1257"/>
      <c r="N37" s="1257"/>
      <c r="O37" s="1343"/>
      <c r="P37" s="1257"/>
      <c r="Q37" s="1257"/>
      <c r="R37" s="1257"/>
      <c r="S37" s="390"/>
    </row>
    <row r="38" spans="1:19" ht="15" customHeight="1">
      <c r="A38" s="389"/>
      <c r="B38" s="1254"/>
      <c r="C38" s="1255"/>
      <c r="D38" s="1255"/>
      <c r="E38" s="1255"/>
      <c r="F38" s="1256"/>
      <c r="G38" s="1257"/>
      <c r="H38" s="1257"/>
      <c r="I38" s="1257"/>
      <c r="J38" s="1257"/>
      <c r="K38" s="1344"/>
      <c r="L38" s="1344"/>
      <c r="M38" s="1258"/>
      <c r="N38" s="1258"/>
      <c r="O38" s="1344"/>
      <c r="P38" s="1258"/>
      <c r="Q38" s="1258"/>
      <c r="R38" s="1258"/>
      <c r="S38" s="391"/>
    </row>
    <row r="39" spans="1:19" ht="15" customHeight="1">
      <c r="A39" s="392"/>
      <c r="B39" s="1258"/>
      <c r="C39" s="1258"/>
      <c r="D39" s="1258"/>
      <c r="E39" s="1258"/>
      <c r="F39" s="1258"/>
      <c r="G39" s="1258"/>
      <c r="H39" s="1258"/>
      <c r="I39" s="1258"/>
      <c r="J39" s="1258"/>
      <c r="K39" s="1399"/>
      <c r="L39" s="1399"/>
      <c r="M39" s="1258"/>
      <c r="N39" s="1258"/>
      <c r="O39" s="1370"/>
      <c r="P39" s="1370"/>
      <c r="Q39" s="1370"/>
      <c r="R39" s="1370"/>
      <c r="S39" s="391"/>
    </row>
    <row r="40" spans="1:19" ht="15" customHeight="1">
      <c r="A40" s="392"/>
      <c r="B40" s="1258"/>
      <c r="C40" s="1258"/>
      <c r="D40" s="1258"/>
      <c r="E40" s="1258"/>
      <c r="F40" s="1258"/>
      <c r="G40" s="1258"/>
      <c r="H40" s="1258"/>
      <c r="I40" s="1258"/>
      <c r="J40" s="1258"/>
      <c r="K40" s="1091"/>
      <c r="L40" s="1258"/>
      <c r="M40" s="1344"/>
      <c r="N40" s="1258"/>
      <c r="O40" s="1370"/>
      <c r="P40" s="1370"/>
      <c r="Q40" s="1370"/>
      <c r="R40" s="1370"/>
      <c r="S40" s="391"/>
    </row>
    <row r="41" spans="1:19" ht="15" customHeight="1" thickBot="1">
      <c r="A41" s="393"/>
      <c r="B41" s="394"/>
      <c r="C41" s="394"/>
      <c r="D41" s="394"/>
      <c r="E41" s="394"/>
      <c r="F41" s="394"/>
      <c r="G41" s="394"/>
      <c r="H41" s="394"/>
      <c r="I41" s="394"/>
      <c r="J41" s="394"/>
      <c r="K41" s="1400"/>
      <c r="L41" s="1259"/>
      <c r="M41" s="1259"/>
      <c r="N41" s="1259"/>
      <c r="O41" s="1259"/>
      <c r="P41" s="1259"/>
      <c r="Q41" s="1259"/>
      <c r="R41" s="1259"/>
      <c r="S41" s="1260"/>
    </row>
    <row r="52" ht="15" customHeight="1"/>
    <row r="53" ht="15" customHeight="1"/>
    <row r="54" ht="15" customHeight="1"/>
    <row r="55" ht="15" customHeight="1"/>
    <row r="56" ht="15" customHeight="1"/>
    <row r="57" ht="15" customHeight="1"/>
    <row r="58" ht="15" customHeight="1"/>
    <row r="59" ht="15" customHeight="1"/>
    <row r="60" ht="15" customHeight="1"/>
    <row r="61" ht="12.75" customHeight="1"/>
  </sheetData>
  <mergeCells count="21">
    <mergeCell ref="N7:N8"/>
    <mergeCell ref="O7:O8"/>
    <mergeCell ref="P7:P8"/>
    <mergeCell ref="Q7:Q8"/>
    <mergeCell ref="R7:R8"/>
    <mergeCell ref="O3:O6"/>
    <mergeCell ref="P3:P6"/>
    <mergeCell ref="Q3:Q6"/>
    <mergeCell ref="R3:R6"/>
    <mergeCell ref="B7:H8"/>
    <mergeCell ref="I7:I8"/>
    <mergeCell ref="J7:J8"/>
    <mergeCell ref="K7:K8"/>
    <mergeCell ref="L7:L8"/>
    <mergeCell ref="M7:M8"/>
    <mergeCell ref="I3:I6"/>
    <mergeCell ref="J3:J6"/>
    <mergeCell ref="K3:K6"/>
    <mergeCell ref="L3:L6"/>
    <mergeCell ref="M3:M6"/>
    <mergeCell ref="N3:N6"/>
  </mergeCells>
  <printOptions horizontalCentered="1"/>
  <pageMargins left="0.19685039370078741" right="0.19685039370078741" top="0.19685039370078741" bottom="0.19685039370078741" header="0" footer="0"/>
  <pageSetup paperSize="9" scale="67" orientation="portrait" horizontalDpi="4294967295"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H48"/>
  <sheetViews>
    <sheetView view="pageBreakPreview" topLeftCell="A19" zoomScale="80" zoomScaleSheetLayoutView="80" workbookViewId="0">
      <selection sqref="A1:W1048576"/>
    </sheetView>
  </sheetViews>
  <sheetFormatPr defaultColWidth="6.140625" defaultRowHeight="12.75"/>
  <cols>
    <col min="1" max="1" width="3.28515625" style="575" customWidth="1"/>
    <col min="2" max="6" width="6.140625" style="575"/>
    <col min="7" max="7" width="7" style="575" customWidth="1"/>
    <col min="8" max="8" width="6.140625" style="575"/>
    <col min="9" max="9" width="6" style="575" bestFit="1" customWidth="1"/>
    <col min="10" max="10" width="8.85546875" style="575" bestFit="1" customWidth="1"/>
    <col min="11" max="11" width="6.85546875" style="575" customWidth="1"/>
    <col min="12" max="12" width="7.140625" style="575" bestFit="1" customWidth="1"/>
    <col min="13" max="13" width="6.85546875" style="575" customWidth="1"/>
    <col min="14" max="14" width="7.7109375" style="575" customWidth="1"/>
    <col min="15" max="15" width="8.140625" style="575" bestFit="1" customWidth="1"/>
    <col min="16" max="16" width="7.7109375" style="575" bestFit="1" customWidth="1"/>
    <col min="17" max="17" width="7.140625" style="575" bestFit="1" customWidth="1"/>
    <col min="18" max="18" width="10.85546875" style="575" customWidth="1"/>
    <col min="19" max="19" width="3.85546875" style="575" customWidth="1"/>
    <col min="20" max="20" width="1.85546875" style="575" customWidth="1"/>
    <col min="21" max="22" width="6.140625" style="337"/>
    <col min="23" max="23" width="11" style="337" bestFit="1" customWidth="1"/>
    <col min="24" max="24" width="6.140625" style="337"/>
    <col min="25" max="25" width="6.7109375" style="337" bestFit="1" customWidth="1"/>
    <col min="26" max="26" width="8.42578125" style="337" bestFit="1" customWidth="1"/>
    <col min="27" max="27" width="6.7109375" style="337" bestFit="1" customWidth="1"/>
    <col min="28" max="32" width="6.140625" style="337"/>
    <col min="33" max="33" width="0" style="337" hidden="1" customWidth="1"/>
    <col min="34" max="162" width="6.140625" style="337"/>
    <col min="163" max="163" width="8.42578125" style="337" customWidth="1"/>
    <col min="164" max="167" width="6.140625" style="337"/>
    <col min="168" max="168" width="8.85546875" style="337" customWidth="1"/>
    <col min="169" max="170" width="6.140625" style="337"/>
    <col min="171" max="171" width="5.28515625" style="337" customWidth="1"/>
    <col min="172" max="175" width="6.140625" style="337"/>
    <col min="176" max="176" width="7.5703125" style="337" customWidth="1"/>
    <col min="177" max="16384" width="6.140625" style="337"/>
  </cols>
  <sheetData>
    <row r="1" spans="1:34" ht="25.5" customHeight="1">
      <c r="A1" s="568"/>
      <c r="B1" s="1337"/>
      <c r="C1" s="1337"/>
      <c r="D1" s="1337"/>
      <c r="E1" s="1337"/>
      <c r="F1" s="1337"/>
      <c r="G1" s="1337"/>
      <c r="H1" s="1337"/>
      <c r="I1" s="1337"/>
      <c r="J1" s="1337"/>
      <c r="K1" s="1337"/>
      <c r="L1" s="1337"/>
      <c r="M1" s="1337"/>
      <c r="N1" s="1337"/>
      <c r="O1" s="1337"/>
      <c r="P1" s="1337"/>
      <c r="Q1" s="1337"/>
      <c r="R1" s="1337"/>
      <c r="S1" s="1337"/>
      <c r="T1" s="569"/>
    </row>
    <row r="2" spans="1:34" ht="25.5" customHeight="1" thickBot="1">
      <c r="A2" s="568"/>
      <c r="B2" s="1337"/>
      <c r="C2" s="1337"/>
      <c r="D2" s="1337"/>
      <c r="E2" s="1337"/>
      <c r="F2" s="1337"/>
      <c r="G2" s="1337"/>
      <c r="H2" s="1337"/>
      <c r="I2" s="1337"/>
      <c r="J2" s="1337"/>
      <c r="K2" s="1337"/>
      <c r="L2" s="1337"/>
      <c r="M2" s="1337"/>
      <c r="N2" s="1337"/>
      <c r="O2" s="1357"/>
      <c r="P2" s="1357"/>
      <c r="Q2" s="1337"/>
      <c r="R2" s="1337" t="s">
        <v>991</v>
      </c>
      <c r="T2" s="569"/>
    </row>
    <row r="3" spans="1:34" ht="25.5" customHeight="1" thickBot="1">
      <c r="A3" s="568"/>
      <c r="B3" s="2060" t="s">
        <v>2103</v>
      </c>
      <c r="C3" s="2061"/>
      <c r="D3" s="2061"/>
      <c r="E3" s="2062"/>
      <c r="F3" s="2063" t="s">
        <v>2104</v>
      </c>
      <c r="G3" s="2064"/>
      <c r="H3" s="2064"/>
      <c r="I3" s="2064"/>
      <c r="J3" s="2064"/>
      <c r="K3" s="2064"/>
      <c r="L3" s="2064"/>
      <c r="M3" s="2065"/>
      <c r="N3" s="2066" t="s">
        <v>2105</v>
      </c>
      <c r="O3" s="2067"/>
      <c r="P3" s="2067"/>
      <c r="Q3" s="2067"/>
      <c r="R3" s="2068"/>
      <c r="T3" s="569"/>
    </row>
    <row r="4" spans="1:34" ht="20.100000000000001" customHeight="1">
      <c r="A4" s="350"/>
      <c r="B4" s="2088" t="s">
        <v>2106</v>
      </c>
      <c r="C4" s="2089"/>
      <c r="D4" s="2089"/>
      <c r="E4" s="2048" t="s">
        <v>2107</v>
      </c>
      <c r="F4" s="2058" t="s">
        <v>2061</v>
      </c>
      <c r="G4" s="2047" t="s">
        <v>2062</v>
      </c>
      <c r="H4" s="2047" t="s">
        <v>2063</v>
      </c>
      <c r="I4" s="2047" t="s">
        <v>2064</v>
      </c>
      <c r="J4" s="2047" t="s">
        <v>2065</v>
      </c>
      <c r="K4" s="2047" t="s">
        <v>2066</v>
      </c>
      <c r="L4" s="2047" t="s">
        <v>2067</v>
      </c>
      <c r="M4" s="2070" t="s">
        <v>2108</v>
      </c>
      <c r="N4" s="2071" t="s">
        <v>2109</v>
      </c>
      <c r="O4" s="2047" t="s">
        <v>2064</v>
      </c>
      <c r="P4" s="2047" t="s">
        <v>2065</v>
      </c>
      <c r="Q4" s="2047" t="s">
        <v>2066</v>
      </c>
      <c r="R4" s="2069" t="s">
        <v>2110</v>
      </c>
      <c r="T4" s="390"/>
    </row>
    <row r="5" spans="1:34" ht="20.100000000000001" customHeight="1">
      <c r="A5" s="350"/>
      <c r="B5" s="2090"/>
      <c r="C5" s="2091"/>
      <c r="D5" s="2091"/>
      <c r="E5" s="2049"/>
      <c r="F5" s="2058"/>
      <c r="G5" s="2047"/>
      <c r="H5" s="2047"/>
      <c r="I5" s="2047"/>
      <c r="J5" s="2047"/>
      <c r="K5" s="2047"/>
      <c r="L5" s="2047"/>
      <c r="M5" s="2070"/>
      <c r="N5" s="2072"/>
      <c r="O5" s="2047"/>
      <c r="P5" s="2047"/>
      <c r="Q5" s="2047"/>
      <c r="R5" s="2069"/>
      <c r="T5" s="390"/>
    </row>
    <row r="6" spans="1:34" ht="20.100000000000001" customHeight="1">
      <c r="A6" s="350"/>
      <c r="B6" s="2090"/>
      <c r="C6" s="2091"/>
      <c r="D6" s="2091"/>
      <c r="E6" s="2049"/>
      <c r="F6" s="2058"/>
      <c r="G6" s="2047"/>
      <c r="H6" s="2047"/>
      <c r="I6" s="2047"/>
      <c r="J6" s="2047"/>
      <c r="K6" s="2047"/>
      <c r="L6" s="2047"/>
      <c r="M6" s="2070"/>
      <c r="N6" s="2072"/>
      <c r="O6" s="2047"/>
      <c r="P6" s="2047"/>
      <c r="Q6" s="2047"/>
      <c r="R6" s="2069"/>
      <c r="S6" s="337"/>
      <c r="T6" s="390"/>
    </row>
    <row r="7" spans="1:34" ht="20.100000000000001" customHeight="1">
      <c r="A7" s="350"/>
      <c r="B7" s="2090"/>
      <c r="C7" s="2091"/>
      <c r="D7" s="2091"/>
      <c r="E7" s="2049"/>
      <c r="F7" s="2058"/>
      <c r="G7" s="2047"/>
      <c r="H7" s="2047"/>
      <c r="I7" s="2047"/>
      <c r="J7" s="2047"/>
      <c r="K7" s="2047"/>
      <c r="L7" s="2047"/>
      <c r="M7" s="2070"/>
      <c r="N7" s="2072"/>
      <c r="O7" s="2047"/>
      <c r="P7" s="2047"/>
      <c r="Q7" s="2047"/>
      <c r="R7" s="2069"/>
      <c r="S7" s="337"/>
      <c r="T7" s="390"/>
    </row>
    <row r="8" spans="1:34" ht="20.100000000000001" customHeight="1">
      <c r="A8" s="1234"/>
      <c r="B8" s="2090"/>
      <c r="C8" s="2091"/>
      <c r="D8" s="2091"/>
      <c r="E8" s="2059" t="s">
        <v>1154</v>
      </c>
      <c r="F8" s="2074" t="s">
        <v>1142</v>
      </c>
      <c r="G8" s="2056" t="s">
        <v>2072</v>
      </c>
      <c r="H8" s="2056" t="s">
        <v>1154</v>
      </c>
      <c r="I8" s="2056" t="s">
        <v>1142</v>
      </c>
      <c r="J8" s="2056" t="s">
        <v>1142</v>
      </c>
      <c r="K8" s="2056" t="s">
        <v>2073</v>
      </c>
      <c r="L8" s="2056" t="s">
        <v>1142</v>
      </c>
      <c r="M8" s="2083" t="s">
        <v>2111</v>
      </c>
      <c r="N8" s="2085" t="s">
        <v>1142</v>
      </c>
      <c r="O8" s="2076" t="s">
        <v>1142</v>
      </c>
      <c r="P8" s="2076" t="s">
        <v>1142</v>
      </c>
      <c r="Q8" s="2076" t="s">
        <v>2073</v>
      </c>
      <c r="R8" s="2079" t="s">
        <v>2112</v>
      </c>
      <c r="T8" s="390"/>
    </row>
    <row r="9" spans="1:34" ht="24.75" customHeight="1" thickBot="1">
      <c r="A9" s="1234"/>
      <c r="B9" s="2092"/>
      <c r="C9" s="2093"/>
      <c r="D9" s="2093"/>
      <c r="E9" s="2073"/>
      <c r="F9" s="2075"/>
      <c r="G9" s="2076"/>
      <c r="H9" s="2076"/>
      <c r="I9" s="2076"/>
      <c r="J9" s="2076"/>
      <c r="K9" s="2076"/>
      <c r="L9" s="2076"/>
      <c r="M9" s="2084"/>
      <c r="N9" s="2086"/>
      <c r="O9" s="2087"/>
      <c r="P9" s="2087"/>
      <c r="Q9" s="2087"/>
      <c r="R9" s="2080"/>
      <c r="T9" s="390"/>
    </row>
    <row r="10" spans="1:34" ht="39.950000000000003" customHeight="1" thickBot="1">
      <c r="A10" s="350"/>
      <c r="B10" s="2081" t="s">
        <v>2113</v>
      </c>
      <c r="C10" s="2082"/>
      <c r="D10" s="2082"/>
      <c r="E10" s="597">
        <v>600</v>
      </c>
      <c r="F10" s="598">
        <f t="shared" ref="F10:F25" si="0">AG10*$F$30</f>
        <v>1010</v>
      </c>
      <c r="G10" s="599">
        <f t="shared" ref="G10:G25" si="1">AG10*$G$30</f>
        <v>600</v>
      </c>
      <c r="H10" s="599">
        <f t="shared" ref="H10:H25" si="2">AG10*$H$30</f>
        <v>240</v>
      </c>
      <c r="I10" s="599">
        <f t="shared" ref="I10:I25" si="3">AG10*$I$30</f>
        <v>90</v>
      </c>
      <c r="J10" s="599">
        <f t="shared" ref="J10:J25" si="4">AG10*$J$30</f>
        <v>140</v>
      </c>
      <c r="K10" s="599">
        <f t="shared" ref="K10:K25" si="5">AG10*$K$30</f>
        <v>6500</v>
      </c>
      <c r="L10" s="599">
        <f t="shared" ref="L10:L25" si="6">AG10*$L$30</f>
        <v>300</v>
      </c>
      <c r="M10" s="600">
        <f t="shared" ref="M10:M25" si="7">AG10*$M$30</f>
        <v>250</v>
      </c>
      <c r="N10" s="601">
        <f t="shared" ref="N10:N25" si="8">0.3*E10</f>
        <v>180</v>
      </c>
      <c r="O10" s="602">
        <f t="shared" ref="O10:O25" si="9">E10*0.05</f>
        <v>30</v>
      </c>
      <c r="P10" s="602">
        <f t="shared" ref="P10:P25" si="10">E10*0.15</f>
        <v>90</v>
      </c>
      <c r="Q10" s="602">
        <f t="shared" ref="Q10:Q25" si="11">5*E10</f>
        <v>3000</v>
      </c>
      <c r="R10" s="603">
        <f t="shared" ref="R10:R25" si="12">AG10*$R$30</f>
        <v>720</v>
      </c>
      <c r="S10" s="337"/>
      <c r="T10" s="390"/>
      <c r="AG10" s="1401">
        <f t="shared" ref="AG10:AG15" si="13">E10/60</f>
        <v>10</v>
      </c>
      <c r="AH10" s="575"/>
    </row>
    <row r="11" spans="1:34" ht="39.950000000000003" customHeight="1" thickBot="1">
      <c r="A11" s="350"/>
      <c r="B11" s="2077" t="s">
        <v>2114</v>
      </c>
      <c r="C11" s="2078"/>
      <c r="D11" s="2078"/>
      <c r="E11" s="604">
        <v>180</v>
      </c>
      <c r="F11" s="605">
        <f t="shared" si="0"/>
        <v>303</v>
      </c>
      <c r="G11" s="606">
        <f t="shared" si="1"/>
        <v>180</v>
      </c>
      <c r="H11" s="606">
        <f t="shared" si="2"/>
        <v>72</v>
      </c>
      <c r="I11" s="606">
        <f t="shared" si="3"/>
        <v>27</v>
      </c>
      <c r="J11" s="606">
        <f t="shared" si="4"/>
        <v>42</v>
      </c>
      <c r="K11" s="606">
        <f t="shared" si="5"/>
        <v>1950</v>
      </c>
      <c r="L11" s="606">
        <f t="shared" si="6"/>
        <v>90</v>
      </c>
      <c r="M11" s="607">
        <f t="shared" si="7"/>
        <v>75</v>
      </c>
      <c r="N11" s="608">
        <f t="shared" si="8"/>
        <v>54</v>
      </c>
      <c r="O11" s="606">
        <f t="shared" si="9"/>
        <v>9</v>
      </c>
      <c r="P11" s="606">
        <f t="shared" si="10"/>
        <v>27</v>
      </c>
      <c r="Q11" s="606">
        <f t="shared" si="11"/>
        <v>900</v>
      </c>
      <c r="R11" s="604">
        <f t="shared" si="12"/>
        <v>216</v>
      </c>
      <c r="S11" s="337"/>
      <c r="T11" s="390"/>
      <c r="AG11" s="1401">
        <f t="shared" si="13"/>
        <v>3</v>
      </c>
      <c r="AH11" s="575"/>
    </row>
    <row r="12" spans="1:34" ht="39.950000000000003" customHeight="1" thickBot="1">
      <c r="A12" s="373"/>
      <c r="B12" s="2077" t="s">
        <v>2115</v>
      </c>
      <c r="C12" s="2078"/>
      <c r="D12" s="2078"/>
      <c r="E12" s="604">
        <v>90</v>
      </c>
      <c r="F12" s="605">
        <f t="shared" si="0"/>
        <v>151.5</v>
      </c>
      <c r="G12" s="606">
        <f t="shared" si="1"/>
        <v>90</v>
      </c>
      <c r="H12" s="606">
        <f t="shared" si="2"/>
        <v>36</v>
      </c>
      <c r="I12" s="606">
        <f t="shared" si="3"/>
        <v>13.5</v>
      </c>
      <c r="J12" s="606">
        <f t="shared" si="4"/>
        <v>21</v>
      </c>
      <c r="K12" s="606">
        <f t="shared" si="5"/>
        <v>975</v>
      </c>
      <c r="L12" s="606">
        <f t="shared" si="6"/>
        <v>45</v>
      </c>
      <c r="M12" s="607">
        <f t="shared" si="7"/>
        <v>37.5</v>
      </c>
      <c r="N12" s="608">
        <f t="shared" si="8"/>
        <v>27</v>
      </c>
      <c r="O12" s="606">
        <f t="shared" si="9"/>
        <v>4.5</v>
      </c>
      <c r="P12" s="606">
        <f t="shared" si="10"/>
        <v>13.5</v>
      </c>
      <c r="Q12" s="606">
        <f t="shared" si="11"/>
        <v>450</v>
      </c>
      <c r="R12" s="604">
        <f t="shared" si="12"/>
        <v>108</v>
      </c>
      <c r="S12" s="337"/>
      <c r="T12" s="390"/>
      <c r="AG12" s="1401">
        <f t="shared" si="13"/>
        <v>1.5</v>
      </c>
      <c r="AH12" s="575"/>
    </row>
    <row r="13" spans="1:34" ht="39.950000000000003" customHeight="1" thickBot="1">
      <c r="A13" s="350"/>
      <c r="B13" s="2077" t="s">
        <v>2116</v>
      </c>
      <c r="C13" s="2078"/>
      <c r="D13" s="2078"/>
      <c r="E13" s="604">
        <v>240</v>
      </c>
      <c r="F13" s="605">
        <f t="shared" si="0"/>
        <v>404</v>
      </c>
      <c r="G13" s="606">
        <f t="shared" si="1"/>
        <v>240</v>
      </c>
      <c r="H13" s="606">
        <f t="shared" si="2"/>
        <v>96</v>
      </c>
      <c r="I13" s="606">
        <f t="shared" si="3"/>
        <v>36</v>
      </c>
      <c r="J13" s="606">
        <f t="shared" si="4"/>
        <v>56</v>
      </c>
      <c r="K13" s="606">
        <f t="shared" si="5"/>
        <v>2600</v>
      </c>
      <c r="L13" s="606">
        <f t="shared" si="6"/>
        <v>120</v>
      </c>
      <c r="M13" s="607">
        <f t="shared" si="7"/>
        <v>100</v>
      </c>
      <c r="N13" s="608">
        <f t="shared" si="8"/>
        <v>72</v>
      </c>
      <c r="O13" s="606">
        <f t="shared" si="9"/>
        <v>12</v>
      </c>
      <c r="P13" s="606">
        <f t="shared" si="10"/>
        <v>36</v>
      </c>
      <c r="Q13" s="606">
        <f t="shared" si="11"/>
        <v>1200</v>
      </c>
      <c r="R13" s="604">
        <f t="shared" si="12"/>
        <v>288</v>
      </c>
      <c r="S13" s="337"/>
      <c r="T13" s="390"/>
      <c r="AG13" s="1401">
        <f t="shared" si="13"/>
        <v>4</v>
      </c>
      <c r="AH13" s="575"/>
    </row>
    <row r="14" spans="1:34" ht="39.950000000000003" customHeight="1" thickBot="1">
      <c r="A14" s="350"/>
      <c r="B14" s="2077" t="s">
        <v>2117</v>
      </c>
      <c r="C14" s="2078"/>
      <c r="D14" s="2078"/>
      <c r="E14" s="604">
        <v>60</v>
      </c>
      <c r="F14" s="605">
        <f t="shared" si="0"/>
        <v>101</v>
      </c>
      <c r="G14" s="606">
        <f t="shared" si="1"/>
        <v>60</v>
      </c>
      <c r="H14" s="606">
        <f t="shared" si="2"/>
        <v>24</v>
      </c>
      <c r="I14" s="606">
        <f t="shared" si="3"/>
        <v>9</v>
      </c>
      <c r="J14" s="606">
        <f t="shared" si="4"/>
        <v>14</v>
      </c>
      <c r="K14" s="606">
        <f t="shared" si="5"/>
        <v>650</v>
      </c>
      <c r="L14" s="606">
        <f t="shared" si="6"/>
        <v>30</v>
      </c>
      <c r="M14" s="607">
        <f t="shared" si="7"/>
        <v>25</v>
      </c>
      <c r="N14" s="608">
        <f t="shared" si="8"/>
        <v>18</v>
      </c>
      <c r="O14" s="606">
        <f t="shared" si="9"/>
        <v>3</v>
      </c>
      <c r="P14" s="606">
        <f t="shared" si="10"/>
        <v>9</v>
      </c>
      <c r="Q14" s="606">
        <f t="shared" si="11"/>
        <v>300</v>
      </c>
      <c r="R14" s="604">
        <f t="shared" si="12"/>
        <v>72</v>
      </c>
      <c r="S14" s="337"/>
      <c r="T14" s="390"/>
      <c r="AG14" s="1401">
        <f t="shared" si="13"/>
        <v>1</v>
      </c>
      <c r="AH14" s="575"/>
    </row>
    <row r="15" spans="1:34" ht="39.950000000000003" customHeight="1" thickBot="1">
      <c r="A15" s="373"/>
      <c r="B15" s="2077" t="s">
        <v>2118</v>
      </c>
      <c r="C15" s="2078"/>
      <c r="D15" s="2078"/>
      <c r="E15" s="604">
        <v>420</v>
      </c>
      <c r="F15" s="605">
        <f t="shared" si="0"/>
        <v>707</v>
      </c>
      <c r="G15" s="606">
        <f t="shared" si="1"/>
        <v>420</v>
      </c>
      <c r="H15" s="606">
        <f t="shared" si="2"/>
        <v>168</v>
      </c>
      <c r="I15" s="606">
        <f t="shared" si="3"/>
        <v>63</v>
      </c>
      <c r="J15" s="606">
        <f t="shared" si="4"/>
        <v>98</v>
      </c>
      <c r="K15" s="606">
        <f t="shared" si="5"/>
        <v>4550</v>
      </c>
      <c r="L15" s="606">
        <f t="shared" si="6"/>
        <v>210</v>
      </c>
      <c r="M15" s="607">
        <f t="shared" si="7"/>
        <v>175</v>
      </c>
      <c r="N15" s="608">
        <f t="shared" si="8"/>
        <v>126</v>
      </c>
      <c r="O15" s="606">
        <f t="shared" si="9"/>
        <v>21</v>
      </c>
      <c r="P15" s="606">
        <f t="shared" si="10"/>
        <v>63</v>
      </c>
      <c r="Q15" s="606">
        <f t="shared" si="11"/>
        <v>2100</v>
      </c>
      <c r="R15" s="604">
        <f t="shared" si="12"/>
        <v>504</v>
      </c>
      <c r="S15" s="337"/>
      <c r="T15" s="390"/>
      <c r="AG15" s="1401">
        <f t="shared" si="13"/>
        <v>7</v>
      </c>
      <c r="AH15" s="575"/>
    </row>
    <row r="16" spans="1:34" ht="39.950000000000003" customHeight="1" thickBot="1">
      <c r="A16" s="373"/>
      <c r="B16" s="2077" t="s">
        <v>2119</v>
      </c>
      <c r="C16" s="2078"/>
      <c r="D16" s="2078"/>
      <c r="E16" s="604">
        <v>425</v>
      </c>
      <c r="F16" s="605">
        <f t="shared" si="0"/>
        <v>808</v>
      </c>
      <c r="G16" s="606">
        <f t="shared" si="1"/>
        <v>480</v>
      </c>
      <c r="H16" s="606">
        <f t="shared" si="2"/>
        <v>192</v>
      </c>
      <c r="I16" s="606">
        <f t="shared" si="3"/>
        <v>72</v>
      </c>
      <c r="J16" s="606">
        <f t="shared" si="4"/>
        <v>112</v>
      </c>
      <c r="K16" s="606">
        <f t="shared" si="5"/>
        <v>5200</v>
      </c>
      <c r="L16" s="606">
        <f t="shared" si="6"/>
        <v>240</v>
      </c>
      <c r="M16" s="607">
        <f t="shared" si="7"/>
        <v>200</v>
      </c>
      <c r="N16" s="608">
        <f t="shared" si="8"/>
        <v>127.5</v>
      </c>
      <c r="O16" s="606">
        <f t="shared" si="9"/>
        <v>21.25</v>
      </c>
      <c r="P16" s="606">
        <f t="shared" si="10"/>
        <v>63.75</v>
      </c>
      <c r="Q16" s="606">
        <f t="shared" si="11"/>
        <v>2125</v>
      </c>
      <c r="R16" s="604">
        <f t="shared" si="12"/>
        <v>576</v>
      </c>
      <c r="S16" s="337"/>
      <c r="T16" s="390"/>
      <c r="AG16" s="1401">
        <v>8</v>
      </c>
      <c r="AH16" s="575"/>
    </row>
    <row r="17" spans="1:34" ht="39.950000000000003" customHeight="1" thickBot="1">
      <c r="A17" s="373"/>
      <c r="B17" s="2077" t="s">
        <v>2120</v>
      </c>
      <c r="C17" s="2078"/>
      <c r="D17" s="2078"/>
      <c r="E17" s="604">
        <v>240</v>
      </c>
      <c r="F17" s="605">
        <f t="shared" si="0"/>
        <v>505</v>
      </c>
      <c r="G17" s="606">
        <f t="shared" si="1"/>
        <v>300</v>
      </c>
      <c r="H17" s="606">
        <f t="shared" si="2"/>
        <v>120</v>
      </c>
      <c r="I17" s="606">
        <f t="shared" si="3"/>
        <v>45</v>
      </c>
      <c r="J17" s="606">
        <f t="shared" si="4"/>
        <v>70</v>
      </c>
      <c r="K17" s="606">
        <f t="shared" si="5"/>
        <v>3250</v>
      </c>
      <c r="L17" s="606">
        <f t="shared" si="6"/>
        <v>150</v>
      </c>
      <c r="M17" s="607">
        <f t="shared" si="7"/>
        <v>125</v>
      </c>
      <c r="N17" s="608">
        <f t="shared" si="8"/>
        <v>72</v>
      </c>
      <c r="O17" s="606">
        <f t="shared" si="9"/>
        <v>12</v>
      </c>
      <c r="P17" s="606">
        <f t="shared" si="10"/>
        <v>36</v>
      </c>
      <c r="Q17" s="606">
        <f t="shared" si="11"/>
        <v>1200</v>
      </c>
      <c r="R17" s="604">
        <f t="shared" si="12"/>
        <v>360</v>
      </c>
      <c r="S17" s="337"/>
      <c r="T17" s="1238"/>
      <c r="AG17" s="1401">
        <v>5</v>
      </c>
      <c r="AH17" s="575"/>
    </row>
    <row r="18" spans="1:34" ht="39.950000000000003" customHeight="1" thickBot="1">
      <c r="A18" s="373"/>
      <c r="B18" s="2077" t="s">
        <v>2121</v>
      </c>
      <c r="C18" s="2078"/>
      <c r="D18" s="2078"/>
      <c r="E18" s="604">
        <v>180</v>
      </c>
      <c r="F18" s="605">
        <f t="shared" si="0"/>
        <v>303</v>
      </c>
      <c r="G18" s="606">
        <f t="shared" si="1"/>
        <v>180</v>
      </c>
      <c r="H18" s="606">
        <f t="shared" si="2"/>
        <v>72</v>
      </c>
      <c r="I18" s="606">
        <f t="shared" si="3"/>
        <v>27</v>
      </c>
      <c r="J18" s="606">
        <f t="shared" si="4"/>
        <v>42</v>
      </c>
      <c r="K18" s="606">
        <f t="shared" si="5"/>
        <v>1950</v>
      </c>
      <c r="L18" s="606">
        <f t="shared" si="6"/>
        <v>90</v>
      </c>
      <c r="M18" s="607">
        <f t="shared" si="7"/>
        <v>75</v>
      </c>
      <c r="N18" s="608">
        <f t="shared" si="8"/>
        <v>54</v>
      </c>
      <c r="O18" s="606">
        <f t="shared" si="9"/>
        <v>9</v>
      </c>
      <c r="P18" s="606">
        <f t="shared" si="10"/>
        <v>27</v>
      </c>
      <c r="Q18" s="606">
        <f t="shared" si="11"/>
        <v>900</v>
      </c>
      <c r="R18" s="604">
        <f t="shared" si="12"/>
        <v>216</v>
      </c>
      <c r="S18" s="337"/>
      <c r="T18" s="1239"/>
      <c r="AG18" s="1401">
        <v>3</v>
      </c>
      <c r="AH18" s="575"/>
    </row>
    <row r="19" spans="1:34" ht="39.950000000000003" customHeight="1" thickBot="1">
      <c r="A19" s="350"/>
      <c r="B19" s="2077" t="s">
        <v>2122</v>
      </c>
      <c r="C19" s="2078"/>
      <c r="D19" s="2078"/>
      <c r="E19" s="604">
        <v>250</v>
      </c>
      <c r="F19" s="605">
        <f t="shared" si="0"/>
        <v>505</v>
      </c>
      <c r="G19" s="606">
        <f t="shared" si="1"/>
        <v>300</v>
      </c>
      <c r="H19" s="606">
        <f t="shared" si="2"/>
        <v>120</v>
      </c>
      <c r="I19" s="606">
        <f t="shared" si="3"/>
        <v>45</v>
      </c>
      <c r="J19" s="606">
        <f t="shared" si="4"/>
        <v>70</v>
      </c>
      <c r="K19" s="606">
        <f t="shared" si="5"/>
        <v>3250</v>
      </c>
      <c r="L19" s="606">
        <f t="shared" si="6"/>
        <v>150</v>
      </c>
      <c r="M19" s="607">
        <f t="shared" si="7"/>
        <v>125</v>
      </c>
      <c r="N19" s="608">
        <f t="shared" si="8"/>
        <v>75</v>
      </c>
      <c r="O19" s="606">
        <f t="shared" si="9"/>
        <v>12.5</v>
      </c>
      <c r="P19" s="606">
        <f t="shared" si="10"/>
        <v>37.5</v>
      </c>
      <c r="Q19" s="606">
        <f t="shared" si="11"/>
        <v>1250</v>
      </c>
      <c r="R19" s="604">
        <f t="shared" si="12"/>
        <v>360</v>
      </c>
      <c r="S19" s="337"/>
      <c r="T19" s="1239"/>
      <c r="AG19" s="1401">
        <v>5</v>
      </c>
      <c r="AH19" s="575"/>
    </row>
    <row r="20" spans="1:34" ht="39.950000000000003" customHeight="1" thickBot="1">
      <c r="A20" s="350"/>
      <c r="B20" s="2077" t="s">
        <v>2123</v>
      </c>
      <c r="C20" s="2078"/>
      <c r="D20" s="2078"/>
      <c r="E20" s="604">
        <v>150</v>
      </c>
      <c r="F20" s="605">
        <f t="shared" si="0"/>
        <v>303</v>
      </c>
      <c r="G20" s="606">
        <f t="shared" si="1"/>
        <v>180</v>
      </c>
      <c r="H20" s="606">
        <f t="shared" si="2"/>
        <v>72</v>
      </c>
      <c r="I20" s="606">
        <f t="shared" si="3"/>
        <v>27</v>
      </c>
      <c r="J20" s="606">
        <f t="shared" si="4"/>
        <v>42</v>
      </c>
      <c r="K20" s="606">
        <f t="shared" si="5"/>
        <v>1950</v>
      </c>
      <c r="L20" s="606">
        <f t="shared" si="6"/>
        <v>90</v>
      </c>
      <c r="M20" s="607">
        <f t="shared" si="7"/>
        <v>75</v>
      </c>
      <c r="N20" s="608">
        <f t="shared" si="8"/>
        <v>45</v>
      </c>
      <c r="O20" s="606">
        <f t="shared" si="9"/>
        <v>7.5</v>
      </c>
      <c r="P20" s="606">
        <f t="shared" si="10"/>
        <v>22.5</v>
      </c>
      <c r="Q20" s="606">
        <f t="shared" si="11"/>
        <v>750</v>
      </c>
      <c r="R20" s="604">
        <f t="shared" si="12"/>
        <v>216</v>
      </c>
      <c r="S20" s="337"/>
      <c r="T20" s="1239"/>
      <c r="AG20" s="1401">
        <v>3</v>
      </c>
      <c r="AH20" s="575"/>
    </row>
    <row r="21" spans="1:34" ht="39.950000000000003" customHeight="1" thickBot="1">
      <c r="A21" s="350"/>
      <c r="B21" s="2077" t="s">
        <v>2124</v>
      </c>
      <c r="C21" s="2078"/>
      <c r="D21" s="2078"/>
      <c r="E21" s="604">
        <v>36</v>
      </c>
      <c r="F21" s="605">
        <f t="shared" si="0"/>
        <v>101</v>
      </c>
      <c r="G21" s="606">
        <f t="shared" si="1"/>
        <v>60</v>
      </c>
      <c r="H21" s="606">
        <f t="shared" si="2"/>
        <v>24</v>
      </c>
      <c r="I21" s="606">
        <f t="shared" si="3"/>
        <v>9</v>
      </c>
      <c r="J21" s="606">
        <f t="shared" si="4"/>
        <v>14</v>
      </c>
      <c r="K21" s="606">
        <f t="shared" si="5"/>
        <v>650</v>
      </c>
      <c r="L21" s="606">
        <f t="shared" si="6"/>
        <v>30</v>
      </c>
      <c r="M21" s="607">
        <f t="shared" si="7"/>
        <v>25</v>
      </c>
      <c r="N21" s="608">
        <f t="shared" si="8"/>
        <v>10.799999999999999</v>
      </c>
      <c r="O21" s="606">
        <f t="shared" si="9"/>
        <v>1.8</v>
      </c>
      <c r="P21" s="606">
        <f t="shared" si="10"/>
        <v>5.3999999999999995</v>
      </c>
      <c r="Q21" s="606">
        <f t="shared" si="11"/>
        <v>180</v>
      </c>
      <c r="R21" s="604">
        <f t="shared" si="12"/>
        <v>72</v>
      </c>
      <c r="S21" s="337"/>
      <c r="T21" s="1239"/>
      <c r="AG21" s="1401">
        <v>1</v>
      </c>
      <c r="AH21" s="575"/>
    </row>
    <row r="22" spans="1:34" ht="46.5" customHeight="1" thickBot="1">
      <c r="A22" s="350"/>
      <c r="B22" s="2077" t="s">
        <v>2125</v>
      </c>
      <c r="C22" s="2078"/>
      <c r="D22" s="2078"/>
      <c r="E22" s="604">
        <v>90</v>
      </c>
      <c r="F22" s="605">
        <f t="shared" si="0"/>
        <v>101</v>
      </c>
      <c r="G22" s="606">
        <f t="shared" si="1"/>
        <v>60</v>
      </c>
      <c r="H22" s="606">
        <f t="shared" si="2"/>
        <v>24</v>
      </c>
      <c r="I22" s="606">
        <f t="shared" si="3"/>
        <v>9</v>
      </c>
      <c r="J22" s="606">
        <f t="shared" si="4"/>
        <v>14</v>
      </c>
      <c r="K22" s="606">
        <f t="shared" si="5"/>
        <v>650</v>
      </c>
      <c r="L22" s="606">
        <f t="shared" si="6"/>
        <v>30</v>
      </c>
      <c r="M22" s="607">
        <f t="shared" si="7"/>
        <v>25</v>
      </c>
      <c r="N22" s="608">
        <f t="shared" si="8"/>
        <v>27</v>
      </c>
      <c r="O22" s="606">
        <f t="shared" si="9"/>
        <v>4.5</v>
      </c>
      <c r="P22" s="606">
        <f t="shared" si="10"/>
        <v>13.5</v>
      </c>
      <c r="Q22" s="606">
        <f t="shared" si="11"/>
        <v>450</v>
      </c>
      <c r="R22" s="604">
        <f t="shared" si="12"/>
        <v>72</v>
      </c>
      <c r="S22" s="337"/>
      <c r="T22" s="390"/>
      <c r="AG22" s="1401">
        <v>1</v>
      </c>
      <c r="AH22" s="575"/>
    </row>
    <row r="23" spans="1:34" ht="39.950000000000003" customHeight="1" thickBot="1">
      <c r="A23" s="350"/>
      <c r="B23" s="2077" t="s">
        <v>2126</v>
      </c>
      <c r="C23" s="2078"/>
      <c r="D23" s="2078"/>
      <c r="E23" s="604">
        <v>310</v>
      </c>
      <c r="F23" s="605">
        <f t="shared" si="0"/>
        <v>505</v>
      </c>
      <c r="G23" s="606">
        <f t="shared" si="1"/>
        <v>300</v>
      </c>
      <c r="H23" s="606">
        <f t="shared" si="2"/>
        <v>120</v>
      </c>
      <c r="I23" s="606">
        <f t="shared" si="3"/>
        <v>45</v>
      </c>
      <c r="J23" s="606">
        <f t="shared" si="4"/>
        <v>70</v>
      </c>
      <c r="K23" s="606">
        <f t="shared" si="5"/>
        <v>3250</v>
      </c>
      <c r="L23" s="606">
        <f t="shared" si="6"/>
        <v>150</v>
      </c>
      <c r="M23" s="607">
        <f t="shared" si="7"/>
        <v>125</v>
      </c>
      <c r="N23" s="608">
        <f t="shared" si="8"/>
        <v>93</v>
      </c>
      <c r="O23" s="606">
        <f t="shared" si="9"/>
        <v>15.5</v>
      </c>
      <c r="P23" s="606">
        <f t="shared" si="10"/>
        <v>46.5</v>
      </c>
      <c r="Q23" s="606">
        <f t="shared" si="11"/>
        <v>1550</v>
      </c>
      <c r="R23" s="604">
        <f t="shared" si="12"/>
        <v>360</v>
      </c>
      <c r="S23" s="337"/>
      <c r="T23" s="390"/>
      <c r="AG23" s="1401">
        <v>5</v>
      </c>
      <c r="AH23" s="575"/>
    </row>
    <row r="24" spans="1:34" ht="39.950000000000003" customHeight="1" thickBot="1">
      <c r="A24" s="350"/>
      <c r="B24" s="2077" t="s">
        <v>2127</v>
      </c>
      <c r="C24" s="2078"/>
      <c r="D24" s="2078"/>
      <c r="E24" s="604">
        <v>70</v>
      </c>
      <c r="F24" s="605">
        <f t="shared" si="0"/>
        <v>202</v>
      </c>
      <c r="G24" s="606">
        <f t="shared" si="1"/>
        <v>120</v>
      </c>
      <c r="H24" s="606">
        <f t="shared" si="2"/>
        <v>48</v>
      </c>
      <c r="I24" s="606">
        <f t="shared" si="3"/>
        <v>18</v>
      </c>
      <c r="J24" s="606">
        <f t="shared" si="4"/>
        <v>28</v>
      </c>
      <c r="K24" s="606">
        <f t="shared" si="5"/>
        <v>1300</v>
      </c>
      <c r="L24" s="606">
        <f t="shared" si="6"/>
        <v>60</v>
      </c>
      <c r="M24" s="607">
        <f t="shared" si="7"/>
        <v>50</v>
      </c>
      <c r="N24" s="608">
        <f t="shared" si="8"/>
        <v>21</v>
      </c>
      <c r="O24" s="606">
        <f t="shared" si="9"/>
        <v>3.5</v>
      </c>
      <c r="P24" s="606">
        <f t="shared" si="10"/>
        <v>10.5</v>
      </c>
      <c r="Q24" s="606">
        <f t="shared" si="11"/>
        <v>350</v>
      </c>
      <c r="R24" s="604">
        <f t="shared" si="12"/>
        <v>144</v>
      </c>
      <c r="S24" s="337"/>
      <c r="T24" s="390"/>
      <c r="AG24" s="1401">
        <v>2</v>
      </c>
      <c r="AH24" s="575"/>
    </row>
    <row r="25" spans="1:34" ht="39.950000000000003" customHeight="1">
      <c r="A25" s="373"/>
      <c r="B25" s="2077" t="s">
        <v>2128</v>
      </c>
      <c r="C25" s="2078"/>
      <c r="D25" s="2078"/>
      <c r="E25" s="604">
        <v>120</v>
      </c>
      <c r="F25" s="605">
        <f t="shared" si="0"/>
        <v>202</v>
      </c>
      <c r="G25" s="606">
        <f t="shared" si="1"/>
        <v>120</v>
      </c>
      <c r="H25" s="606">
        <f t="shared" si="2"/>
        <v>48</v>
      </c>
      <c r="I25" s="606">
        <f t="shared" si="3"/>
        <v>18</v>
      </c>
      <c r="J25" s="606">
        <f t="shared" si="4"/>
        <v>28</v>
      </c>
      <c r="K25" s="606">
        <f t="shared" si="5"/>
        <v>1300</v>
      </c>
      <c r="L25" s="606">
        <f t="shared" si="6"/>
        <v>60</v>
      </c>
      <c r="M25" s="607">
        <f t="shared" si="7"/>
        <v>50</v>
      </c>
      <c r="N25" s="608">
        <f t="shared" si="8"/>
        <v>36</v>
      </c>
      <c r="O25" s="606">
        <f t="shared" si="9"/>
        <v>6</v>
      </c>
      <c r="P25" s="606">
        <f t="shared" si="10"/>
        <v>18</v>
      </c>
      <c r="Q25" s="606">
        <f t="shared" si="11"/>
        <v>600</v>
      </c>
      <c r="R25" s="604">
        <f t="shared" si="12"/>
        <v>144</v>
      </c>
      <c r="S25" s="337"/>
      <c r="T25" s="390"/>
      <c r="AG25" s="1401">
        <f>E25/60</f>
        <v>2</v>
      </c>
      <c r="AH25" s="575"/>
    </row>
    <row r="26" spans="1:34" ht="39.950000000000003" customHeight="1" thickBot="1">
      <c r="A26" s="373"/>
      <c r="B26" s="2094" t="s">
        <v>1010</v>
      </c>
      <c r="C26" s="2095"/>
      <c r="D26" s="2095"/>
      <c r="E26" s="609"/>
      <c r="F26" s="610">
        <f>SUM(F10:F25)</f>
        <v>6211.5</v>
      </c>
      <c r="G26" s="611">
        <f t="shared" ref="G26:R26" si="14">SUM(G10:G25)</f>
        <v>3690</v>
      </c>
      <c r="H26" s="611">
        <f t="shared" si="14"/>
        <v>1476</v>
      </c>
      <c r="I26" s="611">
        <f t="shared" si="14"/>
        <v>553.5</v>
      </c>
      <c r="J26" s="611">
        <f t="shared" si="14"/>
        <v>861</v>
      </c>
      <c r="K26" s="611">
        <f t="shared" si="14"/>
        <v>39975</v>
      </c>
      <c r="L26" s="611">
        <f t="shared" si="14"/>
        <v>1845</v>
      </c>
      <c r="M26" s="612">
        <f t="shared" si="14"/>
        <v>1537.5</v>
      </c>
      <c r="N26" s="613">
        <f t="shared" si="14"/>
        <v>1038.3</v>
      </c>
      <c r="O26" s="611">
        <f t="shared" si="14"/>
        <v>173.05</v>
      </c>
      <c r="P26" s="611">
        <f t="shared" si="14"/>
        <v>519.15</v>
      </c>
      <c r="Q26" s="611">
        <f t="shared" si="14"/>
        <v>17305</v>
      </c>
      <c r="R26" s="609">
        <f t="shared" si="14"/>
        <v>4428</v>
      </c>
      <c r="S26" s="337"/>
      <c r="T26" s="390"/>
      <c r="AG26" s="1385"/>
      <c r="AH26" s="575"/>
    </row>
    <row r="27" spans="1:34" ht="20.100000000000001" customHeight="1">
      <c r="A27" s="373"/>
      <c r="J27" s="1342"/>
      <c r="K27" s="1342"/>
      <c r="L27" s="1342"/>
      <c r="M27" s="1342"/>
      <c r="N27" s="1342"/>
      <c r="O27" s="1342"/>
      <c r="P27" s="1342"/>
      <c r="Q27" s="1342"/>
      <c r="T27" s="390"/>
    </row>
    <row r="28" spans="1:34" ht="15" customHeight="1" thickBot="1">
      <c r="A28" s="393"/>
      <c r="B28" s="394"/>
      <c r="C28" s="394"/>
      <c r="D28" s="394"/>
      <c r="E28" s="394"/>
      <c r="F28" s="394"/>
      <c r="G28" s="394"/>
      <c r="H28" s="381"/>
      <c r="I28" s="381"/>
      <c r="J28" s="381"/>
      <c r="K28" s="381"/>
      <c r="L28" s="381"/>
      <c r="M28" s="381"/>
      <c r="N28" s="381"/>
      <c r="O28" s="381"/>
      <c r="P28" s="1259"/>
      <c r="Q28" s="1259"/>
      <c r="R28" s="1259"/>
      <c r="S28" s="1259"/>
      <c r="T28" s="1260"/>
    </row>
    <row r="29" spans="1:34" ht="13.5" thickBot="1">
      <c r="X29" s="1402"/>
    </row>
    <row r="30" spans="1:34" ht="15" customHeight="1">
      <c r="B30" s="2077" t="s">
        <v>2129</v>
      </c>
      <c r="C30" s="2078"/>
      <c r="D30" s="2078"/>
      <c r="F30" s="1403">
        <v>101</v>
      </c>
      <c r="G30" s="1403">
        <v>60</v>
      </c>
      <c r="H30" s="1403">
        <v>24</v>
      </c>
      <c r="I30" s="1404">
        <v>9</v>
      </c>
      <c r="J30" s="1404">
        <v>14</v>
      </c>
      <c r="K30" s="1404">
        <v>650</v>
      </c>
      <c r="L30" s="1405">
        <v>30</v>
      </c>
      <c r="M30" s="1406">
        <v>25</v>
      </c>
      <c r="N30" s="614">
        <v>0.3</v>
      </c>
      <c r="O30" s="615">
        <v>0.5</v>
      </c>
      <c r="P30" s="615">
        <v>0.15</v>
      </c>
      <c r="Q30" s="1407">
        <v>5</v>
      </c>
      <c r="R30" s="1408">
        <v>72</v>
      </c>
      <c r="S30" s="1408"/>
    </row>
    <row r="31" spans="1:34">
      <c r="N31" s="614"/>
      <c r="O31" s="614"/>
      <c r="P31" s="614"/>
      <c r="Q31" s="1409"/>
      <c r="R31" s="1409"/>
    </row>
    <row r="34" spans="7:22">
      <c r="G34" s="337"/>
      <c r="H34" s="337"/>
      <c r="I34" s="337"/>
      <c r="J34" s="337"/>
      <c r="K34" s="337"/>
      <c r="L34" s="337"/>
      <c r="M34" s="337"/>
      <c r="N34" s="337"/>
      <c r="O34" s="337"/>
    </row>
    <row r="39" spans="7:22" s="575" customFormat="1" ht="15" customHeight="1">
      <c r="U39" s="337"/>
      <c r="V39" s="337"/>
    </row>
    <row r="40" spans="7:22" s="575" customFormat="1" ht="15" customHeight="1">
      <c r="U40" s="337"/>
      <c r="V40" s="337"/>
    </row>
    <row r="41" spans="7:22" s="575" customFormat="1" ht="15" customHeight="1">
      <c r="U41" s="337"/>
      <c r="V41" s="337"/>
    </row>
    <row r="42" spans="7:22" s="575" customFormat="1" ht="15" customHeight="1">
      <c r="U42" s="337"/>
      <c r="V42" s="337"/>
    </row>
    <row r="43" spans="7:22" s="575" customFormat="1" ht="15" customHeight="1">
      <c r="U43" s="337"/>
      <c r="V43" s="337"/>
    </row>
    <row r="44" spans="7:22" s="575" customFormat="1" ht="15" customHeight="1">
      <c r="U44" s="337"/>
      <c r="V44" s="337"/>
    </row>
    <row r="45" spans="7:22" s="575" customFormat="1" ht="15" customHeight="1">
      <c r="U45" s="337"/>
      <c r="V45" s="337"/>
    </row>
    <row r="46" spans="7:22" s="575" customFormat="1" ht="15" customHeight="1">
      <c r="U46" s="337"/>
      <c r="V46" s="337"/>
    </row>
    <row r="47" spans="7:22" s="575" customFormat="1" ht="15" customHeight="1">
      <c r="U47" s="337"/>
      <c r="V47" s="337"/>
    </row>
    <row r="48" spans="7:22" s="575" customFormat="1" ht="12.75" customHeight="1">
      <c r="U48" s="337"/>
      <c r="V48" s="337"/>
    </row>
  </sheetData>
  <mergeCells count="50">
    <mergeCell ref="B30:D30"/>
    <mergeCell ref="B21:D21"/>
    <mergeCell ref="B22:D22"/>
    <mergeCell ref="B23:D23"/>
    <mergeCell ref="B24:D24"/>
    <mergeCell ref="B25:D25"/>
    <mergeCell ref="B26:D26"/>
    <mergeCell ref="B15:D15"/>
    <mergeCell ref="B16:D16"/>
    <mergeCell ref="B17:D17"/>
    <mergeCell ref="B18:D18"/>
    <mergeCell ref="B19:D19"/>
    <mergeCell ref="B20:D20"/>
    <mergeCell ref="R8:R9"/>
    <mergeCell ref="B10:D10"/>
    <mergeCell ref="B11:D11"/>
    <mergeCell ref="B12:D12"/>
    <mergeCell ref="B13:D13"/>
    <mergeCell ref="B14:D14"/>
    <mergeCell ref="L8:L9"/>
    <mergeCell ref="M8:M9"/>
    <mergeCell ref="N8:N9"/>
    <mergeCell ref="O8:O9"/>
    <mergeCell ref="P8:P9"/>
    <mergeCell ref="Q8:Q9"/>
    <mergeCell ref="B4:D9"/>
    <mergeCell ref="E4:E7"/>
    <mergeCell ref="F4:F7"/>
    <mergeCell ref="J8:J9"/>
    <mergeCell ref="K8:K9"/>
    <mergeCell ref="J4:J7"/>
    <mergeCell ref="K4:K7"/>
    <mergeCell ref="L4:L7"/>
    <mergeCell ref="E8:E9"/>
    <mergeCell ref="F8:F9"/>
    <mergeCell ref="G8:G9"/>
    <mergeCell ref="H8:H9"/>
    <mergeCell ref="I8:I9"/>
    <mergeCell ref="B3:E3"/>
    <mergeCell ref="F3:M3"/>
    <mergeCell ref="N3:R3"/>
    <mergeCell ref="G4:G7"/>
    <mergeCell ref="H4:H7"/>
    <mergeCell ref="I4:I7"/>
    <mergeCell ref="P4:P7"/>
    <mergeCell ref="Q4:Q7"/>
    <mergeCell ref="R4:R7"/>
    <mergeCell ref="M4:M7"/>
    <mergeCell ref="N4:N7"/>
    <mergeCell ref="O4:O7"/>
  </mergeCells>
  <printOptions horizontalCentered="1"/>
  <pageMargins left="0.19685039370078741" right="0.19685039370078741" top="0.19685039370078741" bottom="0.19685039370078741" header="0" footer="0"/>
  <pageSetup paperSize="9" scale="62" orientation="portrait" horizontalDpi="4294967295"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V43"/>
  <sheetViews>
    <sheetView view="pageBreakPreview" topLeftCell="A22" zoomScale="80" zoomScaleSheetLayoutView="80" workbookViewId="0">
      <selection sqref="A1:XFD1048576"/>
    </sheetView>
  </sheetViews>
  <sheetFormatPr defaultColWidth="6.140625" defaultRowHeight="12.75"/>
  <cols>
    <col min="1" max="1" width="3.28515625" style="575" customWidth="1"/>
    <col min="2" max="4" width="6.140625" style="575"/>
    <col min="5" max="5" width="11.5703125" style="575" customWidth="1"/>
    <col min="6" max="6" width="10.85546875" style="575" customWidth="1"/>
    <col min="7" max="7" width="10.7109375" style="575" customWidth="1"/>
    <col min="8" max="8" width="8.42578125" style="575" customWidth="1"/>
    <col min="9" max="9" width="9.5703125" style="575" customWidth="1"/>
    <col min="10" max="10" width="10" style="575" customWidth="1"/>
    <col min="11" max="11" width="8.7109375" style="575" customWidth="1"/>
    <col min="12" max="12" width="9.7109375" style="575" customWidth="1"/>
    <col min="13" max="13" width="6.85546875" style="575" customWidth="1"/>
    <col min="14" max="14" width="9" style="575" customWidth="1"/>
    <col min="15" max="15" width="4.7109375" style="575" customWidth="1"/>
    <col min="16" max="16" width="7.7109375" style="575" bestFit="1" customWidth="1"/>
    <col min="17" max="17" width="7.140625" style="575" bestFit="1" customWidth="1"/>
    <col min="18" max="19" width="4.7109375" style="575" customWidth="1"/>
    <col min="20" max="20" width="1.85546875" style="575" customWidth="1"/>
    <col min="21" max="150" width="6.140625" style="337"/>
    <col min="151" max="151" width="8.42578125" style="337" customWidth="1"/>
    <col min="152" max="155" width="6.140625" style="337"/>
    <col min="156" max="156" width="8.85546875" style="337" customWidth="1"/>
    <col min="157" max="158" width="6.140625" style="337"/>
    <col min="159" max="159" width="5.28515625" style="337" customWidth="1"/>
    <col min="160" max="163" width="6.140625" style="337"/>
    <col min="164" max="164" width="7.5703125" style="337" customWidth="1"/>
    <col min="165" max="16384" width="6.140625" style="337"/>
  </cols>
  <sheetData>
    <row r="1" spans="1:22" ht="25.5" customHeight="1">
      <c r="A1" s="568"/>
      <c r="B1" s="1337"/>
      <c r="C1" s="1337"/>
      <c r="D1" s="1337"/>
      <c r="E1" s="1337"/>
      <c r="F1" s="1337"/>
      <c r="G1" s="1337"/>
      <c r="H1" s="1337"/>
      <c r="I1" s="1337"/>
      <c r="J1" s="1337"/>
      <c r="K1" s="1337"/>
      <c r="L1" s="1337"/>
      <c r="M1" s="1337"/>
      <c r="N1" s="1337"/>
      <c r="O1" s="1337"/>
      <c r="P1" s="1337"/>
      <c r="Q1" s="1337"/>
      <c r="R1" s="1337"/>
      <c r="S1" s="1337"/>
      <c r="T1" s="569"/>
    </row>
    <row r="2" spans="1:22" ht="25.5" customHeight="1" thickBot="1">
      <c r="A2" s="568"/>
      <c r="B2" s="1337"/>
      <c r="C2" s="1337"/>
      <c r="D2" s="1337"/>
      <c r="E2" s="1337"/>
      <c r="F2" s="1337"/>
      <c r="G2" s="1337"/>
      <c r="H2" s="1337"/>
      <c r="I2" s="1337"/>
      <c r="J2" s="1337"/>
      <c r="K2" s="1337"/>
      <c r="L2" s="1337"/>
      <c r="M2" s="1337"/>
      <c r="N2" s="1337"/>
      <c r="O2" s="1357"/>
      <c r="P2" s="1357"/>
      <c r="Q2" s="1337"/>
      <c r="R2" s="1337"/>
      <c r="S2" s="1337" t="s">
        <v>992</v>
      </c>
      <c r="T2" s="569"/>
    </row>
    <row r="3" spans="1:22" ht="25.5" customHeight="1">
      <c r="A3" s="568"/>
      <c r="B3" s="2063" t="s">
        <v>2103</v>
      </c>
      <c r="C3" s="2064"/>
      <c r="D3" s="2064"/>
      <c r="E3" s="2065"/>
      <c r="F3" s="2066" t="s">
        <v>2130</v>
      </c>
      <c r="G3" s="2067"/>
      <c r="H3" s="2067"/>
      <c r="I3" s="2067"/>
      <c r="J3" s="2067"/>
      <c r="K3" s="2067"/>
      <c r="L3" s="2068"/>
      <c r="T3" s="569"/>
    </row>
    <row r="4" spans="1:22" ht="20.100000000000001" customHeight="1">
      <c r="A4" s="350"/>
      <c r="B4" s="2090" t="s">
        <v>2106</v>
      </c>
      <c r="C4" s="2091"/>
      <c r="D4" s="2091"/>
      <c r="E4" s="2096" t="s">
        <v>2107</v>
      </c>
      <c r="F4" s="2097" t="s">
        <v>2131</v>
      </c>
      <c r="G4" s="2098" t="s">
        <v>2132</v>
      </c>
      <c r="H4" s="2098" t="s">
        <v>2133</v>
      </c>
      <c r="I4" s="2098" t="s">
        <v>2134</v>
      </c>
      <c r="J4" s="2098" t="s">
        <v>2135</v>
      </c>
      <c r="K4" s="2098" t="s">
        <v>2136</v>
      </c>
      <c r="L4" s="2069" t="s">
        <v>2137</v>
      </c>
      <c r="T4" s="390"/>
      <c r="V4" s="575"/>
    </row>
    <row r="5" spans="1:22" ht="20.100000000000001" customHeight="1">
      <c r="A5" s="350"/>
      <c r="B5" s="2090"/>
      <c r="C5" s="2091"/>
      <c r="D5" s="2091"/>
      <c r="E5" s="2096"/>
      <c r="F5" s="2097"/>
      <c r="G5" s="2098"/>
      <c r="H5" s="2098"/>
      <c r="I5" s="2098"/>
      <c r="J5" s="2098"/>
      <c r="K5" s="2098"/>
      <c r="L5" s="2069"/>
      <c r="T5" s="390"/>
      <c r="V5" s="575"/>
    </row>
    <row r="6" spans="1:22" ht="20.100000000000001" customHeight="1">
      <c r="A6" s="350"/>
      <c r="B6" s="2090"/>
      <c r="C6" s="2091"/>
      <c r="D6" s="2091"/>
      <c r="E6" s="2096"/>
      <c r="F6" s="2097"/>
      <c r="G6" s="2098"/>
      <c r="H6" s="2098"/>
      <c r="I6" s="2098"/>
      <c r="J6" s="2098"/>
      <c r="K6" s="2098"/>
      <c r="L6" s="2069"/>
      <c r="M6" s="337"/>
      <c r="N6" s="337"/>
      <c r="O6" s="337"/>
      <c r="P6" s="337"/>
      <c r="Q6" s="337"/>
      <c r="R6" s="337"/>
      <c r="S6" s="337"/>
      <c r="T6" s="390"/>
    </row>
    <row r="7" spans="1:22" ht="20.100000000000001" customHeight="1">
      <c r="A7" s="350"/>
      <c r="B7" s="2090"/>
      <c r="C7" s="2091"/>
      <c r="D7" s="2091"/>
      <c r="E7" s="2096"/>
      <c r="F7" s="2097"/>
      <c r="G7" s="2098"/>
      <c r="H7" s="2098"/>
      <c r="I7" s="2098"/>
      <c r="J7" s="2098"/>
      <c r="K7" s="2098"/>
      <c r="L7" s="2069"/>
      <c r="M7" s="337"/>
      <c r="N7" s="337"/>
      <c r="O7" s="337"/>
      <c r="P7" s="337"/>
      <c r="Q7" s="337"/>
      <c r="R7" s="337"/>
      <c r="S7" s="337"/>
      <c r="T7" s="390"/>
    </row>
    <row r="8" spans="1:22" ht="20.100000000000001" customHeight="1">
      <c r="A8" s="1234"/>
      <c r="B8" s="2090"/>
      <c r="C8" s="2091"/>
      <c r="D8" s="2091"/>
      <c r="E8" s="2083" t="s">
        <v>1154</v>
      </c>
      <c r="F8" s="2099" t="s">
        <v>2111</v>
      </c>
      <c r="G8" s="2056" t="s">
        <v>2111</v>
      </c>
      <c r="H8" s="2056" t="s">
        <v>2111</v>
      </c>
      <c r="I8" s="2056" t="s">
        <v>2111</v>
      </c>
      <c r="J8" s="2056" t="s">
        <v>2111</v>
      </c>
      <c r="K8" s="2056" t="s">
        <v>2111</v>
      </c>
      <c r="L8" s="2059" t="s">
        <v>1154</v>
      </c>
      <c r="T8" s="390"/>
      <c r="V8" s="575"/>
    </row>
    <row r="9" spans="1:22" ht="24.75" customHeight="1" thickBot="1">
      <c r="A9" s="1234"/>
      <c r="B9" s="2101"/>
      <c r="C9" s="2102"/>
      <c r="D9" s="2102"/>
      <c r="E9" s="2055"/>
      <c r="F9" s="2053"/>
      <c r="G9" s="2054"/>
      <c r="H9" s="2054"/>
      <c r="I9" s="2054"/>
      <c r="J9" s="2054"/>
      <c r="K9" s="2054"/>
      <c r="L9" s="2100"/>
      <c r="T9" s="390"/>
      <c r="V9" s="575"/>
    </row>
    <row r="10" spans="1:22" ht="39.950000000000003" customHeight="1">
      <c r="A10" s="350"/>
      <c r="B10" s="2081" t="s">
        <v>2113</v>
      </c>
      <c r="C10" s="2082"/>
      <c r="D10" s="2082"/>
      <c r="E10" s="599">
        <v>600</v>
      </c>
      <c r="F10" s="616">
        <f>E10*$F$30</f>
        <v>20574</v>
      </c>
      <c r="G10" s="616">
        <f>E10*$G$30</f>
        <v>23622</v>
      </c>
      <c r="H10" s="616">
        <f>E10*$H$30</f>
        <v>15240.000000000002</v>
      </c>
      <c r="I10" s="616">
        <f>E10*$I$30</f>
        <v>7620.0000000000009</v>
      </c>
      <c r="J10" s="616">
        <f>E10*$J$30</f>
        <v>9144</v>
      </c>
      <c r="K10" s="599">
        <f>E10*K30</f>
        <v>9000</v>
      </c>
      <c r="L10" s="597">
        <f>E10*$L$30</f>
        <v>1680</v>
      </c>
      <c r="T10" s="390"/>
      <c r="V10" s="575"/>
    </row>
    <row r="11" spans="1:22" ht="39.950000000000003" customHeight="1">
      <c r="A11" s="350"/>
      <c r="B11" s="2077" t="s">
        <v>2114</v>
      </c>
      <c r="C11" s="2078"/>
      <c r="D11" s="2078"/>
      <c r="E11" s="606">
        <v>180</v>
      </c>
      <c r="F11" s="606">
        <f>E11*$F$30</f>
        <v>6172.2</v>
      </c>
      <c r="G11" s="606">
        <f>E11*$G$30</f>
        <v>7086.5999999999995</v>
      </c>
      <c r="H11" s="606">
        <f>E11*$H$30</f>
        <v>4572</v>
      </c>
      <c r="I11" s="606">
        <f>E11*$I$30</f>
        <v>2286</v>
      </c>
      <c r="J11" s="606">
        <f>E11*$J$30</f>
        <v>2743.2</v>
      </c>
      <c r="K11" s="606">
        <f t="shared" ref="K11:K25" si="0">E11*$K$30</f>
        <v>2700</v>
      </c>
      <c r="L11" s="604">
        <f>E11*$L$30</f>
        <v>503.99999999999994</v>
      </c>
      <c r="T11" s="390"/>
      <c r="V11" s="575"/>
    </row>
    <row r="12" spans="1:22" ht="39.950000000000003" customHeight="1">
      <c r="A12" s="373"/>
      <c r="B12" s="2077" t="s">
        <v>2115</v>
      </c>
      <c r="C12" s="2078"/>
      <c r="D12" s="2078"/>
      <c r="E12" s="606">
        <v>90</v>
      </c>
      <c r="F12" s="606">
        <f t="shared" ref="F12:F25" si="1">E12*$F$30</f>
        <v>3086.1</v>
      </c>
      <c r="G12" s="606">
        <f t="shared" ref="G12:G25" si="2">E12*$G$30</f>
        <v>3543.2999999999997</v>
      </c>
      <c r="H12" s="606">
        <f t="shared" ref="H12:H25" si="3">E12*$H$30</f>
        <v>2286</v>
      </c>
      <c r="I12" s="606">
        <f t="shared" ref="I12:I25" si="4">E12*$I$30</f>
        <v>1143</v>
      </c>
      <c r="J12" s="606">
        <f t="shared" ref="J12:J25" si="5">E12*$J$30</f>
        <v>1371.6</v>
      </c>
      <c r="K12" s="606">
        <f t="shared" si="0"/>
        <v>1350</v>
      </c>
      <c r="L12" s="604">
        <f t="shared" ref="L12:L25" si="6">E12*$L$30</f>
        <v>251.99999999999997</v>
      </c>
      <c r="T12" s="390"/>
      <c r="V12" s="575"/>
    </row>
    <row r="13" spans="1:22" ht="39.950000000000003" customHeight="1">
      <c r="A13" s="350"/>
      <c r="B13" s="2077" t="s">
        <v>2116</v>
      </c>
      <c r="C13" s="2078"/>
      <c r="D13" s="2078"/>
      <c r="E13" s="606">
        <v>240</v>
      </c>
      <c r="F13" s="606">
        <f t="shared" si="1"/>
        <v>8229.6</v>
      </c>
      <c r="G13" s="606">
        <f t="shared" si="2"/>
        <v>9448.7999999999993</v>
      </c>
      <c r="H13" s="606">
        <f t="shared" si="3"/>
        <v>6096.0000000000009</v>
      </c>
      <c r="I13" s="606">
        <f t="shared" si="4"/>
        <v>3048.0000000000005</v>
      </c>
      <c r="J13" s="606">
        <f t="shared" si="5"/>
        <v>3657.6</v>
      </c>
      <c r="K13" s="606">
        <f t="shared" si="0"/>
        <v>3600</v>
      </c>
      <c r="L13" s="604">
        <f t="shared" si="6"/>
        <v>672</v>
      </c>
      <c r="T13" s="390"/>
      <c r="V13" s="575"/>
    </row>
    <row r="14" spans="1:22" ht="39.950000000000003" customHeight="1">
      <c r="A14" s="350"/>
      <c r="B14" s="2077" t="s">
        <v>2117</v>
      </c>
      <c r="C14" s="2078"/>
      <c r="D14" s="2078"/>
      <c r="E14" s="606">
        <v>60</v>
      </c>
      <c r="F14" s="606">
        <f t="shared" si="1"/>
        <v>2057.4</v>
      </c>
      <c r="G14" s="606">
        <f t="shared" si="2"/>
        <v>2362.1999999999998</v>
      </c>
      <c r="H14" s="606">
        <f t="shared" si="3"/>
        <v>1524.0000000000002</v>
      </c>
      <c r="I14" s="606">
        <f t="shared" si="4"/>
        <v>762.00000000000011</v>
      </c>
      <c r="J14" s="606">
        <f t="shared" si="5"/>
        <v>914.4</v>
      </c>
      <c r="K14" s="606">
        <f t="shared" si="0"/>
        <v>900</v>
      </c>
      <c r="L14" s="604">
        <f t="shared" si="6"/>
        <v>168</v>
      </c>
      <c r="T14" s="390"/>
      <c r="V14" s="575"/>
    </row>
    <row r="15" spans="1:22" ht="39.950000000000003" customHeight="1">
      <c r="A15" s="373"/>
      <c r="B15" s="2077" t="s">
        <v>2118</v>
      </c>
      <c r="C15" s="2078"/>
      <c r="D15" s="2078"/>
      <c r="E15" s="606">
        <v>420</v>
      </c>
      <c r="F15" s="606">
        <f t="shared" si="1"/>
        <v>14401.8</v>
      </c>
      <c r="G15" s="606">
        <f t="shared" si="2"/>
        <v>16535.399999999998</v>
      </c>
      <c r="H15" s="606">
        <f t="shared" si="3"/>
        <v>10668</v>
      </c>
      <c r="I15" s="606">
        <f t="shared" si="4"/>
        <v>5334</v>
      </c>
      <c r="J15" s="606">
        <f t="shared" si="5"/>
        <v>6400.8</v>
      </c>
      <c r="K15" s="606">
        <f t="shared" si="0"/>
        <v>6300</v>
      </c>
      <c r="L15" s="604">
        <f t="shared" si="6"/>
        <v>1176</v>
      </c>
      <c r="T15" s="390"/>
      <c r="V15" s="575"/>
    </row>
    <row r="16" spans="1:22" ht="39.950000000000003" customHeight="1">
      <c r="A16" s="373"/>
      <c r="B16" s="2077" t="s">
        <v>2119</v>
      </c>
      <c r="C16" s="2078"/>
      <c r="D16" s="2078"/>
      <c r="E16" s="606">
        <v>425</v>
      </c>
      <c r="F16" s="606">
        <f t="shared" si="1"/>
        <v>14573.25</v>
      </c>
      <c r="G16" s="606">
        <f t="shared" si="2"/>
        <v>16732.25</v>
      </c>
      <c r="H16" s="606">
        <f t="shared" si="3"/>
        <v>10795</v>
      </c>
      <c r="I16" s="606">
        <f t="shared" si="4"/>
        <v>5397.5</v>
      </c>
      <c r="J16" s="606">
        <f t="shared" si="5"/>
        <v>6477</v>
      </c>
      <c r="K16" s="606">
        <f t="shared" si="0"/>
        <v>6375</v>
      </c>
      <c r="L16" s="604">
        <f t="shared" si="6"/>
        <v>1190</v>
      </c>
      <c r="T16" s="390"/>
      <c r="V16" s="575"/>
    </row>
    <row r="17" spans="1:22" ht="39.950000000000003" customHeight="1">
      <c r="A17" s="373"/>
      <c r="B17" s="2077" t="s">
        <v>2120</v>
      </c>
      <c r="C17" s="2078"/>
      <c r="D17" s="2078"/>
      <c r="E17" s="606">
        <v>240</v>
      </c>
      <c r="F17" s="606">
        <f t="shared" si="1"/>
        <v>8229.6</v>
      </c>
      <c r="G17" s="606">
        <f t="shared" si="2"/>
        <v>9448.7999999999993</v>
      </c>
      <c r="H17" s="606">
        <f t="shared" si="3"/>
        <v>6096.0000000000009</v>
      </c>
      <c r="I17" s="606">
        <f t="shared" si="4"/>
        <v>3048.0000000000005</v>
      </c>
      <c r="J17" s="606">
        <f t="shared" si="5"/>
        <v>3657.6</v>
      </c>
      <c r="K17" s="606">
        <f t="shared" si="0"/>
        <v>3600</v>
      </c>
      <c r="L17" s="604">
        <f t="shared" si="6"/>
        <v>672</v>
      </c>
      <c r="T17" s="1238"/>
      <c r="V17" s="575"/>
    </row>
    <row r="18" spans="1:22" ht="39.950000000000003" customHeight="1">
      <c r="A18" s="373"/>
      <c r="B18" s="2077" t="s">
        <v>2121</v>
      </c>
      <c r="C18" s="2078"/>
      <c r="D18" s="2078"/>
      <c r="E18" s="606">
        <v>180</v>
      </c>
      <c r="F18" s="606">
        <f t="shared" si="1"/>
        <v>6172.2</v>
      </c>
      <c r="G18" s="606">
        <f t="shared" si="2"/>
        <v>7086.5999999999995</v>
      </c>
      <c r="H18" s="606">
        <f t="shared" si="3"/>
        <v>4572</v>
      </c>
      <c r="I18" s="606">
        <f t="shared" si="4"/>
        <v>2286</v>
      </c>
      <c r="J18" s="606">
        <f t="shared" si="5"/>
        <v>2743.2</v>
      </c>
      <c r="K18" s="606">
        <f t="shared" si="0"/>
        <v>2700</v>
      </c>
      <c r="L18" s="604">
        <f t="shared" si="6"/>
        <v>503.99999999999994</v>
      </c>
      <c r="T18" s="1239"/>
      <c r="V18" s="575"/>
    </row>
    <row r="19" spans="1:22" ht="39.950000000000003" customHeight="1">
      <c r="A19" s="350"/>
      <c r="B19" s="2077" t="s">
        <v>2122</v>
      </c>
      <c r="C19" s="2078"/>
      <c r="D19" s="2078"/>
      <c r="E19" s="606">
        <v>250</v>
      </c>
      <c r="F19" s="606">
        <f t="shared" si="1"/>
        <v>8572.5</v>
      </c>
      <c r="G19" s="606">
        <f t="shared" si="2"/>
        <v>9842.5</v>
      </c>
      <c r="H19" s="606">
        <f t="shared" si="3"/>
        <v>6350.0000000000009</v>
      </c>
      <c r="I19" s="606">
        <f t="shared" si="4"/>
        <v>3175.0000000000005</v>
      </c>
      <c r="J19" s="606">
        <f t="shared" si="5"/>
        <v>3810</v>
      </c>
      <c r="K19" s="606">
        <f t="shared" si="0"/>
        <v>3750</v>
      </c>
      <c r="L19" s="604">
        <f t="shared" si="6"/>
        <v>700</v>
      </c>
      <c r="T19" s="1239"/>
      <c r="V19" s="575"/>
    </row>
    <row r="20" spans="1:22" ht="39.950000000000003" customHeight="1">
      <c r="A20" s="350"/>
      <c r="B20" s="2077" t="s">
        <v>2123</v>
      </c>
      <c r="C20" s="2078"/>
      <c r="D20" s="2078"/>
      <c r="E20" s="606">
        <v>150</v>
      </c>
      <c r="F20" s="606">
        <f t="shared" si="1"/>
        <v>5143.5</v>
      </c>
      <c r="G20" s="606">
        <f t="shared" si="2"/>
        <v>5905.5</v>
      </c>
      <c r="H20" s="606">
        <f t="shared" si="3"/>
        <v>3810.0000000000005</v>
      </c>
      <c r="I20" s="606">
        <f t="shared" si="4"/>
        <v>1905.0000000000002</v>
      </c>
      <c r="J20" s="606">
        <f t="shared" si="5"/>
        <v>2286</v>
      </c>
      <c r="K20" s="606">
        <f t="shared" si="0"/>
        <v>2250</v>
      </c>
      <c r="L20" s="604">
        <f t="shared" si="6"/>
        <v>420</v>
      </c>
      <c r="T20" s="1239"/>
      <c r="V20" s="575"/>
    </row>
    <row r="21" spans="1:22" ht="39.950000000000003" customHeight="1">
      <c r="A21" s="350"/>
      <c r="B21" s="2077" t="s">
        <v>2124</v>
      </c>
      <c r="C21" s="2078"/>
      <c r="D21" s="2078"/>
      <c r="E21" s="606">
        <v>36</v>
      </c>
      <c r="F21" s="606">
        <f t="shared" si="1"/>
        <v>1234.44</v>
      </c>
      <c r="G21" s="606">
        <f t="shared" si="2"/>
        <v>1417.32</v>
      </c>
      <c r="H21" s="606">
        <f t="shared" si="3"/>
        <v>914.40000000000009</v>
      </c>
      <c r="I21" s="606">
        <f t="shared" si="4"/>
        <v>457.20000000000005</v>
      </c>
      <c r="J21" s="606">
        <f t="shared" si="5"/>
        <v>548.64</v>
      </c>
      <c r="K21" s="606">
        <f t="shared" si="0"/>
        <v>540</v>
      </c>
      <c r="L21" s="604">
        <f t="shared" si="6"/>
        <v>100.8</v>
      </c>
      <c r="T21" s="1239"/>
      <c r="V21" s="575"/>
    </row>
    <row r="22" spans="1:22" ht="46.5" customHeight="1">
      <c r="A22" s="350"/>
      <c r="B22" s="2077" t="s">
        <v>2125</v>
      </c>
      <c r="C22" s="2078"/>
      <c r="D22" s="2078"/>
      <c r="E22" s="606">
        <v>90</v>
      </c>
      <c r="F22" s="606">
        <f t="shared" si="1"/>
        <v>3086.1</v>
      </c>
      <c r="G22" s="606">
        <f t="shared" si="2"/>
        <v>3543.2999999999997</v>
      </c>
      <c r="H22" s="606">
        <f t="shared" si="3"/>
        <v>2286</v>
      </c>
      <c r="I22" s="606">
        <f t="shared" si="4"/>
        <v>1143</v>
      </c>
      <c r="J22" s="606">
        <f t="shared" si="5"/>
        <v>1371.6</v>
      </c>
      <c r="K22" s="606">
        <f t="shared" si="0"/>
        <v>1350</v>
      </c>
      <c r="L22" s="604">
        <f t="shared" si="6"/>
        <v>251.99999999999997</v>
      </c>
      <c r="T22" s="390"/>
      <c r="V22" s="575"/>
    </row>
    <row r="23" spans="1:22" ht="39.950000000000003" customHeight="1">
      <c r="A23" s="350"/>
      <c r="B23" s="2077" t="s">
        <v>2126</v>
      </c>
      <c r="C23" s="2078"/>
      <c r="D23" s="2078"/>
      <c r="E23" s="606">
        <v>310</v>
      </c>
      <c r="F23" s="606">
        <f t="shared" si="1"/>
        <v>10629.9</v>
      </c>
      <c r="G23" s="606">
        <f t="shared" si="2"/>
        <v>12204.699999999999</v>
      </c>
      <c r="H23" s="606">
        <f t="shared" si="3"/>
        <v>7874.0000000000009</v>
      </c>
      <c r="I23" s="606">
        <f t="shared" si="4"/>
        <v>3937.0000000000005</v>
      </c>
      <c r="J23" s="606">
        <f t="shared" si="5"/>
        <v>4724.3999999999996</v>
      </c>
      <c r="K23" s="606">
        <f t="shared" si="0"/>
        <v>4650</v>
      </c>
      <c r="L23" s="604">
        <f t="shared" si="6"/>
        <v>868</v>
      </c>
      <c r="T23" s="390"/>
      <c r="V23" s="575"/>
    </row>
    <row r="24" spans="1:22" ht="39.950000000000003" customHeight="1">
      <c r="A24" s="350"/>
      <c r="B24" s="2077" t="s">
        <v>2127</v>
      </c>
      <c r="C24" s="2078"/>
      <c r="D24" s="2078"/>
      <c r="E24" s="606">
        <v>70</v>
      </c>
      <c r="F24" s="606">
        <f t="shared" si="1"/>
        <v>2400.2999999999997</v>
      </c>
      <c r="G24" s="606">
        <f t="shared" si="2"/>
        <v>2755.8999999999996</v>
      </c>
      <c r="H24" s="606">
        <f t="shared" si="3"/>
        <v>1778.0000000000002</v>
      </c>
      <c r="I24" s="606">
        <f t="shared" si="4"/>
        <v>889.00000000000011</v>
      </c>
      <c r="J24" s="606">
        <f t="shared" si="5"/>
        <v>1066.8</v>
      </c>
      <c r="K24" s="606">
        <f t="shared" si="0"/>
        <v>1050</v>
      </c>
      <c r="L24" s="604">
        <f t="shared" si="6"/>
        <v>196</v>
      </c>
      <c r="T24" s="390"/>
      <c r="V24" s="575"/>
    </row>
    <row r="25" spans="1:22" ht="39.950000000000003" customHeight="1">
      <c r="A25" s="373"/>
      <c r="B25" s="2077" t="s">
        <v>2128</v>
      </c>
      <c r="C25" s="2078"/>
      <c r="D25" s="2078"/>
      <c r="E25" s="606">
        <v>120</v>
      </c>
      <c r="F25" s="606">
        <f t="shared" si="1"/>
        <v>4114.8</v>
      </c>
      <c r="G25" s="606">
        <f t="shared" si="2"/>
        <v>4724.3999999999996</v>
      </c>
      <c r="H25" s="606">
        <f t="shared" si="3"/>
        <v>3048.0000000000005</v>
      </c>
      <c r="I25" s="606">
        <f t="shared" si="4"/>
        <v>1524.0000000000002</v>
      </c>
      <c r="J25" s="606">
        <f t="shared" si="5"/>
        <v>1828.8</v>
      </c>
      <c r="K25" s="606">
        <f t="shared" si="0"/>
        <v>1800</v>
      </c>
      <c r="L25" s="604">
        <f t="shared" si="6"/>
        <v>336</v>
      </c>
      <c r="T25" s="390"/>
      <c r="V25" s="575"/>
    </row>
    <row r="26" spans="1:22" ht="39.950000000000003" customHeight="1" thickBot="1">
      <c r="A26" s="373"/>
      <c r="B26" s="2094" t="s">
        <v>1010</v>
      </c>
      <c r="C26" s="2095"/>
      <c r="D26" s="2095"/>
      <c r="E26" s="611"/>
      <c r="F26" s="611">
        <f>SUM(F10:F25)</f>
        <v>118677.69000000002</v>
      </c>
      <c r="G26" s="611">
        <f t="shared" ref="G26:J26" si="7">SUM(G10:G25)</f>
        <v>136259.57</v>
      </c>
      <c r="H26" s="611">
        <f t="shared" si="7"/>
        <v>87909.4</v>
      </c>
      <c r="I26" s="611">
        <f t="shared" si="7"/>
        <v>43954.7</v>
      </c>
      <c r="J26" s="611">
        <f t="shared" si="7"/>
        <v>52745.640000000007</v>
      </c>
      <c r="K26" s="611">
        <f>SUM(K10:K25)</f>
        <v>51915</v>
      </c>
      <c r="L26" s="609">
        <f>SUM(L10:L25)</f>
        <v>9690.7999999999993</v>
      </c>
      <c r="T26" s="390"/>
      <c r="V26" s="575"/>
    </row>
    <row r="27" spans="1:22" ht="20.100000000000001" customHeight="1">
      <c r="A27" s="373"/>
      <c r="J27" s="1342"/>
      <c r="K27" s="1342"/>
      <c r="L27" s="1342"/>
      <c r="M27" s="1342"/>
      <c r="N27" s="1342"/>
      <c r="O27" s="1342"/>
      <c r="P27" s="1342"/>
      <c r="Q27" s="1342"/>
      <c r="T27" s="390"/>
    </row>
    <row r="28" spans="1:22" ht="15" customHeight="1" thickBot="1">
      <c r="A28" s="393"/>
      <c r="B28" s="394"/>
      <c r="C28" s="394"/>
      <c r="D28" s="394"/>
      <c r="E28" s="394"/>
      <c r="F28" s="394"/>
      <c r="G28" s="394"/>
      <c r="H28" s="381"/>
      <c r="I28" s="381"/>
      <c r="J28" s="381"/>
      <c r="K28" s="381"/>
      <c r="L28" s="381"/>
      <c r="M28" s="381"/>
      <c r="N28" s="381"/>
      <c r="O28" s="381"/>
      <c r="P28" s="1259"/>
      <c r="Q28" s="1259"/>
      <c r="R28" s="1259"/>
      <c r="S28" s="1259"/>
      <c r="T28" s="1260"/>
    </row>
    <row r="29" spans="1:22" ht="13.5" thickBot="1"/>
    <row r="30" spans="1:22" ht="15" customHeight="1">
      <c r="B30" s="2077" t="s">
        <v>2129</v>
      </c>
      <c r="C30" s="2078"/>
      <c r="D30" s="2078"/>
      <c r="F30" s="617">
        <f>127*F31</f>
        <v>34.29</v>
      </c>
      <c r="G30" s="617">
        <f t="shared" ref="G30:J30" si="8">127*G31</f>
        <v>39.369999999999997</v>
      </c>
      <c r="H30" s="617">
        <f t="shared" si="8"/>
        <v>25.400000000000002</v>
      </c>
      <c r="I30" s="1410">
        <f t="shared" si="8"/>
        <v>12.700000000000001</v>
      </c>
      <c r="J30" s="1410">
        <f t="shared" si="8"/>
        <v>15.24</v>
      </c>
      <c r="K30" s="1411">
        <v>15</v>
      </c>
      <c r="L30" s="1412">
        <v>2.8</v>
      </c>
      <c r="M30" s="1406"/>
    </row>
    <row r="31" spans="1:22">
      <c r="F31" s="617">
        <v>0.27</v>
      </c>
      <c r="G31" s="617">
        <v>0.31</v>
      </c>
      <c r="H31" s="617">
        <v>0.2</v>
      </c>
      <c r="I31" s="1410">
        <v>0.1</v>
      </c>
      <c r="J31" s="1410">
        <v>0.12</v>
      </c>
      <c r="K31" s="1413"/>
    </row>
    <row r="34" spans="7:21">
      <c r="G34" s="337"/>
      <c r="H34" s="337"/>
      <c r="I34" s="337"/>
      <c r="J34" s="337"/>
      <c r="K34" s="337"/>
      <c r="L34" s="337"/>
      <c r="M34" s="337"/>
      <c r="N34" s="337"/>
      <c r="O34" s="337"/>
    </row>
    <row r="35" spans="7:21" s="575" customFormat="1" ht="15" customHeight="1">
      <c r="U35" s="337"/>
    </row>
    <row r="36" spans="7:21" s="575" customFormat="1" ht="15" customHeight="1">
      <c r="U36" s="337"/>
    </row>
    <row r="37" spans="7:21" s="575" customFormat="1" ht="15" customHeight="1">
      <c r="U37" s="337"/>
    </row>
    <row r="38" spans="7:21" s="575" customFormat="1" ht="15" customHeight="1">
      <c r="U38" s="337"/>
    </row>
    <row r="39" spans="7:21" s="575" customFormat="1" ht="15" customHeight="1">
      <c r="U39" s="337"/>
    </row>
    <row r="40" spans="7:21" s="575" customFormat="1" ht="15" customHeight="1">
      <c r="U40" s="337"/>
    </row>
    <row r="41" spans="7:21" s="575" customFormat="1" ht="15" customHeight="1">
      <c r="U41" s="337"/>
    </row>
    <row r="42" spans="7:21" s="575" customFormat="1" ht="15" customHeight="1">
      <c r="U42" s="337"/>
    </row>
    <row r="43" spans="7:21" s="575" customFormat="1" ht="12.75" customHeight="1">
      <c r="U43" s="337"/>
    </row>
  </sheetData>
  <mergeCells count="37">
    <mergeCell ref="B30:D30"/>
    <mergeCell ref="B21:D21"/>
    <mergeCell ref="B22:D22"/>
    <mergeCell ref="B23:D23"/>
    <mergeCell ref="B24:D24"/>
    <mergeCell ref="B25:D25"/>
    <mergeCell ref="B26:D26"/>
    <mergeCell ref="B20:D20"/>
    <mergeCell ref="L8:L9"/>
    <mergeCell ref="B10:D10"/>
    <mergeCell ref="B11:D11"/>
    <mergeCell ref="B12:D12"/>
    <mergeCell ref="B13:D13"/>
    <mergeCell ref="B14:D14"/>
    <mergeCell ref="B4:D9"/>
    <mergeCell ref="B15:D15"/>
    <mergeCell ref="B16:D16"/>
    <mergeCell ref="B17:D17"/>
    <mergeCell ref="B18:D18"/>
    <mergeCell ref="B19:D19"/>
    <mergeCell ref="J4:J7"/>
    <mergeCell ref="K4:K7"/>
    <mergeCell ref="L4:L7"/>
    <mergeCell ref="B3:E3"/>
    <mergeCell ref="F3:L3"/>
    <mergeCell ref="J8:J9"/>
    <mergeCell ref="K8:K9"/>
    <mergeCell ref="E4:E7"/>
    <mergeCell ref="F4:F7"/>
    <mergeCell ref="G4:G7"/>
    <mergeCell ref="H4:H7"/>
    <mergeCell ref="I4:I7"/>
    <mergeCell ref="E8:E9"/>
    <mergeCell ref="F8:F9"/>
    <mergeCell ref="G8:G9"/>
    <mergeCell ref="H8:H9"/>
    <mergeCell ref="I8:I9"/>
  </mergeCells>
  <printOptions horizontalCentered="1"/>
  <pageMargins left="0.19685039370078741" right="0.19685039370078741" top="0.19685039370078741" bottom="0.19685039370078741" header="0" footer="0"/>
  <pageSetup paperSize="9" scale="54" orientation="portrait" horizontalDpi="4294967295"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C57"/>
  <sheetViews>
    <sheetView view="pageBreakPreview" zoomScale="80" zoomScaleSheetLayoutView="80" workbookViewId="0">
      <selection sqref="A1:AD1048576"/>
    </sheetView>
  </sheetViews>
  <sheetFormatPr defaultColWidth="6.140625" defaultRowHeight="12.75"/>
  <cols>
    <col min="1" max="1" width="3.5703125" style="1415" customWidth="1"/>
    <col min="2" max="2" width="4.7109375" style="1415" customWidth="1"/>
    <col min="3" max="4" width="6.140625" style="1415"/>
    <col min="5" max="5" width="9.5703125" style="1415" customWidth="1"/>
    <col min="6" max="6" width="10.7109375" style="1415" customWidth="1"/>
    <col min="7" max="7" width="7.85546875" style="1415" customWidth="1"/>
    <col min="8" max="9" width="6.140625" style="1415"/>
    <col min="10" max="10" width="7.42578125" style="1415" customWidth="1"/>
    <col min="11" max="11" width="6.85546875" style="1415" customWidth="1"/>
    <col min="12" max="12" width="6.140625" style="1415"/>
    <col min="13" max="13" width="6.85546875" style="1415" customWidth="1"/>
    <col min="14" max="14" width="6.140625" style="1415"/>
    <col min="15" max="15" width="6.140625" style="1415" customWidth="1"/>
    <col min="16" max="17" width="6.140625" style="1415"/>
    <col min="18" max="18" width="2.28515625" style="1415" customWidth="1"/>
    <col min="19" max="19" width="2.5703125" style="1415" customWidth="1"/>
    <col min="20" max="20" width="6.140625" style="618"/>
    <col min="21" max="21" width="12.42578125" style="618" customWidth="1"/>
    <col min="22" max="22" width="11" style="618" customWidth="1"/>
    <col min="23" max="23" width="11.85546875" style="618" customWidth="1"/>
    <col min="24" max="178" width="6.140625" style="618"/>
    <col min="179" max="179" width="8.42578125" style="618" customWidth="1"/>
    <col min="180" max="183" width="6.140625" style="618"/>
    <col min="184" max="184" width="8.85546875" style="618" customWidth="1"/>
    <col min="185" max="186" width="6.140625" style="618"/>
    <col min="187" max="187" width="5.28515625" style="618" customWidth="1"/>
    <col min="188" max="191" width="6.140625" style="618"/>
    <col min="192" max="192" width="7.5703125" style="618" customWidth="1"/>
    <col min="193" max="16384" width="6.140625" style="618"/>
  </cols>
  <sheetData>
    <row r="1" spans="1:25" ht="25.5" customHeight="1">
      <c r="A1" s="559"/>
      <c r="B1" s="560"/>
      <c r="C1" s="560"/>
      <c r="D1" s="560"/>
      <c r="E1" s="560"/>
      <c r="F1" s="560"/>
      <c r="G1" s="560"/>
      <c r="H1" s="560"/>
      <c r="I1" s="560"/>
      <c r="J1" s="560"/>
      <c r="K1" s="560"/>
      <c r="L1" s="560"/>
      <c r="M1" s="560"/>
      <c r="N1" s="560"/>
      <c r="O1" s="560"/>
      <c r="P1" s="560"/>
      <c r="Q1" s="560"/>
      <c r="R1" s="560"/>
      <c r="S1" s="561"/>
    </row>
    <row r="2" spans="1:25" ht="25.5" customHeight="1" thickBot="1">
      <c r="A2" s="568"/>
      <c r="B2" s="1337"/>
      <c r="C2" s="1337"/>
      <c r="D2" s="1337"/>
      <c r="E2" s="1337"/>
      <c r="F2" s="2103" t="s">
        <v>993</v>
      </c>
      <c r="G2" s="2103"/>
      <c r="H2" s="2103"/>
      <c r="I2" s="2103"/>
      <c r="J2" s="2103"/>
      <c r="K2" s="2103"/>
      <c r="L2" s="2103"/>
      <c r="M2" s="2103"/>
      <c r="N2" s="2103"/>
      <c r="O2" s="2104"/>
      <c r="P2" s="2104"/>
      <c r="Q2" s="1337"/>
      <c r="R2" s="1337"/>
      <c r="S2" s="569"/>
    </row>
    <row r="3" spans="1:25" ht="20.100000000000001" customHeight="1">
      <c r="A3" s="350"/>
      <c r="B3" s="618"/>
      <c r="C3" s="1414"/>
      <c r="D3" s="1414"/>
      <c r="E3" s="1414"/>
      <c r="F3" s="2108" t="s">
        <v>2138</v>
      </c>
      <c r="G3" s="2110" t="s">
        <v>2139</v>
      </c>
      <c r="H3" s="2110" t="s">
        <v>2140</v>
      </c>
      <c r="I3" s="2110" t="s">
        <v>2141</v>
      </c>
      <c r="J3" s="2110" t="s">
        <v>2142</v>
      </c>
      <c r="K3" s="2110" t="s">
        <v>2143</v>
      </c>
      <c r="L3" s="2115" t="s">
        <v>2144</v>
      </c>
      <c r="M3" s="2115" t="s">
        <v>2145</v>
      </c>
      <c r="N3" s="2115" t="s">
        <v>2146</v>
      </c>
      <c r="O3" s="2115" t="s">
        <v>2147</v>
      </c>
      <c r="P3" s="2105" t="s">
        <v>2148</v>
      </c>
      <c r="S3" s="619"/>
      <c r="Y3" s="1415"/>
    </row>
    <row r="4" spans="1:25" ht="30.75" customHeight="1" thickBot="1">
      <c r="A4" s="350"/>
      <c r="B4" s="618"/>
      <c r="C4" s="1414"/>
      <c r="D4" s="1414"/>
      <c r="E4" s="1414"/>
      <c r="F4" s="2109"/>
      <c r="G4" s="2111"/>
      <c r="H4" s="2111"/>
      <c r="I4" s="2111"/>
      <c r="J4" s="2111"/>
      <c r="K4" s="2111"/>
      <c r="L4" s="2116"/>
      <c r="M4" s="2116"/>
      <c r="N4" s="2116"/>
      <c r="O4" s="2116"/>
      <c r="P4" s="2106"/>
      <c r="S4" s="619"/>
    </row>
    <row r="5" spans="1:25" ht="43.5" customHeight="1" thickBot="1">
      <c r="A5" s="350"/>
      <c r="B5" s="1416" t="s">
        <v>28</v>
      </c>
      <c r="C5" s="2107" t="s">
        <v>2</v>
      </c>
      <c r="D5" s="2107"/>
      <c r="E5" s="2107"/>
      <c r="F5" s="1417" t="s">
        <v>1154</v>
      </c>
      <c r="G5" s="1417"/>
      <c r="H5" s="1418" t="s">
        <v>1142</v>
      </c>
      <c r="I5" s="1418" t="s">
        <v>1142</v>
      </c>
      <c r="J5" s="1418" t="s">
        <v>1142</v>
      </c>
      <c r="K5" s="1418" t="s">
        <v>2149</v>
      </c>
      <c r="L5" s="1418" t="s">
        <v>1154</v>
      </c>
      <c r="M5" s="1418" t="s">
        <v>1154</v>
      </c>
      <c r="N5" s="1418" t="s">
        <v>1142</v>
      </c>
      <c r="O5" s="1418" t="s">
        <v>1142</v>
      </c>
      <c r="P5" s="1419" t="s">
        <v>1142</v>
      </c>
      <c r="S5" s="619"/>
    </row>
    <row r="6" spans="1:25" ht="36.75" customHeight="1">
      <c r="A6" s="350"/>
      <c r="B6" s="620">
        <v>1</v>
      </c>
      <c r="C6" s="2117" t="s">
        <v>2150</v>
      </c>
      <c r="D6" s="2118"/>
      <c r="E6" s="2119"/>
      <c r="F6" s="599" t="s">
        <v>2151</v>
      </c>
      <c r="G6" s="599"/>
      <c r="H6" s="599">
        <f t="shared" ref="H6:H12" si="0">W6*0.2</f>
        <v>3300</v>
      </c>
      <c r="I6" s="599">
        <f t="shared" ref="I6:I12" si="1">W6*0.2</f>
        <v>3300</v>
      </c>
      <c r="J6" s="599">
        <f>W6*1.2</f>
        <v>19800</v>
      </c>
      <c r="K6" s="599">
        <f t="shared" ref="K6:K12" si="2">W6*0.45</f>
        <v>7425</v>
      </c>
      <c r="L6" s="599">
        <f t="shared" ref="L6:L12" si="3">W6*0.04</f>
        <v>660</v>
      </c>
      <c r="M6" s="599">
        <f t="shared" ref="M6:M15" si="4">W6*0.03</f>
        <v>495</v>
      </c>
      <c r="N6" s="599"/>
      <c r="O6" s="599"/>
      <c r="P6" s="597"/>
      <c r="Q6" s="618"/>
      <c r="R6" s="618"/>
      <c r="S6" s="619"/>
      <c r="U6" s="618">
        <v>2200</v>
      </c>
      <c r="V6" s="618">
        <v>7.5</v>
      </c>
      <c r="W6" s="618">
        <f>U6*V6</f>
        <v>16500</v>
      </c>
    </row>
    <row r="7" spans="1:25" ht="33" customHeight="1">
      <c r="A7" s="350"/>
      <c r="B7" s="621">
        <v>2</v>
      </c>
      <c r="C7" s="2112" t="s">
        <v>2152</v>
      </c>
      <c r="D7" s="2113"/>
      <c r="E7" s="2114"/>
      <c r="F7" s="606" t="s">
        <v>2153</v>
      </c>
      <c r="G7" s="606"/>
      <c r="H7" s="606">
        <f t="shared" si="0"/>
        <v>300</v>
      </c>
      <c r="I7" s="606">
        <f t="shared" si="1"/>
        <v>300</v>
      </c>
      <c r="J7" s="606">
        <f t="shared" ref="J7:J15" si="5">W7*1.2</f>
        <v>1800</v>
      </c>
      <c r="K7" s="606">
        <f t="shared" si="2"/>
        <v>675</v>
      </c>
      <c r="L7" s="606">
        <f t="shared" si="3"/>
        <v>60</v>
      </c>
      <c r="M7" s="606">
        <f t="shared" si="4"/>
        <v>45</v>
      </c>
      <c r="N7" s="606"/>
      <c r="O7" s="606"/>
      <c r="P7" s="604"/>
      <c r="Q7" s="618"/>
      <c r="R7" s="618"/>
      <c r="S7" s="619"/>
      <c r="U7" s="618">
        <v>250</v>
      </c>
      <c r="V7" s="618">
        <v>6</v>
      </c>
      <c r="W7" s="618">
        <f>U7*V7</f>
        <v>1500</v>
      </c>
    </row>
    <row r="8" spans="1:25" ht="30.75" customHeight="1">
      <c r="A8" s="1420"/>
      <c r="B8" s="621">
        <v>3</v>
      </c>
      <c r="C8" s="2112" t="s">
        <v>2154</v>
      </c>
      <c r="D8" s="2113"/>
      <c r="E8" s="2114"/>
      <c r="F8" s="606">
        <v>1300</v>
      </c>
      <c r="G8" s="606"/>
      <c r="H8" s="606">
        <f t="shared" si="0"/>
        <v>230</v>
      </c>
      <c r="I8" s="606">
        <f t="shared" si="1"/>
        <v>230</v>
      </c>
      <c r="J8" s="606">
        <f t="shared" si="5"/>
        <v>1380</v>
      </c>
      <c r="K8" s="606">
        <f t="shared" si="2"/>
        <v>517.5</v>
      </c>
      <c r="L8" s="606">
        <f t="shared" si="3"/>
        <v>46</v>
      </c>
      <c r="M8" s="606">
        <f t="shared" si="4"/>
        <v>34.5</v>
      </c>
      <c r="N8" s="606"/>
      <c r="O8" s="606"/>
      <c r="P8" s="604"/>
      <c r="S8" s="619"/>
      <c r="W8" s="618">
        <v>1150</v>
      </c>
    </row>
    <row r="9" spans="1:25" ht="33.75" customHeight="1">
      <c r="A9" s="1420"/>
      <c r="B9" s="621">
        <v>4</v>
      </c>
      <c r="C9" s="2112" t="s">
        <v>2155</v>
      </c>
      <c r="D9" s="2113"/>
      <c r="E9" s="2114"/>
      <c r="F9" s="606">
        <v>1050</v>
      </c>
      <c r="G9" s="606"/>
      <c r="H9" s="606">
        <f t="shared" si="0"/>
        <v>196</v>
      </c>
      <c r="I9" s="606">
        <f t="shared" si="1"/>
        <v>196</v>
      </c>
      <c r="J9" s="606">
        <f t="shared" si="5"/>
        <v>1176</v>
      </c>
      <c r="K9" s="606">
        <f t="shared" si="2"/>
        <v>441</v>
      </c>
      <c r="L9" s="606">
        <f t="shared" si="3"/>
        <v>39.200000000000003</v>
      </c>
      <c r="M9" s="606">
        <f t="shared" si="4"/>
        <v>29.4</v>
      </c>
      <c r="N9" s="606"/>
      <c r="O9" s="606"/>
      <c r="P9" s="604"/>
      <c r="S9" s="619"/>
      <c r="W9" s="618">
        <v>980</v>
      </c>
    </row>
    <row r="10" spans="1:25" ht="32.25" customHeight="1">
      <c r="A10" s="350"/>
      <c r="B10" s="621">
        <v>5</v>
      </c>
      <c r="C10" s="2112" t="s">
        <v>2156</v>
      </c>
      <c r="D10" s="2113"/>
      <c r="E10" s="2114"/>
      <c r="F10" s="606" t="s">
        <v>2157</v>
      </c>
      <c r="G10" s="606"/>
      <c r="H10" s="606">
        <f t="shared" si="0"/>
        <v>720</v>
      </c>
      <c r="I10" s="606">
        <f t="shared" si="1"/>
        <v>720</v>
      </c>
      <c r="J10" s="606">
        <f t="shared" si="5"/>
        <v>4320</v>
      </c>
      <c r="K10" s="606">
        <f t="shared" si="2"/>
        <v>1620</v>
      </c>
      <c r="L10" s="606">
        <f t="shared" si="3"/>
        <v>144</v>
      </c>
      <c r="M10" s="606">
        <f t="shared" si="4"/>
        <v>108</v>
      </c>
      <c r="N10" s="606"/>
      <c r="O10" s="606"/>
      <c r="P10" s="604"/>
      <c r="S10" s="619"/>
      <c r="U10" s="618">
        <v>600</v>
      </c>
      <c r="V10" s="618">
        <v>6</v>
      </c>
      <c r="W10" s="618">
        <f>U10*V10</f>
        <v>3600</v>
      </c>
    </row>
    <row r="11" spans="1:25" ht="31.5" customHeight="1">
      <c r="A11" s="350"/>
      <c r="B11" s="621">
        <v>6</v>
      </c>
      <c r="C11" s="2112" t="s">
        <v>2158</v>
      </c>
      <c r="D11" s="2113"/>
      <c r="E11" s="2114"/>
      <c r="F11" s="606" t="s">
        <v>2159</v>
      </c>
      <c r="G11" s="606"/>
      <c r="H11" s="606">
        <f t="shared" si="0"/>
        <v>986.40000000000009</v>
      </c>
      <c r="I11" s="606">
        <f t="shared" si="1"/>
        <v>986.40000000000009</v>
      </c>
      <c r="J11" s="606">
        <f t="shared" si="5"/>
        <v>5918.4</v>
      </c>
      <c r="K11" s="606">
        <f t="shared" si="2"/>
        <v>2219.4</v>
      </c>
      <c r="L11" s="606">
        <f t="shared" si="3"/>
        <v>197.28</v>
      </c>
      <c r="M11" s="606">
        <f t="shared" si="4"/>
        <v>147.96</v>
      </c>
      <c r="N11" s="606"/>
      <c r="O11" s="606"/>
      <c r="P11" s="604"/>
      <c r="S11" s="619"/>
      <c r="U11" s="618">
        <v>822</v>
      </c>
      <c r="V11" s="618">
        <v>6</v>
      </c>
      <c r="W11" s="618">
        <f>U11*V11</f>
        <v>4932</v>
      </c>
    </row>
    <row r="12" spans="1:25" ht="27" customHeight="1">
      <c r="A12" s="373"/>
      <c r="B12" s="621">
        <v>7</v>
      </c>
      <c r="C12" s="2112" t="s">
        <v>2160</v>
      </c>
      <c r="D12" s="2113"/>
      <c r="E12" s="2114"/>
      <c r="F12" s="606" t="s">
        <v>2161</v>
      </c>
      <c r="G12" s="606"/>
      <c r="H12" s="606">
        <f t="shared" si="0"/>
        <v>2400</v>
      </c>
      <c r="I12" s="606">
        <f t="shared" si="1"/>
        <v>2400</v>
      </c>
      <c r="J12" s="606">
        <f t="shared" si="5"/>
        <v>14400</v>
      </c>
      <c r="K12" s="606">
        <f t="shared" si="2"/>
        <v>5400</v>
      </c>
      <c r="L12" s="606">
        <f t="shared" si="3"/>
        <v>480</v>
      </c>
      <c r="M12" s="606">
        <f t="shared" si="4"/>
        <v>360</v>
      </c>
      <c r="N12" s="606"/>
      <c r="O12" s="606"/>
      <c r="P12" s="604"/>
      <c r="S12" s="619"/>
      <c r="U12" s="618">
        <v>2000</v>
      </c>
      <c r="V12" s="618">
        <v>6</v>
      </c>
      <c r="W12" s="618">
        <f>U12*V12</f>
        <v>12000</v>
      </c>
    </row>
    <row r="13" spans="1:25" ht="31.5" customHeight="1">
      <c r="A13" s="373"/>
      <c r="B13" s="621">
        <v>8</v>
      </c>
      <c r="C13" s="2112" t="s">
        <v>2162</v>
      </c>
      <c r="D13" s="2113"/>
      <c r="E13" s="2114"/>
      <c r="F13" s="606" t="s">
        <v>2159</v>
      </c>
      <c r="G13" s="606"/>
      <c r="H13" s="606"/>
      <c r="I13" s="606"/>
      <c r="J13" s="606">
        <f t="shared" si="5"/>
        <v>5040</v>
      </c>
      <c r="K13" s="606"/>
      <c r="L13" s="606"/>
      <c r="M13" s="606">
        <f t="shared" si="4"/>
        <v>126</v>
      </c>
      <c r="N13" s="606">
        <f>W13*0.2</f>
        <v>840</v>
      </c>
      <c r="O13" s="606">
        <f>W13*0.4</f>
        <v>1680</v>
      </c>
      <c r="P13" s="604">
        <f>W13*0.2</f>
        <v>840</v>
      </c>
      <c r="S13" s="619"/>
      <c r="U13" s="618">
        <v>700</v>
      </c>
      <c r="V13" s="618">
        <v>6</v>
      </c>
      <c r="W13" s="618">
        <f>U13*V13</f>
        <v>4200</v>
      </c>
    </row>
    <row r="14" spans="1:25" ht="31.5" customHeight="1">
      <c r="A14" s="373"/>
      <c r="B14" s="621">
        <v>9</v>
      </c>
      <c r="C14" s="2112" t="s">
        <v>2163</v>
      </c>
      <c r="D14" s="2113"/>
      <c r="E14" s="2114"/>
      <c r="F14" s="606">
        <v>450</v>
      </c>
      <c r="G14" s="606"/>
      <c r="H14" s="606"/>
      <c r="I14" s="606"/>
      <c r="J14" s="606">
        <f t="shared" si="5"/>
        <v>360</v>
      </c>
      <c r="K14" s="606"/>
      <c r="L14" s="606"/>
      <c r="M14" s="606">
        <f t="shared" si="4"/>
        <v>9</v>
      </c>
      <c r="N14" s="606">
        <f>W14*0.2</f>
        <v>60</v>
      </c>
      <c r="O14" s="606">
        <f>W14*0.4</f>
        <v>120</v>
      </c>
      <c r="P14" s="604">
        <f>W14*0.2</f>
        <v>60</v>
      </c>
      <c r="S14" s="619"/>
      <c r="W14" s="618">
        <v>300</v>
      </c>
    </row>
    <row r="15" spans="1:25" ht="30" customHeight="1">
      <c r="A15" s="373"/>
      <c r="B15" s="621">
        <v>10</v>
      </c>
      <c r="C15" s="2112" t="s">
        <v>2164</v>
      </c>
      <c r="D15" s="2113"/>
      <c r="E15" s="2114"/>
      <c r="F15" s="606">
        <v>300</v>
      </c>
      <c r="G15" s="606"/>
      <c r="H15" s="606"/>
      <c r="I15" s="606"/>
      <c r="J15" s="606">
        <f t="shared" si="5"/>
        <v>300</v>
      </c>
      <c r="K15" s="606"/>
      <c r="L15" s="606"/>
      <c r="M15" s="606">
        <f t="shared" si="4"/>
        <v>7.5</v>
      </c>
      <c r="N15" s="606">
        <f>W15*0.2</f>
        <v>50</v>
      </c>
      <c r="O15" s="606">
        <f>W15*0.4</f>
        <v>100</v>
      </c>
      <c r="P15" s="604">
        <f>W15*0.2</f>
        <v>50</v>
      </c>
      <c r="S15" s="619"/>
      <c r="W15" s="618">
        <v>250</v>
      </c>
    </row>
    <row r="16" spans="1:25" ht="31.5" customHeight="1">
      <c r="A16" s="373"/>
      <c r="B16" s="621">
        <v>11</v>
      </c>
      <c r="C16" s="2112" t="s">
        <v>2165</v>
      </c>
      <c r="D16" s="2113"/>
      <c r="E16" s="2114"/>
      <c r="F16" s="606" t="s">
        <v>2166</v>
      </c>
      <c r="G16" s="606">
        <v>30000</v>
      </c>
      <c r="H16" s="606"/>
      <c r="I16" s="606"/>
      <c r="J16" s="606"/>
      <c r="K16" s="606"/>
      <c r="L16" s="606"/>
      <c r="M16" s="606"/>
      <c r="N16" s="606"/>
      <c r="O16" s="606">
        <f>U16*0.5</f>
        <v>7500</v>
      </c>
      <c r="P16" s="604"/>
      <c r="S16" s="619"/>
      <c r="U16" s="618">
        <v>15000</v>
      </c>
      <c r="V16" s="618">
        <v>6</v>
      </c>
      <c r="W16" s="618">
        <f>U16*V16</f>
        <v>90000</v>
      </c>
    </row>
    <row r="17" spans="1:29" ht="31.5" customHeight="1">
      <c r="A17" s="373"/>
      <c r="B17" s="621">
        <v>12</v>
      </c>
      <c r="C17" s="2112" t="s">
        <v>2167</v>
      </c>
      <c r="D17" s="2113"/>
      <c r="E17" s="2114"/>
      <c r="F17" s="606" t="s">
        <v>2168</v>
      </c>
      <c r="G17" s="606">
        <v>6000</v>
      </c>
      <c r="H17" s="606"/>
      <c r="I17" s="606"/>
      <c r="J17" s="606"/>
      <c r="K17" s="606"/>
      <c r="L17" s="606"/>
      <c r="M17" s="606"/>
      <c r="N17" s="606"/>
      <c r="O17" s="606">
        <f>U17*0.5</f>
        <v>2250</v>
      </c>
      <c r="P17" s="604"/>
      <c r="S17" s="619"/>
      <c r="U17" s="618">
        <v>4500</v>
      </c>
      <c r="V17" s="618">
        <v>6</v>
      </c>
      <c r="W17" s="618">
        <f>U17*V17</f>
        <v>27000</v>
      </c>
    </row>
    <row r="18" spans="1:29" ht="24" customHeight="1">
      <c r="A18" s="350"/>
      <c r="B18" s="621">
        <v>13</v>
      </c>
      <c r="C18" s="2112" t="s">
        <v>2169</v>
      </c>
      <c r="D18" s="2113"/>
      <c r="E18" s="2114"/>
      <c r="F18" s="606">
        <v>600</v>
      </c>
      <c r="G18" s="606"/>
      <c r="H18" s="606">
        <f>W18*0.2</f>
        <v>88</v>
      </c>
      <c r="I18" s="606">
        <f>W18*0.2</f>
        <v>88</v>
      </c>
      <c r="J18" s="606">
        <f>W18*1.2</f>
        <v>528</v>
      </c>
      <c r="K18" s="606">
        <f>W18*0.45</f>
        <v>198</v>
      </c>
      <c r="L18" s="606">
        <f>W18*0.04</f>
        <v>17.600000000000001</v>
      </c>
      <c r="M18" s="606">
        <f>W18*0.03</f>
        <v>13.2</v>
      </c>
      <c r="N18" s="606"/>
      <c r="O18" s="606"/>
      <c r="P18" s="604"/>
      <c r="S18" s="619"/>
      <c r="W18" s="618">
        <v>440</v>
      </c>
    </row>
    <row r="19" spans="1:29" ht="28.5" customHeight="1">
      <c r="A19" s="350"/>
      <c r="B19" s="621">
        <v>14</v>
      </c>
      <c r="C19" s="2112" t="s">
        <v>2170</v>
      </c>
      <c r="D19" s="2113"/>
      <c r="E19" s="2114"/>
      <c r="F19" s="606">
        <v>200</v>
      </c>
      <c r="G19" s="606"/>
      <c r="H19" s="606">
        <f>W19*0.2</f>
        <v>40</v>
      </c>
      <c r="I19" s="606">
        <f>W19*0.2</f>
        <v>40</v>
      </c>
      <c r="J19" s="606">
        <f>W19*1.2</f>
        <v>240</v>
      </c>
      <c r="K19" s="606">
        <f>W19*0.45</f>
        <v>90</v>
      </c>
      <c r="L19" s="606">
        <f>W19*0.04</f>
        <v>8</v>
      </c>
      <c r="M19" s="606">
        <f>W19*0.03</f>
        <v>6</v>
      </c>
      <c r="N19" s="606"/>
      <c r="O19" s="606"/>
      <c r="P19" s="604"/>
      <c r="S19" s="619"/>
      <c r="W19" s="618">
        <v>200</v>
      </c>
    </row>
    <row r="20" spans="1:29" ht="22.5" customHeight="1" thickBot="1">
      <c r="A20" s="373"/>
      <c r="B20" s="622">
        <v>15</v>
      </c>
      <c r="C20" s="2120" t="s">
        <v>1010</v>
      </c>
      <c r="D20" s="2121"/>
      <c r="E20" s="2122"/>
      <c r="F20" s="611"/>
      <c r="G20" s="611">
        <f>SUM(G6:G19)</f>
        <v>36000</v>
      </c>
      <c r="H20" s="611">
        <f>SUM(H6:H19)</f>
        <v>8260.4</v>
      </c>
      <c r="I20" s="611">
        <f t="shared" ref="I20:P20" si="6">SUM(I6:I19)</f>
        <v>8260.4</v>
      </c>
      <c r="J20" s="611">
        <f t="shared" si="6"/>
        <v>55262.400000000001</v>
      </c>
      <c r="K20" s="611">
        <f t="shared" si="6"/>
        <v>18585.900000000001</v>
      </c>
      <c r="L20" s="611">
        <f t="shared" si="6"/>
        <v>1652.08</v>
      </c>
      <c r="M20" s="611">
        <f t="shared" si="6"/>
        <v>1381.5600000000002</v>
      </c>
      <c r="N20" s="611">
        <f t="shared" si="6"/>
        <v>950</v>
      </c>
      <c r="O20" s="611">
        <f t="shared" si="6"/>
        <v>11650</v>
      </c>
      <c r="P20" s="609">
        <f t="shared" si="6"/>
        <v>950</v>
      </c>
      <c r="S20" s="619"/>
    </row>
    <row r="21" spans="1:29" ht="20.100000000000001" customHeight="1">
      <c r="A21" s="373"/>
      <c r="B21" s="618"/>
      <c r="C21" s="1237"/>
      <c r="D21" s="1237"/>
      <c r="S21" s="623"/>
    </row>
    <row r="22" spans="1:29" ht="20.100000000000001" customHeight="1">
      <c r="A22" s="373"/>
      <c r="B22" s="618"/>
      <c r="C22" s="1237"/>
      <c r="D22" s="1237"/>
      <c r="P22" s="1415" t="s">
        <v>2171</v>
      </c>
      <c r="S22" s="624"/>
    </row>
    <row r="23" spans="1:29" ht="20.100000000000001" customHeight="1">
      <c r="A23" s="350"/>
      <c r="B23" s="618"/>
      <c r="C23" s="1237"/>
      <c r="D23" s="1237"/>
      <c r="P23" s="618"/>
      <c r="Q23" s="1421"/>
      <c r="S23" s="624"/>
    </row>
    <row r="24" spans="1:29" ht="20.100000000000001" customHeight="1">
      <c r="A24" s="350"/>
      <c r="B24" s="618"/>
      <c r="C24" s="1237"/>
      <c r="D24" s="1237"/>
      <c r="S24" s="619"/>
    </row>
    <row r="25" spans="1:29" ht="20.100000000000001" customHeight="1">
      <c r="A25" s="373"/>
      <c r="B25" s="618"/>
      <c r="C25" s="1237"/>
      <c r="D25" s="1237"/>
      <c r="J25" s="1342"/>
      <c r="K25" s="1342"/>
      <c r="L25" s="1342"/>
      <c r="M25" s="1342"/>
      <c r="N25" s="1342"/>
      <c r="O25" s="1342"/>
      <c r="P25" s="1342"/>
      <c r="Q25" s="1342"/>
      <c r="R25" s="1342"/>
      <c r="S25" s="619"/>
    </row>
    <row r="26" spans="1:29" ht="20.100000000000001" customHeight="1">
      <c r="A26" s="373"/>
      <c r="B26" s="618"/>
      <c r="C26" s="1237"/>
      <c r="D26" s="1237"/>
      <c r="J26" s="1342"/>
      <c r="K26" s="1342"/>
      <c r="L26" s="1342"/>
      <c r="M26" s="1342"/>
      <c r="N26" s="1342"/>
      <c r="O26" s="1342"/>
      <c r="P26" s="1342"/>
      <c r="Q26" s="1342"/>
      <c r="R26" s="1342"/>
      <c r="S26" s="1248"/>
    </row>
    <row r="27" spans="1:29" ht="20.100000000000001" customHeight="1">
      <c r="A27" s="373"/>
      <c r="B27" s="618"/>
      <c r="C27" s="1237"/>
      <c r="D27" s="1237"/>
      <c r="J27" s="1342"/>
      <c r="K27" s="1342"/>
      <c r="L27" s="1342"/>
      <c r="M27" s="1342"/>
      <c r="N27" s="1342"/>
      <c r="O27" s="1342"/>
      <c r="P27" s="1342"/>
      <c r="Q27" s="1342"/>
      <c r="R27" s="1342"/>
      <c r="S27" s="1249"/>
      <c r="U27" s="625"/>
      <c r="V27" s="626"/>
      <c r="W27" s="626"/>
      <c r="X27" s="626"/>
      <c r="Y27" s="1422"/>
      <c r="Z27" s="1422"/>
      <c r="AA27" s="1422"/>
      <c r="AB27" s="2123" t="s">
        <v>2172</v>
      </c>
      <c r="AC27" s="2124"/>
    </row>
    <row r="28" spans="1:29" ht="20.100000000000001" customHeight="1">
      <c r="A28" s="373"/>
      <c r="B28" s="618"/>
      <c r="C28" s="1237"/>
      <c r="D28" s="1237"/>
      <c r="J28" s="1342"/>
      <c r="K28" s="1342"/>
      <c r="L28" s="1342"/>
      <c r="M28" s="1342"/>
      <c r="N28" s="1342"/>
      <c r="O28" s="1342"/>
      <c r="P28" s="1342"/>
      <c r="Q28" s="1342"/>
      <c r="R28" s="1342"/>
      <c r="S28" s="624"/>
      <c r="U28" s="625"/>
      <c r="V28" s="627" t="s">
        <v>1176</v>
      </c>
      <c r="W28" s="625"/>
      <c r="X28" s="366"/>
      <c r="Y28" s="366"/>
      <c r="Z28" s="626"/>
      <c r="AA28" s="372"/>
      <c r="AB28" s="368" t="s">
        <v>1016</v>
      </c>
      <c r="AC28" s="628" t="s">
        <v>28</v>
      </c>
    </row>
    <row r="29" spans="1:29" ht="20.100000000000001" customHeight="1">
      <c r="A29" s="373"/>
      <c r="B29" s="618"/>
      <c r="C29" s="1237"/>
      <c r="D29" s="1237"/>
      <c r="J29" s="1342"/>
      <c r="K29" s="1342"/>
      <c r="L29" s="1342"/>
      <c r="M29" s="1342"/>
      <c r="N29" s="1342"/>
      <c r="O29" s="1342"/>
      <c r="P29" s="1342"/>
      <c r="Q29" s="1342"/>
      <c r="R29" s="1342"/>
      <c r="S29" s="1248"/>
      <c r="U29" s="625">
        <v>1160</v>
      </c>
      <c r="V29" s="627"/>
      <c r="W29" s="625"/>
      <c r="X29" s="366"/>
      <c r="Y29" s="366"/>
      <c r="Z29" s="626"/>
      <c r="AA29" s="372"/>
      <c r="AB29" s="368" t="s">
        <v>2173</v>
      </c>
      <c r="AC29" s="628">
        <v>1</v>
      </c>
    </row>
    <row r="30" spans="1:29" ht="20.100000000000001" customHeight="1">
      <c r="A30" s="373"/>
      <c r="B30" s="618"/>
      <c r="C30" s="1237"/>
      <c r="D30" s="1237"/>
      <c r="J30" s="1342"/>
      <c r="K30" s="1342"/>
      <c r="L30" s="1342"/>
      <c r="M30" s="1342"/>
      <c r="N30" s="1342"/>
      <c r="O30" s="1342"/>
      <c r="P30" s="1342"/>
      <c r="Q30" s="1342"/>
      <c r="R30" s="1342"/>
      <c r="S30" s="629"/>
      <c r="U30" s="625">
        <v>500</v>
      </c>
      <c r="V30" s="627"/>
      <c r="W30" s="625"/>
      <c r="X30" s="366"/>
      <c r="Y30" s="366"/>
      <c r="Z30" s="626"/>
      <c r="AA30" s="372"/>
      <c r="AB30" s="368" t="s">
        <v>2174</v>
      </c>
      <c r="AC30" s="628">
        <v>2</v>
      </c>
    </row>
    <row r="31" spans="1:29" ht="26.25" customHeight="1">
      <c r="A31" s="350"/>
      <c r="B31" s="618"/>
      <c r="C31" s="1237"/>
      <c r="D31" s="1237"/>
      <c r="J31" s="1342"/>
      <c r="K31" s="1342"/>
      <c r="L31" s="1342"/>
      <c r="M31" s="1342"/>
      <c r="N31" s="1342"/>
      <c r="O31" s="1342"/>
      <c r="P31" s="1342"/>
      <c r="Q31" s="1342"/>
      <c r="R31" s="1342"/>
      <c r="S31" s="629"/>
      <c r="U31" s="625">
        <v>170</v>
      </c>
      <c r="V31" s="627"/>
      <c r="W31" s="625"/>
      <c r="X31" s="366"/>
      <c r="Y31" s="366"/>
      <c r="Z31" s="626"/>
      <c r="AA31" s="372"/>
      <c r="AB31" s="368" t="s">
        <v>2175</v>
      </c>
      <c r="AC31" s="628">
        <v>3</v>
      </c>
    </row>
    <row r="32" spans="1:29" ht="20.100000000000001" customHeight="1">
      <c r="A32" s="350"/>
      <c r="B32" s="618"/>
      <c r="C32" s="1237"/>
      <c r="D32" s="1237"/>
      <c r="J32" s="1342"/>
      <c r="K32" s="1342"/>
      <c r="L32" s="1342"/>
      <c r="M32" s="1342"/>
      <c r="N32" s="1342"/>
      <c r="O32" s="1342"/>
      <c r="P32" s="1342"/>
      <c r="Q32" s="1342"/>
      <c r="R32" s="1342"/>
      <c r="S32" s="629"/>
      <c r="U32" s="625">
        <v>150</v>
      </c>
      <c r="V32" s="627"/>
      <c r="W32" s="625"/>
      <c r="X32" s="366"/>
      <c r="Y32" s="366"/>
      <c r="Z32" s="626"/>
      <c r="AA32" s="372"/>
      <c r="AB32" s="368" t="s">
        <v>2176</v>
      </c>
      <c r="AC32" s="628">
        <v>4</v>
      </c>
    </row>
    <row r="33" spans="1:29" ht="19.5" customHeight="1" thickBot="1">
      <c r="A33" s="630"/>
      <c r="B33" s="1423"/>
      <c r="C33" s="631"/>
      <c r="D33" s="631"/>
      <c r="E33" s="632"/>
      <c r="F33" s="632"/>
      <c r="G33" s="632"/>
      <c r="H33" s="632"/>
      <c r="I33" s="632"/>
      <c r="J33" s="1424"/>
      <c r="K33" s="1424"/>
      <c r="L33" s="1424"/>
      <c r="M33" s="1424"/>
      <c r="N33" s="1424"/>
      <c r="O33" s="1424"/>
      <c r="P33" s="1424"/>
      <c r="Q33" s="1424"/>
      <c r="R33" s="1424"/>
      <c r="S33" s="633"/>
      <c r="U33" s="625">
        <v>200</v>
      </c>
      <c r="V33" s="627"/>
      <c r="W33" s="625"/>
      <c r="X33" s="366"/>
      <c r="Y33" s="366"/>
      <c r="Z33" s="626"/>
      <c r="AA33" s="372"/>
      <c r="AB33" s="368" t="s">
        <v>2177</v>
      </c>
      <c r="AC33" s="628">
        <v>5</v>
      </c>
    </row>
    <row r="34" spans="1:29" ht="21" customHeight="1" thickBot="1">
      <c r="A34" s="634"/>
      <c r="B34" s="1423"/>
      <c r="C34" s="631"/>
      <c r="D34" s="631"/>
      <c r="E34" s="632"/>
      <c r="F34" s="632"/>
      <c r="G34" s="632"/>
      <c r="H34" s="632"/>
      <c r="I34" s="632"/>
      <c r="J34" s="1424"/>
      <c r="K34" s="1424"/>
      <c r="L34" s="1424"/>
      <c r="M34" s="1424"/>
      <c r="N34" s="1424"/>
      <c r="O34" s="1424"/>
      <c r="P34" s="1424"/>
      <c r="Q34" s="1424"/>
      <c r="R34" s="1424"/>
      <c r="S34" s="633"/>
      <c r="U34" s="625">
        <v>700</v>
      </c>
      <c r="V34" s="627"/>
      <c r="W34" s="625"/>
      <c r="X34" s="366"/>
      <c r="Y34" s="366"/>
      <c r="Z34" s="626"/>
      <c r="AA34" s="372"/>
      <c r="AB34" s="368" t="s">
        <v>2178</v>
      </c>
      <c r="AC34" s="628">
        <v>5</v>
      </c>
    </row>
    <row r="35" spans="1:29" ht="21" customHeight="1">
      <c r="A35" s="388"/>
      <c r="B35" s="618"/>
      <c r="C35" s="1237"/>
      <c r="D35" s="1237"/>
      <c r="J35" s="1342"/>
      <c r="K35" s="1342"/>
      <c r="L35" s="1342"/>
      <c r="M35" s="1342"/>
      <c r="N35" s="1342"/>
      <c r="O35" s="1342"/>
      <c r="P35" s="1342"/>
      <c r="Q35" s="1342"/>
      <c r="R35" s="1342"/>
      <c r="S35" s="629"/>
      <c r="U35" s="625"/>
      <c r="V35" s="627"/>
      <c r="W35" s="625"/>
      <c r="X35" s="366"/>
      <c r="Y35" s="366"/>
      <c r="Z35" s="626"/>
      <c r="AA35" s="372"/>
      <c r="AB35" s="368"/>
      <c r="AC35" s="628"/>
    </row>
    <row r="36" spans="1:29" ht="24.75" customHeight="1">
      <c r="A36" s="389"/>
      <c r="B36" s="618"/>
      <c r="C36" s="1237"/>
      <c r="D36" s="1237"/>
      <c r="J36" s="1342"/>
      <c r="K36" s="1342"/>
      <c r="L36" s="1342"/>
      <c r="M36" s="1342"/>
      <c r="N36" s="1342"/>
      <c r="O36" s="1342"/>
      <c r="P36" s="1342"/>
      <c r="Q36" s="1342"/>
      <c r="R36" s="1342"/>
      <c r="S36" s="619"/>
    </row>
    <row r="37" spans="1:29" ht="28.5" customHeight="1">
      <c r="A37" s="389"/>
      <c r="B37" s="1254"/>
      <c r="C37" s="1255"/>
      <c r="D37" s="1255"/>
      <c r="E37" s="1255"/>
      <c r="F37" s="1256"/>
      <c r="G37" s="1256"/>
      <c r="H37" s="1425"/>
      <c r="I37" s="1425"/>
      <c r="J37" s="1425"/>
      <c r="K37" s="1425"/>
      <c r="L37" s="1399"/>
      <c r="M37" s="618"/>
      <c r="N37" s="1425"/>
      <c r="O37" s="1425"/>
      <c r="P37" s="1426"/>
      <c r="Q37" s="1425"/>
      <c r="R37" s="1425"/>
      <c r="S37" s="619"/>
    </row>
    <row r="48" spans="1:29" ht="15" customHeight="1"/>
    <row r="49" ht="15" customHeight="1"/>
    <row r="50" ht="15" customHeight="1"/>
    <row r="51" ht="15" customHeight="1"/>
    <row r="52" ht="15" customHeight="1"/>
    <row r="53" ht="15" customHeight="1"/>
    <row r="54" ht="15" customHeight="1"/>
    <row r="55" ht="15" customHeight="1"/>
    <row r="56" ht="15" customHeight="1"/>
    <row r="57" ht="12.75" customHeight="1"/>
  </sheetData>
  <mergeCells count="29">
    <mergeCell ref="C18:E18"/>
    <mergeCell ref="C19:E19"/>
    <mergeCell ref="C20:E20"/>
    <mergeCell ref="AB27:AC27"/>
    <mergeCell ref="C12:E12"/>
    <mergeCell ref="C13:E13"/>
    <mergeCell ref="C14:E14"/>
    <mergeCell ref="C15:E15"/>
    <mergeCell ref="C16:E16"/>
    <mergeCell ref="C17:E17"/>
    <mergeCell ref="C11:E11"/>
    <mergeCell ref="L3:L4"/>
    <mergeCell ref="M3:M4"/>
    <mergeCell ref="N3:N4"/>
    <mergeCell ref="O3:O4"/>
    <mergeCell ref="C6:E6"/>
    <mergeCell ref="C7:E7"/>
    <mergeCell ref="C8:E8"/>
    <mergeCell ref="C9:E9"/>
    <mergeCell ref="C10:E10"/>
    <mergeCell ref="F2:P2"/>
    <mergeCell ref="P3:P4"/>
    <mergeCell ref="C5:E5"/>
    <mergeCell ref="F3:F4"/>
    <mergeCell ref="G3:G4"/>
    <mergeCell ref="H3:H4"/>
    <mergeCell ref="I3:I4"/>
    <mergeCell ref="J3:J4"/>
    <mergeCell ref="K3:K4"/>
  </mergeCells>
  <printOptions horizontalCentered="1" verticalCentered="1"/>
  <pageMargins left="0.19685039370078741" right="0.19685039370078741" top="0" bottom="0" header="0" footer="0"/>
  <pageSetup paperSize="9" scale="85" orientation="portrait" horizontalDpi="4294967295"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U57"/>
  <sheetViews>
    <sheetView view="pageBreakPreview" zoomScaleSheetLayoutView="100" workbookViewId="0">
      <selection sqref="A1:U1048576"/>
    </sheetView>
  </sheetViews>
  <sheetFormatPr defaultColWidth="6.140625" defaultRowHeight="12.75"/>
  <cols>
    <col min="1" max="4" width="6.140625" style="575"/>
    <col min="5" max="5" width="7" style="575" customWidth="1"/>
    <col min="6" max="6" width="10.140625" style="575" customWidth="1"/>
    <col min="7" max="8" width="7.140625" style="575" bestFit="1" customWidth="1"/>
    <col min="9" max="10" width="6.7109375" style="575" bestFit="1" customWidth="1"/>
    <col min="11" max="11" width="8.140625" style="575" bestFit="1" customWidth="1"/>
    <col min="12" max="12" width="8.85546875" style="575" customWidth="1"/>
    <col min="13" max="13" width="7.140625" style="575" bestFit="1" customWidth="1"/>
    <col min="14" max="14" width="7.7109375" style="575" bestFit="1" customWidth="1"/>
    <col min="15" max="15" width="7.85546875" style="575" customWidth="1"/>
    <col min="16" max="16" width="7.42578125" style="575" customWidth="1"/>
    <col min="17" max="17" width="2.85546875" style="575" customWidth="1"/>
    <col min="18" max="18" width="1.5703125" style="575" customWidth="1"/>
    <col min="19" max="19" width="6.140625" style="337"/>
    <col min="20" max="20" width="11" style="337" bestFit="1" customWidth="1"/>
    <col min="21" max="177" width="6.140625" style="337"/>
    <col min="178" max="178" width="8.42578125" style="337" customWidth="1"/>
    <col min="179" max="182" width="6.140625" style="337"/>
    <col min="183" max="183" width="8.85546875" style="337" customWidth="1"/>
    <col min="184" max="185" width="6.140625" style="337"/>
    <col min="186" max="186" width="5.28515625" style="337" customWidth="1"/>
    <col min="187" max="190" width="6.140625" style="337"/>
    <col min="191" max="191" width="7.5703125" style="337" customWidth="1"/>
    <col min="192" max="16384" width="6.140625" style="337"/>
  </cols>
  <sheetData>
    <row r="1" spans="1:255" ht="27" customHeight="1">
      <c r="A1" s="559"/>
      <c r="B1" s="560"/>
      <c r="C1" s="560"/>
      <c r="D1" s="560"/>
      <c r="E1" s="560"/>
      <c r="F1" s="560"/>
      <c r="G1" s="560"/>
      <c r="H1" s="560"/>
      <c r="I1" s="560"/>
      <c r="J1" s="560"/>
      <c r="K1" s="560"/>
      <c r="L1" s="560"/>
      <c r="M1" s="560"/>
      <c r="N1" s="560"/>
      <c r="O1" s="560"/>
      <c r="P1" s="560"/>
      <c r="Q1" s="560"/>
      <c r="R1" s="561"/>
      <c r="S1" s="1337"/>
      <c r="T1" s="1337"/>
      <c r="U1" s="1337"/>
      <c r="V1" s="1337"/>
      <c r="W1" s="1337"/>
      <c r="X1" s="1337"/>
      <c r="Y1" s="1337"/>
      <c r="Z1" s="1337"/>
      <c r="AA1" s="1337"/>
      <c r="AB1" s="1337"/>
      <c r="AC1" s="1337"/>
      <c r="AD1" s="1337"/>
      <c r="AE1" s="1337"/>
      <c r="AF1" s="1337"/>
      <c r="AG1" s="1337"/>
      <c r="AH1" s="1337"/>
      <c r="AI1" s="1337"/>
      <c r="AJ1" s="1337"/>
      <c r="AK1" s="1337"/>
      <c r="AL1" s="1337"/>
      <c r="AM1" s="1337"/>
      <c r="AN1" s="1337"/>
      <c r="AO1" s="1337"/>
      <c r="AP1" s="1337"/>
      <c r="AQ1" s="1337"/>
      <c r="AR1" s="1337"/>
      <c r="AS1" s="1337"/>
      <c r="AT1" s="1337"/>
      <c r="AU1" s="1337"/>
      <c r="AV1" s="1337"/>
      <c r="AW1" s="1337"/>
      <c r="AX1" s="1337"/>
      <c r="AY1" s="1337"/>
      <c r="AZ1" s="1337"/>
      <c r="BA1" s="1337"/>
      <c r="BB1" s="1337"/>
      <c r="BC1" s="1337"/>
      <c r="BD1" s="1337"/>
      <c r="BE1" s="1337"/>
      <c r="BF1" s="1337"/>
      <c r="BG1" s="1337"/>
      <c r="BH1" s="1337"/>
      <c r="BI1" s="1337"/>
      <c r="BJ1" s="1337"/>
      <c r="BK1" s="1337"/>
      <c r="BL1" s="1337"/>
      <c r="BM1" s="1337"/>
      <c r="BN1" s="1337"/>
      <c r="BO1" s="1337"/>
      <c r="BP1" s="1337"/>
      <c r="BQ1" s="1337"/>
      <c r="BR1" s="1337"/>
      <c r="BS1" s="1337"/>
      <c r="BT1" s="1337"/>
      <c r="BU1" s="1337"/>
      <c r="BV1" s="1337"/>
      <c r="BW1" s="1337"/>
      <c r="BX1" s="1337"/>
      <c r="BY1" s="1337"/>
      <c r="BZ1" s="1337"/>
      <c r="CA1" s="1337"/>
      <c r="CB1" s="1337"/>
      <c r="CC1" s="1337"/>
      <c r="CD1" s="1337"/>
      <c r="CE1" s="1337"/>
      <c r="CF1" s="1337"/>
      <c r="CG1" s="1337"/>
      <c r="CH1" s="1337"/>
      <c r="CI1" s="1337"/>
      <c r="CJ1" s="1337"/>
      <c r="CK1" s="1337"/>
      <c r="CL1" s="1337"/>
      <c r="CM1" s="1337"/>
      <c r="CN1" s="1337"/>
      <c r="CO1" s="1337"/>
      <c r="CP1" s="1337"/>
      <c r="CQ1" s="1337"/>
      <c r="CR1" s="1337"/>
      <c r="CS1" s="1337"/>
      <c r="CT1" s="1337"/>
      <c r="CU1" s="1337"/>
      <c r="CV1" s="1337"/>
      <c r="CW1" s="1337"/>
      <c r="CX1" s="1337"/>
      <c r="CY1" s="1337"/>
      <c r="CZ1" s="1337"/>
      <c r="DA1" s="1337"/>
      <c r="DB1" s="1337"/>
      <c r="DC1" s="1337"/>
      <c r="DD1" s="1337"/>
      <c r="DE1" s="1337"/>
      <c r="DF1" s="1337"/>
      <c r="DG1" s="1337"/>
      <c r="DH1" s="1337"/>
      <c r="DI1" s="1337"/>
      <c r="DJ1" s="1337"/>
      <c r="DK1" s="1337"/>
      <c r="DL1" s="1337"/>
      <c r="DM1" s="1337"/>
      <c r="DN1" s="1337"/>
      <c r="DO1" s="1337"/>
      <c r="DP1" s="1337"/>
      <c r="DQ1" s="1337"/>
      <c r="DR1" s="1337"/>
      <c r="DS1" s="1337"/>
      <c r="DT1" s="1337"/>
      <c r="DU1" s="1337"/>
      <c r="DV1" s="1337"/>
      <c r="DW1" s="1337"/>
      <c r="DX1" s="1337"/>
      <c r="DY1" s="1337"/>
      <c r="DZ1" s="1337"/>
      <c r="EA1" s="1337"/>
      <c r="EB1" s="1337"/>
      <c r="EC1" s="1337"/>
      <c r="ED1" s="1337"/>
      <c r="EE1" s="1337"/>
      <c r="EF1" s="1337"/>
      <c r="EG1" s="1337"/>
      <c r="EH1" s="1337"/>
      <c r="EI1" s="1337"/>
      <c r="EJ1" s="1337"/>
      <c r="EK1" s="1337"/>
      <c r="EL1" s="1337"/>
      <c r="EM1" s="1337"/>
      <c r="EN1" s="1337"/>
      <c r="EO1" s="1337"/>
      <c r="EP1" s="1337"/>
      <c r="EQ1" s="1337"/>
      <c r="ER1" s="1337"/>
      <c r="ES1" s="1337"/>
      <c r="ET1" s="1337"/>
      <c r="EU1" s="1337"/>
      <c r="EV1" s="1337"/>
      <c r="EW1" s="1337"/>
      <c r="EX1" s="1337"/>
      <c r="EY1" s="1337"/>
      <c r="EZ1" s="1337"/>
      <c r="FA1" s="1337"/>
      <c r="FB1" s="1337"/>
      <c r="FC1" s="1337"/>
      <c r="FD1" s="1337"/>
      <c r="FE1" s="1337"/>
      <c r="FF1" s="1337"/>
      <c r="FG1" s="1337"/>
      <c r="FH1" s="1337"/>
      <c r="FI1" s="1337"/>
      <c r="FJ1" s="1337"/>
      <c r="FK1" s="1337"/>
      <c r="FL1" s="1337"/>
      <c r="FM1" s="1337"/>
      <c r="FN1" s="1337"/>
      <c r="FO1" s="1337"/>
      <c r="FP1" s="1337"/>
      <c r="FQ1" s="1337"/>
      <c r="FR1" s="1337"/>
      <c r="FS1" s="1337"/>
      <c r="FT1" s="1337"/>
      <c r="FU1" s="1337"/>
      <c r="FV1" s="1337"/>
      <c r="FW1" s="1337"/>
      <c r="FX1" s="1337"/>
      <c r="FY1" s="1337"/>
      <c r="FZ1" s="1337"/>
      <c r="GA1" s="1337"/>
      <c r="GB1" s="1337"/>
      <c r="GC1" s="1337"/>
      <c r="GD1" s="1337"/>
      <c r="GE1" s="1337"/>
      <c r="GF1" s="1337"/>
      <c r="GG1" s="1337"/>
      <c r="GH1" s="1337"/>
      <c r="GI1" s="1337"/>
      <c r="GJ1" s="1337"/>
      <c r="GK1" s="1337"/>
      <c r="GL1" s="1337"/>
      <c r="GM1" s="1337"/>
      <c r="GN1" s="1337"/>
      <c r="GO1" s="1337"/>
      <c r="GP1" s="1337"/>
      <c r="GQ1" s="1337"/>
      <c r="GR1" s="1337"/>
      <c r="GS1" s="1337"/>
      <c r="GT1" s="1337"/>
      <c r="GU1" s="1337"/>
      <c r="GV1" s="1337"/>
      <c r="GW1" s="1337"/>
      <c r="GX1" s="1337"/>
      <c r="GY1" s="1337"/>
      <c r="GZ1" s="1337"/>
      <c r="HA1" s="1337"/>
      <c r="HB1" s="1337"/>
      <c r="HC1" s="1337"/>
      <c r="HD1" s="1337"/>
      <c r="HE1" s="1337"/>
      <c r="HF1" s="1337"/>
      <c r="HG1" s="1337"/>
      <c r="HH1" s="1337"/>
      <c r="HI1" s="1337"/>
      <c r="HJ1" s="1337"/>
      <c r="HK1" s="1337"/>
      <c r="HL1" s="1337"/>
      <c r="HM1" s="1337"/>
      <c r="HN1" s="1337"/>
      <c r="HO1" s="1337"/>
      <c r="HP1" s="1337"/>
      <c r="HQ1" s="1337"/>
      <c r="HR1" s="1337"/>
      <c r="HS1" s="1337"/>
      <c r="HT1" s="1337"/>
      <c r="HU1" s="1337"/>
      <c r="HV1" s="1337"/>
      <c r="HW1" s="1337"/>
      <c r="HX1" s="1337"/>
      <c r="HY1" s="1337"/>
      <c r="HZ1" s="1337"/>
      <c r="IA1" s="1337"/>
      <c r="IB1" s="1337"/>
      <c r="IC1" s="1337"/>
      <c r="ID1" s="1337"/>
      <c r="IE1" s="1337"/>
      <c r="IF1" s="1337"/>
      <c r="IG1" s="1337"/>
      <c r="IH1" s="1337"/>
      <c r="II1" s="1337"/>
      <c r="IJ1" s="1337"/>
      <c r="IK1" s="1337"/>
      <c r="IL1" s="1337"/>
      <c r="IM1" s="1337"/>
      <c r="IN1" s="1337"/>
      <c r="IO1" s="1337"/>
      <c r="IP1" s="1337"/>
      <c r="IQ1" s="1337"/>
      <c r="IR1" s="1337"/>
      <c r="IS1" s="1337"/>
      <c r="IT1" s="1337"/>
      <c r="IU1" s="1337"/>
    </row>
    <row r="2" spans="1:255" ht="18" customHeight="1" thickBot="1">
      <c r="A2" s="568"/>
      <c r="B2" s="348"/>
      <c r="C2" s="1427"/>
      <c r="D2" s="1427"/>
      <c r="E2" s="1427"/>
      <c r="F2" s="1427"/>
      <c r="G2" s="1427"/>
      <c r="H2" s="1427"/>
      <c r="I2" s="1427"/>
      <c r="J2" s="1427"/>
      <c r="K2" s="1427"/>
      <c r="L2" s="1427"/>
      <c r="M2" s="1427"/>
      <c r="N2" s="1427"/>
      <c r="O2" s="1357"/>
      <c r="P2" s="1357" t="s">
        <v>994</v>
      </c>
      <c r="Q2" s="1337"/>
      <c r="R2" s="569"/>
    </row>
    <row r="3" spans="1:255" ht="33" customHeight="1">
      <c r="A3" s="350"/>
      <c r="B3" s="349"/>
      <c r="C3" s="349"/>
      <c r="D3" s="349"/>
      <c r="E3" s="349"/>
      <c r="F3" s="2127" t="s">
        <v>2061</v>
      </c>
      <c r="G3" s="2129" t="s">
        <v>2062</v>
      </c>
      <c r="H3" s="2129" t="s">
        <v>2063</v>
      </c>
      <c r="I3" s="2129" t="s">
        <v>2064</v>
      </c>
      <c r="J3" s="2129" t="s">
        <v>2065</v>
      </c>
      <c r="K3" s="2129" t="s">
        <v>2066</v>
      </c>
      <c r="L3" s="2133" t="s">
        <v>2179</v>
      </c>
      <c r="M3" s="2133" t="s">
        <v>2180</v>
      </c>
      <c r="N3" s="2129" t="s">
        <v>2069</v>
      </c>
      <c r="O3" s="2133" t="s">
        <v>2181</v>
      </c>
      <c r="P3" s="2135" t="s">
        <v>2182</v>
      </c>
      <c r="R3" s="565"/>
    </row>
    <row r="4" spans="1:255" ht="20.100000000000001" customHeight="1">
      <c r="A4" s="350"/>
      <c r="B4" s="349"/>
      <c r="C4" s="349"/>
      <c r="D4" s="349"/>
      <c r="E4" s="349"/>
      <c r="F4" s="2128"/>
      <c r="G4" s="2130"/>
      <c r="H4" s="2130"/>
      <c r="I4" s="2130"/>
      <c r="J4" s="2130"/>
      <c r="K4" s="2130"/>
      <c r="L4" s="2134"/>
      <c r="M4" s="2134"/>
      <c r="N4" s="2130"/>
      <c r="O4" s="2130"/>
      <c r="P4" s="2136"/>
      <c r="R4" s="565"/>
    </row>
    <row r="5" spans="1:255" ht="20.100000000000001" customHeight="1">
      <c r="A5" s="350"/>
      <c r="B5" s="348"/>
      <c r="C5" s="348"/>
      <c r="D5" s="348"/>
      <c r="E5" s="348"/>
      <c r="F5" s="2128"/>
      <c r="G5" s="2130"/>
      <c r="H5" s="2130"/>
      <c r="I5" s="2130"/>
      <c r="J5" s="2130"/>
      <c r="K5" s="2130"/>
      <c r="L5" s="2134"/>
      <c r="M5" s="2134"/>
      <c r="N5" s="2130"/>
      <c r="O5" s="2130"/>
      <c r="P5" s="2136"/>
      <c r="Q5" s="337"/>
      <c r="R5" s="565"/>
    </row>
    <row r="6" spans="1:255" ht="20.100000000000001" customHeight="1" thickBot="1">
      <c r="A6" s="350"/>
      <c r="B6" s="348"/>
      <c r="C6" s="348"/>
      <c r="D6" s="348"/>
      <c r="E6" s="348"/>
      <c r="F6" s="2128"/>
      <c r="G6" s="2130"/>
      <c r="H6" s="2130"/>
      <c r="I6" s="2130"/>
      <c r="J6" s="2130"/>
      <c r="K6" s="2130"/>
      <c r="L6" s="2134"/>
      <c r="M6" s="2134"/>
      <c r="N6" s="2130"/>
      <c r="O6" s="2130"/>
      <c r="P6" s="2136"/>
      <c r="Q6" s="337"/>
      <c r="R6" s="565"/>
    </row>
    <row r="7" spans="1:255" ht="20.100000000000001" customHeight="1">
      <c r="A7" s="1234"/>
      <c r="B7" s="2146" t="s">
        <v>2183</v>
      </c>
      <c r="C7" s="2147"/>
      <c r="D7" s="2147"/>
      <c r="E7" s="2147"/>
      <c r="F7" s="2131" t="s">
        <v>1142</v>
      </c>
      <c r="G7" s="2125" t="s">
        <v>2072</v>
      </c>
      <c r="H7" s="2125" t="s">
        <v>1154</v>
      </c>
      <c r="I7" s="2125" t="s">
        <v>1142</v>
      </c>
      <c r="J7" s="2125" t="s">
        <v>1142</v>
      </c>
      <c r="K7" s="2125" t="s">
        <v>2149</v>
      </c>
      <c r="L7" s="2125" t="s">
        <v>2149</v>
      </c>
      <c r="M7" s="2125" t="s">
        <v>2149</v>
      </c>
      <c r="N7" s="2125" t="s">
        <v>2074</v>
      </c>
      <c r="O7" s="2125" t="s">
        <v>2074</v>
      </c>
      <c r="P7" s="2140" t="s">
        <v>1224</v>
      </c>
      <c r="R7" s="565"/>
      <c r="T7" s="337" t="s">
        <v>1383</v>
      </c>
      <c r="U7" s="337" t="s">
        <v>1383</v>
      </c>
      <c r="V7" s="337" t="s">
        <v>1383</v>
      </c>
    </row>
    <row r="8" spans="1:255" ht="24.75" customHeight="1" thickBot="1">
      <c r="A8" s="1234"/>
      <c r="B8" s="2148"/>
      <c r="C8" s="2149"/>
      <c r="D8" s="2149"/>
      <c r="E8" s="2149"/>
      <c r="F8" s="2132"/>
      <c r="G8" s="2126"/>
      <c r="H8" s="2126"/>
      <c r="I8" s="2126"/>
      <c r="J8" s="2126"/>
      <c r="K8" s="2126"/>
      <c r="L8" s="2126"/>
      <c r="M8" s="2126"/>
      <c r="N8" s="2126"/>
      <c r="O8" s="2126"/>
      <c r="P8" s="2141"/>
      <c r="R8" s="565"/>
    </row>
    <row r="9" spans="1:255" ht="20.100000000000001" customHeight="1">
      <c r="A9" s="350"/>
      <c r="B9" s="2142" t="s">
        <v>2184</v>
      </c>
      <c r="C9" s="2143"/>
      <c r="D9" s="2143"/>
      <c r="E9" s="2143"/>
      <c r="F9" s="1428"/>
      <c r="G9" s="1428"/>
      <c r="H9" s="1428"/>
      <c r="I9" s="1428"/>
      <c r="J9" s="1428"/>
      <c r="K9" s="1428"/>
      <c r="L9" s="1428"/>
      <c r="M9" s="1428"/>
      <c r="N9" s="1428"/>
      <c r="O9" s="1429"/>
      <c r="P9" s="1430"/>
      <c r="R9" s="565"/>
    </row>
    <row r="10" spans="1:255" ht="20.100000000000001" customHeight="1">
      <c r="A10" s="350"/>
      <c r="B10" s="2144" t="s">
        <v>2185</v>
      </c>
      <c r="C10" s="2145"/>
      <c r="D10" s="2145"/>
      <c r="E10" s="2145"/>
      <c r="F10" s="1431"/>
      <c r="G10" s="1431"/>
      <c r="H10" s="1431"/>
      <c r="I10" s="1431"/>
      <c r="J10" s="1431"/>
      <c r="K10" s="1431"/>
      <c r="L10" s="1431"/>
      <c r="M10" s="1431"/>
      <c r="N10" s="1431"/>
      <c r="O10" s="635"/>
      <c r="P10" s="636"/>
      <c r="R10" s="565"/>
      <c r="AE10" s="1431"/>
      <c r="AF10" s="1431"/>
      <c r="AG10" s="1431"/>
      <c r="AH10" s="1431"/>
      <c r="AI10" s="1431"/>
    </row>
    <row r="11" spans="1:255" ht="25.5" customHeight="1">
      <c r="A11" s="373"/>
      <c r="B11" s="2144" t="s">
        <v>2186</v>
      </c>
      <c r="C11" s="2145"/>
      <c r="D11" s="2145"/>
      <c r="E11" s="2145"/>
      <c r="F11" s="1431">
        <v>8400</v>
      </c>
      <c r="G11" s="1431">
        <v>500</v>
      </c>
      <c r="H11" s="1431">
        <v>2800</v>
      </c>
      <c r="I11" s="1431">
        <v>100</v>
      </c>
      <c r="J11" s="1431">
        <v>1900</v>
      </c>
      <c r="K11" s="1431">
        <v>86000</v>
      </c>
      <c r="L11" s="1431"/>
      <c r="M11" s="1431"/>
      <c r="N11" s="1431"/>
      <c r="O11" s="635"/>
      <c r="P11" s="636"/>
      <c r="R11" s="565"/>
    </row>
    <row r="12" spans="1:255" ht="20.100000000000001" customHeight="1">
      <c r="A12" s="350"/>
      <c r="B12" s="2144" t="s">
        <v>2187</v>
      </c>
      <c r="C12" s="2145"/>
      <c r="D12" s="2145"/>
      <c r="E12" s="2145"/>
      <c r="F12" s="1431">
        <v>2600</v>
      </c>
      <c r="G12" s="1431">
        <v>900</v>
      </c>
      <c r="H12" s="1431">
        <v>2200</v>
      </c>
      <c r="I12" s="1431">
        <v>200</v>
      </c>
      <c r="J12" s="1431">
        <v>2000</v>
      </c>
      <c r="K12" s="1431">
        <v>64000</v>
      </c>
      <c r="L12" s="1431"/>
      <c r="M12" s="1431"/>
      <c r="N12" s="1431"/>
      <c r="O12" s="635"/>
      <c r="P12" s="636"/>
      <c r="R12" s="565"/>
    </row>
    <row r="13" spans="1:255" ht="20.100000000000001" customHeight="1">
      <c r="A13" s="373"/>
      <c r="B13" s="2144" t="s">
        <v>2188</v>
      </c>
      <c r="C13" s="2145"/>
      <c r="D13" s="2145"/>
      <c r="E13" s="2145"/>
      <c r="F13" s="1431">
        <v>800</v>
      </c>
      <c r="G13" s="1431">
        <v>300</v>
      </c>
      <c r="H13" s="1431">
        <v>2200</v>
      </c>
      <c r="I13" s="1431">
        <v>320</v>
      </c>
      <c r="J13" s="1431">
        <v>800</v>
      </c>
      <c r="K13" s="1431">
        <v>94000</v>
      </c>
      <c r="L13" s="1431"/>
      <c r="M13" s="1431"/>
      <c r="N13" s="1431"/>
      <c r="O13" s="635"/>
      <c r="P13" s="636"/>
      <c r="R13" s="565"/>
    </row>
    <row r="14" spans="1:255" ht="20.100000000000001" customHeight="1">
      <c r="A14" s="373"/>
      <c r="B14" s="2144" t="s">
        <v>2189</v>
      </c>
      <c r="C14" s="2145"/>
      <c r="D14" s="2145"/>
      <c r="E14" s="2145"/>
      <c r="F14" s="1431">
        <v>11400</v>
      </c>
      <c r="G14" s="1431">
        <v>3000</v>
      </c>
      <c r="H14" s="1431">
        <v>0</v>
      </c>
      <c r="I14" s="1431">
        <v>240</v>
      </c>
      <c r="J14" s="1431">
        <v>0</v>
      </c>
      <c r="K14" s="1431">
        <v>0</v>
      </c>
      <c r="L14" s="1431"/>
      <c r="M14" s="1431"/>
      <c r="N14" s="1431"/>
      <c r="O14" s="635"/>
      <c r="P14" s="636"/>
      <c r="R14" s="565"/>
    </row>
    <row r="15" spans="1:255" ht="39" customHeight="1">
      <c r="A15" s="373"/>
      <c r="B15" s="2150" t="s">
        <v>2190</v>
      </c>
      <c r="C15" s="2151"/>
      <c r="D15" s="2151"/>
      <c r="E15" s="2152"/>
      <c r="F15" s="1431">
        <v>5600</v>
      </c>
      <c r="G15" s="1431">
        <v>0</v>
      </c>
      <c r="H15" s="1431">
        <v>6000</v>
      </c>
      <c r="I15" s="1431">
        <v>140</v>
      </c>
      <c r="J15" s="1431">
        <v>2100</v>
      </c>
      <c r="K15" s="1431">
        <v>159600</v>
      </c>
      <c r="L15" s="1431"/>
      <c r="M15" s="1431"/>
      <c r="N15" s="1431"/>
      <c r="O15" s="635"/>
      <c r="P15" s="636"/>
      <c r="R15" s="565"/>
    </row>
    <row r="16" spans="1:255" ht="27" customHeight="1">
      <c r="A16" s="373"/>
      <c r="B16" s="2153" t="s">
        <v>2191</v>
      </c>
      <c r="C16" s="2154"/>
      <c r="D16" s="2154"/>
      <c r="E16" s="2154"/>
      <c r="F16" s="1431">
        <v>3200</v>
      </c>
      <c r="G16" s="1431">
        <v>0</v>
      </c>
      <c r="H16" s="1431">
        <v>3600</v>
      </c>
      <c r="I16" s="1431">
        <v>80</v>
      </c>
      <c r="J16" s="1431">
        <v>1300</v>
      </c>
      <c r="K16" s="1431">
        <v>99000</v>
      </c>
      <c r="L16" s="1431"/>
      <c r="M16" s="1431"/>
      <c r="N16" s="1431"/>
      <c r="O16" s="635"/>
      <c r="P16" s="636"/>
      <c r="R16" s="565"/>
    </row>
    <row r="17" spans="1:22" ht="27" customHeight="1">
      <c r="A17" s="373"/>
      <c r="B17" s="2153" t="s">
        <v>2192</v>
      </c>
      <c r="C17" s="2154"/>
      <c r="D17" s="2154"/>
      <c r="E17" s="2154"/>
      <c r="F17" s="1431">
        <v>2200</v>
      </c>
      <c r="G17" s="1431">
        <v>0</v>
      </c>
      <c r="H17" s="1431">
        <v>2800</v>
      </c>
      <c r="I17" s="1431">
        <v>60</v>
      </c>
      <c r="J17" s="1431">
        <v>1000</v>
      </c>
      <c r="K17" s="1431">
        <v>77000</v>
      </c>
      <c r="L17" s="1431"/>
      <c r="M17" s="1431"/>
      <c r="N17" s="1431"/>
      <c r="O17" s="635"/>
      <c r="P17" s="636"/>
      <c r="R17" s="565"/>
    </row>
    <row r="18" spans="1:22" ht="20.100000000000001" customHeight="1">
      <c r="A18" s="350"/>
      <c r="B18" s="2144" t="s">
        <v>2193</v>
      </c>
      <c r="C18" s="2145"/>
      <c r="D18" s="2145"/>
      <c r="E18" s="2145"/>
      <c r="F18" s="1431">
        <v>2400</v>
      </c>
      <c r="G18" s="1431">
        <v>60</v>
      </c>
      <c r="H18" s="1431">
        <v>500</v>
      </c>
      <c r="I18" s="1431">
        <v>16</v>
      </c>
      <c r="J18" s="1431">
        <v>280</v>
      </c>
      <c r="K18" s="1431">
        <v>10400</v>
      </c>
      <c r="L18" s="1431">
        <v>30</v>
      </c>
      <c r="M18" s="1431"/>
      <c r="N18" s="1431"/>
      <c r="O18" s="637">
        <v>180</v>
      </c>
      <c r="P18" s="636"/>
      <c r="R18" s="565"/>
    </row>
    <row r="19" spans="1:22" ht="38.25" customHeight="1">
      <c r="A19" s="350"/>
      <c r="B19" s="2137" t="s">
        <v>2194</v>
      </c>
      <c r="C19" s="2138"/>
      <c r="D19" s="2138"/>
      <c r="E19" s="2139"/>
      <c r="F19" s="1431">
        <v>290400</v>
      </c>
      <c r="G19" s="1431">
        <v>25000</v>
      </c>
      <c r="H19" s="1431">
        <v>440</v>
      </c>
      <c r="I19" s="1431">
        <v>10</v>
      </c>
      <c r="J19" s="1431">
        <v>220</v>
      </c>
      <c r="K19" s="1431">
        <v>17000</v>
      </c>
      <c r="L19" s="1431"/>
      <c r="M19" s="1431"/>
      <c r="N19" s="1431">
        <v>7800</v>
      </c>
      <c r="O19" s="637">
        <v>7800</v>
      </c>
      <c r="P19" s="636"/>
      <c r="R19" s="565"/>
      <c r="T19" s="348">
        <v>8900</v>
      </c>
      <c r="U19" s="348">
        <v>1200</v>
      </c>
      <c r="V19" s="348"/>
    </row>
    <row r="20" spans="1:22" ht="20.100000000000001" customHeight="1">
      <c r="A20" s="350"/>
      <c r="B20" s="2144" t="s">
        <v>2195</v>
      </c>
      <c r="C20" s="2145"/>
      <c r="D20" s="2145"/>
      <c r="E20" s="2145"/>
      <c r="F20" s="1431">
        <v>1200</v>
      </c>
      <c r="G20" s="1431">
        <v>0</v>
      </c>
      <c r="H20" s="1431">
        <v>0</v>
      </c>
      <c r="I20" s="1431">
        <v>120</v>
      </c>
      <c r="J20" s="1431">
        <v>0</v>
      </c>
      <c r="K20" s="1431">
        <v>1600</v>
      </c>
      <c r="L20" s="1431"/>
      <c r="M20" s="1431"/>
      <c r="N20" s="1431">
        <v>750</v>
      </c>
      <c r="O20" s="1431">
        <v>750</v>
      </c>
      <c r="P20" s="638">
        <v>50</v>
      </c>
      <c r="R20" s="565"/>
      <c r="T20" s="348"/>
      <c r="U20" s="348"/>
      <c r="V20" s="348">
        <v>240</v>
      </c>
    </row>
    <row r="21" spans="1:22" ht="24" customHeight="1">
      <c r="A21" s="350"/>
      <c r="B21" s="2160" t="s">
        <v>2196</v>
      </c>
      <c r="C21" s="2161"/>
      <c r="D21" s="2161"/>
      <c r="E21" s="2161"/>
      <c r="F21" s="1431">
        <v>1800</v>
      </c>
      <c r="G21" s="1431">
        <v>0</v>
      </c>
      <c r="H21" s="1431">
        <v>0</v>
      </c>
      <c r="I21" s="1431">
        <v>360</v>
      </c>
      <c r="J21" s="1431">
        <v>0</v>
      </c>
      <c r="K21" s="1431">
        <v>4800</v>
      </c>
      <c r="L21" s="1431"/>
      <c r="M21" s="1431"/>
      <c r="N21" s="1431">
        <f>3*750</f>
        <v>2250</v>
      </c>
      <c r="O21" s="1431">
        <f>3*750</f>
        <v>2250</v>
      </c>
      <c r="P21" s="638">
        <f>3*50</f>
        <v>150</v>
      </c>
      <c r="R21" s="565"/>
      <c r="T21" s="348"/>
      <c r="U21" s="348"/>
      <c r="V21" s="348">
        <v>240</v>
      </c>
    </row>
    <row r="22" spans="1:22" ht="28.5" customHeight="1">
      <c r="A22" s="373"/>
      <c r="B22" s="2160" t="s">
        <v>2197</v>
      </c>
      <c r="C22" s="2161"/>
      <c r="D22" s="2161"/>
      <c r="E22" s="2161"/>
      <c r="F22" s="1431">
        <v>4000</v>
      </c>
      <c r="G22" s="1431">
        <v>7000</v>
      </c>
      <c r="H22" s="1431">
        <v>0</v>
      </c>
      <c r="I22" s="1431">
        <v>0</v>
      </c>
      <c r="J22" s="1431">
        <v>0</v>
      </c>
      <c r="K22" s="1431">
        <v>0</v>
      </c>
      <c r="L22" s="1431"/>
      <c r="M22" s="1431"/>
      <c r="N22" s="1431"/>
      <c r="O22" s="1431"/>
      <c r="P22" s="638"/>
      <c r="R22" s="565"/>
      <c r="T22" s="348"/>
      <c r="U22" s="348"/>
      <c r="V22" s="348"/>
    </row>
    <row r="23" spans="1:22" ht="30" customHeight="1">
      <c r="A23" s="373"/>
      <c r="B23" s="2162" t="s">
        <v>2198</v>
      </c>
      <c r="C23" s="2163"/>
      <c r="D23" s="2163"/>
      <c r="E23" s="2163"/>
      <c r="F23" s="1431">
        <v>1290.24</v>
      </c>
      <c r="G23" s="1431">
        <v>0</v>
      </c>
      <c r="H23" s="1431">
        <v>4480</v>
      </c>
      <c r="I23" s="1431">
        <v>161.28</v>
      </c>
      <c r="J23" s="1431">
        <v>1484</v>
      </c>
      <c r="K23" s="1431">
        <v>13257.632640000002</v>
      </c>
      <c r="L23" s="1431">
        <f>25*T23</f>
        <v>28000</v>
      </c>
      <c r="M23" s="1431">
        <f>15*T23</f>
        <v>16800</v>
      </c>
      <c r="N23" s="1431"/>
      <c r="O23" s="639"/>
      <c r="P23" s="640"/>
      <c r="R23" s="565"/>
      <c r="T23" s="348">
        <v>1120</v>
      </c>
      <c r="U23" s="348"/>
      <c r="V23" s="348"/>
    </row>
    <row r="24" spans="1:22" ht="30" customHeight="1">
      <c r="A24" s="373"/>
      <c r="B24" s="2162" t="s">
        <v>2199</v>
      </c>
      <c r="C24" s="2163"/>
      <c r="D24" s="2163"/>
      <c r="E24" s="2163"/>
      <c r="F24" s="1431">
        <v>921.59999999999991</v>
      </c>
      <c r="G24" s="1431">
        <v>0</v>
      </c>
      <c r="H24" s="1431">
        <v>3200</v>
      </c>
      <c r="I24" s="1431">
        <v>115.19999999999999</v>
      </c>
      <c r="J24" s="1431">
        <v>1060</v>
      </c>
      <c r="K24" s="1431">
        <v>9469.7376000000004</v>
      </c>
      <c r="L24" s="1431">
        <f>25*T24</f>
        <v>20000</v>
      </c>
      <c r="M24" s="1431">
        <f>15*T24</f>
        <v>12000</v>
      </c>
      <c r="N24" s="1431"/>
      <c r="O24" s="639"/>
      <c r="P24" s="640"/>
      <c r="R24" s="565"/>
      <c r="T24" s="348">
        <v>800</v>
      </c>
      <c r="U24" s="348"/>
      <c r="V24" s="348"/>
    </row>
    <row r="25" spans="1:22" ht="35.25" customHeight="1">
      <c r="A25" s="350"/>
      <c r="B25" s="2162" t="s">
        <v>2200</v>
      </c>
      <c r="C25" s="2163"/>
      <c r="D25" s="2163"/>
      <c r="E25" s="2163"/>
      <c r="F25" s="1431">
        <v>806.4</v>
      </c>
      <c r="G25" s="1431">
        <v>0</v>
      </c>
      <c r="H25" s="1431">
        <v>2800</v>
      </c>
      <c r="I25" s="1431">
        <v>100.8</v>
      </c>
      <c r="J25" s="1431">
        <v>927.5</v>
      </c>
      <c r="K25" s="1431">
        <v>8286.0204000000012</v>
      </c>
      <c r="L25" s="1431">
        <f>25*T25</f>
        <v>17500</v>
      </c>
      <c r="M25" s="1431">
        <f>15*T25</f>
        <v>10500</v>
      </c>
      <c r="N25" s="1431"/>
      <c r="O25" s="639"/>
      <c r="P25" s="640"/>
      <c r="Q25" s="337"/>
      <c r="R25" s="565"/>
      <c r="T25" s="348">
        <v>700</v>
      </c>
      <c r="U25" s="348"/>
      <c r="V25" s="348"/>
    </row>
    <row r="26" spans="1:22" ht="31.5" customHeight="1">
      <c r="A26" s="387"/>
      <c r="B26" s="2155" t="s">
        <v>2201</v>
      </c>
      <c r="C26" s="2156"/>
      <c r="D26" s="2156"/>
      <c r="E26" s="2156"/>
      <c r="F26" s="1431">
        <v>1105.9199999999998</v>
      </c>
      <c r="G26" s="1431">
        <v>0</v>
      </c>
      <c r="H26" s="1431">
        <v>3840</v>
      </c>
      <c r="I26" s="1431">
        <v>138.23999999999998</v>
      </c>
      <c r="J26" s="1431">
        <v>1272</v>
      </c>
      <c r="K26" s="1431">
        <v>11363.68512</v>
      </c>
      <c r="L26" s="1431">
        <f>25*T26</f>
        <v>24000</v>
      </c>
      <c r="M26" s="1431">
        <f>15*T26</f>
        <v>14400</v>
      </c>
      <c r="N26" s="1431"/>
      <c r="O26" s="639"/>
      <c r="P26" s="640"/>
      <c r="Q26" s="337"/>
      <c r="R26" s="565"/>
      <c r="T26" s="348">
        <v>960</v>
      </c>
      <c r="U26" s="348"/>
      <c r="V26" s="348"/>
    </row>
    <row r="27" spans="1:22" ht="36.75" customHeight="1">
      <c r="A27" s="388"/>
      <c r="B27" s="2155" t="s">
        <v>2202</v>
      </c>
      <c r="C27" s="2156"/>
      <c r="D27" s="2156"/>
      <c r="E27" s="2156"/>
      <c r="F27" s="1431">
        <v>506.87999999999994</v>
      </c>
      <c r="G27" s="1431">
        <v>0</v>
      </c>
      <c r="H27" s="1431">
        <v>1760</v>
      </c>
      <c r="I27" s="1431">
        <v>63.359999999999992</v>
      </c>
      <c r="J27" s="1431">
        <v>583</v>
      </c>
      <c r="K27" s="1431">
        <v>5208.3556800000006</v>
      </c>
      <c r="L27" s="1431">
        <f>25*T27</f>
        <v>11000</v>
      </c>
      <c r="M27" s="1431">
        <f>15*T27</f>
        <v>6600</v>
      </c>
      <c r="N27" s="1431"/>
      <c r="O27" s="639"/>
      <c r="P27" s="640"/>
      <c r="Q27" s="337"/>
      <c r="R27" s="565"/>
      <c r="T27" s="348">
        <v>440</v>
      </c>
      <c r="U27" s="348"/>
      <c r="V27" s="348"/>
    </row>
    <row r="28" spans="1:22" ht="31.5" customHeight="1">
      <c r="A28" s="388"/>
      <c r="B28" s="2155" t="s">
        <v>2203</v>
      </c>
      <c r="C28" s="2156"/>
      <c r="D28" s="2156"/>
      <c r="E28" s="2156"/>
      <c r="F28" s="1431">
        <v>6000</v>
      </c>
      <c r="G28" s="1431">
        <v>0</v>
      </c>
      <c r="H28" s="1431">
        <v>0</v>
      </c>
      <c r="I28" s="1431">
        <v>60</v>
      </c>
      <c r="J28" s="1431">
        <v>800</v>
      </c>
      <c r="K28" s="1431">
        <v>60000</v>
      </c>
      <c r="L28" s="1431"/>
      <c r="M28" s="1431"/>
      <c r="N28" s="1431"/>
      <c r="O28" s="639"/>
      <c r="P28" s="1432"/>
      <c r="Q28" s="337"/>
      <c r="R28" s="565"/>
    </row>
    <row r="29" spans="1:22" ht="31.5" customHeight="1" thickBot="1">
      <c r="A29" s="388"/>
      <c r="B29" s="2157" t="s">
        <v>1010</v>
      </c>
      <c r="C29" s="2158"/>
      <c r="D29" s="2158"/>
      <c r="E29" s="2159"/>
      <c r="F29" s="1433">
        <f t="shared" ref="F29:P29" si="0">SUM(F9:F28)</f>
        <v>344631.03999999998</v>
      </c>
      <c r="G29" s="1433">
        <f t="shared" si="0"/>
        <v>36760</v>
      </c>
      <c r="H29" s="1433">
        <f t="shared" si="0"/>
        <v>36620</v>
      </c>
      <c r="I29" s="1433">
        <f t="shared" si="0"/>
        <v>2284.88</v>
      </c>
      <c r="J29" s="1433">
        <f t="shared" si="0"/>
        <v>15726.5</v>
      </c>
      <c r="K29" s="1433">
        <f t="shared" si="0"/>
        <v>720985.43144000007</v>
      </c>
      <c r="L29" s="1433">
        <f t="shared" si="0"/>
        <v>100530</v>
      </c>
      <c r="M29" s="1433">
        <f t="shared" si="0"/>
        <v>60300</v>
      </c>
      <c r="N29" s="1433">
        <f t="shared" si="0"/>
        <v>10800</v>
      </c>
      <c r="O29" s="1433">
        <f t="shared" si="0"/>
        <v>10980</v>
      </c>
      <c r="P29" s="1434">
        <f t="shared" si="0"/>
        <v>200</v>
      </c>
      <c r="Q29" s="337"/>
      <c r="R29" s="565"/>
    </row>
    <row r="30" spans="1:22" ht="52.5" customHeight="1">
      <c r="A30" s="388"/>
      <c r="B30" s="1254"/>
      <c r="C30" s="1255"/>
      <c r="D30" s="1255"/>
      <c r="E30" s="1435"/>
      <c r="F30" s="1256"/>
      <c r="G30" s="1257"/>
      <c r="H30" s="1257"/>
      <c r="I30" s="1257"/>
      <c r="J30" s="1257"/>
      <c r="K30" s="1344"/>
      <c r="L30" s="1257"/>
      <c r="M30" s="1258"/>
      <c r="N30" s="1258"/>
      <c r="O30" s="1344"/>
      <c r="P30" s="1258"/>
      <c r="Q30" s="337"/>
      <c r="R30" s="565"/>
    </row>
    <row r="31" spans="1:22" ht="24.75" customHeight="1">
      <c r="A31" s="389"/>
      <c r="B31" s="1258"/>
      <c r="C31" s="1258"/>
      <c r="D31" s="1258"/>
      <c r="E31" s="1258"/>
      <c r="F31" s="1258"/>
      <c r="G31" s="1258"/>
      <c r="H31" s="1258"/>
      <c r="I31" s="1258"/>
      <c r="J31" s="1258"/>
      <c r="K31" s="1399"/>
      <c r="L31" s="1399"/>
      <c r="M31" s="1258"/>
      <c r="N31" s="1258"/>
      <c r="O31" s="1370"/>
      <c r="P31" s="1370"/>
      <c r="Q31" s="337"/>
      <c r="R31" s="565"/>
    </row>
    <row r="32" spans="1:22" ht="24.75" customHeight="1">
      <c r="A32" s="389"/>
      <c r="B32" s="1258"/>
      <c r="C32" s="1258"/>
      <c r="D32" s="1258"/>
      <c r="E32" s="1258"/>
      <c r="F32" s="1258"/>
      <c r="G32" s="1258"/>
      <c r="H32" s="1258"/>
      <c r="I32" s="1258"/>
      <c r="J32" s="1258"/>
      <c r="K32" s="1091"/>
      <c r="L32" s="1258"/>
      <c r="M32" s="1344"/>
      <c r="N32" s="1258"/>
      <c r="O32" s="1370"/>
      <c r="P32" s="1370"/>
      <c r="Q32" s="337"/>
      <c r="R32" s="565"/>
    </row>
    <row r="33" spans="1:22" ht="28.5" customHeight="1">
      <c r="A33" s="389"/>
      <c r="B33" s="1258"/>
      <c r="C33" s="1258"/>
      <c r="D33" s="1258"/>
      <c r="E33" s="1258"/>
      <c r="F33" s="1258"/>
      <c r="G33" s="1258"/>
      <c r="H33" s="1258"/>
      <c r="I33" s="1258"/>
      <c r="J33" s="1258"/>
      <c r="K33" s="1436"/>
      <c r="Q33" s="1257"/>
      <c r="R33" s="390"/>
    </row>
    <row r="34" spans="1:22" ht="14.25" customHeight="1">
      <c r="A34" s="389"/>
      <c r="Q34" s="1258"/>
      <c r="R34" s="391"/>
    </row>
    <row r="35" spans="1:22" ht="3.75" customHeight="1" thickBot="1">
      <c r="A35" s="393"/>
      <c r="B35" s="1259"/>
      <c r="C35" s="1259"/>
      <c r="D35" s="1259"/>
      <c r="E35" s="1259"/>
      <c r="F35" s="1259"/>
      <c r="G35" s="1259"/>
      <c r="H35" s="1259"/>
      <c r="I35" s="1259"/>
      <c r="J35" s="1259"/>
      <c r="K35" s="1259"/>
      <c r="L35" s="1259"/>
      <c r="M35" s="1259"/>
      <c r="N35" s="1259"/>
      <c r="O35" s="1259"/>
      <c r="P35" s="1259"/>
      <c r="Q35" s="641"/>
      <c r="R35" s="642"/>
    </row>
    <row r="36" spans="1:22" ht="6" customHeight="1">
      <c r="A36" s="392"/>
      <c r="Q36" s="1370"/>
      <c r="R36" s="391"/>
    </row>
    <row r="37" spans="1:22" ht="1.5" hidden="1" customHeight="1" thickBot="1">
      <c r="A37" s="393"/>
      <c r="Q37" s="1259"/>
      <c r="R37" s="1260"/>
    </row>
    <row r="38" spans="1:22" ht="15">
      <c r="A38"/>
      <c r="B38"/>
      <c r="C38"/>
      <c r="D38"/>
      <c r="E38"/>
      <c r="F38"/>
      <c r="G38"/>
      <c r="H38"/>
      <c r="I38"/>
      <c r="J38"/>
      <c r="K38"/>
      <c r="L38"/>
      <c r="M38"/>
      <c r="N38"/>
      <c r="O38"/>
      <c r="P38"/>
      <c r="Q38"/>
      <c r="R38"/>
      <c r="S38"/>
      <c r="T38"/>
      <c r="U38"/>
      <c r="V38"/>
    </row>
    <row r="48" spans="1:22" ht="15" customHeight="1"/>
    <row r="49" ht="15" customHeight="1"/>
    <row r="50" ht="15" customHeight="1"/>
    <row r="51" ht="15" customHeight="1"/>
    <row r="52" ht="15" customHeight="1"/>
    <row r="53" ht="15" customHeight="1"/>
    <row r="54" ht="15" customHeight="1"/>
    <row r="55" ht="15" customHeight="1"/>
    <row r="56" ht="15" customHeight="1"/>
    <row r="57" ht="12.75" customHeight="1"/>
  </sheetData>
  <mergeCells count="44">
    <mergeCell ref="B26:E26"/>
    <mergeCell ref="B27:E27"/>
    <mergeCell ref="B28:E28"/>
    <mergeCell ref="B29:E29"/>
    <mergeCell ref="B20:E20"/>
    <mergeCell ref="B21:E21"/>
    <mergeCell ref="B22:E22"/>
    <mergeCell ref="B23:E23"/>
    <mergeCell ref="B24:E24"/>
    <mergeCell ref="B25:E25"/>
    <mergeCell ref="B14:E14"/>
    <mergeCell ref="B15:E15"/>
    <mergeCell ref="B16:E16"/>
    <mergeCell ref="B17:E17"/>
    <mergeCell ref="B18:E18"/>
    <mergeCell ref="O3:O6"/>
    <mergeCell ref="P3:P6"/>
    <mergeCell ref="B19:E19"/>
    <mergeCell ref="P7:P8"/>
    <mergeCell ref="B9:E9"/>
    <mergeCell ref="B10:E10"/>
    <mergeCell ref="B11:E11"/>
    <mergeCell ref="B12:E12"/>
    <mergeCell ref="B13:E13"/>
    <mergeCell ref="J7:J8"/>
    <mergeCell ref="K7:K8"/>
    <mergeCell ref="L7:L8"/>
    <mergeCell ref="M7:M8"/>
    <mergeCell ref="N7:N8"/>
    <mergeCell ref="O7:O8"/>
    <mergeCell ref="B7:E8"/>
    <mergeCell ref="J3:J6"/>
    <mergeCell ref="K3:K6"/>
    <mergeCell ref="L3:L6"/>
    <mergeCell ref="M3:M6"/>
    <mergeCell ref="N3:N6"/>
    <mergeCell ref="H7:H8"/>
    <mergeCell ref="I7:I8"/>
    <mergeCell ref="F3:F6"/>
    <mergeCell ref="G3:G6"/>
    <mergeCell ref="H3:H6"/>
    <mergeCell ref="I3:I6"/>
    <mergeCell ref="F7:F8"/>
    <mergeCell ref="G7:G8"/>
  </mergeCells>
  <printOptions horizontalCentered="1"/>
  <pageMargins left="0.19685039370078741" right="0.19685039370078741" top="0.19685039370078741" bottom="0.19685039370078741" header="0" footer="0"/>
  <pageSetup paperSize="9" scale="80" orientation="portrait" horizontalDpi="4294967295"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IU61"/>
  <sheetViews>
    <sheetView view="pageBreakPreview" zoomScaleSheetLayoutView="100" workbookViewId="0">
      <selection sqref="A1:Z1048576"/>
    </sheetView>
  </sheetViews>
  <sheetFormatPr defaultColWidth="6.140625" defaultRowHeight="12.75"/>
  <cols>
    <col min="1" max="5" width="6.140625" style="575"/>
    <col min="6" max="6" width="7" style="575" customWidth="1"/>
    <col min="7" max="8" width="6.140625" style="575"/>
    <col min="9" max="9" width="8.140625" style="575" bestFit="1" customWidth="1"/>
    <col min="10" max="10" width="8.42578125" style="575" customWidth="1"/>
    <col min="11" max="11" width="7.5703125" style="575" customWidth="1"/>
    <col min="12" max="12" width="9.85546875" style="575" bestFit="1" customWidth="1"/>
    <col min="13" max="13" width="7.7109375" style="575" bestFit="1" customWidth="1"/>
    <col min="14" max="14" width="8.5703125" style="575" bestFit="1" customWidth="1"/>
    <col min="15" max="16" width="6.140625" style="575"/>
    <col min="17" max="17" width="8.140625" style="575" customWidth="1"/>
    <col min="18" max="19" width="6.140625" style="337"/>
    <col min="20" max="20" width="8.7109375" style="337" bestFit="1" customWidth="1"/>
    <col min="21" max="21" width="8.42578125" style="337" bestFit="1" customWidth="1"/>
    <col min="22" max="23" width="6.140625" style="337"/>
    <col min="24" max="24" width="8.140625" style="337" bestFit="1" customWidth="1"/>
    <col min="25" max="25" width="9.7109375" style="337" bestFit="1" customWidth="1"/>
    <col min="26" max="176" width="6.140625" style="337"/>
    <col min="177" max="177" width="8.42578125" style="337" customWidth="1"/>
    <col min="178" max="181" width="6.140625" style="337"/>
    <col min="182" max="182" width="8.85546875" style="337" customWidth="1"/>
    <col min="183" max="184" width="6.140625" style="337"/>
    <col min="185" max="185" width="5.28515625" style="337" customWidth="1"/>
    <col min="186" max="189" width="6.140625" style="337"/>
    <col min="190" max="190" width="7.5703125" style="337" customWidth="1"/>
    <col min="191" max="16384" width="6.140625" style="337"/>
  </cols>
  <sheetData>
    <row r="1" spans="1:255" s="348" customFormat="1" ht="27" customHeight="1">
      <c r="A1" s="643"/>
      <c r="B1" s="1427"/>
      <c r="C1" s="1427"/>
      <c r="D1" s="1427"/>
      <c r="E1" s="1427"/>
      <c r="F1" s="1427"/>
      <c r="G1" s="1427"/>
      <c r="H1" s="1427"/>
      <c r="I1" s="1427"/>
      <c r="J1" s="1427"/>
      <c r="K1" s="1427"/>
      <c r="L1" s="1427"/>
      <c r="M1" s="1427"/>
      <c r="N1" s="1427"/>
      <c r="O1" s="1427"/>
      <c r="P1" s="1427"/>
      <c r="Q1" s="644"/>
      <c r="R1" s="1427"/>
      <c r="S1" s="1427"/>
      <c r="T1" s="1427"/>
      <c r="U1" s="1427"/>
      <c r="V1" s="1427"/>
      <c r="W1" s="1427"/>
      <c r="X1" s="1427"/>
      <c r="Y1" s="1427"/>
      <c r="Z1" s="1427"/>
      <c r="AA1" s="1427"/>
      <c r="AB1" s="1427"/>
      <c r="AC1" s="1427"/>
      <c r="AD1" s="1427"/>
      <c r="AE1" s="1427"/>
      <c r="AF1" s="1427"/>
      <c r="AG1" s="1427"/>
      <c r="AH1" s="1427"/>
      <c r="AI1" s="1427"/>
      <c r="AJ1" s="1427"/>
      <c r="AK1" s="1427"/>
      <c r="AL1" s="1427"/>
      <c r="AM1" s="1427"/>
      <c r="AN1" s="1427"/>
      <c r="AO1" s="1427"/>
      <c r="AP1" s="1427"/>
      <c r="AQ1" s="1427"/>
      <c r="AR1" s="1427"/>
      <c r="AS1" s="1427"/>
      <c r="AT1" s="1427"/>
      <c r="AU1" s="1427"/>
      <c r="AV1" s="1427"/>
      <c r="AW1" s="1427"/>
      <c r="AX1" s="1427"/>
      <c r="AY1" s="1427"/>
      <c r="AZ1" s="1427"/>
      <c r="BA1" s="1427"/>
      <c r="BB1" s="1427"/>
      <c r="BC1" s="1427"/>
      <c r="BD1" s="1427"/>
      <c r="BE1" s="1427"/>
      <c r="BF1" s="1427"/>
      <c r="BG1" s="1427"/>
      <c r="BH1" s="1427"/>
      <c r="BI1" s="1427"/>
      <c r="BJ1" s="1427"/>
      <c r="BK1" s="1427"/>
      <c r="BL1" s="1427"/>
      <c r="BM1" s="1427"/>
      <c r="BN1" s="1427"/>
      <c r="BO1" s="1427"/>
      <c r="BP1" s="1427"/>
      <c r="BQ1" s="1427"/>
      <c r="BR1" s="1427"/>
      <c r="BS1" s="1427"/>
      <c r="BT1" s="1427"/>
      <c r="BU1" s="1427"/>
      <c r="BV1" s="1427"/>
      <c r="BW1" s="1427"/>
      <c r="BX1" s="1427"/>
      <c r="BY1" s="1427"/>
      <c r="BZ1" s="1427"/>
      <c r="CA1" s="1427"/>
      <c r="CB1" s="1427"/>
      <c r="CC1" s="1427"/>
      <c r="CD1" s="1427"/>
      <c r="CE1" s="1427"/>
      <c r="CF1" s="1427"/>
      <c r="CG1" s="1427"/>
      <c r="CH1" s="1427"/>
      <c r="CI1" s="1427"/>
      <c r="CJ1" s="1427"/>
      <c r="CK1" s="1427"/>
      <c r="CL1" s="1427"/>
      <c r="CM1" s="1427"/>
      <c r="CN1" s="1427"/>
      <c r="CO1" s="1427"/>
      <c r="CP1" s="1427"/>
      <c r="CQ1" s="1427"/>
      <c r="CR1" s="1427"/>
      <c r="CS1" s="1427"/>
      <c r="CT1" s="1427"/>
      <c r="CU1" s="1427"/>
      <c r="CV1" s="1427"/>
      <c r="CW1" s="1427"/>
      <c r="CX1" s="1427"/>
      <c r="CY1" s="1427"/>
      <c r="CZ1" s="1427"/>
      <c r="DA1" s="1427"/>
      <c r="DB1" s="1427"/>
      <c r="DC1" s="1427"/>
      <c r="DD1" s="1427"/>
      <c r="DE1" s="1427"/>
      <c r="DF1" s="1427"/>
      <c r="DG1" s="1427"/>
      <c r="DH1" s="1427"/>
      <c r="DI1" s="1427"/>
      <c r="DJ1" s="1427"/>
      <c r="DK1" s="1427"/>
      <c r="DL1" s="1427"/>
      <c r="DM1" s="1427"/>
      <c r="DN1" s="1427"/>
      <c r="DO1" s="1427"/>
      <c r="DP1" s="1427"/>
      <c r="DQ1" s="1427"/>
      <c r="DR1" s="1427"/>
      <c r="DS1" s="1427"/>
      <c r="DT1" s="1427"/>
      <c r="DU1" s="1427"/>
      <c r="DV1" s="1427"/>
      <c r="DW1" s="1427"/>
      <c r="DX1" s="1427"/>
      <c r="DY1" s="1427"/>
      <c r="DZ1" s="1427"/>
      <c r="EA1" s="1427"/>
      <c r="EB1" s="1427"/>
      <c r="EC1" s="1427"/>
      <c r="ED1" s="1427"/>
      <c r="EE1" s="1427"/>
      <c r="EF1" s="1427"/>
      <c r="EG1" s="1427"/>
      <c r="EH1" s="1427"/>
      <c r="EI1" s="1427"/>
      <c r="EJ1" s="1427"/>
      <c r="EK1" s="1427"/>
      <c r="EL1" s="1427"/>
      <c r="EM1" s="1427"/>
      <c r="EN1" s="1427"/>
      <c r="EO1" s="1427"/>
      <c r="EP1" s="1427"/>
      <c r="EQ1" s="1427"/>
      <c r="ER1" s="1427"/>
      <c r="ES1" s="1427"/>
      <c r="ET1" s="1427"/>
      <c r="EU1" s="1427"/>
      <c r="EV1" s="1427"/>
      <c r="EW1" s="1427"/>
      <c r="EX1" s="1427"/>
      <c r="EY1" s="1427"/>
      <c r="EZ1" s="1427"/>
      <c r="FA1" s="1427"/>
      <c r="FB1" s="1427"/>
      <c r="FC1" s="1427"/>
      <c r="FD1" s="1427"/>
      <c r="FE1" s="1427"/>
      <c r="FF1" s="1427"/>
      <c r="FG1" s="1427"/>
      <c r="FH1" s="1427"/>
      <c r="FI1" s="1427"/>
      <c r="FJ1" s="1427"/>
      <c r="FK1" s="1427"/>
      <c r="FL1" s="1427"/>
      <c r="FM1" s="1427"/>
      <c r="FN1" s="1427"/>
      <c r="FO1" s="1427"/>
      <c r="FP1" s="1427"/>
      <c r="FQ1" s="1427"/>
      <c r="FR1" s="1427"/>
      <c r="FS1" s="1427"/>
      <c r="FT1" s="1427"/>
      <c r="FU1" s="1427"/>
      <c r="FV1" s="1427"/>
      <c r="FW1" s="1427"/>
      <c r="FX1" s="1427"/>
      <c r="FY1" s="1427"/>
      <c r="FZ1" s="1427"/>
      <c r="GA1" s="1427"/>
      <c r="GB1" s="1427"/>
      <c r="GC1" s="1427"/>
      <c r="GD1" s="1427"/>
      <c r="GE1" s="1427"/>
      <c r="GF1" s="1427"/>
      <c r="GG1" s="1427"/>
      <c r="GH1" s="1427"/>
      <c r="GI1" s="1427"/>
      <c r="GJ1" s="1427"/>
      <c r="GK1" s="1427"/>
      <c r="GL1" s="1427"/>
      <c r="GM1" s="1427"/>
      <c r="GN1" s="1427"/>
      <c r="GO1" s="1427"/>
      <c r="GP1" s="1427"/>
      <c r="GQ1" s="1427"/>
      <c r="GR1" s="1427"/>
      <c r="GS1" s="1427"/>
      <c r="GT1" s="1427"/>
      <c r="GU1" s="1427"/>
      <c r="GV1" s="1427"/>
      <c r="GW1" s="1427"/>
      <c r="GX1" s="1427"/>
      <c r="GY1" s="1427"/>
      <c r="GZ1" s="1427"/>
      <c r="HA1" s="1427"/>
      <c r="HB1" s="1427"/>
      <c r="HC1" s="1427"/>
      <c r="HD1" s="1427"/>
      <c r="HE1" s="1427"/>
      <c r="HF1" s="1427"/>
      <c r="HG1" s="1427"/>
      <c r="HH1" s="1427"/>
      <c r="HI1" s="1427"/>
      <c r="HJ1" s="1427"/>
      <c r="HK1" s="1427"/>
      <c r="HL1" s="1427"/>
      <c r="HM1" s="1427"/>
      <c r="HN1" s="1427"/>
      <c r="HO1" s="1427"/>
      <c r="HP1" s="1427"/>
      <c r="HQ1" s="1427"/>
      <c r="HR1" s="1427"/>
      <c r="HS1" s="1427"/>
      <c r="HT1" s="1427"/>
      <c r="HU1" s="1427"/>
      <c r="HV1" s="1427"/>
      <c r="HW1" s="1427"/>
      <c r="HX1" s="1427"/>
      <c r="HY1" s="1427"/>
      <c r="HZ1" s="1427"/>
      <c r="IA1" s="1427"/>
      <c r="IB1" s="1427"/>
      <c r="IC1" s="1427"/>
      <c r="ID1" s="1427"/>
      <c r="IE1" s="1427"/>
      <c r="IF1" s="1427"/>
      <c r="IG1" s="1427"/>
      <c r="IH1" s="1427"/>
      <c r="II1" s="1427"/>
      <c r="IJ1" s="1427"/>
      <c r="IK1" s="1427"/>
      <c r="IL1" s="1427"/>
      <c r="IM1" s="1427"/>
      <c r="IN1" s="1427"/>
      <c r="IO1" s="1427"/>
      <c r="IP1" s="1427"/>
      <c r="IQ1" s="1427"/>
      <c r="IR1" s="1427"/>
      <c r="IS1" s="1427"/>
      <c r="IT1" s="1427"/>
      <c r="IU1" s="1427"/>
    </row>
    <row r="2" spans="1:255" s="348" customFormat="1" ht="25.5" customHeight="1" thickBot="1">
      <c r="A2" s="643"/>
      <c r="C2" s="1427"/>
      <c r="D2" s="1427"/>
      <c r="E2" s="1427"/>
      <c r="F2" s="1427"/>
      <c r="G2" s="1427"/>
      <c r="H2" s="1427"/>
      <c r="I2" s="1427"/>
      <c r="J2" s="1427"/>
      <c r="K2" s="2164" t="s">
        <v>995</v>
      </c>
      <c r="L2" s="2164"/>
      <c r="M2" s="2164"/>
      <c r="N2" s="2164"/>
      <c r="O2" s="2165"/>
      <c r="P2" s="1357"/>
      <c r="Q2" s="644"/>
    </row>
    <row r="3" spans="1:255" s="348" customFormat="1" ht="33" customHeight="1" thickBot="1">
      <c r="A3" s="645"/>
      <c r="B3" s="349"/>
      <c r="C3" s="349"/>
      <c r="D3" s="349"/>
      <c r="E3" s="349"/>
      <c r="F3" s="349"/>
      <c r="G3" s="349"/>
      <c r="H3" s="349"/>
      <c r="I3" s="2166" t="s">
        <v>2204</v>
      </c>
      <c r="J3" s="2167"/>
      <c r="K3" s="2168"/>
      <c r="L3" s="349"/>
      <c r="M3" s="1437"/>
      <c r="N3" s="1437"/>
      <c r="O3" s="1438"/>
      <c r="Q3" s="646"/>
      <c r="S3" s="2129" t="s">
        <v>2063</v>
      </c>
      <c r="T3" s="2129" t="s">
        <v>2064</v>
      </c>
      <c r="U3" s="2129" t="s">
        <v>2065</v>
      </c>
      <c r="V3" s="2129" t="s">
        <v>2066</v>
      </c>
    </row>
    <row r="4" spans="1:255" s="348" customFormat="1" ht="20.100000000000001" customHeight="1">
      <c r="A4" s="645"/>
      <c r="B4" s="349"/>
      <c r="C4" s="349"/>
      <c r="D4" s="2169"/>
      <c r="E4" s="2169"/>
      <c r="F4" s="2169"/>
      <c r="G4" s="2169"/>
      <c r="H4" s="2169"/>
      <c r="I4" s="2128" t="s">
        <v>2205</v>
      </c>
      <c r="J4" s="2130" t="s">
        <v>2206</v>
      </c>
      <c r="K4" s="2134" t="s">
        <v>2207</v>
      </c>
      <c r="L4" s="2129" t="s">
        <v>2062</v>
      </c>
      <c r="M4" s="2129" t="s">
        <v>2208</v>
      </c>
      <c r="N4" s="2135" t="s">
        <v>2209</v>
      </c>
      <c r="O4" s="1438"/>
      <c r="Q4" s="646"/>
      <c r="S4" s="2130"/>
      <c r="T4" s="2130"/>
      <c r="U4" s="2130"/>
      <c r="V4" s="2130"/>
    </row>
    <row r="5" spans="1:255" s="348" customFormat="1" ht="20.100000000000001" customHeight="1">
      <c r="A5" s="645"/>
      <c r="B5" s="349"/>
      <c r="C5" s="349"/>
      <c r="D5" s="349"/>
      <c r="E5" s="349"/>
      <c r="F5" s="349"/>
      <c r="G5" s="349"/>
      <c r="H5" s="349"/>
      <c r="I5" s="2128"/>
      <c r="J5" s="2130"/>
      <c r="K5" s="2130"/>
      <c r="L5" s="2130"/>
      <c r="M5" s="2130"/>
      <c r="N5" s="2136"/>
      <c r="O5" s="1438"/>
      <c r="Q5" s="646"/>
      <c r="S5" s="2130"/>
      <c r="T5" s="2130"/>
      <c r="U5" s="2130"/>
      <c r="V5" s="2130"/>
    </row>
    <row r="6" spans="1:255" s="348" customFormat="1" ht="20.100000000000001" customHeight="1">
      <c r="A6" s="645"/>
      <c r="I6" s="2128"/>
      <c r="J6" s="2130"/>
      <c r="K6" s="2130"/>
      <c r="L6" s="2130"/>
      <c r="M6" s="2130"/>
      <c r="N6" s="2136"/>
      <c r="O6" s="1438"/>
      <c r="Q6" s="646"/>
      <c r="S6" s="2130"/>
      <c r="T6" s="2130"/>
      <c r="U6" s="2130"/>
      <c r="V6" s="2130"/>
    </row>
    <row r="7" spans="1:255" s="348" customFormat="1" ht="20.100000000000001" customHeight="1" thickBot="1">
      <c r="A7" s="1439"/>
      <c r="I7" s="2128"/>
      <c r="J7" s="2130"/>
      <c r="K7" s="2130"/>
      <c r="L7" s="2130"/>
      <c r="M7" s="2130"/>
      <c r="N7" s="2136"/>
      <c r="O7" s="1440"/>
      <c r="Q7" s="646"/>
      <c r="S7" s="2172" t="s">
        <v>1154</v>
      </c>
      <c r="T7" s="2172" t="s">
        <v>1142</v>
      </c>
      <c r="U7" s="2172" t="s">
        <v>1142</v>
      </c>
      <c r="V7" s="2172" t="s">
        <v>2073</v>
      </c>
    </row>
    <row r="8" spans="1:255" s="348" customFormat="1" ht="24.75" customHeight="1" thickBot="1">
      <c r="A8" s="1439"/>
      <c r="B8" s="2146" t="s">
        <v>2183</v>
      </c>
      <c r="C8" s="2147"/>
      <c r="D8" s="2147"/>
      <c r="E8" s="2147"/>
      <c r="F8" s="2147"/>
      <c r="G8" s="2147"/>
      <c r="H8" s="2147"/>
      <c r="I8" s="2176" t="s">
        <v>2072</v>
      </c>
      <c r="J8" s="2176" t="s">
        <v>2072</v>
      </c>
      <c r="K8" s="2176" t="s">
        <v>2072</v>
      </c>
      <c r="L8" s="2176" t="s">
        <v>1142</v>
      </c>
      <c r="M8" s="2176" t="s">
        <v>1142</v>
      </c>
      <c r="N8" s="2177" t="s">
        <v>1154</v>
      </c>
      <c r="O8" s="1440"/>
      <c r="Q8" s="646"/>
      <c r="S8" s="2173"/>
      <c r="T8" s="2173"/>
      <c r="U8" s="2173"/>
      <c r="V8" s="2173"/>
    </row>
    <row r="9" spans="1:255" s="348" customFormat="1" ht="20.100000000000001" customHeight="1" thickBot="1">
      <c r="A9" s="645"/>
      <c r="B9" s="2174"/>
      <c r="C9" s="2175"/>
      <c r="D9" s="2175"/>
      <c r="E9" s="2175"/>
      <c r="F9" s="2175"/>
      <c r="G9" s="2175"/>
      <c r="H9" s="2175"/>
      <c r="I9" s="2176"/>
      <c r="J9" s="2176"/>
      <c r="K9" s="2176"/>
      <c r="L9" s="2126"/>
      <c r="M9" s="2126"/>
      <c r="N9" s="2141"/>
      <c r="O9" s="1441"/>
      <c r="Q9" s="646"/>
    </row>
    <row r="10" spans="1:255" s="348" customFormat="1" ht="20.100000000000001" customHeight="1" thickBot="1">
      <c r="A10" s="645"/>
      <c r="B10" s="2178" t="s">
        <v>2210</v>
      </c>
      <c r="C10" s="2179"/>
      <c r="D10" s="2179"/>
      <c r="E10" s="2179"/>
      <c r="F10" s="2179"/>
      <c r="G10" s="2179"/>
      <c r="H10" s="2179"/>
      <c r="I10" s="1428">
        <f>0.7*X10</f>
        <v>498399.99999999994</v>
      </c>
      <c r="J10" s="1442">
        <f>0.2*X10</f>
        <v>142400</v>
      </c>
      <c r="K10" s="1442">
        <f>0.1*X10</f>
        <v>71200</v>
      </c>
      <c r="L10" s="1428">
        <v>110000</v>
      </c>
      <c r="M10" s="1428">
        <f>1900*2*0.075</f>
        <v>285</v>
      </c>
      <c r="N10" s="1443">
        <v>20000</v>
      </c>
      <c r="O10" s="1441"/>
      <c r="Q10" s="646"/>
      <c r="X10" s="1444">
        <v>712000</v>
      </c>
      <c r="Y10" s="1444">
        <f>2*X10</f>
        <v>1424000</v>
      </c>
    </row>
    <row r="11" spans="1:255" s="348" customFormat="1" ht="20.100000000000001" customHeight="1" thickBot="1">
      <c r="A11" s="647"/>
      <c r="B11" s="2170" t="s">
        <v>2211</v>
      </c>
      <c r="C11" s="2171"/>
      <c r="D11" s="2171"/>
      <c r="E11" s="2171"/>
      <c r="F11" s="2171"/>
      <c r="G11" s="2171"/>
      <c r="H11" s="2171"/>
      <c r="I11" s="1431">
        <f t="shared" ref="I11:I16" si="0">0.7*X11</f>
        <v>0</v>
      </c>
      <c r="J11" s="637">
        <f t="shared" ref="J11:J16" si="1">0.2*X11</f>
        <v>0</v>
      </c>
      <c r="K11" s="637">
        <f t="shared" ref="K11:K16" si="2">0.1*X11</f>
        <v>0</v>
      </c>
      <c r="L11" s="1431"/>
      <c r="M11" s="1431">
        <f>210*2*0.075</f>
        <v>31.5</v>
      </c>
      <c r="N11" s="1432">
        <v>500</v>
      </c>
      <c r="O11" s="1441"/>
      <c r="Q11" s="646"/>
      <c r="X11" s="1431">
        <v>0</v>
      </c>
      <c r="Y11" s="1444">
        <f t="shared" ref="Y11:Y18" si="3">2*X11</f>
        <v>0</v>
      </c>
    </row>
    <row r="12" spans="1:255" s="348" customFormat="1" ht="20.100000000000001" customHeight="1" thickBot="1">
      <c r="A12" s="645"/>
      <c r="B12" s="2170" t="s">
        <v>2212</v>
      </c>
      <c r="C12" s="2171"/>
      <c r="D12" s="2171"/>
      <c r="E12" s="2171"/>
      <c r="F12" s="2171"/>
      <c r="G12" s="2171"/>
      <c r="H12" s="2171"/>
      <c r="I12" s="1431">
        <f t="shared" si="0"/>
        <v>17500</v>
      </c>
      <c r="J12" s="637">
        <f t="shared" si="1"/>
        <v>5000</v>
      </c>
      <c r="K12" s="637">
        <f t="shared" si="2"/>
        <v>2500</v>
      </c>
      <c r="L12" s="1431">
        <v>2300</v>
      </c>
      <c r="M12" s="1431">
        <v>15</v>
      </c>
      <c r="N12" s="1432">
        <v>400</v>
      </c>
      <c r="O12" s="1441"/>
      <c r="Q12" s="646"/>
      <c r="X12" s="1431">
        <v>25000</v>
      </c>
      <c r="Y12" s="1444">
        <f t="shared" si="3"/>
        <v>50000</v>
      </c>
    </row>
    <row r="13" spans="1:255" s="348" customFormat="1" ht="20.100000000000001" customHeight="1" thickBot="1">
      <c r="A13" s="647"/>
      <c r="B13" s="2170" t="s">
        <v>2213</v>
      </c>
      <c r="C13" s="2171"/>
      <c r="D13" s="2171"/>
      <c r="E13" s="2171"/>
      <c r="F13" s="2171"/>
      <c r="G13" s="2171"/>
      <c r="H13" s="2171"/>
      <c r="I13" s="1431">
        <f t="shared" si="0"/>
        <v>3500</v>
      </c>
      <c r="J13" s="637">
        <f t="shared" si="1"/>
        <v>1000</v>
      </c>
      <c r="K13" s="637">
        <f t="shared" si="2"/>
        <v>500</v>
      </c>
      <c r="L13" s="1431">
        <v>1200</v>
      </c>
      <c r="M13" s="1431">
        <v>15</v>
      </c>
      <c r="N13" s="1432">
        <v>400</v>
      </c>
      <c r="O13" s="1441"/>
      <c r="Q13" s="646"/>
      <c r="X13" s="1431">
        <v>5000</v>
      </c>
      <c r="Y13" s="1444">
        <f t="shared" si="3"/>
        <v>10000</v>
      </c>
    </row>
    <row r="14" spans="1:255" s="348" customFormat="1" ht="20.100000000000001" customHeight="1" thickBot="1">
      <c r="A14" s="647"/>
      <c r="B14" s="2170" t="s">
        <v>2214</v>
      </c>
      <c r="C14" s="2171"/>
      <c r="D14" s="2171"/>
      <c r="E14" s="2171"/>
      <c r="F14" s="2171"/>
      <c r="G14" s="2171"/>
      <c r="H14" s="2171"/>
      <c r="I14" s="1431">
        <f t="shared" si="0"/>
        <v>560</v>
      </c>
      <c r="J14" s="637">
        <f t="shared" si="1"/>
        <v>160</v>
      </c>
      <c r="K14" s="637">
        <f t="shared" si="2"/>
        <v>80</v>
      </c>
      <c r="L14" s="1431"/>
      <c r="M14" s="1431"/>
      <c r="N14" s="1432"/>
      <c r="O14" s="1441"/>
      <c r="Q14" s="646"/>
      <c r="S14" s="1445"/>
      <c r="T14" s="1446" t="s">
        <v>2215</v>
      </c>
      <c r="U14" s="1446" t="s">
        <v>2216</v>
      </c>
      <c r="X14" s="1431">
        <v>800</v>
      </c>
      <c r="Y14" s="1444">
        <f t="shared" si="3"/>
        <v>1600</v>
      </c>
    </row>
    <row r="15" spans="1:255" s="348" customFormat="1" ht="20.100000000000001" customHeight="1" thickBot="1">
      <c r="A15" s="647"/>
      <c r="B15" s="2170" t="s">
        <v>2217</v>
      </c>
      <c r="C15" s="2171"/>
      <c r="D15" s="2171"/>
      <c r="E15" s="2171"/>
      <c r="F15" s="2171"/>
      <c r="G15" s="2171"/>
      <c r="H15" s="2171"/>
      <c r="I15" s="1431">
        <f t="shared" si="0"/>
        <v>7000</v>
      </c>
      <c r="J15" s="637">
        <f t="shared" si="1"/>
        <v>2000</v>
      </c>
      <c r="K15" s="637">
        <f t="shared" si="2"/>
        <v>1000</v>
      </c>
      <c r="L15" s="1431">
        <v>2000</v>
      </c>
      <c r="M15" s="1431"/>
      <c r="N15" s="1432"/>
      <c r="O15" s="1441"/>
      <c r="P15" s="1447"/>
      <c r="Q15" s="646"/>
      <c r="S15" s="1448" t="s">
        <v>2218</v>
      </c>
      <c r="T15" s="1445">
        <v>3940</v>
      </c>
      <c r="U15" s="1445">
        <v>3963</v>
      </c>
      <c r="X15" s="1431">
        <v>10000</v>
      </c>
      <c r="Y15" s="1444">
        <f t="shared" si="3"/>
        <v>20000</v>
      </c>
    </row>
    <row r="16" spans="1:255" s="348" customFormat="1" ht="20.100000000000001" customHeight="1" thickBot="1">
      <c r="A16" s="647"/>
      <c r="B16" s="2170" t="s">
        <v>2219</v>
      </c>
      <c r="C16" s="2171"/>
      <c r="D16" s="2171"/>
      <c r="E16" s="2171"/>
      <c r="F16" s="2171"/>
      <c r="G16" s="2171"/>
      <c r="H16" s="2171"/>
      <c r="I16" s="1431">
        <f t="shared" si="0"/>
        <v>7000</v>
      </c>
      <c r="J16" s="637">
        <f t="shared" si="1"/>
        <v>2000</v>
      </c>
      <c r="K16" s="637">
        <f t="shared" si="2"/>
        <v>1000</v>
      </c>
      <c r="L16" s="1431">
        <v>1500</v>
      </c>
      <c r="M16" s="1431"/>
      <c r="N16" s="1432"/>
      <c r="O16" s="1441"/>
      <c r="Q16" s="646"/>
      <c r="S16" s="1448" t="s">
        <v>2220</v>
      </c>
      <c r="T16" s="1445">
        <v>3496</v>
      </c>
      <c r="U16" s="1445">
        <v>2781</v>
      </c>
      <c r="X16" s="1431">
        <v>10000</v>
      </c>
      <c r="Y16" s="1444">
        <f t="shared" si="3"/>
        <v>20000</v>
      </c>
    </row>
    <row r="17" spans="1:25" s="348" customFormat="1" ht="20.100000000000001" customHeight="1" thickBot="1">
      <c r="A17" s="645"/>
      <c r="B17" s="2170" t="s">
        <v>2221</v>
      </c>
      <c r="C17" s="2171"/>
      <c r="D17" s="2171"/>
      <c r="E17" s="2171"/>
      <c r="F17" s="2171"/>
      <c r="G17" s="2171"/>
      <c r="H17" s="2171"/>
      <c r="I17" s="1431"/>
      <c r="J17" s="637"/>
      <c r="K17" s="637"/>
      <c r="L17" s="1431"/>
      <c r="M17" s="1431"/>
      <c r="N17" s="1432"/>
      <c r="O17" s="1441"/>
      <c r="Q17" s="646"/>
      <c r="S17" s="1448" t="s">
        <v>2222</v>
      </c>
      <c r="T17" s="1445">
        <v>37730</v>
      </c>
      <c r="U17" s="1445">
        <v>0</v>
      </c>
      <c r="X17" s="1431">
        <v>0</v>
      </c>
      <c r="Y17" s="1444">
        <f t="shared" si="3"/>
        <v>0</v>
      </c>
    </row>
    <row r="18" spans="1:25" s="348" customFormat="1" ht="20.100000000000001" customHeight="1">
      <c r="A18" s="645"/>
      <c r="B18" s="2170" t="s">
        <v>2223</v>
      </c>
      <c r="C18" s="2171"/>
      <c r="D18" s="2171"/>
      <c r="E18" s="2171"/>
      <c r="F18" s="2171"/>
      <c r="G18" s="2171"/>
      <c r="H18" s="2171"/>
      <c r="I18" s="1431">
        <v>200</v>
      </c>
      <c r="J18" s="637"/>
      <c r="K18" s="637"/>
      <c r="L18" s="1431"/>
      <c r="M18" s="1431"/>
      <c r="N18" s="1432"/>
      <c r="O18" s="1441"/>
      <c r="Q18" s="646"/>
      <c r="S18" s="1448" t="s">
        <v>2224</v>
      </c>
      <c r="T18" s="1445">
        <v>175919</v>
      </c>
      <c r="U18" s="1445">
        <v>11</v>
      </c>
      <c r="X18" s="1431">
        <v>400</v>
      </c>
      <c r="Y18" s="1444">
        <f t="shared" si="3"/>
        <v>800</v>
      </c>
    </row>
    <row r="19" spans="1:25" s="348" customFormat="1" ht="20.100000000000001" customHeight="1" thickBot="1">
      <c r="A19" s="645"/>
      <c r="B19" s="2180" t="s">
        <v>1010</v>
      </c>
      <c r="C19" s="2181"/>
      <c r="D19" s="2181"/>
      <c r="E19" s="2181"/>
      <c r="F19" s="2181"/>
      <c r="G19" s="2181"/>
      <c r="H19" s="2181"/>
      <c r="I19" s="1433">
        <f>SUM(I10:I18)</f>
        <v>534160</v>
      </c>
      <c r="J19" s="1433">
        <f t="shared" ref="J19:K19" si="4">SUM(J10:J18)</f>
        <v>152560</v>
      </c>
      <c r="K19" s="1433">
        <f t="shared" si="4"/>
        <v>76280</v>
      </c>
      <c r="L19" s="1433">
        <f>SUM(L10:L18)</f>
        <v>117000</v>
      </c>
      <c r="M19" s="1433">
        <f>SUM(M10:M18)</f>
        <v>346.5</v>
      </c>
      <c r="N19" s="1434">
        <f>SUM(N10:N18)</f>
        <v>21300</v>
      </c>
      <c r="O19" s="1441"/>
      <c r="Q19" s="646"/>
      <c r="X19" s="1433">
        <f>SUM(X10:X18)</f>
        <v>763200</v>
      </c>
    </row>
    <row r="20" spans="1:25" s="348" customFormat="1" ht="20.100000000000001" customHeight="1">
      <c r="A20" s="645"/>
      <c r="B20" s="1449"/>
      <c r="C20" s="1450"/>
      <c r="D20" s="1450"/>
      <c r="E20" s="349"/>
      <c r="F20" s="349"/>
      <c r="G20" s="349"/>
      <c r="H20" s="349"/>
      <c r="I20" s="1441"/>
      <c r="J20" s="1441"/>
      <c r="K20" s="1441"/>
      <c r="L20" s="1441"/>
      <c r="M20" s="1441"/>
      <c r="N20" s="1441"/>
      <c r="O20" s="1441"/>
      <c r="Q20" s="646"/>
    </row>
    <row r="21" spans="1:25" s="348" customFormat="1" ht="20.100000000000001" customHeight="1">
      <c r="A21" s="647"/>
      <c r="B21" s="1449"/>
      <c r="C21" s="1450"/>
      <c r="D21" s="1450"/>
      <c r="E21" s="349"/>
      <c r="F21" s="349"/>
      <c r="G21" s="349"/>
      <c r="H21" s="349"/>
      <c r="I21" s="1441"/>
      <c r="J21" s="1441"/>
      <c r="K21" s="1441"/>
      <c r="L21" s="1441"/>
      <c r="M21" s="1441"/>
      <c r="N21" s="349"/>
      <c r="O21" s="1441"/>
      <c r="P21" s="1451" t="s">
        <v>2225</v>
      </c>
      <c r="Q21" s="646"/>
    </row>
    <row r="22" spans="1:25" s="348" customFormat="1" ht="20.100000000000001" customHeight="1">
      <c r="A22" s="647"/>
      <c r="B22" s="1449"/>
      <c r="C22" s="1450"/>
      <c r="D22" s="1450"/>
      <c r="E22" s="349"/>
      <c r="F22" s="349"/>
      <c r="G22" s="349"/>
      <c r="H22" s="349"/>
      <c r="I22" s="1441"/>
      <c r="J22" s="1441"/>
      <c r="K22" s="1441"/>
      <c r="L22" s="1441"/>
      <c r="M22" s="1441"/>
      <c r="N22" s="1441"/>
      <c r="O22" s="1441"/>
      <c r="P22" s="1451" t="s">
        <v>2226</v>
      </c>
      <c r="Q22" s="646"/>
    </row>
    <row r="23" spans="1:25" s="348" customFormat="1" ht="20.100000000000001" customHeight="1" thickBot="1">
      <c r="A23" s="1605"/>
      <c r="B23" s="1606"/>
      <c r="C23" s="1607"/>
      <c r="D23" s="1607"/>
      <c r="E23" s="1457"/>
      <c r="F23" s="1457"/>
      <c r="G23" s="1457"/>
      <c r="H23" s="1457"/>
      <c r="I23" s="1608"/>
      <c r="J23" s="1608"/>
      <c r="K23" s="1608"/>
      <c r="L23" s="1608"/>
      <c r="M23" s="1608"/>
      <c r="N23" s="1608"/>
      <c r="O23" s="1608"/>
      <c r="P23" s="1609"/>
      <c r="Q23" s="657"/>
    </row>
    <row r="24" spans="1:25" s="348" customFormat="1" ht="20.100000000000001" customHeight="1">
      <c r="A24" s="647"/>
      <c r="B24" s="349"/>
      <c r="C24" s="349"/>
      <c r="D24" s="349"/>
      <c r="E24" s="349"/>
      <c r="F24" s="349"/>
      <c r="G24" s="349"/>
      <c r="H24" s="349"/>
      <c r="I24" s="349"/>
      <c r="J24" s="349"/>
      <c r="K24" s="349"/>
      <c r="L24" s="349"/>
      <c r="M24" s="1441"/>
      <c r="N24" s="1441"/>
      <c r="O24" s="1441"/>
      <c r="P24" s="1452"/>
      <c r="Q24" s="1454"/>
    </row>
    <row r="25" spans="1:25" s="348" customFormat="1" ht="20.100000000000001" customHeight="1">
      <c r="A25" s="1603"/>
      <c r="B25" s="349"/>
      <c r="C25" s="349"/>
      <c r="D25" s="349"/>
      <c r="E25" s="349"/>
      <c r="F25" s="349"/>
      <c r="G25" s="349"/>
      <c r="H25" s="349"/>
      <c r="I25" s="349"/>
      <c r="J25" s="349"/>
      <c r="K25" s="349"/>
      <c r="L25" s="349"/>
      <c r="M25" s="1441"/>
      <c r="N25" s="1441"/>
      <c r="O25" s="1441"/>
      <c r="P25" s="1452"/>
      <c r="Q25" s="1454"/>
    </row>
    <row r="26" spans="1:25" s="348" customFormat="1" ht="20.100000000000001" customHeight="1">
      <c r="A26" s="1603"/>
      <c r="B26" s="349"/>
      <c r="C26" s="349"/>
      <c r="D26" s="349"/>
      <c r="E26" s="349"/>
      <c r="F26" s="349"/>
      <c r="G26" s="349"/>
      <c r="H26" s="349"/>
      <c r="I26" s="349"/>
      <c r="J26" s="349"/>
      <c r="K26" s="349"/>
      <c r="L26" s="349"/>
      <c r="M26" s="1441"/>
      <c r="N26" s="1441"/>
      <c r="O26" s="1441"/>
      <c r="Q26" s="1454"/>
    </row>
    <row r="27" spans="1:25" s="348" customFormat="1" ht="20.100000000000001" customHeight="1">
      <c r="A27" s="1603"/>
      <c r="B27" s="349"/>
      <c r="C27" s="349"/>
      <c r="D27" s="349"/>
      <c r="E27" s="349"/>
      <c r="F27" s="349"/>
      <c r="G27" s="349"/>
      <c r="H27" s="349"/>
      <c r="I27" s="349"/>
      <c r="J27" s="349"/>
      <c r="K27" s="349"/>
      <c r="L27" s="349"/>
      <c r="M27" s="1441"/>
      <c r="N27" s="1441"/>
      <c r="O27" s="1441"/>
      <c r="P27" s="1452"/>
      <c r="Q27" s="1454"/>
    </row>
    <row r="28" spans="1:25" s="348" customFormat="1" ht="20.100000000000001" customHeight="1">
      <c r="A28" s="1603"/>
      <c r="B28" s="349"/>
      <c r="C28" s="349"/>
      <c r="D28" s="349"/>
      <c r="E28" s="349"/>
      <c r="F28" s="349"/>
      <c r="G28" s="349"/>
      <c r="H28" s="349"/>
      <c r="I28" s="349"/>
      <c r="J28" s="349"/>
      <c r="K28" s="349"/>
      <c r="L28" s="349"/>
      <c r="M28" s="1441"/>
      <c r="N28" s="1441"/>
      <c r="O28" s="1441"/>
      <c r="P28" s="1450"/>
      <c r="Q28" s="1454"/>
    </row>
    <row r="29" spans="1:25" s="348" customFormat="1" ht="20.100000000000001" customHeight="1">
      <c r="A29" s="1603"/>
      <c r="B29" s="349"/>
      <c r="C29" s="349"/>
      <c r="D29" s="349"/>
      <c r="E29" s="349"/>
      <c r="F29" s="349"/>
      <c r="G29" s="349"/>
      <c r="H29" s="349"/>
      <c r="I29" s="349"/>
      <c r="J29" s="349"/>
      <c r="K29" s="349"/>
      <c r="L29" s="349"/>
      <c r="M29" s="1441"/>
      <c r="N29" s="1441"/>
      <c r="O29" s="1441"/>
      <c r="P29" s="1602"/>
      <c r="Q29" s="1454"/>
    </row>
    <row r="30" spans="1:25" s="348" customFormat="1" ht="26.25" customHeight="1">
      <c r="A30" s="1450"/>
      <c r="M30" s="1441"/>
      <c r="N30" s="1441"/>
      <c r="O30" s="1441"/>
      <c r="P30" s="1602"/>
      <c r="Q30" s="1454"/>
    </row>
    <row r="31" spans="1:25" s="348" customFormat="1" ht="20.100000000000001" customHeight="1">
      <c r="A31" s="1450"/>
      <c r="M31" s="1441"/>
      <c r="N31" s="1441"/>
      <c r="O31" s="1441"/>
      <c r="P31" s="1602"/>
      <c r="Q31" s="1454"/>
    </row>
    <row r="32" spans="1:25" s="348" customFormat="1" ht="19.5" customHeight="1">
      <c r="A32" s="1604"/>
      <c r="M32" s="1441"/>
      <c r="N32" s="1441"/>
      <c r="O32" s="1441"/>
      <c r="P32" s="1602"/>
      <c r="Q32" s="1454"/>
    </row>
    <row r="33" spans="1:17" s="348" customFormat="1" ht="21" customHeight="1">
      <c r="A33" s="1470"/>
      <c r="M33" s="1441"/>
      <c r="N33" s="1441"/>
      <c r="O33" s="1441"/>
      <c r="P33" s="1602"/>
      <c r="Q33" s="1454"/>
    </row>
    <row r="34" spans="1:17" s="348" customFormat="1" ht="21" customHeight="1">
      <c r="A34" s="1470"/>
      <c r="M34" s="1441"/>
      <c r="N34" s="1441"/>
      <c r="O34" s="1441"/>
      <c r="P34" s="1602"/>
      <c r="Q34" s="1454"/>
    </row>
    <row r="35" spans="1:17" s="348" customFormat="1" ht="24.75" customHeight="1">
      <c r="A35" s="1469"/>
      <c r="M35" s="1441"/>
      <c r="N35" s="1441"/>
      <c r="O35" s="1441"/>
      <c r="Q35" s="1454"/>
    </row>
    <row r="36" spans="1:17" s="348" customFormat="1" ht="28.5" customHeight="1">
      <c r="A36" s="1469"/>
      <c r="N36" s="1453"/>
    </row>
    <row r="37" spans="1:17" s="348" customFormat="1" ht="23.25" customHeight="1">
      <c r="A37" s="1469"/>
      <c r="M37" s="1454"/>
      <c r="N37" s="1455"/>
      <c r="O37" s="1454"/>
      <c r="P37" s="1454"/>
      <c r="Q37" s="1454"/>
    </row>
    <row r="38" spans="1:17" s="348" customFormat="1" ht="15" customHeight="1">
      <c r="A38" s="1469"/>
      <c r="M38" s="1454"/>
      <c r="N38" s="1455"/>
      <c r="O38" s="1454"/>
      <c r="P38" s="1454"/>
      <c r="Q38" s="1454"/>
    </row>
    <row r="39" spans="1:17" s="348" customFormat="1" ht="15" customHeight="1">
      <c r="A39" s="1454"/>
      <c r="M39" s="1454"/>
      <c r="N39" s="1456"/>
      <c r="O39" s="1456"/>
      <c r="P39" s="1456"/>
      <c r="Q39" s="1454"/>
    </row>
    <row r="40" spans="1:17" s="348" customFormat="1" ht="15" customHeight="1">
      <c r="A40" s="1454"/>
      <c r="B40" s="1454"/>
      <c r="C40" s="1454"/>
      <c r="D40" s="1454"/>
      <c r="E40" s="1454"/>
      <c r="F40" s="1454"/>
      <c r="G40" s="1454"/>
      <c r="H40" s="1454"/>
      <c r="I40" s="1454"/>
      <c r="J40" s="1454"/>
      <c r="K40" s="1453"/>
      <c r="L40" s="1454"/>
      <c r="M40" s="1454"/>
      <c r="N40" s="1456"/>
      <c r="O40" s="1456"/>
      <c r="P40" s="1456"/>
      <c r="Q40" s="1454"/>
    </row>
    <row r="41" spans="1:17" s="348" customFormat="1" ht="15" customHeight="1">
      <c r="A41" s="1454"/>
      <c r="B41" s="1454"/>
      <c r="C41" s="1454"/>
      <c r="D41" s="1454"/>
      <c r="E41" s="1454"/>
      <c r="F41" s="1454"/>
      <c r="G41" s="1454"/>
      <c r="H41" s="1454"/>
      <c r="I41" s="1454"/>
      <c r="J41" s="1454"/>
      <c r="K41" s="1455"/>
      <c r="L41" s="349"/>
      <c r="M41" s="349"/>
      <c r="N41" s="349"/>
      <c r="O41" s="349"/>
      <c r="P41" s="349"/>
      <c r="Q41" s="349"/>
    </row>
    <row r="42" spans="1:17" s="348" customFormat="1">
      <c r="A42" s="349"/>
      <c r="B42" s="349"/>
      <c r="C42" s="349"/>
      <c r="D42" s="349"/>
      <c r="E42" s="349"/>
      <c r="F42" s="349"/>
      <c r="G42" s="349"/>
      <c r="H42" s="349"/>
      <c r="I42" s="349"/>
      <c r="J42" s="349"/>
      <c r="K42" s="349"/>
      <c r="L42" s="349"/>
      <c r="M42" s="349"/>
      <c r="N42" s="349"/>
      <c r="O42" s="349"/>
      <c r="P42" s="349"/>
      <c r="Q42" s="349"/>
    </row>
    <row r="43" spans="1:17" s="348" customFormat="1">
      <c r="A43" s="349"/>
      <c r="B43" s="349"/>
      <c r="C43" s="349"/>
      <c r="D43" s="349"/>
      <c r="E43" s="349"/>
      <c r="F43" s="349"/>
      <c r="G43" s="349"/>
      <c r="H43" s="349"/>
      <c r="I43" s="349"/>
      <c r="J43" s="349"/>
      <c r="K43" s="349"/>
      <c r="L43" s="349"/>
      <c r="M43" s="349"/>
      <c r="N43" s="349"/>
      <c r="O43" s="349"/>
      <c r="P43" s="349"/>
      <c r="Q43" s="349"/>
    </row>
    <row r="44" spans="1:17" s="348" customFormat="1">
      <c r="A44" s="349"/>
      <c r="B44" s="349"/>
      <c r="C44" s="349"/>
      <c r="D44" s="349"/>
      <c r="E44" s="349"/>
      <c r="F44" s="349"/>
      <c r="G44" s="349"/>
      <c r="H44" s="349"/>
      <c r="I44" s="349"/>
      <c r="J44" s="349"/>
      <c r="K44" s="349"/>
      <c r="L44" s="349"/>
      <c r="M44" s="349"/>
      <c r="N44" s="349"/>
      <c r="O44" s="349"/>
      <c r="P44" s="349"/>
      <c r="Q44" s="349"/>
    </row>
    <row r="45" spans="1:17" s="348" customFormat="1">
      <c r="A45" s="349"/>
      <c r="B45" s="349"/>
      <c r="C45" s="349"/>
      <c r="D45" s="349"/>
      <c r="E45" s="349"/>
      <c r="F45" s="349"/>
      <c r="G45" s="349"/>
      <c r="H45" s="349"/>
      <c r="I45" s="349"/>
      <c r="J45" s="349"/>
      <c r="K45" s="349"/>
      <c r="L45" s="349"/>
      <c r="M45" s="349"/>
      <c r="N45" s="349"/>
      <c r="O45" s="349"/>
      <c r="P45" s="349"/>
      <c r="Q45" s="349"/>
    </row>
    <row r="46" spans="1:17" s="348" customFormat="1">
      <c r="A46" s="349"/>
      <c r="B46" s="349"/>
      <c r="C46" s="349"/>
      <c r="D46" s="349"/>
      <c r="E46" s="349"/>
      <c r="F46" s="349"/>
      <c r="G46" s="349"/>
      <c r="H46" s="349"/>
      <c r="I46" s="349"/>
      <c r="J46" s="349"/>
      <c r="K46" s="349"/>
      <c r="L46" s="349"/>
      <c r="M46" s="349"/>
      <c r="N46" s="349"/>
      <c r="O46" s="349"/>
      <c r="P46" s="349"/>
      <c r="Q46" s="349"/>
    </row>
    <row r="47" spans="1:17" s="348" customFormat="1">
      <c r="A47" s="349"/>
      <c r="B47" s="349"/>
      <c r="C47" s="349"/>
      <c r="D47" s="349"/>
      <c r="E47" s="349"/>
      <c r="F47" s="349"/>
      <c r="G47" s="349"/>
      <c r="H47" s="349"/>
      <c r="I47" s="349"/>
      <c r="J47" s="349"/>
      <c r="K47" s="349"/>
      <c r="L47" s="349"/>
      <c r="M47" s="349"/>
      <c r="N47" s="349"/>
      <c r="O47" s="349"/>
      <c r="P47" s="349"/>
      <c r="Q47" s="349"/>
    </row>
    <row r="48" spans="1:17" s="348" customFormat="1">
      <c r="A48" s="349"/>
      <c r="B48" s="349"/>
      <c r="C48" s="349"/>
      <c r="D48" s="349"/>
      <c r="E48" s="349"/>
      <c r="F48" s="349"/>
      <c r="G48" s="349"/>
      <c r="H48" s="349"/>
      <c r="I48" s="349"/>
      <c r="J48" s="349"/>
      <c r="K48" s="349"/>
      <c r="L48" s="349"/>
      <c r="M48" s="349"/>
      <c r="N48" s="349"/>
      <c r="O48" s="349"/>
      <c r="P48" s="349"/>
      <c r="Q48" s="349"/>
    </row>
    <row r="52" ht="15" customHeight="1"/>
    <row r="53" ht="15" customHeight="1"/>
    <row r="54" ht="15" customHeight="1"/>
    <row r="55" ht="15" customHeight="1"/>
    <row r="56" ht="15" customHeight="1"/>
    <row r="57" ht="15" customHeight="1"/>
    <row r="58" ht="15" customHeight="1"/>
    <row r="59" ht="15" customHeight="1"/>
    <row r="60" ht="15" customHeight="1"/>
    <row r="61" ht="12.75" customHeight="1"/>
  </sheetData>
  <mergeCells count="34">
    <mergeCell ref="B15:H15"/>
    <mergeCell ref="B16:H16"/>
    <mergeCell ref="B17:H17"/>
    <mergeCell ref="B18:H18"/>
    <mergeCell ref="B19:H19"/>
    <mergeCell ref="B14:H14"/>
    <mergeCell ref="S7:S8"/>
    <mergeCell ref="T7:T8"/>
    <mergeCell ref="U7:U8"/>
    <mergeCell ref="V7:V8"/>
    <mergeCell ref="B8:H9"/>
    <mergeCell ref="I8:I9"/>
    <mergeCell ref="J8:J9"/>
    <mergeCell ref="K8:K9"/>
    <mergeCell ref="L8:L9"/>
    <mergeCell ref="M8:M9"/>
    <mergeCell ref="N8:N9"/>
    <mergeCell ref="B10:H10"/>
    <mergeCell ref="B11:H11"/>
    <mergeCell ref="B12:H12"/>
    <mergeCell ref="B13:H13"/>
    <mergeCell ref="D4:H4"/>
    <mergeCell ref="I4:I7"/>
    <mergeCell ref="J4:J7"/>
    <mergeCell ref="K4:K7"/>
    <mergeCell ref="L4:L7"/>
    <mergeCell ref="K2:O2"/>
    <mergeCell ref="I3:K3"/>
    <mergeCell ref="T3:T6"/>
    <mergeCell ref="U3:U6"/>
    <mergeCell ref="V3:V6"/>
    <mergeCell ref="M4:M7"/>
    <mergeCell ref="N4:N7"/>
    <mergeCell ref="S3:S6"/>
  </mergeCells>
  <printOptions horizontalCentered="1"/>
  <pageMargins left="0.19685039370078741" right="0.19685039370078741" top="0.19685039370078741" bottom="0.19685039370078741" header="0" footer="0"/>
  <pageSetup paperSize="9" scale="55" orientation="portrait" horizontalDpi="4294967295"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V61"/>
  <sheetViews>
    <sheetView view="pageBreakPreview" zoomScaleSheetLayoutView="100" workbookViewId="0">
      <selection sqref="A1:XFD1048576"/>
    </sheetView>
  </sheetViews>
  <sheetFormatPr defaultColWidth="6.140625" defaultRowHeight="12.75"/>
  <cols>
    <col min="1" max="4" width="6.140625" style="575"/>
    <col min="5" max="5" width="7" style="575" customWidth="1"/>
    <col min="6" max="6" width="10.140625" style="575" customWidth="1"/>
    <col min="7" max="7" width="6.5703125" style="575" customWidth="1"/>
    <col min="8" max="10" width="6.5703125" style="575" bestFit="1" customWidth="1"/>
    <col min="11" max="11" width="7.5703125" style="575" bestFit="1" customWidth="1"/>
    <col min="12" max="12" width="8.42578125" style="575" customWidth="1"/>
    <col min="13" max="13" width="6.5703125" style="575" bestFit="1" customWidth="1"/>
    <col min="14" max="14" width="7.5703125" style="575" bestFit="1" customWidth="1"/>
    <col min="15" max="15" width="7.85546875" style="575" customWidth="1"/>
    <col min="16" max="16" width="7.140625" style="575" customWidth="1"/>
    <col min="17" max="17" width="4.7109375" style="575" customWidth="1"/>
    <col min="18" max="18" width="2.85546875" style="575" customWidth="1"/>
    <col min="19" max="19" width="3.42578125" style="575" customWidth="1"/>
    <col min="20" max="20" width="6.140625" style="337"/>
    <col min="21" max="21" width="11" style="337" bestFit="1" customWidth="1"/>
    <col min="22" max="178" width="6.140625" style="337"/>
    <col min="179" max="179" width="8.42578125" style="337" customWidth="1"/>
    <col min="180" max="183" width="6.140625" style="337"/>
    <col min="184" max="184" width="8.85546875" style="337" customWidth="1"/>
    <col min="185" max="186" width="6.140625" style="337"/>
    <col min="187" max="187" width="5.28515625" style="337" customWidth="1"/>
    <col min="188" max="191" width="6.140625" style="337"/>
    <col min="192" max="192" width="7.5703125" style="337" customWidth="1"/>
    <col min="193" max="16384" width="6.140625" style="337"/>
  </cols>
  <sheetData>
    <row r="1" spans="1:256" ht="27" customHeight="1">
      <c r="A1" s="568"/>
      <c r="B1" s="1337"/>
      <c r="C1" s="1337"/>
      <c r="D1" s="1337"/>
      <c r="E1" s="1337"/>
      <c r="F1" s="1337"/>
      <c r="G1" s="1337"/>
      <c r="H1" s="1337"/>
      <c r="I1" s="1337"/>
      <c r="J1" s="1337"/>
      <c r="K1" s="1337"/>
      <c r="L1" s="1337"/>
      <c r="M1" s="1337"/>
      <c r="N1" s="1337"/>
      <c r="O1" s="1337"/>
      <c r="P1" s="1337"/>
      <c r="Q1" s="1337"/>
      <c r="R1" s="1337"/>
      <c r="S1" s="569"/>
      <c r="T1" s="1337"/>
      <c r="U1" s="1337"/>
      <c r="V1" s="1337"/>
      <c r="W1" s="1337"/>
      <c r="X1" s="1337"/>
      <c r="Y1" s="1337"/>
      <c r="Z1" s="1337"/>
      <c r="AA1" s="1337"/>
      <c r="AB1" s="1337"/>
      <c r="AC1" s="1337"/>
      <c r="AD1" s="1337"/>
      <c r="AE1" s="1337"/>
      <c r="AF1" s="1337"/>
      <c r="AG1" s="1337"/>
      <c r="AH1" s="1337"/>
      <c r="AI1" s="1337"/>
      <c r="AJ1" s="1337"/>
      <c r="AK1" s="1337"/>
      <c r="AL1" s="1337"/>
      <c r="AM1" s="1337"/>
      <c r="AN1" s="1337"/>
      <c r="AO1" s="1337"/>
      <c r="AP1" s="1337"/>
      <c r="AQ1" s="1337"/>
      <c r="AR1" s="1337"/>
      <c r="AS1" s="1337"/>
      <c r="AT1" s="1337"/>
      <c r="AU1" s="1337"/>
      <c r="AV1" s="1337"/>
      <c r="AW1" s="1337"/>
      <c r="AX1" s="1337"/>
      <c r="AY1" s="1337"/>
      <c r="AZ1" s="1337"/>
      <c r="BA1" s="1337"/>
      <c r="BB1" s="1337"/>
      <c r="BC1" s="1337"/>
      <c r="BD1" s="1337"/>
      <c r="BE1" s="1337"/>
      <c r="BF1" s="1337"/>
      <c r="BG1" s="1337"/>
      <c r="BH1" s="1337"/>
      <c r="BI1" s="1337"/>
      <c r="BJ1" s="1337"/>
      <c r="BK1" s="1337"/>
      <c r="BL1" s="1337"/>
      <c r="BM1" s="1337"/>
      <c r="BN1" s="1337"/>
      <c r="BO1" s="1337"/>
      <c r="BP1" s="1337"/>
      <c r="BQ1" s="1337"/>
      <c r="BR1" s="1337"/>
      <c r="BS1" s="1337"/>
      <c r="BT1" s="1337"/>
      <c r="BU1" s="1337"/>
      <c r="BV1" s="1337"/>
      <c r="BW1" s="1337"/>
      <c r="BX1" s="1337"/>
      <c r="BY1" s="1337"/>
      <c r="BZ1" s="1337"/>
      <c r="CA1" s="1337"/>
      <c r="CB1" s="1337"/>
      <c r="CC1" s="1337"/>
      <c r="CD1" s="1337"/>
      <c r="CE1" s="1337"/>
      <c r="CF1" s="1337"/>
      <c r="CG1" s="1337"/>
      <c r="CH1" s="1337"/>
      <c r="CI1" s="1337"/>
      <c r="CJ1" s="1337"/>
      <c r="CK1" s="1337"/>
      <c r="CL1" s="1337"/>
      <c r="CM1" s="1337"/>
      <c r="CN1" s="1337"/>
      <c r="CO1" s="1337"/>
      <c r="CP1" s="1337"/>
      <c r="CQ1" s="1337"/>
      <c r="CR1" s="1337"/>
      <c r="CS1" s="1337"/>
      <c r="CT1" s="1337"/>
      <c r="CU1" s="1337"/>
      <c r="CV1" s="1337"/>
      <c r="CW1" s="1337"/>
      <c r="CX1" s="1337"/>
      <c r="CY1" s="1337"/>
      <c r="CZ1" s="1337"/>
      <c r="DA1" s="1337"/>
      <c r="DB1" s="1337"/>
      <c r="DC1" s="1337"/>
      <c r="DD1" s="1337"/>
      <c r="DE1" s="1337"/>
      <c r="DF1" s="1337"/>
      <c r="DG1" s="1337"/>
      <c r="DH1" s="1337"/>
      <c r="DI1" s="1337"/>
      <c r="DJ1" s="1337"/>
      <c r="DK1" s="1337"/>
      <c r="DL1" s="1337"/>
      <c r="DM1" s="1337"/>
      <c r="DN1" s="1337"/>
      <c r="DO1" s="1337"/>
      <c r="DP1" s="1337"/>
      <c r="DQ1" s="1337"/>
      <c r="DR1" s="1337"/>
      <c r="DS1" s="1337"/>
      <c r="DT1" s="1337"/>
      <c r="DU1" s="1337"/>
      <c r="DV1" s="1337"/>
      <c r="DW1" s="1337"/>
      <c r="DX1" s="1337"/>
      <c r="DY1" s="1337"/>
      <c r="DZ1" s="1337"/>
      <c r="EA1" s="1337"/>
      <c r="EB1" s="1337"/>
      <c r="EC1" s="1337"/>
      <c r="ED1" s="1337"/>
      <c r="EE1" s="1337"/>
      <c r="EF1" s="1337"/>
      <c r="EG1" s="1337"/>
      <c r="EH1" s="1337"/>
      <c r="EI1" s="1337"/>
      <c r="EJ1" s="1337"/>
      <c r="EK1" s="1337"/>
      <c r="EL1" s="1337"/>
      <c r="EM1" s="1337"/>
      <c r="EN1" s="1337"/>
      <c r="EO1" s="1337"/>
      <c r="EP1" s="1337"/>
      <c r="EQ1" s="1337"/>
      <c r="ER1" s="1337"/>
      <c r="ES1" s="1337"/>
      <c r="ET1" s="1337"/>
      <c r="EU1" s="1337"/>
      <c r="EV1" s="1337"/>
      <c r="EW1" s="1337"/>
      <c r="EX1" s="1337"/>
      <c r="EY1" s="1337"/>
      <c r="EZ1" s="1337"/>
      <c r="FA1" s="1337"/>
      <c r="FB1" s="1337"/>
      <c r="FC1" s="1337"/>
      <c r="FD1" s="1337"/>
      <c r="FE1" s="1337"/>
      <c r="FF1" s="1337"/>
      <c r="FG1" s="1337"/>
      <c r="FH1" s="1337"/>
      <c r="FI1" s="1337"/>
      <c r="FJ1" s="1337"/>
      <c r="FK1" s="1337"/>
      <c r="FL1" s="1337"/>
      <c r="FM1" s="1337"/>
      <c r="FN1" s="1337"/>
      <c r="FO1" s="1337"/>
      <c r="FP1" s="1337"/>
      <c r="FQ1" s="1337"/>
      <c r="FR1" s="1337"/>
      <c r="FS1" s="1337"/>
      <c r="FT1" s="1337"/>
      <c r="FU1" s="1337"/>
      <c r="FV1" s="1337"/>
      <c r="FW1" s="1337"/>
      <c r="FX1" s="1337"/>
      <c r="FY1" s="1337"/>
      <c r="FZ1" s="1337"/>
      <c r="GA1" s="1337"/>
      <c r="GB1" s="1337"/>
      <c r="GC1" s="1337"/>
      <c r="GD1" s="1337"/>
      <c r="GE1" s="1337"/>
      <c r="GF1" s="1337"/>
      <c r="GG1" s="1337"/>
      <c r="GH1" s="1337"/>
      <c r="GI1" s="1337"/>
      <c r="GJ1" s="1337"/>
      <c r="GK1" s="1337"/>
      <c r="GL1" s="1337"/>
      <c r="GM1" s="1337"/>
      <c r="GN1" s="1337"/>
      <c r="GO1" s="1337"/>
      <c r="GP1" s="1337"/>
      <c r="GQ1" s="1337"/>
      <c r="GR1" s="1337"/>
      <c r="GS1" s="1337"/>
      <c r="GT1" s="1337"/>
      <c r="GU1" s="1337"/>
      <c r="GV1" s="1337"/>
      <c r="GW1" s="1337"/>
      <c r="GX1" s="1337"/>
      <c r="GY1" s="1337"/>
      <c r="GZ1" s="1337"/>
      <c r="HA1" s="1337"/>
      <c r="HB1" s="1337"/>
      <c r="HC1" s="1337"/>
      <c r="HD1" s="1337"/>
      <c r="HE1" s="1337"/>
      <c r="HF1" s="1337"/>
      <c r="HG1" s="1337"/>
      <c r="HH1" s="1337"/>
      <c r="HI1" s="1337"/>
      <c r="HJ1" s="1337"/>
      <c r="HK1" s="1337"/>
      <c r="HL1" s="1337"/>
      <c r="HM1" s="1337"/>
      <c r="HN1" s="1337"/>
      <c r="HO1" s="1337"/>
      <c r="HP1" s="1337"/>
      <c r="HQ1" s="1337"/>
      <c r="HR1" s="1337"/>
      <c r="HS1" s="1337"/>
      <c r="HT1" s="1337"/>
      <c r="HU1" s="1337"/>
      <c r="HV1" s="1337"/>
      <c r="HW1" s="1337"/>
      <c r="HX1" s="1337"/>
      <c r="HY1" s="1337"/>
      <c r="HZ1" s="1337"/>
      <c r="IA1" s="1337"/>
      <c r="IB1" s="1337"/>
      <c r="IC1" s="1337"/>
      <c r="ID1" s="1337"/>
      <c r="IE1" s="1337"/>
      <c r="IF1" s="1337"/>
      <c r="IG1" s="1337"/>
      <c r="IH1" s="1337"/>
      <c r="II1" s="1337"/>
      <c r="IJ1" s="1337"/>
      <c r="IK1" s="1337"/>
      <c r="IL1" s="1337"/>
      <c r="IM1" s="1337"/>
      <c r="IN1" s="1337"/>
      <c r="IO1" s="1337"/>
      <c r="IP1" s="1337"/>
      <c r="IQ1" s="1337"/>
      <c r="IR1" s="1337"/>
      <c r="IS1" s="1337"/>
      <c r="IT1" s="1337"/>
      <c r="IU1" s="1337"/>
      <c r="IV1" s="1337"/>
    </row>
    <row r="2" spans="1:256" ht="27" customHeight="1" thickBot="1">
      <c r="A2" s="568"/>
      <c r="B2" s="1337"/>
      <c r="C2" s="1337"/>
      <c r="D2" s="1337"/>
      <c r="E2" s="1337"/>
      <c r="F2" s="1337"/>
      <c r="G2" s="1337"/>
      <c r="H2" s="1337"/>
      <c r="I2" s="1337"/>
      <c r="J2" s="1337"/>
      <c r="K2" s="1337"/>
      <c r="L2" s="1337"/>
      <c r="M2" s="1337"/>
      <c r="N2" s="1337"/>
      <c r="O2" s="1357"/>
      <c r="P2" s="1357"/>
      <c r="Q2" s="1337"/>
      <c r="R2" s="1337"/>
      <c r="S2" s="569"/>
      <c r="T2" s="1337"/>
      <c r="U2" s="1337"/>
      <c r="V2" s="1337"/>
      <c r="W2" s="1337"/>
      <c r="X2" s="1337"/>
      <c r="Y2" s="1337"/>
      <c r="Z2" s="1337"/>
      <c r="AA2" s="1337"/>
      <c r="AB2" s="1337"/>
      <c r="AC2" s="1337"/>
      <c r="AD2" s="1337"/>
      <c r="AE2" s="1337"/>
      <c r="AF2" s="1337"/>
      <c r="AG2" s="1337"/>
      <c r="AH2" s="1337"/>
      <c r="AI2" s="1337"/>
      <c r="AJ2" s="1337"/>
      <c r="AK2" s="1337"/>
      <c r="AL2" s="1337"/>
      <c r="AM2" s="1337"/>
      <c r="AN2" s="1337"/>
      <c r="AO2" s="1337"/>
      <c r="AP2" s="1337"/>
      <c r="AQ2" s="1337"/>
      <c r="AR2" s="1337"/>
      <c r="AS2" s="1337"/>
      <c r="AT2" s="1337"/>
      <c r="AU2" s="1337"/>
      <c r="AV2" s="1337"/>
      <c r="AW2" s="1337"/>
      <c r="AX2" s="1337"/>
      <c r="AY2" s="1337"/>
      <c r="AZ2" s="1337"/>
      <c r="BA2" s="1337"/>
      <c r="BB2" s="1337"/>
      <c r="BC2" s="1337"/>
      <c r="BD2" s="1337"/>
      <c r="BE2" s="1337"/>
      <c r="BF2" s="1337"/>
      <c r="BG2" s="1337"/>
      <c r="BH2" s="1337"/>
      <c r="BI2" s="1337"/>
      <c r="BJ2" s="1337"/>
      <c r="BK2" s="1337"/>
      <c r="BL2" s="1337"/>
      <c r="BM2" s="1337"/>
      <c r="BN2" s="1337"/>
      <c r="BO2" s="1337"/>
      <c r="BP2" s="1337"/>
      <c r="BQ2" s="1337"/>
      <c r="BR2" s="1337"/>
      <c r="BS2" s="1337"/>
      <c r="BT2" s="1337"/>
      <c r="BU2" s="1337"/>
      <c r="BV2" s="1337"/>
      <c r="BW2" s="1337"/>
      <c r="BX2" s="1337"/>
      <c r="BY2" s="1337"/>
      <c r="BZ2" s="1337"/>
      <c r="CA2" s="1337"/>
      <c r="CB2" s="1337"/>
      <c r="CC2" s="1337"/>
      <c r="CD2" s="1337"/>
      <c r="CE2" s="1337"/>
      <c r="CF2" s="1337"/>
      <c r="CG2" s="1337"/>
      <c r="CH2" s="1337"/>
      <c r="CI2" s="1337"/>
      <c r="CJ2" s="1337"/>
      <c r="CK2" s="1337"/>
      <c r="CL2" s="1337"/>
      <c r="CM2" s="1337"/>
      <c r="CN2" s="1337"/>
      <c r="CO2" s="1337"/>
      <c r="CP2" s="1337"/>
      <c r="CQ2" s="1337"/>
      <c r="CR2" s="1337"/>
      <c r="CS2" s="1337"/>
      <c r="CT2" s="1337"/>
      <c r="CU2" s="1337"/>
      <c r="CV2" s="1337"/>
      <c r="CW2" s="1337"/>
      <c r="CX2" s="1337"/>
      <c r="CY2" s="1337"/>
      <c r="CZ2" s="1337"/>
      <c r="DA2" s="1337"/>
      <c r="DB2" s="1337"/>
      <c r="DC2" s="1337"/>
      <c r="DD2" s="1337"/>
      <c r="DE2" s="1337"/>
      <c r="DF2" s="1337"/>
      <c r="DG2" s="1337"/>
      <c r="DH2" s="1337"/>
      <c r="DI2" s="1337"/>
      <c r="DJ2" s="1337"/>
      <c r="DK2" s="1337"/>
      <c r="DL2" s="1337"/>
      <c r="DM2" s="1337"/>
      <c r="DN2" s="1337"/>
      <c r="DO2" s="1337"/>
      <c r="DP2" s="1337"/>
      <c r="DQ2" s="1337"/>
      <c r="DR2" s="1337"/>
      <c r="DS2" s="1337"/>
      <c r="DT2" s="1337"/>
      <c r="DU2" s="1337"/>
      <c r="DV2" s="1337"/>
      <c r="DW2" s="1337"/>
      <c r="DX2" s="1337"/>
      <c r="DY2" s="1337"/>
      <c r="DZ2" s="1337"/>
      <c r="EA2" s="1337"/>
      <c r="EB2" s="1337"/>
      <c r="EC2" s="1337"/>
      <c r="ED2" s="1337"/>
      <c r="EE2" s="1337"/>
      <c r="EF2" s="1337"/>
      <c r="EG2" s="1337"/>
      <c r="EH2" s="1337"/>
      <c r="EI2" s="1337"/>
      <c r="EJ2" s="1337"/>
      <c r="EK2" s="1337"/>
      <c r="EL2" s="1337"/>
      <c r="EM2" s="1337"/>
      <c r="EN2" s="1337"/>
      <c r="EO2" s="1337"/>
      <c r="EP2" s="1337"/>
      <c r="EQ2" s="1337"/>
      <c r="ER2" s="1337"/>
      <c r="ES2" s="1337"/>
      <c r="ET2" s="1337"/>
      <c r="EU2" s="1337"/>
      <c r="EV2" s="1337"/>
      <c r="EW2" s="1337"/>
      <c r="EX2" s="1337"/>
      <c r="EY2" s="1337"/>
      <c r="EZ2" s="1337"/>
      <c r="FA2" s="1337"/>
      <c r="FB2" s="1337"/>
      <c r="FC2" s="1337"/>
      <c r="FD2" s="1337"/>
      <c r="FE2" s="1337"/>
      <c r="FF2" s="1337"/>
      <c r="FG2" s="1337"/>
      <c r="FH2" s="1337"/>
      <c r="FI2" s="1337"/>
      <c r="FJ2" s="1337"/>
      <c r="FK2" s="1337"/>
      <c r="FL2" s="1337"/>
      <c r="FM2" s="1337"/>
      <c r="FN2" s="1337"/>
      <c r="FO2" s="1337"/>
      <c r="FP2" s="1337"/>
      <c r="FQ2" s="1337"/>
      <c r="FR2" s="1337"/>
      <c r="FS2" s="1337"/>
      <c r="FT2" s="1337"/>
      <c r="FU2" s="1337"/>
      <c r="FV2" s="1337"/>
      <c r="FW2" s="1337"/>
      <c r="FX2" s="1337"/>
      <c r="FY2" s="1337"/>
      <c r="FZ2" s="1337"/>
      <c r="GA2" s="1337"/>
      <c r="GB2" s="1337"/>
      <c r="GC2" s="1337"/>
      <c r="GD2" s="1337"/>
      <c r="GE2" s="1337"/>
      <c r="GF2" s="1337"/>
      <c r="GG2" s="1337"/>
      <c r="GH2" s="1337"/>
      <c r="GI2" s="1337"/>
      <c r="GJ2" s="1337"/>
      <c r="GK2" s="1337"/>
      <c r="GL2" s="1337"/>
      <c r="GM2" s="1337"/>
      <c r="GN2" s="1337"/>
      <c r="GO2" s="1337"/>
      <c r="GP2" s="1337"/>
      <c r="GQ2" s="1337"/>
      <c r="GR2" s="1337"/>
      <c r="GS2" s="1337"/>
      <c r="GT2" s="1337"/>
      <c r="GU2" s="1337"/>
      <c r="GV2" s="1337"/>
      <c r="GW2" s="1337"/>
      <c r="GX2" s="1337"/>
      <c r="GY2" s="1337"/>
      <c r="GZ2" s="1337"/>
      <c r="HA2" s="1337"/>
      <c r="HB2" s="1337"/>
      <c r="HC2" s="1337"/>
      <c r="HD2" s="1337"/>
      <c r="HE2" s="1337"/>
      <c r="HF2" s="1337"/>
      <c r="HG2" s="1337"/>
      <c r="HH2" s="1337"/>
      <c r="HI2" s="1337"/>
      <c r="HJ2" s="1337"/>
      <c r="HK2" s="1337"/>
      <c r="HL2" s="1337"/>
      <c r="HM2" s="1337"/>
      <c r="HN2" s="1337"/>
      <c r="HO2" s="1337"/>
      <c r="HP2" s="1337"/>
      <c r="HQ2" s="1337"/>
      <c r="HR2" s="1337"/>
      <c r="HS2" s="1337"/>
      <c r="HT2" s="1337"/>
      <c r="HU2" s="1337"/>
      <c r="HV2" s="1337"/>
      <c r="HW2" s="1337"/>
      <c r="HX2" s="1337"/>
      <c r="HY2" s="1337"/>
      <c r="HZ2" s="1337"/>
      <c r="IA2" s="1337"/>
      <c r="IB2" s="1337"/>
      <c r="IC2" s="1337"/>
      <c r="ID2" s="1337"/>
      <c r="IE2" s="1337"/>
      <c r="IF2" s="1337"/>
      <c r="IG2" s="1337"/>
      <c r="IH2" s="1337"/>
      <c r="II2" s="1337"/>
      <c r="IJ2" s="1337"/>
      <c r="IK2" s="1337"/>
      <c r="IL2" s="1337"/>
      <c r="IM2" s="1337"/>
      <c r="IN2" s="1337"/>
      <c r="IO2" s="1337"/>
      <c r="IP2" s="1337"/>
      <c r="IQ2" s="1337"/>
      <c r="IR2" s="1337"/>
      <c r="IS2" s="1337"/>
      <c r="IT2" s="1337"/>
      <c r="IU2" s="1337"/>
      <c r="IV2" s="1337"/>
    </row>
    <row r="3" spans="1:256" ht="27" customHeight="1">
      <c r="A3" s="568"/>
      <c r="B3" s="1337"/>
      <c r="C3" s="1337"/>
      <c r="D3" s="1337"/>
      <c r="E3" s="1337"/>
      <c r="F3" s="1337"/>
      <c r="G3" s="1337"/>
      <c r="H3" s="1337"/>
      <c r="I3" s="1337"/>
      <c r="J3" s="1337"/>
      <c r="K3" s="1337"/>
      <c r="L3" s="1337"/>
      <c r="M3" s="1337"/>
      <c r="N3" s="1337"/>
      <c r="O3" s="1337"/>
      <c r="P3" s="1337"/>
      <c r="Q3" s="1337" t="s">
        <v>996</v>
      </c>
      <c r="R3" s="1337"/>
      <c r="S3" s="569"/>
      <c r="T3" s="1337"/>
      <c r="U3" s="1458"/>
      <c r="V3" s="1337"/>
      <c r="W3" s="1337"/>
      <c r="X3" s="1337"/>
      <c r="Y3" s="1337"/>
      <c r="Z3" s="1337"/>
      <c r="AA3" s="1337"/>
      <c r="AB3" s="1337"/>
      <c r="AC3" s="1337"/>
      <c r="AD3" s="1337"/>
      <c r="AE3" s="1337"/>
      <c r="AF3" s="1337"/>
      <c r="AG3" s="1337"/>
      <c r="AH3" s="1337"/>
      <c r="AI3" s="1337"/>
      <c r="AJ3" s="1337"/>
      <c r="AK3" s="1337"/>
      <c r="AL3" s="1337"/>
      <c r="AM3" s="1337"/>
      <c r="AN3" s="1337"/>
      <c r="AO3" s="1337"/>
      <c r="AP3" s="1337"/>
      <c r="AQ3" s="1337"/>
      <c r="AR3" s="1337"/>
      <c r="AS3" s="1337"/>
      <c r="AT3" s="1337"/>
      <c r="AU3" s="1337"/>
      <c r="AV3" s="1337"/>
      <c r="AW3" s="1337"/>
      <c r="AX3" s="1337"/>
      <c r="AY3" s="1337"/>
      <c r="AZ3" s="1337"/>
      <c r="BA3" s="1337"/>
      <c r="BB3" s="1337"/>
      <c r="BC3" s="1337"/>
      <c r="BD3" s="1337"/>
      <c r="BE3" s="1337"/>
      <c r="BF3" s="1337"/>
      <c r="BG3" s="1337"/>
      <c r="BH3" s="1337"/>
      <c r="BI3" s="1337"/>
      <c r="BJ3" s="1337"/>
      <c r="BK3" s="1337"/>
      <c r="BL3" s="1337"/>
      <c r="BM3" s="1337"/>
      <c r="BN3" s="1337"/>
      <c r="BO3" s="1337"/>
      <c r="BP3" s="1337"/>
      <c r="BQ3" s="1337"/>
      <c r="BR3" s="1337"/>
      <c r="BS3" s="1337"/>
      <c r="BT3" s="1337"/>
      <c r="BU3" s="1337"/>
      <c r="BV3" s="1337"/>
      <c r="BW3" s="1337"/>
      <c r="BX3" s="1337"/>
      <c r="BY3" s="1337"/>
      <c r="BZ3" s="1337"/>
      <c r="CA3" s="1337"/>
      <c r="CB3" s="1337"/>
      <c r="CC3" s="1337"/>
      <c r="CD3" s="1337"/>
      <c r="CE3" s="1337"/>
      <c r="CF3" s="1337"/>
      <c r="CG3" s="1337"/>
      <c r="CH3" s="1337"/>
      <c r="CI3" s="1337"/>
      <c r="CJ3" s="1337"/>
      <c r="CK3" s="1337"/>
      <c r="CL3" s="1337"/>
      <c r="CM3" s="1337"/>
      <c r="CN3" s="1337"/>
      <c r="CO3" s="1337"/>
      <c r="CP3" s="1337"/>
      <c r="CQ3" s="1337"/>
      <c r="CR3" s="1337"/>
      <c r="CS3" s="1337"/>
      <c r="CT3" s="1337"/>
      <c r="CU3" s="1337"/>
      <c r="CV3" s="1337"/>
      <c r="CW3" s="1337"/>
      <c r="CX3" s="1337"/>
      <c r="CY3" s="1337"/>
      <c r="CZ3" s="1337"/>
      <c r="DA3" s="1337"/>
      <c r="DB3" s="1337"/>
      <c r="DC3" s="1337"/>
      <c r="DD3" s="1337"/>
      <c r="DE3" s="1337"/>
      <c r="DF3" s="1337"/>
      <c r="DG3" s="1337"/>
      <c r="DH3" s="1337"/>
      <c r="DI3" s="1337"/>
      <c r="DJ3" s="1337"/>
      <c r="DK3" s="1337"/>
      <c r="DL3" s="1337"/>
      <c r="DM3" s="1337"/>
      <c r="DN3" s="1337"/>
      <c r="DO3" s="1337"/>
      <c r="DP3" s="1337"/>
      <c r="DQ3" s="1337"/>
      <c r="DR3" s="1337"/>
      <c r="DS3" s="1337"/>
      <c r="DT3" s="1337"/>
      <c r="DU3" s="1337"/>
      <c r="DV3" s="1337"/>
      <c r="DW3" s="1337"/>
      <c r="DX3" s="1337"/>
      <c r="DY3" s="1337"/>
      <c r="DZ3" s="1337"/>
      <c r="EA3" s="1337"/>
      <c r="EB3" s="1337"/>
      <c r="EC3" s="1337"/>
      <c r="ED3" s="1337"/>
      <c r="EE3" s="1337"/>
      <c r="EF3" s="1337"/>
      <c r="EG3" s="1337"/>
      <c r="EH3" s="1337"/>
      <c r="EI3" s="1337"/>
      <c r="EJ3" s="1337"/>
      <c r="EK3" s="1337"/>
      <c r="EL3" s="1337"/>
      <c r="EM3" s="1337"/>
      <c r="EN3" s="1337"/>
      <c r="EO3" s="1337"/>
      <c r="EP3" s="1337"/>
      <c r="EQ3" s="1337"/>
      <c r="ER3" s="1337"/>
      <c r="ES3" s="1337"/>
      <c r="ET3" s="1337"/>
      <c r="EU3" s="1337"/>
      <c r="EV3" s="1337"/>
      <c r="EW3" s="1337"/>
      <c r="EX3" s="1337"/>
      <c r="EY3" s="1337"/>
      <c r="EZ3" s="1337"/>
      <c r="FA3" s="1337"/>
      <c r="FB3" s="1337"/>
      <c r="FC3" s="1337"/>
      <c r="FD3" s="1337"/>
      <c r="FE3" s="1337"/>
      <c r="FF3" s="1337"/>
      <c r="FG3" s="1337"/>
      <c r="FH3" s="1337"/>
      <c r="FI3" s="1337"/>
      <c r="FJ3" s="1337"/>
      <c r="FK3" s="1337"/>
      <c r="FL3" s="1337"/>
      <c r="FM3" s="1337"/>
      <c r="FN3" s="1337"/>
      <c r="FO3" s="1337"/>
      <c r="FP3" s="1337"/>
      <c r="FQ3" s="1337"/>
      <c r="FR3" s="1337"/>
      <c r="FS3" s="1337"/>
      <c r="FT3" s="1337"/>
      <c r="FU3" s="1337"/>
      <c r="FV3" s="1337"/>
      <c r="FW3" s="1337"/>
      <c r="FX3" s="1337"/>
      <c r="FY3" s="1337"/>
      <c r="FZ3" s="1337"/>
      <c r="GA3" s="1337"/>
      <c r="GB3" s="1337"/>
      <c r="GC3" s="1337"/>
      <c r="GD3" s="1337"/>
      <c r="GE3" s="1337"/>
      <c r="GF3" s="1337"/>
      <c r="GG3" s="1337"/>
      <c r="GH3" s="1337"/>
      <c r="GI3" s="1337"/>
      <c r="GJ3" s="1337"/>
      <c r="GK3" s="1337"/>
      <c r="GL3" s="1337"/>
      <c r="GM3" s="1337"/>
      <c r="GN3" s="1337"/>
      <c r="GO3" s="1337"/>
      <c r="GP3" s="1337"/>
      <c r="GQ3" s="1337"/>
      <c r="GR3" s="1337"/>
      <c r="GS3" s="1337"/>
      <c r="GT3" s="1337"/>
      <c r="GU3" s="1337"/>
      <c r="GV3" s="1337"/>
      <c r="GW3" s="1337"/>
      <c r="GX3" s="1337"/>
      <c r="GY3" s="1337"/>
      <c r="GZ3" s="1337"/>
      <c r="HA3" s="1337"/>
      <c r="HB3" s="1337"/>
      <c r="HC3" s="1337"/>
      <c r="HD3" s="1337"/>
      <c r="HE3" s="1337"/>
      <c r="HF3" s="1337"/>
      <c r="HG3" s="1337"/>
      <c r="HH3" s="1337"/>
      <c r="HI3" s="1337"/>
      <c r="HJ3" s="1337"/>
      <c r="HK3" s="1337"/>
      <c r="HL3" s="1337"/>
      <c r="HM3" s="1337"/>
      <c r="HN3" s="1337"/>
      <c r="HO3" s="1337"/>
      <c r="HP3" s="1337"/>
      <c r="HQ3" s="1337"/>
      <c r="HR3" s="1337"/>
      <c r="HS3" s="1337"/>
      <c r="HT3" s="1337"/>
      <c r="HU3" s="1337"/>
      <c r="HV3" s="1337"/>
      <c r="HW3" s="1337"/>
      <c r="HX3" s="1337"/>
      <c r="HY3" s="1337"/>
      <c r="HZ3" s="1337"/>
      <c r="IA3" s="1337"/>
      <c r="IB3" s="1337"/>
      <c r="IC3" s="1337"/>
      <c r="ID3" s="1337"/>
      <c r="IE3" s="1337"/>
      <c r="IF3" s="1337"/>
      <c r="IG3" s="1337"/>
      <c r="IH3" s="1337"/>
      <c r="II3" s="1337"/>
      <c r="IJ3" s="1337"/>
      <c r="IK3" s="1337"/>
      <c r="IL3" s="1337"/>
      <c r="IM3" s="1337"/>
      <c r="IN3" s="1337"/>
      <c r="IO3" s="1337"/>
      <c r="IP3" s="1337"/>
      <c r="IQ3" s="1337"/>
      <c r="IR3" s="1337"/>
      <c r="IS3" s="1337"/>
      <c r="IT3" s="1337"/>
      <c r="IU3" s="1337"/>
      <c r="IV3" s="1337"/>
    </row>
    <row r="4" spans="1:256" ht="18" customHeight="1" thickBot="1">
      <c r="A4" s="568"/>
      <c r="B4" s="337"/>
      <c r="C4" s="1337"/>
      <c r="D4" s="1337"/>
      <c r="E4" s="1337"/>
      <c r="F4" s="337"/>
      <c r="G4" s="337"/>
      <c r="H4" s="337"/>
      <c r="I4" s="1337"/>
      <c r="J4" s="1337"/>
      <c r="K4" s="1337"/>
      <c r="L4" s="1337"/>
      <c r="M4" s="1337"/>
      <c r="N4" s="1337"/>
      <c r="O4" s="1337"/>
      <c r="P4" s="1337"/>
      <c r="Q4" s="337"/>
      <c r="R4" s="1337"/>
      <c r="S4" s="569"/>
    </row>
    <row r="5" spans="1:256" ht="33" customHeight="1">
      <c r="A5" s="350"/>
      <c r="F5" s="2185" t="s">
        <v>2204</v>
      </c>
      <c r="G5" s="2046" t="s">
        <v>2062</v>
      </c>
      <c r="H5" s="2046" t="s">
        <v>2063</v>
      </c>
      <c r="I5" s="2046" t="s">
        <v>2064</v>
      </c>
      <c r="J5" s="2046" t="s">
        <v>2065</v>
      </c>
      <c r="K5" s="2046" t="s">
        <v>2066</v>
      </c>
      <c r="L5" s="2046" t="s">
        <v>2227</v>
      </c>
      <c r="M5" s="2046" t="s">
        <v>2109</v>
      </c>
      <c r="N5" s="2046" t="s">
        <v>2110</v>
      </c>
      <c r="O5" s="2048" t="s">
        <v>2228</v>
      </c>
      <c r="R5" s="337"/>
      <c r="S5" s="337"/>
    </row>
    <row r="6" spans="1:256" ht="20.100000000000001" customHeight="1">
      <c r="A6" s="350"/>
      <c r="F6" s="2072"/>
      <c r="G6" s="2047"/>
      <c r="H6" s="2047"/>
      <c r="I6" s="2047"/>
      <c r="J6" s="2047"/>
      <c r="K6" s="2047"/>
      <c r="L6" s="2047"/>
      <c r="M6" s="2047"/>
      <c r="N6" s="2047"/>
      <c r="O6" s="2049"/>
      <c r="R6" s="337"/>
      <c r="S6" s="337"/>
    </row>
    <row r="7" spans="1:256" ht="20.100000000000001" customHeight="1">
      <c r="A7" s="350"/>
      <c r="B7" s="337"/>
      <c r="C7" s="337"/>
      <c r="D7" s="337"/>
      <c r="E7" s="337"/>
      <c r="F7" s="2072"/>
      <c r="G7" s="2047"/>
      <c r="H7" s="2047"/>
      <c r="I7" s="2047"/>
      <c r="J7" s="2047"/>
      <c r="K7" s="2047"/>
      <c r="L7" s="2047"/>
      <c r="M7" s="2047"/>
      <c r="N7" s="2047"/>
      <c r="O7" s="2049"/>
      <c r="P7" s="337"/>
      <c r="Q7" s="337"/>
      <c r="R7" s="337"/>
      <c r="S7" s="337"/>
    </row>
    <row r="8" spans="1:256" ht="20.100000000000001" customHeight="1" thickBot="1">
      <c r="A8" s="350"/>
      <c r="B8" s="337"/>
      <c r="C8" s="337"/>
      <c r="D8" s="337"/>
      <c r="E8" s="337"/>
      <c r="F8" s="2072"/>
      <c r="G8" s="2047"/>
      <c r="H8" s="2047"/>
      <c r="I8" s="2047"/>
      <c r="J8" s="2047"/>
      <c r="K8" s="2047"/>
      <c r="L8" s="2047"/>
      <c r="M8" s="2047"/>
      <c r="N8" s="2047"/>
      <c r="O8" s="2049"/>
      <c r="P8" s="337"/>
      <c r="Q8" s="337"/>
      <c r="R8" s="337"/>
      <c r="S8" s="337"/>
    </row>
    <row r="9" spans="1:256" ht="20.100000000000001" customHeight="1">
      <c r="A9" s="1234"/>
      <c r="B9" s="2186" t="s">
        <v>2183</v>
      </c>
      <c r="C9" s="2187"/>
      <c r="D9" s="2187"/>
      <c r="E9" s="2187"/>
      <c r="F9" s="2056" t="s">
        <v>2072</v>
      </c>
      <c r="G9" s="2190" t="s">
        <v>2072</v>
      </c>
      <c r="H9" s="2190" t="s">
        <v>1154</v>
      </c>
      <c r="I9" s="2190" t="s">
        <v>1142</v>
      </c>
      <c r="J9" s="2190" t="s">
        <v>1142</v>
      </c>
      <c r="K9" s="2190" t="s">
        <v>2149</v>
      </c>
      <c r="L9" s="2190" t="s">
        <v>1142</v>
      </c>
      <c r="M9" s="2190" t="s">
        <v>1142</v>
      </c>
      <c r="N9" s="2190" t="s">
        <v>2112</v>
      </c>
      <c r="O9" s="2191"/>
      <c r="R9" s="337"/>
      <c r="S9" s="337"/>
    </row>
    <row r="10" spans="1:256" ht="24.75" customHeight="1" thickBot="1">
      <c r="A10" s="1234"/>
      <c r="B10" s="2188"/>
      <c r="C10" s="2189"/>
      <c r="D10" s="2189"/>
      <c r="E10" s="2189"/>
      <c r="F10" s="2054"/>
      <c r="G10" s="2054"/>
      <c r="H10" s="2054"/>
      <c r="I10" s="2054"/>
      <c r="J10" s="2054"/>
      <c r="K10" s="2054"/>
      <c r="L10" s="2054"/>
      <c r="M10" s="2054"/>
      <c r="N10" s="2054"/>
      <c r="O10" s="2100"/>
      <c r="R10" s="337"/>
      <c r="S10" s="337"/>
    </row>
    <row r="11" spans="1:256" ht="31.5" customHeight="1">
      <c r="A11" s="350"/>
      <c r="B11" s="2182" t="s">
        <v>2229</v>
      </c>
      <c r="C11" s="2183"/>
      <c r="D11" s="2183"/>
      <c r="E11" s="2184"/>
      <c r="F11" s="1385">
        <v>4600</v>
      </c>
      <c r="G11" s="1385">
        <v>2500</v>
      </c>
      <c r="H11" s="1385">
        <v>500</v>
      </c>
      <c r="I11" s="1385">
        <v>50</v>
      </c>
      <c r="J11" s="1385">
        <v>440</v>
      </c>
      <c r="K11" s="1385">
        <v>13000</v>
      </c>
      <c r="L11" s="1385">
        <v>2100</v>
      </c>
      <c r="M11" s="1385"/>
      <c r="N11" s="1385"/>
      <c r="O11" s="653"/>
      <c r="Q11" s="1370"/>
      <c r="S11" s="337"/>
    </row>
    <row r="12" spans="1:256" ht="20.100000000000001" customHeight="1">
      <c r="A12" s="350"/>
      <c r="B12" s="2182" t="s">
        <v>2230</v>
      </c>
      <c r="C12" s="2183"/>
      <c r="D12" s="2183"/>
      <c r="E12" s="2184"/>
      <c r="F12" s="1385">
        <v>2000</v>
      </c>
      <c r="G12" s="1385">
        <v>1200</v>
      </c>
      <c r="H12" s="1385">
        <v>180</v>
      </c>
      <c r="I12" s="1385">
        <v>6</v>
      </c>
      <c r="J12" s="1385">
        <v>40</v>
      </c>
      <c r="K12" s="1385">
        <v>3600</v>
      </c>
      <c r="L12" s="1385">
        <v>800</v>
      </c>
      <c r="M12" s="1385"/>
      <c r="N12" s="1385"/>
      <c r="O12" s="653"/>
      <c r="Q12" s="1370"/>
      <c r="S12" s="337"/>
    </row>
    <row r="13" spans="1:256" ht="25.5" customHeight="1">
      <c r="A13" s="373"/>
      <c r="B13" s="2182" t="s">
        <v>2231</v>
      </c>
      <c r="C13" s="2183"/>
      <c r="D13" s="2183"/>
      <c r="E13" s="2184"/>
      <c r="F13" s="1385">
        <v>4400</v>
      </c>
      <c r="G13" s="1385">
        <v>2440</v>
      </c>
      <c r="H13" s="1385">
        <v>300</v>
      </c>
      <c r="I13" s="1385">
        <v>12</v>
      </c>
      <c r="J13" s="1385">
        <v>96</v>
      </c>
      <c r="K13" s="1385">
        <v>6000</v>
      </c>
      <c r="L13" s="1385">
        <v>1959.9999999999998</v>
      </c>
      <c r="M13" s="1385"/>
      <c r="N13" s="1385"/>
      <c r="O13" s="1459"/>
      <c r="Q13" s="1370"/>
      <c r="S13" s="337"/>
    </row>
    <row r="14" spans="1:256" ht="20.100000000000001" customHeight="1">
      <c r="A14" s="350"/>
      <c r="B14" s="2182" t="s">
        <v>2232</v>
      </c>
      <c r="C14" s="2183"/>
      <c r="D14" s="2183"/>
      <c r="E14" s="2184"/>
      <c r="F14" s="1385">
        <v>800</v>
      </c>
      <c r="G14" s="1385">
        <v>360</v>
      </c>
      <c r="H14" s="1385">
        <v>100</v>
      </c>
      <c r="I14" s="1385">
        <v>6</v>
      </c>
      <c r="J14" s="1385">
        <v>40</v>
      </c>
      <c r="K14" s="1385">
        <v>1600</v>
      </c>
      <c r="L14" s="1385">
        <v>440</v>
      </c>
      <c r="M14" s="1385"/>
      <c r="N14" s="1385"/>
      <c r="O14" s="1459"/>
      <c r="Q14" s="1370"/>
      <c r="S14" s="565"/>
    </row>
    <row r="15" spans="1:256" ht="20.100000000000001" customHeight="1">
      <c r="A15" s="373"/>
      <c r="B15" s="2182" t="s">
        <v>2233</v>
      </c>
      <c r="C15" s="2183"/>
      <c r="D15" s="2183"/>
      <c r="E15" s="2184"/>
      <c r="F15" s="1385">
        <v>8000</v>
      </c>
      <c r="G15" s="1385">
        <v>3800</v>
      </c>
      <c r="H15" s="1385">
        <v>320</v>
      </c>
      <c r="I15" s="1385">
        <v>12</v>
      </c>
      <c r="J15" s="1385">
        <v>100</v>
      </c>
      <c r="K15" s="1385">
        <v>7000</v>
      </c>
      <c r="L15" s="1385">
        <v>3800</v>
      </c>
      <c r="M15" s="1385"/>
      <c r="N15" s="1385"/>
      <c r="O15" s="1459"/>
      <c r="Q15" s="1370"/>
      <c r="S15" s="565"/>
      <c r="U15" s="337">
        <v>8900</v>
      </c>
      <c r="V15" s="337">
        <v>1200</v>
      </c>
    </row>
    <row r="16" spans="1:256" ht="20.100000000000001" customHeight="1">
      <c r="A16" s="373"/>
      <c r="B16" s="2182" t="s">
        <v>2234</v>
      </c>
      <c r="C16" s="2183"/>
      <c r="D16" s="2183"/>
      <c r="E16" s="2184"/>
      <c r="F16" s="1385"/>
      <c r="G16" s="1385"/>
      <c r="H16" s="1385"/>
      <c r="I16" s="1385">
        <v>70</v>
      </c>
      <c r="J16" s="1385">
        <v>270</v>
      </c>
      <c r="K16" s="1385">
        <v>5400</v>
      </c>
      <c r="L16" s="1385"/>
      <c r="M16" s="1385">
        <v>540</v>
      </c>
      <c r="N16" s="1385">
        <v>450</v>
      </c>
      <c r="O16" s="1459"/>
      <c r="Q16" s="1370"/>
      <c r="S16" s="565"/>
      <c r="W16" s="337">
        <v>240</v>
      </c>
    </row>
    <row r="17" spans="1:21" ht="42.75" customHeight="1">
      <c r="A17" s="373"/>
      <c r="B17" s="2195" t="s">
        <v>2235</v>
      </c>
      <c r="C17" s="2196"/>
      <c r="D17" s="2196"/>
      <c r="E17" s="2197"/>
      <c r="F17" s="1385">
        <v>2600</v>
      </c>
      <c r="G17" s="1385">
        <v>400</v>
      </c>
      <c r="H17" s="1385"/>
      <c r="I17" s="1385"/>
      <c r="J17" s="1385"/>
      <c r="K17" s="1385"/>
      <c r="L17" s="1385"/>
      <c r="M17" s="1385"/>
      <c r="N17" s="1385"/>
      <c r="O17" s="654">
        <v>1000</v>
      </c>
      <c r="Q17" s="1370"/>
      <c r="S17" s="565"/>
    </row>
    <row r="18" spans="1:21" ht="20.100000000000001" customHeight="1" thickBot="1">
      <c r="A18" s="373"/>
      <c r="B18" s="2192" t="s">
        <v>1010</v>
      </c>
      <c r="C18" s="2193"/>
      <c r="D18" s="2193"/>
      <c r="E18" s="2194"/>
      <c r="F18" s="1398">
        <f>SUM(F11:F17)</f>
        <v>22400</v>
      </c>
      <c r="G18" s="1398">
        <f t="shared" ref="G18:N18" si="0">SUM(G11:G17)</f>
        <v>10700</v>
      </c>
      <c r="H18" s="1398">
        <f t="shared" si="0"/>
        <v>1400</v>
      </c>
      <c r="I18" s="1398">
        <f t="shared" si="0"/>
        <v>156</v>
      </c>
      <c r="J18" s="1398">
        <f t="shared" si="0"/>
        <v>986</v>
      </c>
      <c r="K18" s="1398">
        <f t="shared" si="0"/>
        <v>36600</v>
      </c>
      <c r="L18" s="1398">
        <f t="shared" si="0"/>
        <v>9100</v>
      </c>
      <c r="M18" s="1398">
        <f t="shared" si="0"/>
        <v>540</v>
      </c>
      <c r="N18" s="1398">
        <f t="shared" si="0"/>
        <v>450</v>
      </c>
      <c r="O18" s="1460">
        <f>SUM(O11:O17)</f>
        <v>1000</v>
      </c>
      <c r="Q18" s="1370"/>
      <c r="S18" s="565"/>
      <c r="T18" s="337">
        <v>900</v>
      </c>
    </row>
    <row r="19" spans="1:21" ht="27" customHeight="1">
      <c r="A19" s="373"/>
      <c r="B19" s="1258"/>
      <c r="C19" s="1258"/>
      <c r="D19" s="1258"/>
      <c r="E19" s="1258"/>
      <c r="F19" s="1258"/>
      <c r="G19" s="1258"/>
      <c r="H19" s="1258"/>
      <c r="I19" s="1258"/>
      <c r="K19" s="1091"/>
      <c r="L19" s="1258"/>
      <c r="M19" s="1344"/>
      <c r="N19" s="1258"/>
      <c r="O19" s="1370"/>
      <c r="Q19" s="1370"/>
      <c r="S19" s="337"/>
    </row>
    <row r="20" spans="1:21" ht="27" customHeight="1">
      <c r="A20" s="373"/>
      <c r="P20" s="1344"/>
      <c r="Q20" s="1258"/>
      <c r="S20" s="565"/>
    </row>
    <row r="21" spans="1:21" ht="20.100000000000001" customHeight="1">
      <c r="A21" s="350"/>
      <c r="E21" s="1251"/>
      <c r="F21" s="1251"/>
      <c r="G21" s="1251"/>
      <c r="K21" s="337"/>
      <c r="L21" s="337"/>
      <c r="M21" s="337"/>
      <c r="N21" s="337"/>
      <c r="O21" s="337"/>
      <c r="P21" s="1370"/>
      <c r="Q21" s="1370"/>
      <c r="S21" s="565"/>
    </row>
    <row r="22" spans="1:21" ht="38.25" customHeight="1">
      <c r="A22" s="350"/>
      <c r="E22" s="1251"/>
      <c r="F22" s="1251"/>
      <c r="G22" s="1251"/>
      <c r="I22" s="1251"/>
      <c r="J22" s="1251"/>
      <c r="K22" s="337"/>
      <c r="L22" s="337"/>
      <c r="M22" s="337"/>
      <c r="N22" s="337"/>
      <c r="O22" s="337"/>
      <c r="S22" s="565"/>
    </row>
    <row r="23" spans="1:21" ht="20.100000000000001" customHeight="1">
      <c r="A23" s="350"/>
      <c r="E23" s="1251"/>
      <c r="F23" s="1251"/>
      <c r="G23" s="1251"/>
      <c r="H23" s="1251"/>
      <c r="I23" s="1251"/>
      <c r="J23" s="1251"/>
      <c r="K23" s="337"/>
      <c r="L23" s="337"/>
      <c r="M23" s="337"/>
      <c r="N23" s="337"/>
      <c r="O23" s="337"/>
      <c r="S23" s="565"/>
    </row>
    <row r="24" spans="1:21" ht="20.100000000000001" customHeight="1">
      <c r="A24" s="373"/>
      <c r="E24" s="1251"/>
      <c r="F24" s="1251"/>
      <c r="G24" s="1251"/>
      <c r="H24" s="1251"/>
      <c r="I24" s="1251"/>
      <c r="J24" s="1251"/>
      <c r="K24" s="337"/>
      <c r="L24" s="337"/>
      <c r="M24" s="337"/>
      <c r="N24" s="337"/>
      <c r="O24" s="337"/>
      <c r="S24" s="565"/>
      <c r="U24" s="337">
        <v>1120</v>
      </c>
    </row>
    <row r="25" spans="1:21" ht="27" customHeight="1">
      <c r="A25" s="373"/>
      <c r="E25" s="1236"/>
      <c r="F25" s="1236"/>
      <c r="G25" s="1236"/>
      <c r="H25" s="1251"/>
      <c r="I25" s="1251"/>
      <c r="J25" s="1251"/>
      <c r="K25" s="337"/>
      <c r="L25" s="337"/>
      <c r="M25" s="337"/>
      <c r="N25" s="337"/>
      <c r="O25" s="337"/>
      <c r="S25" s="565"/>
      <c r="U25" s="337">
        <v>800</v>
      </c>
    </row>
    <row r="26" spans="1:21" ht="20.100000000000001" customHeight="1">
      <c r="A26" s="373"/>
      <c r="E26" s="1236"/>
      <c r="F26" s="1236"/>
      <c r="G26" s="1236"/>
      <c r="H26" s="1251"/>
      <c r="I26" s="1251"/>
      <c r="J26" s="1251"/>
      <c r="K26" s="337"/>
      <c r="L26" s="337"/>
      <c r="M26" s="337"/>
      <c r="N26" s="337"/>
      <c r="O26" s="337"/>
      <c r="S26" s="565"/>
      <c r="U26" s="337">
        <v>700</v>
      </c>
    </row>
    <row r="27" spans="1:21" ht="20.100000000000001" customHeight="1">
      <c r="A27" s="373"/>
      <c r="E27" s="1461"/>
      <c r="F27" s="1461"/>
      <c r="G27" s="1461"/>
      <c r="H27" s="1236"/>
      <c r="I27" s="1236"/>
      <c r="J27" s="1236"/>
      <c r="K27" s="1461"/>
      <c r="L27" s="337"/>
      <c r="M27" s="337"/>
      <c r="N27" s="337"/>
      <c r="O27" s="1461"/>
      <c r="S27" s="565"/>
      <c r="U27" s="337">
        <v>960</v>
      </c>
    </row>
    <row r="28" spans="1:21" ht="20.100000000000001" customHeight="1">
      <c r="A28" s="373"/>
      <c r="E28" s="337"/>
      <c r="F28" s="337"/>
      <c r="G28" s="337"/>
      <c r="H28" s="1236"/>
      <c r="I28" s="1236"/>
      <c r="J28" s="1236"/>
      <c r="S28" s="565"/>
    </row>
    <row r="29" spans="1:21" ht="20.100000000000001" customHeight="1">
      <c r="A29" s="350"/>
      <c r="R29" s="337"/>
      <c r="S29" s="565"/>
    </row>
    <row r="30" spans="1:21" ht="19.5" customHeight="1">
      <c r="A30" s="387"/>
      <c r="R30" s="337"/>
      <c r="S30" s="565"/>
    </row>
    <row r="31" spans="1:21" ht="36.75" customHeight="1">
      <c r="A31" s="388"/>
      <c r="R31" s="337"/>
      <c r="S31" s="565"/>
    </row>
    <row r="32" spans="1:21" ht="31.5" customHeight="1">
      <c r="A32" s="388"/>
      <c r="R32" s="337"/>
      <c r="S32" s="565"/>
    </row>
    <row r="33" spans="1:19" ht="31.5" customHeight="1">
      <c r="A33" s="388"/>
      <c r="R33" s="337"/>
      <c r="S33" s="390"/>
    </row>
    <row r="34" spans="1:19" ht="31.5" customHeight="1">
      <c r="A34" s="388"/>
      <c r="R34" s="337"/>
      <c r="S34" s="391"/>
    </row>
    <row r="35" spans="1:19" ht="24.75" customHeight="1">
      <c r="A35" s="389"/>
      <c r="R35" s="337"/>
      <c r="S35" s="391"/>
    </row>
    <row r="36" spans="1:19" ht="24.75" customHeight="1">
      <c r="A36" s="389"/>
      <c r="R36" s="337"/>
      <c r="S36" s="391"/>
    </row>
    <row r="37" spans="1:19" ht="28.5" customHeight="1">
      <c r="A37" s="389"/>
      <c r="R37" s="1257"/>
      <c r="S37" s="391"/>
    </row>
    <row r="38" spans="1:19" ht="14.25" customHeight="1">
      <c r="A38" s="389"/>
      <c r="R38" s="1258"/>
    </row>
    <row r="39" spans="1:19" ht="3.75" customHeight="1">
      <c r="A39" s="392"/>
      <c r="R39" s="1370"/>
    </row>
    <row r="40" spans="1:19" ht="6" customHeight="1">
      <c r="A40" s="392"/>
      <c r="R40" s="1370"/>
    </row>
    <row r="41" spans="1:19" ht="1.5" hidden="1" customHeight="1" thickBot="1">
      <c r="A41" s="393"/>
      <c r="R41" s="1259"/>
    </row>
    <row r="42" spans="1:19" ht="15">
      <c r="A42"/>
      <c r="B42"/>
      <c r="C42"/>
      <c r="D42"/>
      <c r="E42"/>
      <c r="F42"/>
      <c r="G42"/>
      <c r="H42"/>
      <c r="I42"/>
      <c r="J42"/>
      <c r="K42"/>
      <c r="L42"/>
      <c r="M42"/>
      <c r="N42"/>
      <c r="O42"/>
      <c r="P42"/>
      <c r="Q42"/>
      <c r="R42"/>
    </row>
    <row r="52" spans="1:1" ht="15" customHeight="1">
      <c r="A52"/>
    </row>
    <row r="53" spans="1:1" ht="15" customHeight="1"/>
    <row r="54" spans="1:1" ht="15" customHeight="1"/>
    <row r="55" spans="1:1" ht="15" customHeight="1"/>
    <row r="56" spans="1:1" ht="15" customHeight="1"/>
    <row r="57" spans="1:1" ht="15" customHeight="1"/>
    <row r="58" spans="1:1" ht="15" customHeight="1"/>
    <row r="59" spans="1:1" ht="15" customHeight="1"/>
    <row r="60" spans="1:1" ht="15" customHeight="1"/>
    <row r="61" spans="1:1" ht="12.75" customHeight="1"/>
  </sheetData>
  <mergeCells count="29">
    <mergeCell ref="B18:E18"/>
    <mergeCell ref="B12:E12"/>
    <mergeCell ref="B13:E13"/>
    <mergeCell ref="B14:E14"/>
    <mergeCell ref="B15:E15"/>
    <mergeCell ref="B16:E16"/>
    <mergeCell ref="B17:E17"/>
    <mergeCell ref="O5:O8"/>
    <mergeCell ref="B9:E10"/>
    <mergeCell ref="F9:F10"/>
    <mergeCell ref="G9:G10"/>
    <mergeCell ref="H9:H10"/>
    <mergeCell ref="I9:I10"/>
    <mergeCell ref="J9:J10"/>
    <mergeCell ref="K9:K10"/>
    <mergeCell ref="L9:L10"/>
    <mergeCell ref="M9:M10"/>
    <mergeCell ref="N9:N10"/>
    <mergeCell ref="O9:O10"/>
    <mergeCell ref="K5:K8"/>
    <mergeCell ref="B11:E11"/>
    <mergeCell ref="L5:L8"/>
    <mergeCell ref="M5:M8"/>
    <mergeCell ref="N5:N8"/>
    <mergeCell ref="F5:F8"/>
    <mergeCell ref="G5:G8"/>
    <mergeCell ref="H5:H8"/>
    <mergeCell ref="I5:I8"/>
    <mergeCell ref="J5:J8"/>
  </mergeCells>
  <printOptions horizontalCentered="1"/>
  <pageMargins left="0.19685039370078741" right="0.19685039370078741" top="0.19685039370078741" bottom="0.19685039370078741" header="0" footer="0"/>
  <pageSetup paperSize="9" scale="80" orientation="portrait" horizontalDpi="4294967295"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W58"/>
  <sheetViews>
    <sheetView view="pageBreakPreview" zoomScaleSheetLayoutView="100" workbookViewId="0">
      <selection sqref="A1:XFD1048576"/>
    </sheetView>
  </sheetViews>
  <sheetFormatPr defaultColWidth="6.140625" defaultRowHeight="12.75"/>
  <cols>
    <col min="1" max="4" width="6.140625" style="575"/>
    <col min="5" max="5" width="7" style="575" customWidth="1"/>
    <col min="6" max="6" width="9.140625" style="575" customWidth="1"/>
    <col min="7" max="7" width="6.7109375" style="575" bestFit="1" customWidth="1"/>
    <col min="8" max="8" width="8" style="575" customWidth="1"/>
    <col min="9" max="10" width="6.7109375" style="575" bestFit="1" customWidth="1"/>
    <col min="11" max="11" width="8.140625" style="575" bestFit="1" customWidth="1"/>
    <col min="12" max="12" width="8.140625" style="575" customWidth="1"/>
    <col min="13" max="13" width="7.7109375" style="575" customWidth="1"/>
    <col min="14" max="14" width="9" style="575" customWidth="1"/>
    <col min="15" max="15" width="5.42578125" style="575" customWidth="1"/>
    <col min="16" max="16" width="4.85546875" style="575" customWidth="1"/>
    <col min="17" max="17" width="3" style="575" customWidth="1"/>
    <col min="18" max="18" width="4.5703125" style="575" customWidth="1"/>
    <col min="19" max="19" width="4.140625" style="575" customWidth="1"/>
    <col min="20" max="20" width="1.5703125" style="575" customWidth="1"/>
    <col min="21" max="21" width="6.140625" style="337"/>
    <col min="22" max="22" width="11.140625" style="337" bestFit="1" customWidth="1"/>
    <col min="23" max="24" width="6.28515625" style="337" bestFit="1" customWidth="1"/>
    <col min="25" max="179" width="6.140625" style="337"/>
    <col min="180" max="180" width="8.42578125" style="337" customWidth="1"/>
    <col min="181" max="184" width="6.140625" style="337"/>
    <col min="185" max="185" width="8.85546875" style="337" customWidth="1"/>
    <col min="186" max="187" width="6.140625" style="337"/>
    <col min="188" max="188" width="5.28515625" style="337" customWidth="1"/>
    <col min="189" max="192" width="6.140625" style="337"/>
    <col min="193" max="193" width="7.5703125" style="337" customWidth="1"/>
    <col min="194" max="16384" width="6.140625" style="337"/>
  </cols>
  <sheetData>
    <row r="1" spans="1:257" ht="27" customHeight="1">
      <c r="A1" s="559"/>
      <c r="B1" s="560"/>
      <c r="C1" s="560"/>
      <c r="D1" s="560"/>
      <c r="E1" s="560"/>
      <c r="F1" s="560"/>
      <c r="G1" s="560"/>
      <c r="H1" s="560"/>
      <c r="I1" s="560"/>
      <c r="J1" s="560"/>
      <c r="K1" s="560"/>
      <c r="L1" s="560"/>
      <c r="M1" s="560"/>
      <c r="N1" s="560"/>
      <c r="O1" s="560"/>
      <c r="P1" s="560"/>
      <c r="Q1" s="560"/>
      <c r="R1" s="560"/>
      <c r="S1" s="560"/>
      <c r="T1" s="561"/>
      <c r="U1" s="1337"/>
      <c r="V1" s="1337"/>
      <c r="W1" s="1337"/>
      <c r="X1" s="1337"/>
      <c r="Y1" s="1337"/>
      <c r="Z1" s="1337"/>
      <c r="AA1" s="1337"/>
      <c r="AB1" s="1337"/>
      <c r="AC1" s="1337"/>
      <c r="AD1" s="1337"/>
      <c r="AE1" s="1337"/>
      <c r="AF1" s="1337"/>
      <c r="AG1" s="1337"/>
      <c r="AH1" s="1337"/>
      <c r="AI1" s="1337"/>
      <c r="AJ1" s="1337"/>
      <c r="AK1" s="1337"/>
      <c r="AL1" s="1337"/>
      <c r="AM1" s="1337"/>
      <c r="AN1" s="1337"/>
      <c r="AO1" s="1337"/>
      <c r="AP1" s="1337"/>
      <c r="AQ1" s="1337"/>
      <c r="AR1" s="1337"/>
      <c r="AS1" s="1337"/>
      <c r="AT1" s="1337"/>
      <c r="AU1" s="1337"/>
      <c r="AV1" s="1337"/>
      <c r="AW1" s="1337"/>
      <c r="AX1" s="1337"/>
      <c r="AY1" s="1337"/>
      <c r="AZ1" s="1337"/>
      <c r="BA1" s="1337"/>
      <c r="BB1" s="1337"/>
      <c r="BC1" s="1337"/>
      <c r="BD1" s="1337"/>
      <c r="BE1" s="1337"/>
      <c r="BF1" s="1337"/>
      <c r="BG1" s="1337"/>
      <c r="BH1" s="1337"/>
      <c r="BI1" s="1337"/>
      <c r="BJ1" s="1337"/>
      <c r="BK1" s="1337"/>
      <c r="BL1" s="1337"/>
      <c r="BM1" s="1337"/>
      <c r="BN1" s="1337"/>
      <c r="BO1" s="1337"/>
      <c r="BP1" s="1337"/>
      <c r="BQ1" s="1337"/>
      <c r="BR1" s="1337"/>
      <c r="BS1" s="1337"/>
      <c r="BT1" s="1337"/>
      <c r="BU1" s="1337"/>
      <c r="BV1" s="1337"/>
      <c r="BW1" s="1337"/>
      <c r="BX1" s="1337"/>
      <c r="BY1" s="1337"/>
      <c r="BZ1" s="1337"/>
      <c r="CA1" s="1337"/>
      <c r="CB1" s="1337"/>
      <c r="CC1" s="1337"/>
      <c r="CD1" s="1337"/>
      <c r="CE1" s="1337"/>
      <c r="CF1" s="1337"/>
      <c r="CG1" s="1337"/>
      <c r="CH1" s="1337"/>
      <c r="CI1" s="1337"/>
      <c r="CJ1" s="1337"/>
      <c r="CK1" s="1337"/>
      <c r="CL1" s="1337"/>
      <c r="CM1" s="1337"/>
      <c r="CN1" s="1337"/>
      <c r="CO1" s="1337"/>
      <c r="CP1" s="1337"/>
      <c r="CQ1" s="1337"/>
      <c r="CR1" s="1337"/>
      <c r="CS1" s="1337"/>
      <c r="CT1" s="1337"/>
      <c r="CU1" s="1337"/>
      <c r="CV1" s="1337"/>
      <c r="CW1" s="1337"/>
      <c r="CX1" s="1337"/>
      <c r="CY1" s="1337"/>
      <c r="CZ1" s="1337"/>
      <c r="DA1" s="1337"/>
      <c r="DB1" s="1337"/>
      <c r="DC1" s="1337"/>
      <c r="DD1" s="1337"/>
      <c r="DE1" s="1337"/>
      <c r="DF1" s="1337"/>
      <c r="DG1" s="1337"/>
      <c r="DH1" s="1337"/>
      <c r="DI1" s="1337"/>
      <c r="DJ1" s="1337"/>
      <c r="DK1" s="1337"/>
      <c r="DL1" s="1337"/>
      <c r="DM1" s="1337"/>
      <c r="DN1" s="1337"/>
      <c r="DO1" s="1337"/>
      <c r="DP1" s="1337"/>
      <c r="DQ1" s="1337"/>
      <c r="DR1" s="1337"/>
      <c r="DS1" s="1337"/>
      <c r="DT1" s="1337"/>
      <c r="DU1" s="1337"/>
      <c r="DV1" s="1337"/>
      <c r="DW1" s="1337"/>
      <c r="DX1" s="1337"/>
      <c r="DY1" s="1337"/>
      <c r="DZ1" s="1337"/>
      <c r="EA1" s="1337"/>
      <c r="EB1" s="1337"/>
      <c r="EC1" s="1337"/>
      <c r="ED1" s="1337"/>
      <c r="EE1" s="1337"/>
      <c r="EF1" s="1337"/>
      <c r="EG1" s="1337"/>
      <c r="EH1" s="1337"/>
      <c r="EI1" s="1337"/>
      <c r="EJ1" s="1337"/>
      <c r="EK1" s="1337"/>
      <c r="EL1" s="1337"/>
      <c r="EM1" s="1337"/>
      <c r="EN1" s="1337"/>
      <c r="EO1" s="1337"/>
      <c r="EP1" s="1337"/>
      <c r="EQ1" s="1337"/>
      <c r="ER1" s="1337"/>
      <c r="ES1" s="1337"/>
      <c r="ET1" s="1337"/>
      <c r="EU1" s="1337"/>
      <c r="EV1" s="1337"/>
      <c r="EW1" s="1337"/>
      <c r="EX1" s="1337"/>
      <c r="EY1" s="1337"/>
      <c r="EZ1" s="1337"/>
      <c r="FA1" s="1337"/>
      <c r="FB1" s="1337"/>
      <c r="FC1" s="1337"/>
      <c r="FD1" s="1337"/>
      <c r="FE1" s="1337"/>
      <c r="FF1" s="1337"/>
      <c r="FG1" s="1337"/>
      <c r="FH1" s="1337"/>
      <c r="FI1" s="1337"/>
      <c r="FJ1" s="1337"/>
      <c r="FK1" s="1337"/>
      <c r="FL1" s="1337"/>
      <c r="FM1" s="1337"/>
      <c r="FN1" s="1337"/>
      <c r="FO1" s="1337"/>
      <c r="FP1" s="1337"/>
      <c r="FQ1" s="1337"/>
      <c r="FR1" s="1337"/>
      <c r="FS1" s="1337"/>
      <c r="FT1" s="1337"/>
      <c r="FU1" s="1337"/>
      <c r="FV1" s="1337"/>
      <c r="FW1" s="1337"/>
      <c r="FX1" s="1337"/>
      <c r="FY1" s="1337"/>
      <c r="FZ1" s="1337"/>
      <c r="GA1" s="1337"/>
      <c r="GB1" s="1337"/>
      <c r="GC1" s="1337"/>
      <c r="GD1" s="1337"/>
      <c r="GE1" s="1337"/>
      <c r="GF1" s="1337"/>
      <c r="GG1" s="1337"/>
      <c r="GH1" s="1337"/>
      <c r="GI1" s="1337"/>
      <c r="GJ1" s="1337"/>
      <c r="GK1" s="1337"/>
      <c r="GL1" s="1337"/>
      <c r="GM1" s="1337"/>
      <c r="GN1" s="1337"/>
      <c r="GO1" s="1337"/>
      <c r="GP1" s="1337"/>
      <c r="GQ1" s="1337"/>
      <c r="GR1" s="1337"/>
      <c r="GS1" s="1337"/>
      <c r="GT1" s="1337"/>
      <c r="GU1" s="1337"/>
      <c r="GV1" s="1337"/>
      <c r="GW1" s="1337"/>
      <c r="GX1" s="1337"/>
      <c r="GY1" s="1337"/>
      <c r="GZ1" s="1337"/>
      <c r="HA1" s="1337"/>
      <c r="HB1" s="1337"/>
      <c r="HC1" s="1337"/>
      <c r="HD1" s="1337"/>
      <c r="HE1" s="1337"/>
      <c r="HF1" s="1337"/>
      <c r="HG1" s="1337"/>
      <c r="HH1" s="1337"/>
      <c r="HI1" s="1337"/>
      <c r="HJ1" s="1337"/>
      <c r="HK1" s="1337"/>
      <c r="HL1" s="1337"/>
      <c r="HM1" s="1337"/>
      <c r="HN1" s="1337"/>
      <c r="HO1" s="1337"/>
      <c r="HP1" s="1337"/>
      <c r="HQ1" s="1337"/>
      <c r="HR1" s="1337"/>
      <c r="HS1" s="1337"/>
      <c r="HT1" s="1337"/>
      <c r="HU1" s="1337"/>
      <c r="HV1" s="1337"/>
      <c r="HW1" s="1337"/>
      <c r="HX1" s="1337"/>
      <c r="HY1" s="1337"/>
      <c r="HZ1" s="1337"/>
      <c r="IA1" s="1337"/>
      <c r="IB1" s="1337"/>
      <c r="IC1" s="1337"/>
      <c r="ID1" s="1337"/>
      <c r="IE1" s="1337"/>
      <c r="IF1" s="1337"/>
      <c r="IG1" s="1337"/>
      <c r="IH1" s="1337"/>
      <c r="II1" s="1337"/>
      <c r="IJ1" s="1337"/>
      <c r="IK1" s="1337"/>
      <c r="IL1" s="1337"/>
      <c r="IM1" s="1337"/>
      <c r="IN1" s="1337"/>
      <c r="IO1" s="1337"/>
      <c r="IP1" s="1337"/>
      <c r="IQ1" s="1337"/>
      <c r="IR1" s="1337"/>
      <c r="IS1" s="1337"/>
      <c r="IT1" s="1337"/>
      <c r="IU1" s="1337"/>
      <c r="IV1" s="1337"/>
      <c r="IW1" s="1337"/>
    </row>
    <row r="2" spans="1:257" s="348" customFormat="1" ht="18" customHeight="1" thickBot="1">
      <c r="A2" s="643"/>
      <c r="C2" s="1427"/>
      <c r="D2" s="1427"/>
      <c r="E2" s="1427"/>
      <c r="F2" s="1427"/>
      <c r="G2" s="1427"/>
      <c r="H2" s="1427"/>
      <c r="I2" s="1427"/>
      <c r="J2" s="1427"/>
      <c r="K2" s="1427"/>
      <c r="L2" s="1427"/>
      <c r="M2" s="1427"/>
      <c r="N2" s="1427"/>
      <c r="O2" s="1357"/>
      <c r="P2" s="1357"/>
      <c r="Q2" s="1427"/>
      <c r="R2" s="1427" t="s">
        <v>997</v>
      </c>
      <c r="S2" s="1427"/>
      <c r="T2" s="644"/>
    </row>
    <row r="3" spans="1:257" s="348" customFormat="1" ht="33" customHeight="1">
      <c r="A3" s="645"/>
      <c r="B3" s="349"/>
      <c r="C3" s="349"/>
      <c r="D3" s="349"/>
      <c r="E3" s="349"/>
      <c r="F3" s="2127" t="s">
        <v>2061</v>
      </c>
      <c r="G3" s="2129" t="s">
        <v>2062</v>
      </c>
      <c r="H3" s="2129" t="s">
        <v>2063</v>
      </c>
      <c r="I3" s="2129" t="s">
        <v>2064</v>
      </c>
      <c r="J3" s="2129" t="s">
        <v>2065</v>
      </c>
      <c r="K3" s="2129" t="s">
        <v>2066</v>
      </c>
      <c r="L3" s="2129" t="s">
        <v>1088</v>
      </c>
      <c r="M3" s="2129" t="s">
        <v>2236</v>
      </c>
      <c r="N3" s="2200" t="s">
        <v>2137</v>
      </c>
      <c r="O3" s="349"/>
      <c r="T3" s="651"/>
    </row>
    <row r="4" spans="1:257" s="348" customFormat="1" ht="20.100000000000001" customHeight="1">
      <c r="A4" s="645"/>
      <c r="B4" s="349"/>
      <c r="C4" s="349"/>
      <c r="D4" s="349"/>
      <c r="E4" s="349"/>
      <c r="F4" s="2128"/>
      <c r="G4" s="2130"/>
      <c r="H4" s="2130"/>
      <c r="I4" s="2130"/>
      <c r="J4" s="2130"/>
      <c r="K4" s="2130"/>
      <c r="L4" s="2130"/>
      <c r="M4" s="2130"/>
      <c r="N4" s="2069"/>
      <c r="O4" s="349"/>
      <c r="T4" s="651"/>
    </row>
    <row r="5" spans="1:257" s="348" customFormat="1" ht="20.100000000000001" customHeight="1">
      <c r="A5" s="645"/>
      <c r="F5" s="2128"/>
      <c r="G5" s="2130"/>
      <c r="H5" s="2130"/>
      <c r="I5" s="2130"/>
      <c r="J5" s="2130"/>
      <c r="K5" s="2130"/>
      <c r="L5" s="2130"/>
      <c r="M5" s="2130"/>
      <c r="N5" s="2069"/>
      <c r="T5" s="651"/>
    </row>
    <row r="6" spans="1:257" s="348" customFormat="1" ht="20.100000000000001" customHeight="1" thickBot="1">
      <c r="A6" s="645"/>
      <c r="F6" s="2198"/>
      <c r="G6" s="2199"/>
      <c r="H6" s="2199"/>
      <c r="I6" s="2199"/>
      <c r="J6" s="2199"/>
      <c r="K6" s="2199"/>
      <c r="L6" s="2199"/>
      <c r="M6" s="2199"/>
      <c r="N6" s="2201"/>
      <c r="T6" s="651"/>
    </row>
    <row r="7" spans="1:257" s="348" customFormat="1" ht="20.100000000000001" customHeight="1">
      <c r="A7" s="1439"/>
      <c r="B7" s="2202" t="s">
        <v>2183</v>
      </c>
      <c r="C7" s="2203"/>
      <c r="D7" s="2203"/>
      <c r="E7" s="2203"/>
      <c r="F7" s="2176" t="s">
        <v>1142</v>
      </c>
      <c r="G7" s="2176" t="s">
        <v>2072</v>
      </c>
      <c r="H7" s="2176" t="s">
        <v>1154</v>
      </c>
      <c r="I7" s="2176" t="s">
        <v>1142</v>
      </c>
      <c r="J7" s="2176" t="s">
        <v>1142</v>
      </c>
      <c r="K7" s="2176" t="s">
        <v>2149</v>
      </c>
      <c r="L7" s="2176" t="s">
        <v>1224</v>
      </c>
      <c r="M7" s="2176" t="s">
        <v>1224</v>
      </c>
      <c r="N7" s="2059" t="s">
        <v>1154</v>
      </c>
      <c r="O7" s="349"/>
      <c r="T7" s="651"/>
    </row>
    <row r="8" spans="1:257" s="348" customFormat="1" ht="24.75" customHeight="1" thickBot="1">
      <c r="A8" s="1439"/>
      <c r="B8" s="2204"/>
      <c r="C8" s="2172"/>
      <c r="D8" s="2172"/>
      <c r="E8" s="2172"/>
      <c r="F8" s="2172"/>
      <c r="G8" s="2172"/>
      <c r="H8" s="2172"/>
      <c r="I8" s="2172"/>
      <c r="J8" s="2172"/>
      <c r="K8" s="2172"/>
      <c r="L8" s="2172"/>
      <c r="M8" s="2172"/>
      <c r="N8" s="2073"/>
      <c r="O8" s="349"/>
      <c r="T8" s="651"/>
    </row>
    <row r="9" spans="1:257" s="348" customFormat="1" ht="20.100000000000001" customHeight="1">
      <c r="A9" s="645"/>
      <c r="B9" s="2205" t="s">
        <v>2237</v>
      </c>
      <c r="C9" s="2206"/>
      <c r="D9" s="2206"/>
      <c r="E9" s="2206"/>
      <c r="F9" s="1444">
        <v>200</v>
      </c>
      <c r="G9" s="1444">
        <v>5</v>
      </c>
      <c r="H9" s="1444">
        <v>250</v>
      </c>
      <c r="I9" s="1444">
        <v>10</v>
      </c>
      <c r="J9" s="1444">
        <v>180</v>
      </c>
      <c r="K9" s="1444">
        <v>3520</v>
      </c>
      <c r="L9" s="1444">
        <v>60</v>
      </c>
      <c r="M9" s="655">
        <v>60</v>
      </c>
      <c r="N9" s="597">
        <v>336</v>
      </c>
      <c r="O9" s="349"/>
      <c r="T9" s="651"/>
    </row>
    <row r="10" spans="1:257" s="348" customFormat="1" ht="27" customHeight="1">
      <c r="A10" s="645"/>
      <c r="B10" s="2160" t="s">
        <v>2238</v>
      </c>
      <c r="C10" s="2161"/>
      <c r="D10" s="2161"/>
      <c r="E10" s="2161"/>
      <c r="F10" s="1431">
        <v>80</v>
      </c>
      <c r="G10" s="1431"/>
      <c r="H10" s="1431">
        <v>320</v>
      </c>
      <c r="I10" s="1431">
        <v>80</v>
      </c>
      <c r="J10" s="1431">
        <v>8</v>
      </c>
      <c r="K10" s="1431">
        <v>10000</v>
      </c>
      <c r="L10" s="1431">
        <v>200</v>
      </c>
      <c r="M10" s="637">
        <v>200</v>
      </c>
      <c r="N10" s="604">
        <v>448</v>
      </c>
      <c r="O10" s="349"/>
      <c r="T10" s="651"/>
    </row>
    <row r="11" spans="1:257" s="348" customFormat="1" ht="25.5" customHeight="1">
      <c r="A11" s="647"/>
      <c r="B11" s="2155" t="s">
        <v>2239</v>
      </c>
      <c r="C11" s="2156"/>
      <c r="D11" s="2156"/>
      <c r="E11" s="2156"/>
      <c r="F11" s="1431">
        <v>50</v>
      </c>
      <c r="G11" s="1431"/>
      <c r="H11" s="1431">
        <v>80</v>
      </c>
      <c r="I11" s="1431">
        <v>6</v>
      </c>
      <c r="J11" s="1431">
        <v>44</v>
      </c>
      <c r="K11" s="1431">
        <v>1600</v>
      </c>
      <c r="L11" s="1431">
        <v>4</v>
      </c>
      <c r="M11" s="637">
        <v>4</v>
      </c>
      <c r="N11" s="604">
        <v>280</v>
      </c>
      <c r="O11" s="349"/>
      <c r="T11" s="651"/>
    </row>
    <row r="12" spans="1:257" s="348" customFormat="1" ht="34.5" customHeight="1">
      <c r="A12" s="645"/>
      <c r="B12" s="2160" t="s">
        <v>2240</v>
      </c>
      <c r="C12" s="2161"/>
      <c r="D12" s="2161"/>
      <c r="E12" s="2161"/>
      <c r="F12" s="1431">
        <v>1900</v>
      </c>
      <c r="G12" s="1431"/>
      <c r="H12" s="1431">
        <v>4400</v>
      </c>
      <c r="I12" s="1431">
        <v>2400</v>
      </c>
      <c r="J12" s="1431">
        <v>80</v>
      </c>
      <c r="K12" s="1431">
        <v>240000</v>
      </c>
      <c r="L12" s="2207" t="s">
        <v>2241</v>
      </c>
      <c r="M12" s="637">
        <v>480</v>
      </c>
      <c r="N12" s="604"/>
      <c r="O12" s="349"/>
      <c r="T12" s="651"/>
    </row>
    <row r="13" spans="1:257" s="348" customFormat="1" ht="27" customHeight="1">
      <c r="A13" s="647"/>
      <c r="B13" s="2160" t="s">
        <v>2242</v>
      </c>
      <c r="C13" s="2161"/>
      <c r="D13" s="2161"/>
      <c r="E13" s="2161"/>
      <c r="F13" s="1431">
        <v>240</v>
      </c>
      <c r="G13" s="1431"/>
      <c r="H13" s="1431">
        <v>640</v>
      </c>
      <c r="I13" s="1431">
        <v>160</v>
      </c>
      <c r="J13" s="1431">
        <v>8</v>
      </c>
      <c r="K13" s="1431">
        <v>8000</v>
      </c>
      <c r="L13" s="2208"/>
      <c r="M13" s="637">
        <v>64</v>
      </c>
      <c r="N13" s="604"/>
      <c r="O13" s="349"/>
      <c r="T13" s="651"/>
    </row>
    <row r="14" spans="1:257" s="348" customFormat="1" ht="27" customHeight="1">
      <c r="A14" s="647"/>
      <c r="B14" s="2160" t="s">
        <v>2243</v>
      </c>
      <c r="C14" s="2161"/>
      <c r="D14" s="2161"/>
      <c r="E14" s="2161"/>
      <c r="F14" s="1431">
        <v>320</v>
      </c>
      <c r="G14" s="1431"/>
      <c r="H14" s="1431">
        <v>512</v>
      </c>
      <c r="I14" s="1431">
        <v>256</v>
      </c>
      <c r="J14" s="1431">
        <v>12.8</v>
      </c>
      <c r="K14" s="1431">
        <v>12800</v>
      </c>
      <c r="L14" s="2208"/>
      <c r="M14" s="637">
        <v>80</v>
      </c>
      <c r="N14" s="604"/>
      <c r="O14" s="349"/>
      <c r="T14" s="651"/>
    </row>
    <row r="15" spans="1:257" s="348" customFormat="1" ht="20.100000000000001" customHeight="1">
      <c r="A15" s="647"/>
      <c r="B15" s="2160" t="s">
        <v>2244</v>
      </c>
      <c r="C15" s="2161"/>
      <c r="D15" s="2161"/>
      <c r="E15" s="2161"/>
      <c r="F15" s="1431">
        <v>20</v>
      </c>
      <c r="G15" s="1431"/>
      <c r="H15" s="1431">
        <v>60</v>
      </c>
      <c r="I15" s="1431">
        <v>6</v>
      </c>
      <c r="J15" s="1431">
        <v>30</v>
      </c>
      <c r="K15" s="1431">
        <v>1400</v>
      </c>
      <c r="L15" s="1431">
        <v>4</v>
      </c>
      <c r="M15" s="637">
        <v>4</v>
      </c>
      <c r="N15" s="604">
        <f t="shared" ref="N15:N16" si="0">F15*2.8</f>
        <v>56</v>
      </c>
      <c r="O15" s="349"/>
      <c r="T15" s="651"/>
    </row>
    <row r="16" spans="1:257" s="348" customFormat="1" ht="27" customHeight="1">
      <c r="A16" s="647"/>
      <c r="B16" s="2209" t="s">
        <v>2245</v>
      </c>
      <c r="C16" s="2210"/>
      <c r="D16" s="2210"/>
      <c r="E16" s="2210"/>
      <c r="F16" s="1385">
        <v>1600</v>
      </c>
      <c r="G16" s="1385"/>
      <c r="H16" s="1385">
        <f xml:space="preserve"> 1500*3*1.6</f>
        <v>7200</v>
      </c>
      <c r="I16" s="1385">
        <f xml:space="preserve"> 1500*0.05*1.6</f>
        <v>120</v>
      </c>
      <c r="J16" s="1385">
        <f xml:space="preserve"> 1500*0.3*1.6</f>
        <v>720</v>
      </c>
      <c r="K16" s="1385">
        <v>117000</v>
      </c>
      <c r="L16" s="1431">
        <v>84</v>
      </c>
      <c r="M16" s="637">
        <v>84</v>
      </c>
      <c r="N16" s="604">
        <f t="shared" si="0"/>
        <v>4480</v>
      </c>
      <c r="O16" s="349"/>
      <c r="T16" s="651"/>
    </row>
    <row r="17" spans="1:20" s="348" customFormat="1" ht="21.75" customHeight="1" thickBot="1">
      <c r="A17" s="647"/>
      <c r="B17" s="2180" t="s">
        <v>1010</v>
      </c>
      <c r="C17" s="2181"/>
      <c r="D17" s="2181"/>
      <c r="E17" s="2181"/>
      <c r="F17" s="1433">
        <f>SUM(F9:F16)</f>
        <v>4410</v>
      </c>
      <c r="G17" s="1433">
        <f t="shared" ref="G17:M17" si="1">SUM(G9:G16)</f>
        <v>5</v>
      </c>
      <c r="H17" s="1433">
        <f t="shared" si="1"/>
        <v>13462</v>
      </c>
      <c r="I17" s="1433">
        <f t="shared" si="1"/>
        <v>3038</v>
      </c>
      <c r="J17" s="1433">
        <f t="shared" si="1"/>
        <v>1082.8</v>
      </c>
      <c r="K17" s="1433">
        <f t="shared" si="1"/>
        <v>394320</v>
      </c>
      <c r="L17" s="1433">
        <f t="shared" si="1"/>
        <v>352</v>
      </c>
      <c r="M17" s="1433">
        <f t="shared" si="1"/>
        <v>976</v>
      </c>
      <c r="N17" s="609">
        <f>SUM(N9:N16)</f>
        <v>5600</v>
      </c>
      <c r="O17" s="349"/>
      <c r="T17" s="651"/>
    </row>
    <row r="18" spans="1:20" s="348" customFormat="1" ht="27" customHeight="1">
      <c r="A18" s="647"/>
      <c r="N18" s="1453"/>
      <c r="T18" s="651"/>
    </row>
    <row r="19" spans="1:20" s="348" customFormat="1" ht="20.100000000000001" customHeight="1">
      <c r="A19" s="645"/>
      <c r="B19" s="1462"/>
      <c r="C19" s="1462"/>
      <c r="D19" s="1462"/>
      <c r="E19" s="1462"/>
      <c r="F19" s="1463"/>
      <c r="G19" s="1463"/>
      <c r="H19" s="1463"/>
      <c r="I19" s="1463"/>
      <c r="J19" s="1453"/>
      <c r="K19" s="1453"/>
      <c r="L19" s="1453"/>
      <c r="M19" s="1453"/>
      <c r="N19" s="1453"/>
      <c r="O19" s="1453"/>
      <c r="P19" s="1453"/>
      <c r="Q19" s="1453"/>
      <c r="R19" s="1453"/>
      <c r="T19" s="651"/>
    </row>
    <row r="20" spans="1:20" s="348" customFormat="1" ht="18.75" customHeight="1">
      <c r="A20" s="645"/>
      <c r="B20" s="1462"/>
      <c r="D20" s="1462"/>
      <c r="E20" s="1462"/>
      <c r="F20" s="1463"/>
      <c r="G20" s="1463"/>
      <c r="H20" s="1462"/>
      <c r="I20" s="1462"/>
      <c r="J20" s="1464"/>
      <c r="K20" s="1464"/>
      <c r="L20" s="1464"/>
      <c r="M20" s="1464"/>
      <c r="N20" s="1453"/>
      <c r="O20" s="1464"/>
      <c r="P20" s="1464"/>
      <c r="Q20" s="1464"/>
      <c r="R20" s="1464"/>
      <c r="S20" s="1465"/>
      <c r="T20" s="651"/>
    </row>
    <row r="21" spans="1:20" s="348" customFormat="1" ht="20.100000000000001" customHeight="1">
      <c r="A21" s="645"/>
      <c r="B21" s="1462"/>
      <c r="D21" s="1462"/>
      <c r="E21" s="1462"/>
      <c r="F21" s="1463"/>
      <c r="G21" s="1463"/>
      <c r="H21" s="1462"/>
      <c r="I21" s="1462"/>
      <c r="N21" s="1453"/>
      <c r="S21" s="1465"/>
      <c r="T21" s="651"/>
    </row>
    <row r="22" spans="1:20" s="348" customFormat="1" ht="39" customHeight="1">
      <c r="A22" s="645"/>
      <c r="B22" s="1462"/>
      <c r="D22" s="1462"/>
      <c r="E22" s="1462"/>
      <c r="F22" s="1463"/>
      <c r="G22" s="1463"/>
      <c r="H22" s="1462"/>
      <c r="I22" s="1462"/>
      <c r="J22" s="1466"/>
      <c r="K22" s="1466"/>
      <c r="L22" s="1466"/>
      <c r="M22" s="1466"/>
      <c r="N22" s="1453"/>
      <c r="O22" s="1466"/>
      <c r="P22" s="1466"/>
      <c r="Q22" s="1466"/>
      <c r="R22" s="1466"/>
      <c r="S22" s="1465"/>
      <c r="T22" s="651"/>
    </row>
    <row r="23" spans="1:20" s="348" customFormat="1" ht="20.100000000000001" customHeight="1">
      <c r="A23" s="647"/>
      <c r="B23" s="1462"/>
      <c r="D23" s="1462"/>
      <c r="E23" s="1462"/>
      <c r="F23" s="1463"/>
      <c r="G23" s="1463"/>
      <c r="H23" s="1462"/>
      <c r="I23" s="1462"/>
      <c r="J23" s="1467"/>
      <c r="K23" s="1467"/>
      <c r="L23" s="1467"/>
      <c r="M23" s="1467"/>
      <c r="N23" s="1453"/>
      <c r="O23" s="1467"/>
      <c r="P23" s="1467"/>
      <c r="Q23" s="1467"/>
      <c r="R23" s="1467"/>
      <c r="S23" s="1465"/>
      <c r="T23" s="651"/>
    </row>
    <row r="24" spans="1:20" s="348" customFormat="1" ht="21.75" customHeight="1">
      <c r="A24" s="647"/>
      <c r="B24" s="1462"/>
      <c r="D24" s="1462"/>
      <c r="E24" s="1462"/>
      <c r="F24" s="1463"/>
      <c r="G24" s="1463"/>
      <c r="H24" s="1462"/>
      <c r="I24" s="1462"/>
      <c r="J24" s="1449"/>
      <c r="K24" s="1449"/>
      <c r="L24" s="1449"/>
      <c r="M24" s="1449"/>
      <c r="N24" s="1453"/>
      <c r="O24" s="1449"/>
      <c r="P24" s="1449"/>
      <c r="Q24" s="1449"/>
      <c r="R24" s="1449"/>
      <c r="S24" s="1465"/>
      <c r="T24" s="651"/>
    </row>
    <row r="25" spans="1:20" s="348" customFormat="1" ht="20.100000000000001" customHeight="1">
      <c r="A25" s="647"/>
      <c r="B25" s="1462"/>
      <c r="D25" s="1462"/>
      <c r="E25" s="1462"/>
      <c r="F25" s="1463"/>
      <c r="G25" s="1463"/>
      <c r="H25" s="1462"/>
      <c r="I25" s="1462"/>
      <c r="J25" s="1449"/>
      <c r="K25" s="1449"/>
      <c r="L25" s="1449"/>
      <c r="M25" s="1449"/>
      <c r="N25" s="1453"/>
      <c r="O25" s="1449"/>
      <c r="P25" s="1449"/>
      <c r="Q25" s="1449"/>
      <c r="R25" s="1449"/>
      <c r="S25" s="1465"/>
      <c r="T25" s="651"/>
    </row>
    <row r="26" spans="1:20" s="348" customFormat="1" ht="19.5" customHeight="1">
      <c r="A26" s="648"/>
      <c r="B26" s="1468"/>
      <c r="C26" s="1468"/>
      <c r="D26" s="1468"/>
      <c r="N26" s="1453"/>
      <c r="T26" s="651"/>
    </row>
    <row r="27" spans="1:20" s="348" customFormat="1" ht="36.75" customHeight="1">
      <c r="A27" s="649"/>
      <c r="B27" s="1468"/>
      <c r="C27" s="1468"/>
      <c r="T27" s="651"/>
    </row>
    <row r="28" spans="1:20" s="348" customFormat="1" ht="31.5" customHeight="1">
      <c r="A28" s="649"/>
      <c r="B28" s="1468"/>
      <c r="C28" s="1468"/>
      <c r="T28" s="651"/>
    </row>
    <row r="29" spans="1:20" s="348" customFormat="1" ht="31.5" customHeight="1">
      <c r="A29" s="649"/>
      <c r="B29" s="1468"/>
      <c r="C29" s="1468"/>
      <c r="T29" s="651"/>
    </row>
    <row r="30" spans="1:20" s="348" customFormat="1" ht="31.5" customHeight="1">
      <c r="A30" s="649"/>
      <c r="T30" s="651"/>
    </row>
    <row r="31" spans="1:20" s="348" customFormat="1" ht="52.5" customHeight="1">
      <c r="A31" s="649"/>
      <c r="B31" s="1469"/>
      <c r="C31" s="1470"/>
      <c r="D31" s="1470"/>
      <c r="E31" s="1471"/>
      <c r="F31" s="1472"/>
      <c r="O31" s="1454"/>
      <c r="P31" s="1455"/>
      <c r="Q31" s="1455"/>
      <c r="R31" s="1454"/>
      <c r="T31" s="651"/>
    </row>
    <row r="32" spans="1:20" s="348" customFormat="1" ht="24.75" customHeight="1">
      <c r="A32" s="650"/>
      <c r="B32" s="1454"/>
      <c r="C32" s="1454"/>
      <c r="D32" s="1454"/>
      <c r="E32" s="1454"/>
      <c r="F32" s="1454"/>
      <c r="G32" s="1454"/>
      <c r="O32" s="1454"/>
      <c r="P32" s="1456"/>
      <c r="Q32" s="1456"/>
      <c r="R32" s="1456"/>
      <c r="T32" s="651"/>
    </row>
    <row r="33" spans="1:20" s="348" customFormat="1" ht="24.75" customHeight="1">
      <c r="A33" s="650"/>
      <c r="B33" s="1454"/>
      <c r="C33" s="1454"/>
      <c r="D33" s="1454"/>
      <c r="E33" s="1454"/>
      <c r="F33" s="1454"/>
      <c r="G33" s="1454"/>
      <c r="O33" s="1454"/>
      <c r="P33" s="1456"/>
      <c r="Q33" s="1456"/>
      <c r="R33" s="1456"/>
      <c r="T33" s="651"/>
    </row>
    <row r="34" spans="1:20" s="348" customFormat="1" ht="28.5" customHeight="1">
      <c r="A34" s="650"/>
      <c r="B34" s="1454"/>
      <c r="C34" s="1454"/>
      <c r="D34" s="1454"/>
      <c r="E34" s="1454"/>
      <c r="F34" s="1454"/>
      <c r="G34" s="1454"/>
      <c r="H34" s="1454"/>
      <c r="I34" s="1454"/>
      <c r="J34" s="1454"/>
      <c r="K34" s="1455"/>
      <c r="L34" s="1455"/>
      <c r="M34" s="349"/>
      <c r="N34" s="349"/>
      <c r="O34" s="349"/>
      <c r="P34" s="349"/>
      <c r="Q34" s="349"/>
      <c r="R34" s="349"/>
      <c r="T34" s="651"/>
    </row>
    <row r="35" spans="1:20" s="348" customFormat="1" ht="14.25" customHeight="1">
      <c r="A35" s="650"/>
      <c r="B35" s="349"/>
      <c r="C35" s="349"/>
      <c r="D35" s="349"/>
      <c r="E35" s="349"/>
      <c r="F35" s="349"/>
      <c r="G35" s="349"/>
      <c r="H35" s="349"/>
      <c r="I35" s="349"/>
      <c r="J35" s="349"/>
      <c r="K35" s="349"/>
      <c r="L35" s="349"/>
      <c r="M35" s="349"/>
      <c r="N35" s="349"/>
      <c r="O35" s="349"/>
      <c r="P35" s="349"/>
      <c r="Q35" s="349"/>
      <c r="R35" s="349"/>
      <c r="S35" s="1454"/>
      <c r="T35" s="646"/>
    </row>
    <row r="36" spans="1:20" s="348" customFormat="1" ht="3.75" customHeight="1" thickBot="1">
      <c r="A36" s="652"/>
      <c r="B36" s="1457"/>
      <c r="C36" s="1457"/>
      <c r="D36" s="1457"/>
      <c r="E36" s="1457"/>
      <c r="F36" s="1457"/>
      <c r="G36" s="1457"/>
      <c r="H36" s="1457"/>
      <c r="I36" s="1457"/>
      <c r="J36" s="1457"/>
      <c r="K36" s="1457"/>
      <c r="L36" s="1457"/>
      <c r="M36" s="1457"/>
      <c r="N36" s="1457"/>
      <c r="O36" s="1457"/>
      <c r="P36" s="1457"/>
      <c r="Q36" s="1457"/>
      <c r="R36" s="1457"/>
      <c r="S36" s="656"/>
      <c r="T36" s="657"/>
    </row>
    <row r="37" spans="1:20" s="348" customFormat="1" ht="6" customHeight="1">
      <c r="A37" s="1454"/>
      <c r="B37" s="349"/>
      <c r="C37" s="349"/>
      <c r="D37" s="349"/>
      <c r="E37" s="349"/>
      <c r="F37" s="349"/>
      <c r="G37" s="349"/>
      <c r="H37" s="349"/>
      <c r="I37" s="349"/>
      <c r="J37" s="349"/>
      <c r="K37" s="349"/>
      <c r="L37" s="349"/>
      <c r="M37" s="349"/>
      <c r="N37" s="349"/>
      <c r="O37" s="349"/>
      <c r="P37" s="349"/>
      <c r="Q37" s="349"/>
      <c r="R37" s="349"/>
      <c r="S37" s="1456"/>
      <c r="T37" s="1454"/>
    </row>
    <row r="38" spans="1:20" s="348" customFormat="1" ht="1.5" hidden="1" customHeight="1" thickBot="1">
      <c r="A38" s="1454"/>
      <c r="B38" s="349"/>
      <c r="C38" s="349"/>
      <c r="D38" s="349"/>
      <c r="E38" s="349"/>
      <c r="F38" s="349"/>
      <c r="G38" s="349"/>
      <c r="H38" s="349"/>
      <c r="I38" s="349"/>
      <c r="J38" s="349"/>
      <c r="K38" s="349"/>
      <c r="L38" s="349"/>
      <c r="M38" s="349"/>
      <c r="N38" s="349"/>
      <c r="O38" s="349"/>
      <c r="P38" s="349"/>
      <c r="Q38" s="349"/>
      <c r="R38" s="349"/>
      <c r="S38" s="349"/>
      <c r="T38" s="349"/>
    </row>
    <row r="39" spans="1:20" s="348" customFormat="1">
      <c r="A39" s="349"/>
      <c r="B39" s="349"/>
      <c r="C39" s="349"/>
      <c r="D39" s="349"/>
      <c r="E39" s="349"/>
      <c r="F39" s="349"/>
      <c r="G39" s="349"/>
      <c r="H39" s="349"/>
      <c r="I39" s="349"/>
      <c r="J39" s="349"/>
      <c r="L39" s="349"/>
      <c r="M39" s="349"/>
      <c r="N39" s="349"/>
      <c r="O39" s="349"/>
      <c r="P39" s="349"/>
      <c r="Q39" s="349"/>
      <c r="R39" s="349"/>
      <c r="S39" s="349"/>
      <c r="T39" s="349"/>
    </row>
    <row r="40" spans="1:20" s="348" customFormat="1">
      <c r="A40" s="349"/>
      <c r="B40" s="349"/>
      <c r="C40" s="349"/>
      <c r="D40" s="349"/>
      <c r="E40" s="349"/>
      <c r="F40" s="349"/>
      <c r="G40" s="349"/>
      <c r="H40" s="349"/>
      <c r="I40" s="349"/>
      <c r="J40" s="349"/>
      <c r="K40" s="349"/>
      <c r="L40" s="349"/>
      <c r="M40" s="349"/>
      <c r="N40" s="349"/>
      <c r="O40" s="349"/>
      <c r="P40" s="349"/>
      <c r="Q40" s="349"/>
      <c r="R40" s="349"/>
      <c r="S40" s="349"/>
      <c r="T40" s="349"/>
    </row>
    <row r="41" spans="1:20" s="348" customFormat="1">
      <c r="A41" s="349"/>
      <c r="B41" s="349"/>
      <c r="C41" s="349"/>
      <c r="D41" s="349"/>
      <c r="E41" s="349"/>
      <c r="F41" s="349"/>
      <c r="G41" s="349"/>
      <c r="H41" s="349"/>
      <c r="I41" s="349"/>
      <c r="J41" s="349"/>
      <c r="K41" s="349"/>
      <c r="L41" s="349"/>
      <c r="M41" s="349"/>
      <c r="N41" s="349"/>
      <c r="O41" s="349"/>
      <c r="P41" s="349"/>
      <c r="Q41" s="349"/>
      <c r="R41" s="349"/>
      <c r="S41" s="349"/>
      <c r="T41" s="349"/>
    </row>
    <row r="42" spans="1:20" s="348" customFormat="1">
      <c r="A42" s="349"/>
      <c r="B42" s="349"/>
      <c r="C42" s="349"/>
      <c r="D42" s="349"/>
      <c r="E42" s="349"/>
      <c r="F42" s="349"/>
      <c r="G42" s="349"/>
      <c r="H42" s="349"/>
      <c r="I42" s="349"/>
      <c r="J42" s="349"/>
      <c r="K42" s="349"/>
      <c r="R42" s="349"/>
      <c r="S42" s="349"/>
      <c r="T42" s="349"/>
    </row>
    <row r="43" spans="1:20" s="348" customFormat="1">
      <c r="A43" s="349"/>
      <c r="B43" s="349"/>
      <c r="C43" s="349"/>
      <c r="D43" s="349"/>
      <c r="E43" s="349"/>
      <c r="F43" s="349"/>
      <c r="G43" s="349"/>
      <c r="H43" s="349"/>
      <c r="I43" s="349"/>
      <c r="J43" s="349"/>
      <c r="K43" s="349"/>
      <c r="L43" s="349"/>
      <c r="M43" s="349"/>
      <c r="N43" s="349"/>
      <c r="O43" s="349"/>
      <c r="P43" s="349"/>
      <c r="Q43" s="349"/>
      <c r="R43" s="349"/>
      <c r="S43" s="349"/>
      <c r="T43" s="349"/>
    </row>
    <row r="44" spans="1:20" s="348" customFormat="1">
      <c r="A44" s="349"/>
      <c r="B44" s="349"/>
      <c r="C44" s="349"/>
      <c r="D44" s="349"/>
      <c r="E44" s="349"/>
      <c r="F44" s="349"/>
      <c r="G44" s="349"/>
      <c r="H44" s="349"/>
      <c r="I44" s="349"/>
      <c r="J44" s="349"/>
      <c r="K44" s="349"/>
      <c r="L44" s="349"/>
      <c r="M44" s="349"/>
      <c r="N44" s="349"/>
      <c r="O44" s="349"/>
      <c r="P44" s="349"/>
      <c r="Q44" s="349"/>
      <c r="R44" s="349"/>
      <c r="S44" s="349"/>
      <c r="T44" s="349"/>
    </row>
    <row r="45" spans="1:20" s="348" customFormat="1">
      <c r="A45" s="349"/>
      <c r="B45" s="349"/>
      <c r="C45" s="349"/>
      <c r="D45" s="349"/>
      <c r="E45" s="349"/>
      <c r="F45" s="349"/>
      <c r="G45" s="349"/>
      <c r="H45" s="349"/>
      <c r="I45" s="349"/>
      <c r="J45" s="349"/>
      <c r="K45" s="349"/>
      <c r="L45" s="349"/>
      <c r="M45" s="349"/>
      <c r="N45" s="349"/>
      <c r="O45" s="349"/>
      <c r="P45" s="349"/>
      <c r="Q45" s="349"/>
      <c r="R45" s="349"/>
      <c r="S45" s="349"/>
      <c r="T45" s="349"/>
    </row>
    <row r="46" spans="1:20" s="348" customFormat="1">
      <c r="A46" s="349"/>
      <c r="B46" s="349"/>
      <c r="C46" s="349"/>
      <c r="D46" s="349"/>
      <c r="E46" s="349"/>
      <c r="F46" s="349"/>
      <c r="G46" s="349"/>
      <c r="H46" s="349"/>
      <c r="I46" s="349"/>
      <c r="J46" s="349"/>
      <c r="K46" s="349"/>
      <c r="L46" s="349"/>
      <c r="M46" s="349"/>
      <c r="N46" s="349"/>
      <c r="O46" s="349"/>
      <c r="P46" s="349"/>
      <c r="Q46" s="349"/>
      <c r="R46" s="349"/>
      <c r="S46" s="349"/>
      <c r="T46" s="349"/>
    </row>
    <row r="47" spans="1:20" s="348" customFormat="1">
      <c r="A47" s="349"/>
      <c r="B47" s="349"/>
      <c r="C47" s="349"/>
      <c r="D47" s="349"/>
      <c r="E47" s="349"/>
      <c r="F47" s="349"/>
      <c r="G47" s="349"/>
      <c r="H47" s="349"/>
      <c r="I47" s="349"/>
      <c r="J47" s="349"/>
      <c r="K47" s="349"/>
      <c r="L47" s="349"/>
      <c r="M47" s="349"/>
      <c r="N47" s="349"/>
      <c r="O47" s="349"/>
      <c r="P47" s="349"/>
      <c r="Q47" s="349"/>
      <c r="R47" s="349"/>
      <c r="S47" s="349"/>
      <c r="T47" s="349"/>
    </row>
    <row r="48" spans="1:20" s="348" customFormat="1">
      <c r="A48" s="349"/>
      <c r="B48" s="349"/>
      <c r="C48" s="349"/>
      <c r="D48" s="349"/>
      <c r="E48" s="349"/>
      <c r="F48" s="349"/>
      <c r="G48" s="349"/>
      <c r="H48" s="349"/>
      <c r="I48" s="349"/>
      <c r="J48" s="349"/>
      <c r="K48" s="349"/>
      <c r="L48" s="349"/>
      <c r="M48" s="349"/>
      <c r="N48" s="349"/>
      <c r="O48" s="349"/>
      <c r="P48" s="349"/>
      <c r="Q48" s="349"/>
      <c r="R48" s="349"/>
      <c r="S48" s="349"/>
      <c r="T48" s="349"/>
    </row>
    <row r="49" spans="1:20" s="348" customFormat="1" ht="15" customHeight="1">
      <c r="A49" s="349"/>
      <c r="B49" s="349"/>
      <c r="C49" s="349"/>
      <c r="D49" s="349"/>
      <c r="E49" s="349"/>
      <c r="F49" s="349"/>
      <c r="G49" s="349"/>
      <c r="H49" s="349"/>
      <c r="I49" s="349"/>
      <c r="J49" s="349"/>
      <c r="K49" s="349"/>
      <c r="L49" s="349"/>
      <c r="M49" s="349"/>
      <c r="N49" s="349"/>
      <c r="O49" s="349"/>
      <c r="P49" s="349"/>
      <c r="Q49" s="349"/>
      <c r="R49" s="349"/>
      <c r="S49" s="349"/>
      <c r="T49" s="349"/>
    </row>
    <row r="50" spans="1:20" s="348" customFormat="1" ht="15" customHeight="1">
      <c r="A50" s="349"/>
      <c r="B50" s="349"/>
      <c r="C50" s="349"/>
      <c r="D50" s="349"/>
      <c r="E50" s="349"/>
      <c r="F50" s="349"/>
      <c r="G50" s="349"/>
      <c r="H50" s="349"/>
      <c r="I50" s="349"/>
      <c r="J50" s="349"/>
      <c r="K50" s="349"/>
      <c r="L50" s="349"/>
      <c r="M50" s="349"/>
      <c r="N50" s="349"/>
      <c r="O50" s="349"/>
      <c r="P50" s="349"/>
      <c r="Q50" s="349"/>
      <c r="R50" s="349"/>
      <c r="S50" s="349"/>
      <c r="T50" s="349"/>
    </row>
    <row r="51" spans="1:20" ht="15" customHeight="1"/>
    <row r="52" spans="1:20" ht="15" customHeight="1"/>
    <row r="53" spans="1:20" ht="15" customHeight="1"/>
    <row r="54" spans="1:20" ht="15" customHeight="1"/>
    <row r="55" spans="1:20" ht="15" customHeight="1"/>
    <row r="56" spans="1:20" ht="15" customHeight="1"/>
    <row r="57" spans="1:20" ht="15" customHeight="1"/>
    <row r="58" spans="1:20" ht="12.75" customHeight="1"/>
  </sheetData>
  <mergeCells count="29">
    <mergeCell ref="B10:E10"/>
    <mergeCell ref="B17:E17"/>
    <mergeCell ref="B12:E12"/>
    <mergeCell ref="L12:L14"/>
    <mergeCell ref="B13:E13"/>
    <mergeCell ref="B14:E14"/>
    <mergeCell ref="B15:E15"/>
    <mergeCell ref="B16:E16"/>
    <mergeCell ref="K3:K6"/>
    <mergeCell ref="B11:E11"/>
    <mergeCell ref="L3:L6"/>
    <mergeCell ref="M3:M6"/>
    <mergeCell ref="N3:N6"/>
    <mergeCell ref="B7:E8"/>
    <mergeCell ref="F7:F8"/>
    <mergeCell ref="G7:G8"/>
    <mergeCell ref="H7:H8"/>
    <mergeCell ref="I7:I8"/>
    <mergeCell ref="J7:J8"/>
    <mergeCell ref="K7:K8"/>
    <mergeCell ref="L7:L8"/>
    <mergeCell ref="M7:M8"/>
    <mergeCell ref="N7:N8"/>
    <mergeCell ref="B9:E9"/>
    <mergeCell ref="F3:F6"/>
    <mergeCell ref="G3:G6"/>
    <mergeCell ref="H3:H6"/>
    <mergeCell ref="I3:I6"/>
    <mergeCell ref="J3:J6"/>
  </mergeCells>
  <printOptions horizontalCentered="1"/>
  <pageMargins left="0.19685039370078741" right="0.19685039370078741" top="0.19685039370078741" bottom="0.19685039370078741" header="0" footer="0"/>
  <pageSetup paperSize="9" scale="80" orientation="portrait" horizontalDpi="4294967295"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7">
    <tabColor theme="0" tint="-0.14999847407452621"/>
    <outlinePr summaryBelow="0" summaryRight="0"/>
  </sheetPr>
  <dimension ref="A1:P146"/>
  <sheetViews>
    <sheetView rightToLeft="1" zoomScale="75" zoomScaleNormal="75" workbookViewId="0">
      <pane xSplit="3" topLeftCell="E1" activePane="topRight" state="frozen"/>
      <selection activeCell="J50" sqref="J50"/>
      <selection pane="topRight" sqref="A1:XFD1048576"/>
    </sheetView>
  </sheetViews>
  <sheetFormatPr defaultColWidth="9.140625" defaultRowHeight="15" outlineLevelRow="1"/>
  <cols>
    <col min="1" max="1" width="7.7109375" style="23" customWidth="1"/>
    <col min="2" max="2" width="6.28515625" style="23" customWidth="1"/>
    <col min="3" max="3" width="10.140625" style="23" customWidth="1"/>
    <col min="4" max="4" width="48.7109375" style="23" customWidth="1"/>
    <col min="5" max="5" width="49.7109375" style="23" bestFit="1" customWidth="1"/>
    <col min="6" max="6" width="18.5703125" style="23" bestFit="1" customWidth="1"/>
    <col min="7" max="7" width="13.140625" style="23" customWidth="1"/>
    <col min="8" max="9" width="20.7109375" style="48" customWidth="1"/>
    <col min="10" max="10" width="20.42578125" style="48" bestFit="1" customWidth="1"/>
    <col min="11" max="11" width="20.7109375" style="48" customWidth="1"/>
    <col min="12" max="12" width="18" style="48" customWidth="1"/>
    <col min="13" max="13" width="23.28515625" style="48" customWidth="1"/>
    <col min="14" max="14" width="22" style="48" customWidth="1"/>
    <col min="15" max="15" width="21.5703125" customWidth="1"/>
    <col min="16" max="16" width="18.28515625" bestFit="1" customWidth="1"/>
  </cols>
  <sheetData>
    <row r="1" spans="1:16" ht="15.75" customHeight="1">
      <c r="A1" s="2216" t="s">
        <v>100</v>
      </c>
      <c r="B1" s="2219" t="s">
        <v>101</v>
      </c>
      <c r="C1" s="2220"/>
      <c r="D1" s="2220" t="s">
        <v>102</v>
      </c>
      <c r="E1" s="2225" t="s">
        <v>103</v>
      </c>
      <c r="F1" s="2227" t="s">
        <v>104</v>
      </c>
      <c r="G1" s="2233" t="s">
        <v>105</v>
      </c>
      <c r="H1" s="2236" t="s">
        <v>106</v>
      </c>
      <c r="I1" s="2237"/>
      <c r="J1" s="2238"/>
      <c r="K1" s="2238" t="s">
        <v>107</v>
      </c>
      <c r="L1" s="2238"/>
      <c r="M1" s="2238"/>
      <c r="N1" s="2239"/>
    </row>
    <row r="2" spans="1:16" ht="16.5" thickBot="1">
      <c r="A2" s="2217"/>
      <c r="B2" s="2221"/>
      <c r="C2" s="2222"/>
      <c r="D2" s="2222"/>
      <c r="E2" s="2226"/>
      <c r="F2" s="2228"/>
      <c r="G2" s="2234"/>
      <c r="H2" s="2240" t="s">
        <v>108</v>
      </c>
      <c r="I2" s="2241"/>
      <c r="J2" s="2242"/>
      <c r="K2" s="2242" t="s">
        <v>108</v>
      </c>
      <c r="L2" s="2242"/>
      <c r="M2" s="49" t="s">
        <v>109</v>
      </c>
      <c r="N2" s="50" t="s">
        <v>110</v>
      </c>
    </row>
    <row r="3" spans="1:16" ht="16.5" thickBot="1">
      <c r="A3" s="2218"/>
      <c r="B3" s="2223"/>
      <c r="C3" s="2224"/>
      <c r="D3" s="2224"/>
      <c r="E3" s="51"/>
      <c r="F3" s="2229"/>
      <c r="G3" s="2235"/>
      <c r="H3" s="52" t="s">
        <v>111</v>
      </c>
      <c r="I3" s="322" t="s">
        <v>969</v>
      </c>
      <c r="J3" s="53" t="s">
        <v>112</v>
      </c>
      <c r="K3" s="53" t="s">
        <v>111</v>
      </c>
      <c r="L3" s="53" t="s">
        <v>112</v>
      </c>
      <c r="M3" s="53" t="s">
        <v>111</v>
      </c>
      <c r="N3" s="54"/>
    </row>
    <row r="4" spans="1:16" ht="17.45" customHeight="1" thickBot="1">
      <c r="A4" s="55">
        <v>1</v>
      </c>
      <c r="B4" s="56" t="s">
        <v>113</v>
      </c>
      <c r="C4" s="57" t="s">
        <v>114</v>
      </c>
      <c r="D4" s="58" t="s">
        <v>115</v>
      </c>
      <c r="E4" s="58" t="s">
        <v>116</v>
      </c>
      <c r="F4" s="59" t="s">
        <v>117</v>
      </c>
      <c r="G4" s="59">
        <v>1</v>
      </c>
      <c r="H4" s="60"/>
      <c r="I4" s="323"/>
      <c r="J4" s="1582">
        <v>3500000</v>
      </c>
      <c r="K4" s="60"/>
      <c r="L4" s="61">
        <f t="shared" ref="L4:L9" si="0">J4*G4</f>
        <v>3500000</v>
      </c>
      <c r="M4" s="61">
        <f t="shared" ref="M4:M9" si="1">0.1*L4*USD_Change_IRR * per_Euro</f>
        <v>159492118079.85818</v>
      </c>
      <c r="N4" s="62">
        <f>300000000*IRR_Inflation_Factor</f>
        <v>5572809859.9313192</v>
      </c>
      <c r="O4" s="1481"/>
      <c r="P4" s="1487"/>
    </row>
    <row r="5" spans="1:16" ht="17.45" customHeight="1" thickBot="1">
      <c r="A5" s="63">
        <v>2</v>
      </c>
      <c r="B5" s="64" t="s">
        <v>113</v>
      </c>
      <c r="C5" s="65" t="s">
        <v>118</v>
      </c>
      <c r="D5" s="66" t="s">
        <v>119</v>
      </c>
      <c r="E5" s="67" t="s">
        <v>120</v>
      </c>
      <c r="F5" s="68" t="s">
        <v>117</v>
      </c>
      <c r="G5" s="68">
        <v>1</v>
      </c>
      <c r="H5" s="69"/>
      <c r="I5" s="87"/>
      <c r="J5" s="1582">
        <v>3500000</v>
      </c>
      <c r="K5" s="69"/>
      <c r="L5" s="70">
        <f t="shared" si="0"/>
        <v>3500000</v>
      </c>
      <c r="M5" s="61">
        <f t="shared" si="1"/>
        <v>159492118079.85818</v>
      </c>
      <c r="N5" s="71">
        <f>300000000*IRR_Inflation_Factor</f>
        <v>5572809859.9313192</v>
      </c>
      <c r="O5" s="1481"/>
      <c r="P5" s="1487"/>
    </row>
    <row r="6" spans="1:16" ht="17.45" customHeight="1" thickBot="1">
      <c r="A6" s="72">
        <v>3</v>
      </c>
      <c r="B6" s="64" t="s">
        <v>37</v>
      </c>
      <c r="C6" s="65" t="s">
        <v>114</v>
      </c>
      <c r="D6" s="73" t="s">
        <v>121</v>
      </c>
      <c r="E6" s="73" t="s">
        <v>122</v>
      </c>
      <c r="F6" s="68" t="s">
        <v>123</v>
      </c>
      <c r="G6" s="68">
        <v>2</v>
      </c>
      <c r="H6" s="329">
        <f>ROUND(594000*per_Euro*USD_Change_IRR,-3)</f>
        <v>270680909000</v>
      </c>
      <c r="I6" s="87"/>
      <c r="J6" s="329">
        <v>0</v>
      </c>
      <c r="K6" s="70">
        <f>H6*G6</f>
        <v>541361818000</v>
      </c>
      <c r="L6" s="70">
        <f t="shared" si="0"/>
        <v>0</v>
      </c>
      <c r="M6" s="61">
        <f t="shared" si="1"/>
        <v>0</v>
      </c>
      <c r="N6" s="71">
        <f>120000000*IRR_Inflation_Factor</f>
        <v>2229123943.972528</v>
      </c>
      <c r="O6" s="1481"/>
      <c r="P6" s="1487"/>
    </row>
    <row r="7" spans="1:16" ht="17.45" customHeight="1" thickBot="1">
      <c r="A7" s="72">
        <v>4</v>
      </c>
      <c r="B7" s="64" t="s">
        <v>37</v>
      </c>
      <c r="C7" s="65" t="s">
        <v>118</v>
      </c>
      <c r="D7" s="67" t="s">
        <v>124</v>
      </c>
      <c r="E7" s="73" t="s">
        <v>125</v>
      </c>
      <c r="F7" s="68" t="s">
        <v>123</v>
      </c>
      <c r="G7" s="68">
        <v>2</v>
      </c>
      <c r="H7" s="329">
        <f>ROUND(29000*per_Euro*USD_Change_IRR,-3)</f>
        <v>13215061000</v>
      </c>
      <c r="I7" s="210"/>
      <c r="J7" s="329">
        <v>0</v>
      </c>
      <c r="K7" s="70">
        <f>H7*G7</f>
        <v>26430122000</v>
      </c>
      <c r="L7" s="70">
        <f t="shared" si="0"/>
        <v>0</v>
      </c>
      <c r="M7" s="61">
        <f t="shared" si="1"/>
        <v>0</v>
      </c>
      <c r="N7" s="71">
        <f>80000000*IRR_Inflation_Factor</f>
        <v>1486082629.3150187</v>
      </c>
      <c r="O7" s="1481"/>
      <c r="P7" s="1487"/>
    </row>
    <row r="8" spans="1:16" ht="17.45" customHeight="1" thickBot="1">
      <c r="A8" s="72">
        <v>5</v>
      </c>
      <c r="B8" s="64" t="s">
        <v>126</v>
      </c>
      <c r="C8" s="65" t="s">
        <v>127</v>
      </c>
      <c r="D8" s="67" t="s">
        <v>128</v>
      </c>
      <c r="E8" s="67" t="s">
        <v>129</v>
      </c>
      <c r="F8" s="68" t="s">
        <v>123</v>
      </c>
      <c r="G8" s="68">
        <v>2</v>
      </c>
      <c r="H8" s="75"/>
      <c r="I8" s="70"/>
      <c r="J8" s="329">
        <v>1494506</v>
      </c>
      <c r="K8" s="76"/>
      <c r="L8" s="70">
        <f t="shared" si="0"/>
        <v>2989012</v>
      </c>
      <c r="M8" s="61">
        <f t="shared" si="1"/>
        <v>136206815670.31802</v>
      </c>
      <c r="N8" s="71">
        <f>300000000*IRR_Inflation_Factor</f>
        <v>5572809859.9313192</v>
      </c>
      <c r="O8" s="1481"/>
      <c r="P8" s="1487"/>
    </row>
    <row r="9" spans="1:16" ht="17.45" customHeight="1">
      <c r="A9" s="72">
        <v>6</v>
      </c>
      <c r="B9" s="64" t="s">
        <v>126</v>
      </c>
      <c r="C9" s="65" t="s">
        <v>130</v>
      </c>
      <c r="D9" s="67" t="s">
        <v>128</v>
      </c>
      <c r="E9" s="67" t="s">
        <v>129</v>
      </c>
      <c r="F9" s="68" t="s">
        <v>123</v>
      </c>
      <c r="G9" s="68">
        <v>2</v>
      </c>
      <c r="H9" s="75"/>
      <c r="I9" s="70"/>
      <c r="J9" s="329">
        <v>1494506</v>
      </c>
      <c r="K9" s="76"/>
      <c r="L9" s="70">
        <f t="shared" si="0"/>
        <v>2989012</v>
      </c>
      <c r="M9" s="61">
        <f t="shared" si="1"/>
        <v>136206815670.31802</v>
      </c>
      <c r="N9" s="71">
        <f>300000000*IRR_Inflation_Factor</f>
        <v>5572809859.9313192</v>
      </c>
      <c r="O9" s="1481"/>
      <c r="P9" s="1487"/>
    </row>
    <row r="10" spans="1:16" ht="17.45" customHeight="1">
      <c r="A10" s="72">
        <v>7</v>
      </c>
      <c r="B10" s="64" t="s">
        <v>131</v>
      </c>
      <c r="C10" s="65" t="s">
        <v>132</v>
      </c>
      <c r="D10" s="67" t="s">
        <v>133</v>
      </c>
      <c r="E10" s="67" t="s">
        <v>134</v>
      </c>
      <c r="F10" s="77" t="s">
        <v>135</v>
      </c>
      <c r="G10" s="77">
        <v>216500</v>
      </c>
      <c r="H10" s="329">
        <v>660000</v>
      </c>
      <c r="I10" s="70"/>
      <c r="J10" s="78"/>
      <c r="K10" s="70">
        <f>H10*G10</f>
        <v>142890000000</v>
      </c>
      <c r="L10" s="78"/>
      <c r="M10" s="75"/>
      <c r="N10" s="71">
        <f>195000000*IRR_Inflation_Factor</f>
        <v>3622326408.9553576</v>
      </c>
      <c r="O10" s="1481"/>
      <c r="P10" s="1487"/>
    </row>
    <row r="11" spans="1:16" ht="17.45" customHeight="1">
      <c r="A11" s="79">
        <v>8</v>
      </c>
      <c r="B11" s="64" t="s">
        <v>38</v>
      </c>
      <c r="C11" s="65" t="s">
        <v>114</v>
      </c>
      <c r="D11" s="67" t="s">
        <v>137</v>
      </c>
      <c r="E11" s="67" t="s">
        <v>138</v>
      </c>
      <c r="F11" s="68" t="s">
        <v>123</v>
      </c>
      <c r="G11" s="68">
        <v>2</v>
      </c>
      <c r="H11" s="329">
        <f>ROUND(385000*per_Euro*USD_Change_IRR,-3)</f>
        <v>175441330000</v>
      </c>
      <c r="I11" s="70"/>
      <c r="J11" s="329">
        <v>0</v>
      </c>
      <c r="K11" s="70">
        <f t="shared" ref="K11:K12" si="2">H11*G11</f>
        <v>350882660000</v>
      </c>
      <c r="L11" s="70">
        <f>J11*G11</f>
        <v>0</v>
      </c>
      <c r="M11" s="70">
        <f>0.15*L11*USD_Change_IRR * per_Euro</f>
        <v>0</v>
      </c>
      <c r="N11" s="71">
        <f>200000000*IRR_Inflation_Factor</f>
        <v>3715206573.2875462</v>
      </c>
      <c r="O11" s="1481"/>
      <c r="P11" s="1487"/>
    </row>
    <row r="12" spans="1:16" ht="17.45" customHeight="1">
      <c r="A12" s="79">
        <v>9</v>
      </c>
      <c r="B12" s="64" t="s">
        <v>38</v>
      </c>
      <c r="C12" s="65" t="s">
        <v>118</v>
      </c>
      <c r="D12" s="67" t="s">
        <v>139</v>
      </c>
      <c r="E12" s="67" t="s">
        <v>140</v>
      </c>
      <c r="F12" s="68" t="s">
        <v>123</v>
      </c>
      <c r="G12" s="68">
        <v>2</v>
      </c>
      <c r="H12" s="329">
        <f>ROUND(135000*per_Euro*USD_Change_IRR,-3)</f>
        <v>61518388000</v>
      </c>
      <c r="I12" s="70"/>
      <c r="J12" s="329">
        <v>0</v>
      </c>
      <c r="K12" s="70">
        <f t="shared" si="2"/>
        <v>123036776000</v>
      </c>
      <c r="L12" s="70">
        <f>J12*G12</f>
        <v>0</v>
      </c>
      <c r="M12" s="70">
        <f>0.15*L12*USD_Change_IRR * per_Euro</f>
        <v>0</v>
      </c>
      <c r="N12" s="71">
        <f>200000000*IRR_Inflation_Factor</f>
        <v>3715206573.2875462</v>
      </c>
      <c r="O12" s="1481"/>
      <c r="P12" s="1487"/>
    </row>
    <row r="13" spans="1:16" ht="17.45" customHeight="1">
      <c r="A13" s="72">
        <v>10</v>
      </c>
      <c r="B13" s="64" t="s">
        <v>38</v>
      </c>
      <c r="C13" s="65" t="s">
        <v>141</v>
      </c>
      <c r="D13" s="67" t="s">
        <v>142</v>
      </c>
      <c r="E13" s="67" t="s">
        <v>143</v>
      </c>
      <c r="F13" s="68" t="s">
        <v>123</v>
      </c>
      <c r="G13" s="68">
        <v>2</v>
      </c>
      <c r="H13" s="329">
        <f>140000*per_Euro*USD_Change_IRR</f>
        <v>63796847231.943275</v>
      </c>
      <c r="I13" s="70"/>
      <c r="J13" s="329">
        <v>0</v>
      </c>
      <c r="K13" s="70">
        <f>H13*G13</f>
        <v>127593694463.88655</v>
      </c>
      <c r="L13" s="70">
        <f>J13*G13</f>
        <v>0</v>
      </c>
      <c r="M13" s="70">
        <f>0.15*L13*USD_Change_IRR * per_Euro</f>
        <v>0</v>
      </c>
      <c r="N13" s="71">
        <f>200000000*IRR_Inflation_Factor</f>
        <v>3715206573.2875462</v>
      </c>
      <c r="O13" s="1481"/>
      <c r="P13" s="1487"/>
    </row>
    <row r="14" spans="1:16" ht="17.45" customHeight="1">
      <c r="A14" s="79">
        <v>11</v>
      </c>
      <c r="B14" s="64" t="s">
        <v>38</v>
      </c>
      <c r="C14" s="65" t="s">
        <v>144</v>
      </c>
      <c r="D14" s="67" t="s">
        <v>145</v>
      </c>
      <c r="E14" s="67" t="s">
        <v>146</v>
      </c>
      <c r="F14" s="68" t="s">
        <v>123</v>
      </c>
      <c r="G14" s="68">
        <v>2</v>
      </c>
      <c r="H14" s="329">
        <f>ROUND(34000*per_Euro*USD_Change_IRR,-3)</f>
        <v>15493520000</v>
      </c>
      <c r="I14" s="70"/>
      <c r="J14" s="329">
        <v>0</v>
      </c>
      <c r="K14" s="70">
        <f>H14*G14</f>
        <v>30987040000</v>
      </c>
      <c r="L14" s="70">
        <f>J14*G14</f>
        <v>0</v>
      </c>
      <c r="M14" s="70">
        <f>0.15*L14*USD_Change_IRR * per_Euro</f>
        <v>0</v>
      </c>
      <c r="N14" s="71">
        <f>200000000*IRR_Inflation_Factor</f>
        <v>3715206573.2875462</v>
      </c>
      <c r="O14" s="1481"/>
      <c r="P14" s="1487"/>
    </row>
    <row r="15" spans="1:16" ht="17.45" customHeight="1">
      <c r="A15" s="72">
        <v>12</v>
      </c>
      <c r="B15" s="64" t="s">
        <v>147</v>
      </c>
      <c r="C15" s="65" t="s">
        <v>114</v>
      </c>
      <c r="D15" s="67" t="s">
        <v>148</v>
      </c>
      <c r="E15" s="67" t="s">
        <v>149</v>
      </c>
      <c r="F15" s="77" t="s">
        <v>135</v>
      </c>
      <c r="G15" s="77">
        <v>246000</v>
      </c>
      <c r="H15" s="329">
        <f>3*USD_Change_IRR</f>
        <v>1260000</v>
      </c>
      <c r="I15" s="70"/>
      <c r="J15" s="75"/>
      <c r="K15" s="70">
        <f t="shared" ref="K15:K23" si="3">H15*G15</f>
        <v>309960000000</v>
      </c>
      <c r="L15" s="75"/>
      <c r="M15" s="75"/>
      <c r="N15" s="71">
        <f>6500000*IRR_Inflation_Factor</f>
        <v>120744213.63184525</v>
      </c>
      <c r="O15" s="1481"/>
      <c r="P15" s="1487"/>
    </row>
    <row r="16" spans="1:16" ht="17.45" customHeight="1">
      <c r="A16" s="79">
        <v>13</v>
      </c>
      <c r="B16" s="64" t="s">
        <v>131</v>
      </c>
      <c r="C16" s="65" t="s">
        <v>150</v>
      </c>
      <c r="D16" s="67" t="s">
        <v>151</v>
      </c>
      <c r="E16" s="67" t="s">
        <v>152</v>
      </c>
      <c r="F16" s="77" t="s">
        <v>135</v>
      </c>
      <c r="G16" s="80">
        <v>62000</v>
      </c>
      <c r="H16" s="329">
        <f>Material_of_Tank</f>
        <v>660000</v>
      </c>
      <c r="I16" s="70"/>
      <c r="J16" s="75"/>
      <c r="K16" s="70">
        <f t="shared" si="3"/>
        <v>40920000000</v>
      </c>
      <c r="L16" s="75"/>
      <c r="M16" s="75"/>
      <c r="N16" s="71">
        <f>65000000*IRR_Inflation_Factor</f>
        <v>1207442136.3184526</v>
      </c>
      <c r="O16" s="1481"/>
      <c r="P16" s="1487"/>
    </row>
    <row r="17" spans="1:16" ht="17.45" customHeight="1">
      <c r="A17" s="72">
        <v>14</v>
      </c>
      <c r="B17" s="64" t="s">
        <v>38</v>
      </c>
      <c r="C17" s="65" t="s">
        <v>153</v>
      </c>
      <c r="D17" s="67" t="s">
        <v>154</v>
      </c>
      <c r="E17" s="67" t="s">
        <v>155</v>
      </c>
      <c r="F17" s="68" t="s">
        <v>123</v>
      </c>
      <c r="G17" s="68">
        <v>1</v>
      </c>
      <c r="H17" s="329">
        <f>29000*per_Euro*USD_Change_IRR</f>
        <v>13215061212.331108</v>
      </c>
      <c r="I17" s="81"/>
      <c r="J17" s="1583">
        <v>0</v>
      </c>
      <c r="K17" s="70">
        <f t="shared" si="3"/>
        <v>13215061212.331108</v>
      </c>
      <c r="L17" s="81">
        <f>J17*G17</f>
        <v>0</v>
      </c>
      <c r="M17" s="70">
        <f>0.15*L17*USD_Change_IRR * per_Euro</f>
        <v>0</v>
      </c>
      <c r="N17" s="82">
        <f>100000000*IRR_Inflation_Factor</f>
        <v>1857603286.6437731</v>
      </c>
      <c r="O17" s="1481"/>
      <c r="P17" s="1487"/>
    </row>
    <row r="18" spans="1:16" ht="17.45" customHeight="1">
      <c r="A18" s="79">
        <v>15</v>
      </c>
      <c r="B18" s="64" t="s">
        <v>38</v>
      </c>
      <c r="C18" s="65" t="s">
        <v>156</v>
      </c>
      <c r="D18" s="67" t="s">
        <v>154</v>
      </c>
      <c r="E18" s="67" t="s">
        <v>157</v>
      </c>
      <c r="F18" s="68" t="s">
        <v>123</v>
      </c>
      <c r="G18" s="68">
        <v>2</v>
      </c>
      <c r="H18" s="329">
        <f>27500*per_Euro*USD_Change_IRR</f>
        <v>12531523563.417429</v>
      </c>
      <c r="I18" s="87"/>
      <c r="J18" s="329">
        <v>0</v>
      </c>
      <c r="K18" s="70">
        <f t="shared" si="3"/>
        <v>25063047126.834858</v>
      </c>
      <c r="L18" s="70">
        <f>J18*G18</f>
        <v>0</v>
      </c>
      <c r="M18" s="70">
        <f>0.15*L18*USD_Change_IRR * per_Euro</f>
        <v>0</v>
      </c>
      <c r="N18" s="71">
        <f>100000000*IRR_Inflation_Factor</f>
        <v>1857603286.6437731</v>
      </c>
      <c r="O18" s="1481"/>
      <c r="P18" s="1487"/>
    </row>
    <row r="19" spans="1:16" ht="17.45" customHeight="1">
      <c r="A19" s="72">
        <v>16</v>
      </c>
      <c r="B19" s="64" t="s">
        <v>158</v>
      </c>
      <c r="C19" s="65">
        <v>-101</v>
      </c>
      <c r="D19" s="67" t="s">
        <v>159</v>
      </c>
      <c r="E19" s="67" t="s">
        <v>160</v>
      </c>
      <c r="F19" s="68" t="s">
        <v>123</v>
      </c>
      <c r="G19" s="68">
        <v>1</v>
      </c>
      <c r="H19" s="329">
        <f>295000*per_Euro*USD_Change_IRR</f>
        <v>134429070953.02333</v>
      </c>
      <c r="I19" s="87"/>
      <c r="J19" s="329">
        <v>0</v>
      </c>
      <c r="K19" s="70">
        <f t="shared" si="3"/>
        <v>134429070953.02333</v>
      </c>
      <c r="L19" s="70">
        <f>J19*G19</f>
        <v>0</v>
      </c>
      <c r="M19" s="70">
        <v>0</v>
      </c>
      <c r="N19" s="71">
        <f>19500000*IRR_Inflation_Factor</f>
        <v>362232640.89553577</v>
      </c>
      <c r="O19" s="1481"/>
      <c r="P19" s="1487"/>
    </row>
    <row r="20" spans="1:16" ht="17.45" customHeight="1">
      <c r="A20" s="79">
        <v>17</v>
      </c>
      <c r="B20" s="64" t="s">
        <v>38</v>
      </c>
      <c r="C20" s="65" t="s">
        <v>161</v>
      </c>
      <c r="D20" s="67" t="s">
        <v>162</v>
      </c>
      <c r="E20" s="83" t="s">
        <v>163</v>
      </c>
      <c r="F20" s="68" t="s">
        <v>123</v>
      </c>
      <c r="G20" s="68">
        <v>2</v>
      </c>
      <c r="H20" s="329">
        <f>15000*per_Euro*USD_Change_IRR</f>
        <v>6835376489.1367798</v>
      </c>
      <c r="I20" s="87"/>
      <c r="J20" s="329">
        <v>0</v>
      </c>
      <c r="K20" s="70">
        <f t="shared" si="3"/>
        <v>13670752978.27356</v>
      </c>
      <c r="L20" s="70">
        <f>J20*G20</f>
        <v>0</v>
      </c>
      <c r="M20" s="70">
        <f>0.15*L20*USD_Change_IRR * per_Euro</f>
        <v>0</v>
      </c>
      <c r="N20" s="71">
        <f>100000000*IRR_Inflation_Factor</f>
        <v>1857603286.6437731</v>
      </c>
      <c r="O20" s="1481"/>
      <c r="P20" s="1487"/>
    </row>
    <row r="21" spans="1:16" ht="17.45" customHeight="1">
      <c r="A21" s="72">
        <v>18</v>
      </c>
      <c r="B21" s="64" t="s">
        <v>38</v>
      </c>
      <c r="C21" s="65" t="s">
        <v>164</v>
      </c>
      <c r="D21" s="67" t="s">
        <v>162</v>
      </c>
      <c r="E21" s="84" t="s">
        <v>165</v>
      </c>
      <c r="F21" s="68" t="s">
        <v>123</v>
      </c>
      <c r="G21" s="68">
        <v>1</v>
      </c>
      <c r="H21" s="329">
        <f>17000*per_Euro*USD_Change_IRR</f>
        <v>7746760021.0216827</v>
      </c>
      <c r="I21" s="210"/>
      <c r="J21" s="329">
        <v>0</v>
      </c>
      <c r="K21" s="70">
        <f t="shared" si="3"/>
        <v>7746760021.0216827</v>
      </c>
      <c r="L21" s="70">
        <f>J21*G21</f>
        <v>0</v>
      </c>
      <c r="M21" s="70">
        <f>0.15*L21*USD_Change_IRR * per_Euro</f>
        <v>0</v>
      </c>
      <c r="N21" s="71">
        <f>100000000*IRR_Inflation_Factor</f>
        <v>1857603286.6437731</v>
      </c>
      <c r="O21" s="1481"/>
      <c r="P21" s="1487"/>
    </row>
    <row r="22" spans="1:16" ht="17.45" customHeight="1">
      <c r="A22" s="79">
        <v>19</v>
      </c>
      <c r="B22" s="64" t="s">
        <v>131</v>
      </c>
      <c r="C22" s="65" t="s">
        <v>166</v>
      </c>
      <c r="D22" s="67" t="s">
        <v>167</v>
      </c>
      <c r="E22" s="67" t="s">
        <v>168</v>
      </c>
      <c r="F22" s="77" t="s">
        <v>135</v>
      </c>
      <c r="G22" s="80">
        <v>25500</v>
      </c>
      <c r="H22" s="329">
        <f>Material_of_Tank</f>
        <v>660000</v>
      </c>
      <c r="I22" s="70"/>
      <c r="J22" s="75"/>
      <c r="K22" s="70">
        <f t="shared" si="3"/>
        <v>16830000000</v>
      </c>
      <c r="L22" s="78"/>
      <c r="M22" s="75"/>
      <c r="N22" s="71">
        <f>19500000*IRR_Inflation_Factor</f>
        <v>362232640.89553577</v>
      </c>
      <c r="O22" s="1481"/>
      <c r="P22" s="1487"/>
    </row>
    <row r="23" spans="1:16" ht="17.45" customHeight="1">
      <c r="A23" s="72">
        <v>20</v>
      </c>
      <c r="B23" s="64" t="s">
        <v>38</v>
      </c>
      <c r="C23" s="65" t="s">
        <v>169</v>
      </c>
      <c r="D23" s="67" t="s">
        <v>170</v>
      </c>
      <c r="E23" s="67" t="s">
        <v>171</v>
      </c>
      <c r="F23" s="68" t="s">
        <v>123</v>
      </c>
      <c r="G23" s="68">
        <v>1</v>
      </c>
      <c r="H23" s="329">
        <f>ROUND(11000*per_Euro*USD_Change_IRR,-3)</f>
        <v>5012609000</v>
      </c>
      <c r="I23" s="70"/>
      <c r="J23" s="70">
        <v>0</v>
      </c>
      <c r="K23" s="70">
        <f t="shared" si="3"/>
        <v>5012609000</v>
      </c>
      <c r="L23" s="70">
        <f>J23*G23</f>
        <v>0</v>
      </c>
      <c r="M23" s="70">
        <f>0.15*L23*USD_Change_IRR * per_Euro</f>
        <v>0</v>
      </c>
      <c r="N23" s="71">
        <f>100000000*IRR_Inflation_Factor</f>
        <v>1857603286.6437731</v>
      </c>
      <c r="O23" s="1481"/>
      <c r="P23" s="1487"/>
    </row>
    <row r="24" spans="1:16" ht="17.45" customHeight="1">
      <c r="A24" s="79">
        <v>21</v>
      </c>
      <c r="B24" s="64" t="s">
        <v>38</v>
      </c>
      <c r="C24" s="65" t="s">
        <v>172</v>
      </c>
      <c r="D24" s="67" t="s">
        <v>173</v>
      </c>
      <c r="E24" s="67" t="s">
        <v>174</v>
      </c>
      <c r="F24" s="68" t="s">
        <v>123</v>
      </c>
      <c r="G24" s="85">
        <v>3</v>
      </c>
      <c r="H24" s="329">
        <f>ROUND(430000*per_Euro*USD_Change_IRR,-3)</f>
        <v>195947459000</v>
      </c>
      <c r="I24" s="70"/>
      <c r="J24" s="329">
        <v>0</v>
      </c>
      <c r="K24" s="70">
        <f t="shared" ref="K24:K25" si="4">H24*G24</f>
        <v>587842377000</v>
      </c>
      <c r="L24" s="70">
        <f>J24*G24</f>
        <v>0</v>
      </c>
      <c r="M24" s="70">
        <f>0.15*L24*USD_Change_IRR * per_Euro</f>
        <v>0</v>
      </c>
      <c r="N24" s="71">
        <f>200000000*IRR_Inflation_Factor</f>
        <v>3715206573.2875462</v>
      </c>
      <c r="O24" s="1481"/>
      <c r="P24" s="1487"/>
    </row>
    <row r="25" spans="1:16" ht="17.45" customHeight="1">
      <c r="A25" s="72">
        <v>22</v>
      </c>
      <c r="B25" s="64" t="s">
        <v>38</v>
      </c>
      <c r="C25" s="65" t="s">
        <v>175</v>
      </c>
      <c r="D25" s="67" t="s">
        <v>176</v>
      </c>
      <c r="E25" s="67" t="s">
        <v>177</v>
      </c>
      <c r="F25" s="68" t="s">
        <v>123</v>
      </c>
      <c r="G25" s="85">
        <v>3</v>
      </c>
      <c r="H25" s="329">
        <f>ROUND(285000*per_Euro*USD_Change_IRR,-3)</f>
        <v>129872153000</v>
      </c>
      <c r="I25" s="70"/>
      <c r="J25" s="329">
        <v>0</v>
      </c>
      <c r="K25" s="70">
        <f t="shared" si="4"/>
        <v>389616459000</v>
      </c>
      <c r="L25" s="70">
        <f>J25*G25</f>
        <v>0</v>
      </c>
      <c r="M25" s="70">
        <f>0.15*L25*USD_Change_IRR * per_Euro</f>
        <v>0</v>
      </c>
      <c r="N25" s="71">
        <f>200000000*IRR_Inflation_Factor</f>
        <v>3715206573.2875462</v>
      </c>
      <c r="O25" s="1481"/>
      <c r="P25" s="1487"/>
    </row>
    <row r="26" spans="1:16" ht="17.45" customHeight="1">
      <c r="A26" s="79">
        <v>23</v>
      </c>
      <c r="B26" s="64" t="s">
        <v>178</v>
      </c>
      <c r="C26" s="65" t="s">
        <v>179</v>
      </c>
      <c r="D26" s="67" t="s">
        <v>180</v>
      </c>
      <c r="E26" s="67" t="s">
        <v>181</v>
      </c>
      <c r="F26" s="77" t="s">
        <v>135</v>
      </c>
      <c r="G26" s="80">
        <v>45900</v>
      </c>
      <c r="H26" s="329">
        <f>Material_of_Tank</f>
        <v>660000</v>
      </c>
      <c r="I26" s="70"/>
      <c r="J26" s="75"/>
      <c r="K26" s="70">
        <f>H26*G26</f>
        <v>30294000000</v>
      </c>
      <c r="L26" s="78"/>
      <c r="M26" s="75"/>
      <c r="N26" s="71">
        <f>130000000*IRR_Inflation_Factor</f>
        <v>2414884272.6369052</v>
      </c>
      <c r="O26" s="1481"/>
      <c r="P26" s="1487"/>
    </row>
    <row r="27" spans="1:16" ht="17.45" customHeight="1">
      <c r="A27" s="72">
        <v>24</v>
      </c>
      <c r="B27" s="64" t="s">
        <v>158</v>
      </c>
      <c r="C27" s="65" t="s">
        <v>182</v>
      </c>
      <c r="D27" s="67" t="s">
        <v>183</v>
      </c>
      <c r="E27" s="67" t="s">
        <v>184</v>
      </c>
      <c r="F27" s="68" t="s">
        <v>117</v>
      </c>
      <c r="G27" s="68">
        <v>1</v>
      </c>
      <c r="H27" s="75"/>
      <c r="I27" s="70"/>
      <c r="J27" s="329">
        <v>3000000</v>
      </c>
      <c r="K27" s="76"/>
      <c r="L27" s="70">
        <f>J27*G27</f>
        <v>3000000</v>
      </c>
      <c r="M27" s="70">
        <f>0.1*L27*USD_Change_IRR * per_Euro</f>
        <v>136707529782.7356</v>
      </c>
      <c r="N27" s="71">
        <f>300000000*IRR_Inflation_Factor</f>
        <v>5572809859.9313192</v>
      </c>
      <c r="O27" s="1481"/>
      <c r="P27" s="1487"/>
    </row>
    <row r="28" spans="1:16" ht="17.45" customHeight="1">
      <c r="A28" s="79">
        <v>25</v>
      </c>
      <c r="B28" s="64" t="s">
        <v>158</v>
      </c>
      <c r="C28" s="65" t="s">
        <v>185</v>
      </c>
      <c r="D28" s="67" t="s">
        <v>186</v>
      </c>
      <c r="E28" s="67" t="s">
        <v>187</v>
      </c>
      <c r="F28" s="68" t="s">
        <v>117</v>
      </c>
      <c r="G28" s="85">
        <v>1</v>
      </c>
      <c r="H28" s="75"/>
      <c r="I28" s="70"/>
      <c r="J28" s="329">
        <v>1400000</v>
      </c>
      <c r="K28" s="76"/>
      <c r="L28" s="70">
        <f>J28*G28</f>
        <v>1400000</v>
      </c>
      <c r="M28" s="70">
        <f>0.1*L28*USD_Change_IRR * per_Euro</f>
        <v>63796847231.943275</v>
      </c>
      <c r="N28" s="71">
        <f>300000000*IRR_Inflation_Factor</f>
        <v>5572809859.9313192</v>
      </c>
      <c r="O28" s="1481"/>
      <c r="P28" s="1487"/>
    </row>
    <row r="29" spans="1:16" ht="17.45" customHeight="1">
      <c r="A29" s="72">
        <v>26</v>
      </c>
      <c r="B29" s="64" t="s">
        <v>131</v>
      </c>
      <c r="C29" s="65" t="s">
        <v>179</v>
      </c>
      <c r="D29" s="67" t="s">
        <v>189</v>
      </c>
      <c r="E29" s="67" t="s">
        <v>190</v>
      </c>
      <c r="F29" s="77" t="s">
        <v>135</v>
      </c>
      <c r="G29" s="80">
        <v>40000</v>
      </c>
      <c r="H29" s="329">
        <f>Material_of_Tank</f>
        <v>660000</v>
      </c>
      <c r="I29" s="70"/>
      <c r="J29" s="75"/>
      <c r="K29" s="70">
        <f t="shared" ref="K29:K36" si="5">H29*G29</f>
        <v>26400000000</v>
      </c>
      <c r="L29" s="78"/>
      <c r="M29" s="75"/>
      <c r="N29" s="71">
        <f>97500000*IRR_Inflation_Factor</f>
        <v>1811163204.4776788</v>
      </c>
      <c r="O29" s="1481"/>
      <c r="P29" s="1487"/>
    </row>
    <row r="30" spans="1:16" ht="17.45" customHeight="1">
      <c r="A30" s="79">
        <v>27</v>
      </c>
      <c r="B30" s="64" t="s">
        <v>147</v>
      </c>
      <c r="C30" s="65" t="s">
        <v>191</v>
      </c>
      <c r="D30" s="67" t="s">
        <v>192</v>
      </c>
      <c r="E30" s="67" t="s">
        <v>193</v>
      </c>
      <c r="F30" s="77" t="s">
        <v>135</v>
      </c>
      <c r="G30" s="77">
        <v>1000</v>
      </c>
      <c r="H30" s="329">
        <f>7*USD_Change_IRR</f>
        <v>2940000</v>
      </c>
      <c r="I30" s="70"/>
      <c r="J30" s="75"/>
      <c r="K30" s="70">
        <f t="shared" si="5"/>
        <v>2940000000</v>
      </c>
      <c r="L30" s="78"/>
      <c r="M30" s="75"/>
      <c r="N30" s="71">
        <f>6500000*IRR_Inflation_Factor</f>
        <v>120744213.63184525</v>
      </c>
      <c r="O30" s="1481"/>
      <c r="P30" s="1487"/>
    </row>
    <row r="31" spans="1:16" ht="17.45" customHeight="1">
      <c r="A31" s="72">
        <v>28</v>
      </c>
      <c r="B31" s="64" t="s">
        <v>147</v>
      </c>
      <c r="C31" s="65" t="s">
        <v>194</v>
      </c>
      <c r="D31" s="67" t="s">
        <v>195</v>
      </c>
      <c r="E31" s="67" t="s">
        <v>196</v>
      </c>
      <c r="F31" s="77" t="s">
        <v>135</v>
      </c>
      <c r="G31" s="77">
        <v>12900</v>
      </c>
      <c r="H31" s="70">
        <f>85000*IRR_ME_Inflation_Factor</f>
        <v>906031.43478213123</v>
      </c>
      <c r="I31" s="70"/>
      <c r="J31" s="75"/>
      <c r="K31" s="70">
        <f t="shared" si="5"/>
        <v>11687805508.689493</v>
      </c>
      <c r="L31" s="78"/>
      <c r="M31" s="75"/>
      <c r="N31" s="71">
        <f>6500000*IRR_Inflation_Factor</f>
        <v>120744213.63184525</v>
      </c>
      <c r="O31" s="1481"/>
      <c r="P31" s="1487"/>
    </row>
    <row r="32" spans="1:16" ht="17.45" customHeight="1">
      <c r="A32" s="79">
        <v>29</v>
      </c>
      <c r="B32" s="64" t="s">
        <v>158</v>
      </c>
      <c r="C32" s="65" t="s">
        <v>197</v>
      </c>
      <c r="D32" s="67" t="s">
        <v>198</v>
      </c>
      <c r="E32" s="67" t="s">
        <v>199</v>
      </c>
      <c r="F32" s="68" t="s">
        <v>123</v>
      </c>
      <c r="G32" s="68">
        <v>2</v>
      </c>
      <c r="H32" s="329">
        <f>ROUND(183750*per_Euro*USD_Inflation_Factor*USD_Change_IRR,-3)</f>
        <v>114467980000</v>
      </c>
      <c r="I32" s="87"/>
      <c r="J32" s="70">
        <v>0</v>
      </c>
      <c r="K32" s="70">
        <f t="shared" si="5"/>
        <v>228935960000</v>
      </c>
      <c r="L32" s="70">
        <f t="shared" ref="L32:L44" si="6">J32*G32</f>
        <v>0</v>
      </c>
      <c r="M32" s="75"/>
      <c r="N32" s="71">
        <f>300000000*IRR_Inflation_Factor</f>
        <v>5572809859.9313192</v>
      </c>
      <c r="O32" s="1481"/>
      <c r="P32" s="1487"/>
    </row>
    <row r="33" spans="1:16" ht="17.45" customHeight="1">
      <c r="A33" s="72">
        <v>30</v>
      </c>
      <c r="B33" s="64" t="s">
        <v>158</v>
      </c>
      <c r="C33" s="65" t="s">
        <v>200</v>
      </c>
      <c r="D33" s="67" t="s">
        <v>201</v>
      </c>
      <c r="E33" s="67" t="s">
        <v>202</v>
      </c>
      <c r="F33" s="68" t="s">
        <v>123</v>
      </c>
      <c r="G33" s="68">
        <v>1</v>
      </c>
      <c r="H33" s="329">
        <f>ROUND(7200*per_Euro*USD_Inflation_Factor*USD_Change_IRR,-3)</f>
        <v>4485276000</v>
      </c>
      <c r="I33" s="210"/>
      <c r="J33" s="70">
        <v>0</v>
      </c>
      <c r="K33" s="70">
        <f t="shared" si="5"/>
        <v>4485276000</v>
      </c>
      <c r="L33" s="70">
        <f t="shared" si="6"/>
        <v>0</v>
      </c>
      <c r="M33" s="75"/>
      <c r="N33" s="71">
        <f>300000000*IRR_Inflation_Factor</f>
        <v>5572809859.9313192</v>
      </c>
      <c r="O33" s="1481"/>
      <c r="P33" s="1487"/>
    </row>
    <row r="34" spans="1:16" ht="17.45" customHeight="1">
      <c r="A34" s="79">
        <v>31</v>
      </c>
      <c r="B34" s="64" t="s">
        <v>158</v>
      </c>
      <c r="C34" s="65" t="s">
        <v>118</v>
      </c>
      <c r="D34" s="67" t="s">
        <v>198</v>
      </c>
      <c r="E34" s="67" t="s">
        <v>203</v>
      </c>
      <c r="F34" s="68" t="s">
        <v>123</v>
      </c>
      <c r="G34" s="68">
        <v>2</v>
      </c>
      <c r="H34" s="329">
        <f>ROUND(146250*per_Euro*USD_Inflation_Factor*USD_Change_IRR,-3)</f>
        <v>91107168000</v>
      </c>
      <c r="I34" s="87"/>
      <c r="J34" s="70">
        <v>0</v>
      </c>
      <c r="K34" s="70">
        <f t="shared" si="5"/>
        <v>182214336000</v>
      </c>
      <c r="L34" s="70">
        <f t="shared" si="6"/>
        <v>0</v>
      </c>
      <c r="M34" s="75"/>
      <c r="N34" s="71">
        <f>300000000*IRR_Inflation_Factor</f>
        <v>5572809859.9313192</v>
      </c>
      <c r="O34" s="1481"/>
      <c r="P34" s="1487"/>
    </row>
    <row r="35" spans="1:16" ht="17.45" customHeight="1">
      <c r="A35" s="72">
        <v>32</v>
      </c>
      <c r="B35" s="64" t="s">
        <v>158</v>
      </c>
      <c r="C35" s="65" t="s">
        <v>132</v>
      </c>
      <c r="D35" s="67" t="s">
        <v>201</v>
      </c>
      <c r="E35" s="67" t="s">
        <v>204</v>
      </c>
      <c r="F35" s="68" t="s">
        <v>123</v>
      </c>
      <c r="G35" s="68">
        <v>1</v>
      </c>
      <c r="H35" s="329">
        <f>ROUND(5300*per_Euro*USD_Inflation_Factor*USD_Change_IRR,-3)</f>
        <v>3301661000</v>
      </c>
      <c r="I35" s="210"/>
      <c r="J35" s="70">
        <v>0</v>
      </c>
      <c r="K35" s="70">
        <f t="shared" si="5"/>
        <v>3301661000</v>
      </c>
      <c r="L35" s="70">
        <f t="shared" si="6"/>
        <v>0</v>
      </c>
      <c r="M35" s="75"/>
      <c r="N35" s="71">
        <f>300000000*IRR_Inflation_Factor</f>
        <v>5572809859.9313192</v>
      </c>
      <c r="O35" s="1481"/>
      <c r="P35" s="1487"/>
    </row>
    <row r="36" spans="1:16" ht="17.45" customHeight="1">
      <c r="A36" s="79">
        <v>33</v>
      </c>
      <c r="B36" s="64" t="s">
        <v>38</v>
      </c>
      <c r="C36" s="65" t="s">
        <v>205</v>
      </c>
      <c r="D36" s="67" t="s">
        <v>206</v>
      </c>
      <c r="E36" s="67" t="s">
        <v>207</v>
      </c>
      <c r="F36" s="68" t="s">
        <v>123</v>
      </c>
      <c r="G36" s="68">
        <v>3</v>
      </c>
      <c r="H36" s="329">
        <f>ROUND(9000*per_Euro*USD_Change_IRR,-3)</f>
        <v>4101226000</v>
      </c>
      <c r="I36" s="70"/>
      <c r="J36" s="329">
        <v>0</v>
      </c>
      <c r="K36" s="70">
        <f t="shared" si="5"/>
        <v>12303678000</v>
      </c>
      <c r="L36" s="70">
        <f t="shared" si="6"/>
        <v>0</v>
      </c>
      <c r="M36" s="70">
        <f>0.05*L36*USD_Change_IRR * per_Euro</f>
        <v>0</v>
      </c>
      <c r="N36" s="71">
        <f>100000000*IRR_Inflation_Factor</f>
        <v>1857603286.6437731</v>
      </c>
      <c r="O36" s="1481"/>
      <c r="P36" s="1487"/>
    </row>
    <row r="37" spans="1:16" ht="17.45" customHeight="1">
      <c r="A37" s="72">
        <v>34</v>
      </c>
      <c r="B37" s="64" t="s">
        <v>158</v>
      </c>
      <c r="C37" s="65" t="s">
        <v>208</v>
      </c>
      <c r="D37" s="67" t="s">
        <v>209</v>
      </c>
      <c r="E37" s="67" t="s">
        <v>210</v>
      </c>
      <c r="F37" s="68" t="s">
        <v>123</v>
      </c>
      <c r="G37" s="68">
        <v>1</v>
      </c>
      <c r="H37" s="329">
        <f>ROUND(83000*per_Euro*USD_Change_IRR,-3)</f>
        <v>37822417000</v>
      </c>
      <c r="I37" s="70"/>
      <c r="J37" s="329">
        <v>0</v>
      </c>
      <c r="K37" s="70">
        <f t="shared" ref="K37:K47" si="7">H37*G37</f>
        <v>37822417000</v>
      </c>
      <c r="L37" s="70">
        <f t="shared" si="6"/>
        <v>0</v>
      </c>
      <c r="M37" s="75"/>
      <c r="N37" s="71">
        <f t="shared" ref="N37:N45" si="8">6500000*IRR_Inflation_Factor</f>
        <v>120744213.63184525</v>
      </c>
      <c r="O37" s="1481"/>
      <c r="P37" s="1487"/>
    </row>
    <row r="38" spans="1:16" ht="17.45" customHeight="1">
      <c r="A38" s="79">
        <v>35</v>
      </c>
      <c r="B38" s="64" t="s">
        <v>158</v>
      </c>
      <c r="C38" s="65" t="s">
        <v>211</v>
      </c>
      <c r="D38" s="67" t="s">
        <v>209</v>
      </c>
      <c r="E38" s="67" t="s">
        <v>212</v>
      </c>
      <c r="F38" s="68" t="s">
        <v>123</v>
      </c>
      <c r="G38" s="68">
        <v>2</v>
      </c>
      <c r="H38" s="329">
        <f>ROUND(84500*per_Euro*USD_Change_IRR,-3)</f>
        <v>38505954000</v>
      </c>
      <c r="I38" s="70"/>
      <c r="J38" s="329">
        <v>0</v>
      </c>
      <c r="K38" s="70">
        <f t="shared" si="7"/>
        <v>77011908000</v>
      </c>
      <c r="L38" s="70">
        <f t="shared" si="6"/>
        <v>0</v>
      </c>
      <c r="M38" s="75"/>
      <c r="N38" s="71">
        <f t="shared" si="8"/>
        <v>120744213.63184525</v>
      </c>
      <c r="O38" s="1481"/>
      <c r="P38" s="1487"/>
    </row>
    <row r="39" spans="1:16" ht="17.45" customHeight="1">
      <c r="A39" s="72">
        <v>36</v>
      </c>
      <c r="B39" s="64" t="s">
        <v>158</v>
      </c>
      <c r="C39" s="65">
        <v>-503</v>
      </c>
      <c r="D39" s="73" t="s">
        <v>213</v>
      </c>
      <c r="E39" s="67" t="s">
        <v>214</v>
      </c>
      <c r="F39" s="68" t="s">
        <v>123</v>
      </c>
      <c r="G39" s="68">
        <v>1</v>
      </c>
      <c r="H39" s="329">
        <f>ROUND(70500*per_Euro*USD_Change_IRR,-3)</f>
        <v>32126269000</v>
      </c>
      <c r="I39" s="70"/>
      <c r="J39" s="329">
        <v>0</v>
      </c>
      <c r="K39" s="70">
        <f t="shared" si="7"/>
        <v>32126269000</v>
      </c>
      <c r="L39" s="70">
        <f t="shared" si="6"/>
        <v>0</v>
      </c>
      <c r="M39" s="75"/>
      <c r="N39" s="71">
        <f t="shared" si="8"/>
        <v>120744213.63184525</v>
      </c>
      <c r="O39" s="1481"/>
      <c r="P39" s="1487"/>
    </row>
    <row r="40" spans="1:16" ht="17.45" customHeight="1">
      <c r="A40" s="79">
        <v>37</v>
      </c>
      <c r="B40" s="64" t="s">
        <v>158</v>
      </c>
      <c r="C40" s="65">
        <v>-504</v>
      </c>
      <c r="D40" s="73" t="s">
        <v>215</v>
      </c>
      <c r="E40" s="67" t="s">
        <v>216</v>
      </c>
      <c r="F40" s="68" t="s">
        <v>123</v>
      </c>
      <c r="G40" s="68">
        <v>1</v>
      </c>
      <c r="H40" s="329">
        <f>ROUND(83000*per_Euro*USD_Change_IRR,-3)</f>
        <v>37822417000</v>
      </c>
      <c r="I40" s="70"/>
      <c r="J40" s="329">
        <v>0</v>
      </c>
      <c r="K40" s="70">
        <f t="shared" si="7"/>
        <v>37822417000</v>
      </c>
      <c r="L40" s="70">
        <f t="shared" si="6"/>
        <v>0</v>
      </c>
      <c r="M40" s="75"/>
      <c r="N40" s="71">
        <f t="shared" si="8"/>
        <v>120744213.63184525</v>
      </c>
      <c r="O40" s="1481"/>
      <c r="P40" s="1487"/>
    </row>
    <row r="41" spans="1:16" ht="17.45" customHeight="1">
      <c r="A41" s="72">
        <v>38</v>
      </c>
      <c r="B41" s="64" t="s">
        <v>158</v>
      </c>
      <c r="C41" s="65">
        <v>-505</v>
      </c>
      <c r="D41" s="73" t="s">
        <v>217</v>
      </c>
      <c r="E41" s="67" t="s">
        <v>216</v>
      </c>
      <c r="F41" s="68" t="s">
        <v>123</v>
      </c>
      <c r="G41" s="68">
        <v>1</v>
      </c>
      <c r="H41" s="329">
        <f>ROUND(83000*per_Euro*USD_Change_IRR,-3)</f>
        <v>37822417000</v>
      </c>
      <c r="I41" s="70"/>
      <c r="J41" s="329">
        <v>0</v>
      </c>
      <c r="K41" s="70">
        <f t="shared" si="7"/>
        <v>37822417000</v>
      </c>
      <c r="L41" s="70">
        <f t="shared" si="6"/>
        <v>0</v>
      </c>
      <c r="M41" s="75"/>
      <c r="N41" s="71">
        <f t="shared" si="8"/>
        <v>120744213.63184525</v>
      </c>
      <c r="O41" s="1481"/>
      <c r="P41" s="1487"/>
    </row>
    <row r="42" spans="1:16" ht="17.45" customHeight="1">
      <c r="A42" s="79">
        <v>39</v>
      </c>
      <c r="B42" s="64" t="s">
        <v>158</v>
      </c>
      <c r="C42" s="65" t="s">
        <v>218</v>
      </c>
      <c r="D42" s="67" t="s">
        <v>219</v>
      </c>
      <c r="E42" s="67" t="s">
        <v>220</v>
      </c>
      <c r="F42" s="68" t="s">
        <v>123</v>
      </c>
      <c r="G42" s="68">
        <v>1</v>
      </c>
      <c r="H42" s="329">
        <f>ROUND(85000*per_Euro*USD_Change_IRR,-3)</f>
        <v>38733800000</v>
      </c>
      <c r="I42" s="70"/>
      <c r="J42" s="329">
        <v>0</v>
      </c>
      <c r="K42" s="70">
        <f t="shared" si="7"/>
        <v>38733800000</v>
      </c>
      <c r="L42" s="70">
        <f t="shared" si="6"/>
        <v>0</v>
      </c>
      <c r="M42" s="75"/>
      <c r="N42" s="71">
        <f t="shared" si="8"/>
        <v>120744213.63184525</v>
      </c>
      <c r="O42" s="1481"/>
      <c r="P42" s="1487"/>
    </row>
    <row r="43" spans="1:16" ht="17.45" customHeight="1">
      <c r="A43" s="72">
        <v>40</v>
      </c>
      <c r="B43" s="64" t="s">
        <v>158</v>
      </c>
      <c r="C43" s="65" t="s">
        <v>221</v>
      </c>
      <c r="D43" s="67" t="s">
        <v>222</v>
      </c>
      <c r="E43" s="67" t="s">
        <v>220</v>
      </c>
      <c r="F43" s="68" t="s">
        <v>123</v>
      </c>
      <c r="G43" s="68">
        <v>1</v>
      </c>
      <c r="H43" s="329">
        <f>ROUND(84000*per_Euro*USD_Change_IRR,-3)</f>
        <v>38278108000</v>
      </c>
      <c r="I43" s="70"/>
      <c r="J43" s="329">
        <v>0</v>
      </c>
      <c r="K43" s="70">
        <f t="shared" si="7"/>
        <v>38278108000</v>
      </c>
      <c r="L43" s="70">
        <f t="shared" si="6"/>
        <v>0</v>
      </c>
      <c r="M43" s="75"/>
      <c r="N43" s="71">
        <f t="shared" si="8"/>
        <v>120744213.63184525</v>
      </c>
      <c r="O43" s="1481"/>
      <c r="P43" s="1487"/>
    </row>
    <row r="44" spans="1:16" ht="17.45" customHeight="1">
      <c r="A44" s="79">
        <v>41</v>
      </c>
      <c r="B44" s="64" t="s">
        <v>158</v>
      </c>
      <c r="C44" s="65" t="s">
        <v>223</v>
      </c>
      <c r="D44" s="67" t="s">
        <v>224</v>
      </c>
      <c r="E44" s="67" t="s">
        <v>225</v>
      </c>
      <c r="F44" s="68" t="s">
        <v>123</v>
      </c>
      <c r="G44" s="68">
        <v>1</v>
      </c>
      <c r="H44" s="329">
        <f>ROUND(84000*per_Euro*USD_Change_IRR,-3)</f>
        <v>38278108000</v>
      </c>
      <c r="I44" s="70"/>
      <c r="J44" s="329">
        <v>0</v>
      </c>
      <c r="K44" s="70">
        <f t="shared" si="7"/>
        <v>38278108000</v>
      </c>
      <c r="L44" s="70">
        <f t="shared" si="6"/>
        <v>0</v>
      </c>
      <c r="M44" s="75"/>
      <c r="N44" s="71">
        <f t="shared" si="8"/>
        <v>120744213.63184525</v>
      </c>
      <c r="O44" s="1481"/>
      <c r="P44" s="1487"/>
    </row>
    <row r="45" spans="1:16" ht="17.45" customHeight="1">
      <c r="A45" s="72">
        <v>42</v>
      </c>
      <c r="B45" s="64" t="s">
        <v>147</v>
      </c>
      <c r="C45" s="65" t="s">
        <v>226</v>
      </c>
      <c r="D45" s="67" t="s">
        <v>227</v>
      </c>
      <c r="E45" s="67" t="s">
        <v>228</v>
      </c>
      <c r="F45" s="77" t="s">
        <v>135</v>
      </c>
      <c r="G45" s="86">
        <v>6100</v>
      </c>
      <c r="H45" s="329">
        <f>7*USD_Change_IRR</f>
        <v>2940000</v>
      </c>
      <c r="I45" s="70"/>
      <c r="J45" s="75"/>
      <c r="K45" s="70">
        <f t="shared" si="7"/>
        <v>17934000000</v>
      </c>
      <c r="L45" s="78"/>
      <c r="M45" s="75"/>
      <c r="N45" s="71">
        <f t="shared" si="8"/>
        <v>120744213.63184525</v>
      </c>
      <c r="O45" s="1481"/>
      <c r="P45" s="1487"/>
    </row>
    <row r="46" spans="1:16" ht="17.45" customHeight="1">
      <c r="A46" s="79">
        <v>43</v>
      </c>
      <c r="B46" s="64" t="s">
        <v>38</v>
      </c>
      <c r="C46" s="65" t="s">
        <v>229</v>
      </c>
      <c r="D46" s="67" t="s">
        <v>230</v>
      </c>
      <c r="E46" s="67" t="s">
        <v>231</v>
      </c>
      <c r="F46" s="68" t="s">
        <v>123</v>
      </c>
      <c r="G46" s="85">
        <v>2</v>
      </c>
      <c r="H46" s="329">
        <f>ROUND(28000*per_Euro*USD_Change_IRR,-3)</f>
        <v>12759369000</v>
      </c>
      <c r="I46" s="87"/>
      <c r="J46" s="329">
        <v>0</v>
      </c>
      <c r="K46" s="70">
        <f t="shared" si="7"/>
        <v>25518738000</v>
      </c>
      <c r="L46" s="70">
        <f>J46*G46</f>
        <v>0</v>
      </c>
      <c r="M46" s="70">
        <f>0.15*L46*USD_Change_IRR * per_Euro</f>
        <v>0</v>
      </c>
      <c r="N46" s="71">
        <f>100000000*IRR_Inflation_Factor</f>
        <v>1857603286.6437731</v>
      </c>
      <c r="O46" s="1481"/>
      <c r="P46" s="1487"/>
    </row>
    <row r="47" spans="1:16" ht="17.45" customHeight="1">
      <c r="A47" s="72">
        <v>44</v>
      </c>
      <c r="B47" s="64" t="s">
        <v>158</v>
      </c>
      <c r="C47" s="65">
        <v>-602</v>
      </c>
      <c r="D47" s="67" t="s">
        <v>232</v>
      </c>
      <c r="E47" s="67"/>
      <c r="F47" s="68" t="s">
        <v>123</v>
      </c>
      <c r="G47" s="85">
        <v>1</v>
      </c>
      <c r="H47" s="87">
        <f>ROUND(190000*per_Euro*smokeless_factor*USD_Inflation_Factor*USD_Change_IRR,-3)</f>
        <v>295903623000</v>
      </c>
      <c r="I47" s="87"/>
      <c r="J47" s="70">
        <v>0</v>
      </c>
      <c r="K47" s="70">
        <f t="shared" si="7"/>
        <v>295903623000</v>
      </c>
      <c r="L47" s="70">
        <f>J47*G47</f>
        <v>0</v>
      </c>
      <c r="M47" s="75"/>
      <c r="N47" s="71">
        <f>6500000*IRR_Inflation_Factor</f>
        <v>120744213.63184525</v>
      </c>
      <c r="O47" s="1481"/>
      <c r="P47" s="1487"/>
    </row>
    <row r="48" spans="1:16" ht="17.45" customHeight="1">
      <c r="A48" s="79">
        <v>45</v>
      </c>
      <c r="B48" s="64" t="s">
        <v>158</v>
      </c>
      <c r="C48" s="65">
        <v>-603</v>
      </c>
      <c r="D48" s="67" t="s">
        <v>233</v>
      </c>
      <c r="E48" s="67"/>
      <c r="F48" s="68" t="s">
        <v>123</v>
      </c>
      <c r="G48" s="85">
        <v>1</v>
      </c>
      <c r="H48" s="1475">
        <f>183000*USD_Change_IRR</f>
        <v>76860000000</v>
      </c>
      <c r="I48" s="87"/>
      <c r="J48" s="70"/>
      <c r="K48" s="87">
        <f>H48*G48</f>
        <v>76860000000</v>
      </c>
      <c r="L48" s="75"/>
      <c r="M48" s="75"/>
      <c r="N48" s="71">
        <f>6500000*IRR_Inflation_Factor</f>
        <v>120744213.63184525</v>
      </c>
      <c r="O48" s="1481"/>
      <c r="P48" s="1487"/>
    </row>
    <row r="49" spans="1:16" ht="17.45" customHeight="1">
      <c r="A49" s="72">
        <v>46</v>
      </c>
      <c r="B49" s="64" t="s">
        <v>158</v>
      </c>
      <c r="C49" s="65">
        <v>-701</v>
      </c>
      <c r="D49" s="67" t="s">
        <v>234</v>
      </c>
      <c r="E49" s="67"/>
      <c r="F49" s="68" t="s">
        <v>123</v>
      </c>
      <c r="G49" s="85">
        <v>1</v>
      </c>
      <c r="H49" s="75"/>
      <c r="I49" s="70"/>
      <c r="J49" s="1561">
        <f>J47*0.2</f>
        <v>0</v>
      </c>
      <c r="K49" s="76"/>
      <c r="L49" s="70" t="s">
        <v>4456</v>
      </c>
      <c r="M49" s="70"/>
      <c r="N49" s="71">
        <f>6500000*IRR_Inflation_Factor</f>
        <v>120744213.63184525</v>
      </c>
      <c r="O49" s="1481"/>
      <c r="P49" s="1487"/>
    </row>
    <row r="50" spans="1:16" ht="17.45" customHeight="1">
      <c r="A50" s="79">
        <v>47</v>
      </c>
      <c r="B50" s="64" t="s">
        <v>38</v>
      </c>
      <c r="C50" s="65" t="s">
        <v>235</v>
      </c>
      <c r="D50" s="67" t="s">
        <v>236</v>
      </c>
      <c r="E50" s="67" t="s">
        <v>237</v>
      </c>
      <c r="F50" s="68" t="s">
        <v>123</v>
      </c>
      <c r="G50" s="85">
        <v>2</v>
      </c>
      <c r="H50" s="329">
        <f>ROUND(53000*per_Euro*USD_Change_IRR,-3)</f>
        <v>24151664000</v>
      </c>
      <c r="I50" s="210"/>
      <c r="J50" s="329">
        <v>0</v>
      </c>
      <c r="K50" s="87">
        <f>H50*G50</f>
        <v>48303328000</v>
      </c>
      <c r="L50" s="70">
        <f>J50*G50</f>
        <v>0</v>
      </c>
      <c r="M50" s="70">
        <f>0.15*L50*USD_Change_IRR * per_Euro</f>
        <v>0</v>
      </c>
      <c r="N50" s="71">
        <f>100000000*IRR_Inflation_Factor</f>
        <v>1857603286.6437731</v>
      </c>
      <c r="O50" s="1481"/>
      <c r="P50" s="1487"/>
    </row>
    <row r="51" spans="1:16" ht="17.45" customHeight="1">
      <c r="A51" s="72">
        <v>48</v>
      </c>
      <c r="B51" s="64" t="s">
        <v>38</v>
      </c>
      <c r="C51" s="65" t="s">
        <v>238</v>
      </c>
      <c r="D51" s="67" t="s">
        <v>239</v>
      </c>
      <c r="E51" s="67" t="s">
        <v>240</v>
      </c>
      <c r="F51" s="68" t="s">
        <v>123</v>
      </c>
      <c r="G51" s="85">
        <v>2</v>
      </c>
      <c r="H51" s="329">
        <f>ROUND(53000*per_Euro*USD_Change_IRR,-3)</f>
        <v>24151664000</v>
      </c>
      <c r="I51" s="70"/>
      <c r="J51" s="329">
        <v>0</v>
      </c>
      <c r="K51" s="87">
        <f>H51*G51</f>
        <v>48303328000</v>
      </c>
      <c r="L51" s="70">
        <f>J51*G51</f>
        <v>0</v>
      </c>
      <c r="M51" s="70">
        <f>0.15*L51*USD_Change_IRR * per_Euro</f>
        <v>0</v>
      </c>
      <c r="N51" s="71">
        <f>100000000*IRR_Inflation_Factor</f>
        <v>1857603286.6437731</v>
      </c>
      <c r="O51" s="1481"/>
      <c r="P51" s="1487"/>
    </row>
    <row r="52" spans="1:16" ht="17.45" customHeight="1">
      <c r="A52" s="79">
        <v>49</v>
      </c>
      <c r="B52" s="64" t="s">
        <v>147</v>
      </c>
      <c r="C52" s="65" t="s">
        <v>241</v>
      </c>
      <c r="D52" s="67" t="s">
        <v>242</v>
      </c>
      <c r="E52" s="67" t="s">
        <v>243</v>
      </c>
      <c r="F52" s="77" t="s">
        <v>135</v>
      </c>
      <c r="G52" s="77">
        <v>29600</v>
      </c>
      <c r="H52" s="329">
        <f>6*USD_Change_IRR</f>
        <v>2520000</v>
      </c>
      <c r="I52" s="70"/>
      <c r="J52" s="75"/>
      <c r="K52" s="70">
        <f>H52*G52</f>
        <v>74592000000</v>
      </c>
      <c r="L52" s="78"/>
      <c r="M52" s="75"/>
      <c r="N52" s="71">
        <f>6500000*IRR_Inflation_Factor</f>
        <v>120744213.63184525</v>
      </c>
      <c r="O52" s="1481"/>
      <c r="P52" s="1487"/>
    </row>
    <row r="53" spans="1:16" ht="17.45" customHeight="1">
      <c r="A53" s="72">
        <v>50</v>
      </c>
      <c r="B53" s="64" t="s">
        <v>38</v>
      </c>
      <c r="C53" s="65" t="s">
        <v>244</v>
      </c>
      <c r="D53" s="67" t="s">
        <v>245</v>
      </c>
      <c r="E53" s="67" t="s">
        <v>246</v>
      </c>
      <c r="F53" s="68" t="s">
        <v>123</v>
      </c>
      <c r="G53" s="85">
        <v>2</v>
      </c>
      <c r="H53" s="329">
        <f>ROUND(29000*per_Euro*USD_Change_IRR,-3)</f>
        <v>13215061000</v>
      </c>
      <c r="I53" s="70"/>
      <c r="J53" s="329">
        <v>0</v>
      </c>
      <c r="K53" s="70">
        <f t="shared" ref="K53:K55" si="9">H53*G53</f>
        <v>26430122000</v>
      </c>
      <c r="L53" s="70">
        <f>J53*G53</f>
        <v>0</v>
      </c>
      <c r="M53" s="70">
        <f>0.15*L53*USD_Change_IRR * per_Euro</f>
        <v>0</v>
      </c>
      <c r="N53" s="71">
        <f>100000000*IRR_Inflation_Factor</f>
        <v>1857603286.6437731</v>
      </c>
      <c r="O53" s="1481"/>
      <c r="P53" s="1487"/>
    </row>
    <row r="54" spans="1:16" ht="17.45" customHeight="1">
      <c r="A54" s="79">
        <v>51</v>
      </c>
      <c r="B54" s="64" t="s">
        <v>38</v>
      </c>
      <c r="C54" s="65" t="s">
        <v>247</v>
      </c>
      <c r="D54" s="67" t="s">
        <v>248</v>
      </c>
      <c r="E54" s="67" t="s">
        <v>249</v>
      </c>
      <c r="F54" s="68" t="s">
        <v>123</v>
      </c>
      <c r="G54" s="85">
        <v>2</v>
      </c>
      <c r="H54" s="329">
        <f>ROUND(35000*per_Euro*USD_Change_IRR,-3)</f>
        <v>15949212000</v>
      </c>
      <c r="I54" s="70"/>
      <c r="J54" s="329">
        <v>0</v>
      </c>
      <c r="K54" s="70">
        <f t="shared" si="9"/>
        <v>31898424000</v>
      </c>
      <c r="L54" s="70">
        <f>J54*G54</f>
        <v>0</v>
      </c>
      <c r="M54" s="70">
        <f>0.05*L54*USD_Change_IRR * per_Euro</f>
        <v>0</v>
      </c>
      <c r="N54" s="71">
        <f>100000000*IRR_Inflation_Factor</f>
        <v>1857603286.6437731</v>
      </c>
      <c r="O54" s="1481"/>
      <c r="P54" s="1487"/>
    </row>
    <row r="55" spans="1:16" ht="17.45" customHeight="1">
      <c r="A55" s="72">
        <v>52</v>
      </c>
      <c r="B55" s="64" t="s">
        <v>38</v>
      </c>
      <c r="C55" s="65" t="s">
        <v>250</v>
      </c>
      <c r="D55" s="67" t="s">
        <v>251</v>
      </c>
      <c r="E55" s="67" t="s">
        <v>252</v>
      </c>
      <c r="F55" s="68" t="s">
        <v>123</v>
      </c>
      <c r="G55" s="85">
        <v>1</v>
      </c>
      <c r="H55" s="329">
        <f>ROUND(13350*per_Euro*USD_Change_IRR,-3)</f>
        <v>6083485000</v>
      </c>
      <c r="I55" s="70"/>
      <c r="J55" s="70">
        <v>0</v>
      </c>
      <c r="K55" s="70">
        <f t="shared" si="9"/>
        <v>6083485000</v>
      </c>
      <c r="L55" s="70">
        <f>J55*G55</f>
        <v>0</v>
      </c>
      <c r="M55" s="70">
        <f>0.15*L55*USD_Change_IRR * per_Euro</f>
        <v>0</v>
      </c>
      <c r="N55" s="71">
        <f>100000000*IRR_Inflation_Factor</f>
        <v>1857603286.6437731</v>
      </c>
      <c r="O55" s="1481"/>
      <c r="P55" s="1487"/>
    </row>
    <row r="56" spans="1:16" ht="17.45" customHeight="1">
      <c r="A56" s="79">
        <v>53</v>
      </c>
      <c r="B56" s="64" t="s">
        <v>131</v>
      </c>
      <c r="C56" s="65" t="s">
        <v>241</v>
      </c>
      <c r="D56" s="67" t="s">
        <v>253</v>
      </c>
      <c r="E56" s="67" t="s">
        <v>254</v>
      </c>
      <c r="F56" s="77" t="s">
        <v>135</v>
      </c>
      <c r="G56" s="80">
        <v>3600</v>
      </c>
      <c r="H56" s="329">
        <f>Material_of_Tank</f>
        <v>660000</v>
      </c>
      <c r="I56" s="70"/>
      <c r="J56" s="75"/>
      <c r="K56" s="70">
        <f>H56*G56</f>
        <v>2376000000</v>
      </c>
      <c r="L56" s="78"/>
      <c r="M56" s="75"/>
      <c r="N56" s="71">
        <f>6500000*IRR_Inflation_Factor</f>
        <v>120744213.63184525</v>
      </c>
      <c r="O56" s="1481"/>
      <c r="P56" s="1487"/>
    </row>
    <row r="57" spans="1:16" ht="17.45" customHeight="1">
      <c r="A57" s="72">
        <v>54</v>
      </c>
      <c r="B57" s="64" t="s">
        <v>38</v>
      </c>
      <c r="C57" s="65" t="s">
        <v>255</v>
      </c>
      <c r="D57" s="67" t="s">
        <v>256</v>
      </c>
      <c r="E57" s="67" t="s">
        <v>257</v>
      </c>
      <c r="F57" s="68" t="s">
        <v>123</v>
      </c>
      <c r="G57" s="85">
        <v>2</v>
      </c>
      <c r="H57" s="329">
        <f>ROUND(31000*per_Euro*USD_Change_IRR,-3)</f>
        <v>14126445000</v>
      </c>
      <c r="I57" s="70"/>
      <c r="J57" s="329">
        <v>0</v>
      </c>
      <c r="K57" s="70">
        <f t="shared" ref="K57:K58" si="10">H57*G57</f>
        <v>28252890000</v>
      </c>
      <c r="L57" s="70">
        <f>J57*G57</f>
        <v>0</v>
      </c>
      <c r="M57" s="70">
        <f>0.05*L57*USD_Change_IRR * per_Euro</f>
        <v>0</v>
      </c>
      <c r="N57" s="71">
        <f>100000000*IRR_Inflation_Factor</f>
        <v>1857603286.6437731</v>
      </c>
      <c r="O57" s="1481"/>
      <c r="P57" s="1487"/>
    </row>
    <row r="58" spans="1:16" ht="17.45" customHeight="1">
      <c r="A58" s="79">
        <v>55</v>
      </c>
      <c r="B58" s="64" t="s">
        <v>38</v>
      </c>
      <c r="C58" s="65" t="s">
        <v>258</v>
      </c>
      <c r="D58" s="67" t="s">
        <v>259</v>
      </c>
      <c r="E58" s="67" t="s">
        <v>260</v>
      </c>
      <c r="F58" s="68" t="s">
        <v>123</v>
      </c>
      <c r="G58" s="85">
        <v>2</v>
      </c>
      <c r="H58" s="329">
        <f>ROUND(28000*per_Euro*USD_Change_IRR,-3)</f>
        <v>12759369000</v>
      </c>
      <c r="I58" s="70"/>
      <c r="J58" s="329">
        <v>0</v>
      </c>
      <c r="K58" s="70">
        <f t="shared" si="10"/>
        <v>25518738000</v>
      </c>
      <c r="L58" s="70">
        <f>J58*G58</f>
        <v>0</v>
      </c>
      <c r="M58" s="70">
        <f>0.15*L58*USD_Change_IRR * per_Euro</f>
        <v>0</v>
      </c>
      <c r="N58" s="71">
        <f>20000000*IRR_Inflation_Factor</f>
        <v>371520657.32875466</v>
      </c>
      <c r="O58" s="1481"/>
      <c r="P58" s="1487"/>
    </row>
    <row r="59" spans="1:16" ht="17.45" customHeight="1">
      <c r="A59" s="72">
        <v>56</v>
      </c>
      <c r="B59" s="64" t="s">
        <v>147</v>
      </c>
      <c r="C59" s="65" t="s">
        <v>261</v>
      </c>
      <c r="D59" s="67" t="s">
        <v>262</v>
      </c>
      <c r="E59" s="67" t="s">
        <v>263</v>
      </c>
      <c r="F59" s="77" t="s">
        <v>135</v>
      </c>
      <c r="G59" s="80">
        <v>6100</v>
      </c>
      <c r="H59" s="329">
        <f>Material_of_Tank</f>
        <v>660000</v>
      </c>
      <c r="I59" s="70"/>
      <c r="J59" s="75"/>
      <c r="K59" s="70">
        <f>H59*G59</f>
        <v>4026000000</v>
      </c>
      <c r="L59" s="78"/>
      <c r="M59" s="75"/>
      <c r="N59" s="71">
        <f>6500000*IRR_Inflation_Factor</f>
        <v>120744213.63184525</v>
      </c>
      <c r="O59" s="1481"/>
      <c r="P59" s="1487"/>
    </row>
    <row r="60" spans="1:16" ht="17.45" customHeight="1">
      <c r="A60" s="79">
        <v>57</v>
      </c>
      <c r="B60" s="64" t="s">
        <v>38</v>
      </c>
      <c r="C60" s="65" t="s">
        <v>261</v>
      </c>
      <c r="D60" s="67" t="s">
        <v>264</v>
      </c>
      <c r="E60" s="67" t="s">
        <v>265</v>
      </c>
      <c r="F60" s="68" t="s">
        <v>123</v>
      </c>
      <c r="G60" s="85">
        <v>1</v>
      </c>
      <c r="H60" s="329">
        <f>ROUND(13500*per_Euro*USD_Change_IRR,-3)</f>
        <v>6151839000</v>
      </c>
      <c r="I60" s="87"/>
      <c r="J60" s="329">
        <v>0</v>
      </c>
      <c r="K60" s="70">
        <f>H60*G60</f>
        <v>6151839000</v>
      </c>
      <c r="L60" s="70">
        <f>J60*G60</f>
        <v>0</v>
      </c>
      <c r="M60" s="70">
        <f>0.15*L60*USD_Change_IRR * per_Euro</f>
        <v>0</v>
      </c>
      <c r="N60" s="71">
        <f>100000000*IRR_Inflation_Factor</f>
        <v>1857603286.6437731</v>
      </c>
      <c r="O60" s="1481"/>
      <c r="P60" s="1487"/>
    </row>
    <row r="61" spans="1:16" ht="17.45" customHeight="1">
      <c r="A61" s="72">
        <v>58</v>
      </c>
      <c r="B61" s="64" t="s">
        <v>38</v>
      </c>
      <c r="C61" s="65" t="s">
        <v>266</v>
      </c>
      <c r="D61" s="67" t="s">
        <v>267</v>
      </c>
      <c r="E61" s="67" t="s">
        <v>268</v>
      </c>
      <c r="F61" s="68" t="s">
        <v>123</v>
      </c>
      <c r="G61" s="85">
        <v>2</v>
      </c>
      <c r="H61" s="1476">
        <v>37500000000</v>
      </c>
      <c r="I61" s="70"/>
      <c r="J61" s="69"/>
      <c r="K61" s="70">
        <f>G61*H61</f>
        <v>75000000000</v>
      </c>
      <c r="L61" s="75"/>
      <c r="M61" s="75"/>
      <c r="N61" s="71">
        <f>8000000*IRR_Inflation_Factor</f>
        <v>148608262.93150187</v>
      </c>
      <c r="O61" s="1481"/>
      <c r="P61" s="1487"/>
    </row>
    <row r="62" spans="1:16" ht="17.45" customHeight="1">
      <c r="A62" s="79">
        <v>59</v>
      </c>
      <c r="B62" s="64" t="s">
        <v>38</v>
      </c>
      <c r="C62" s="65" t="s">
        <v>269</v>
      </c>
      <c r="D62" s="67" t="s">
        <v>270</v>
      </c>
      <c r="E62" s="67" t="s">
        <v>268</v>
      </c>
      <c r="F62" s="68" t="s">
        <v>123</v>
      </c>
      <c r="G62" s="85">
        <v>1</v>
      </c>
      <c r="H62" s="1476">
        <v>45000000000</v>
      </c>
      <c r="I62" s="70"/>
      <c r="J62" s="74"/>
      <c r="K62" s="70">
        <f>G62*H62</f>
        <v>45000000000</v>
      </c>
      <c r="L62" s="75"/>
      <c r="M62" s="75"/>
      <c r="N62" s="71">
        <f>20000000*IRR_Inflation_Factor</f>
        <v>371520657.32875466</v>
      </c>
      <c r="O62" s="1481"/>
      <c r="P62" s="1487"/>
    </row>
    <row r="63" spans="1:16" ht="17.45" customHeight="1">
      <c r="A63" s="72">
        <v>60</v>
      </c>
      <c r="B63" s="64" t="s">
        <v>38</v>
      </c>
      <c r="C63" s="65" t="s">
        <v>271</v>
      </c>
      <c r="D63" s="67" t="s">
        <v>272</v>
      </c>
      <c r="E63" s="67" t="s">
        <v>273</v>
      </c>
      <c r="F63" s="68" t="s">
        <v>123</v>
      </c>
      <c r="G63" s="85">
        <v>2</v>
      </c>
      <c r="H63" s="1476">
        <v>2000000000</v>
      </c>
      <c r="I63" s="70"/>
      <c r="J63" s="76"/>
      <c r="K63" s="70">
        <f t="shared" ref="K63:K68" si="11">H63*G63</f>
        <v>4000000000</v>
      </c>
      <c r="L63" s="75"/>
      <c r="M63" s="75"/>
      <c r="N63" s="71">
        <f>10000000*IRR_Inflation_Factor</f>
        <v>185760328.66437733</v>
      </c>
      <c r="O63" s="1481"/>
      <c r="P63" s="1487"/>
    </row>
    <row r="64" spans="1:16" ht="17.45" customHeight="1">
      <c r="A64" s="72">
        <v>60</v>
      </c>
      <c r="B64" s="64" t="s">
        <v>38</v>
      </c>
      <c r="C64" s="65" t="s">
        <v>274</v>
      </c>
      <c r="D64" s="67" t="s">
        <v>275</v>
      </c>
      <c r="E64" s="67" t="s">
        <v>273</v>
      </c>
      <c r="F64" s="68" t="s">
        <v>123</v>
      </c>
      <c r="G64" s="85">
        <v>2</v>
      </c>
      <c r="H64" s="329">
        <f>ROUND(17500*per_Euro*USD_Change_IRR,-3)</f>
        <v>7974606000</v>
      </c>
      <c r="I64" s="207"/>
      <c r="J64" s="329">
        <v>0</v>
      </c>
      <c r="K64" s="70">
        <f t="shared" si="11"/>
        <v>15949212000</v>
      </c>
      <c r="L64" s="70">
        <f>J64*G64</f>
        <v>0</v>
      </c>
      <c r="M64" s="75"/>
      <c r="N64" s="71">
        <f>10000000*IRR_Inflation_Factor</f>
        <v>185760328.66437733</v>
      </c>
      <c r="O64" s="1481"/>
      <c r="P64" s="1487"/>
    </row>
    <row r="65" spans="1:16" ht="17.45" customHeight="1">
      <c r="A65" s="79">
        <v>61</v>
      </c>
      <c r="B65" s="64" t="s">
        <v>131</v>
      </c>
      <c r="C65" s="65" t="s">
        <v>276</v>
      </c>
      <c r="D65" s="67" t="s">
        <v>277</v>
      </c>
      <c r="E65" s="88" t="s">
        <v>278</v>
      </c>
      <c r="F65" s="77" t="s">
        <v>135</v>
      </c>
      <c r="G65" s="80">
        <v>300</v>
      </c>
      <c r="H65" s="329">
        <f>Material_of_Tank</f>
        <v>660000</v>
      </c>
      <c r="I65" s="70"/>
      <c r="J65" s="78"/>
      <c r="K65" s="70">
        <f t="shared" si="11"/>
        <v>198000000</v>
      </c>
      <c r="L65" s="78"/>
      <c r="M65" s="75"/>
      <c r="N65" s="71">
        <f>195000000*IRR_Inflation_Factor</f>
        <v>3622326408.9553576</v>
      </c>
      <c r="O65" s="1481"/>
      <c r="P65" s="1487"/>
    </row>
    <row r="66" spans="1:16" ht="17.45" customHeight="1">
      <c r="A66" s="72">
        <v>62</v>
      </c>
      <c r="B66" s="64" t="s">
        <v>131</v>
      </c>
      <c r="C66" s="65" t="s">
        <v>279</v>
      </c>
      <c r="D66" s="67" t="s">
        <v>280</v>
      </c>
      <c r="E66" s="88"/>
      <c r="F66" s="77" t="s">
        <v>135</v>
      </c>
      <c r="G66" s="80">
        <v>144600</v>
      </c>
      <c r="H66" s="329">
        <f>Material_of_Tank</f>
        <v>660000</v>
      </c>
      <c r="I66" s="70"/>
      <c r="J66" s="78"/>
      <c r="K66" s="70">
        <f t="shared" si="11"/>
        <v>95436000000</v>
      </c>
      <c r="L66" s="78"/>
      <c r="M66" s="75"/>
      <c r="N66" s="71">
        <f>6500000*IRR_Inflation_Factor</f>
        <v>120744213.63184525</v>
      </c>
      <c r="O66" s="1481"/>
      <c r="P66" s="1487"/>
    </row>
    <row r="67" spans="1:16" ht="17.45" customHeight="1">
      <c r="A67" s="79">
        <v>63</v>
      </c>
      <c r="B67" s="64" t="s">
        <v>131</v>
      </c>
      <c r="C67" s="65" t="s">
        <v>169</v>
      </c>
      <c r="D67" s="67" t="s">
        <v>281</v>
      </c>
      <c r="E67" s="88" t="s">
        <v>282</v>
      </c>
      <c r="F67" s="77" t="s">
        <v>135</v>
      </c>
      <c r="G67" s="80">
        <v>32000</v>
      </c>
      <c r="H67" s="329">
        <f>Material_of_Tank</f>
        <v>660000</v>
      </c>
      <c r="I67" s="70"/>
      <c r="J67" s="78"/>
      <c r="K67" s="70">
        <f t="shared" si="11"/>
        <v>21120000000</v>
      </c>
      <c r="L67" s="78"/>
      <c r="M67" s="75"/>
      <c r="N67" s="71">
        <f>6500000*IRR_Inflation_Factor</f>
        <v>120744213.63184525</v>
      </c>
      <c r="O67" s="1481"/>
      <c r="P67" s="1487"/>
    </row>
    <row r="68" spans="1:16" ht="17.45" customHeight="1">
      <c r="A68" s="72">
        <v>64</v>
      </c>
      <c r="B68" s="64" t="s">
        <v>38</v>
      </c>
      <c r="C68" s="65" t="s">
        <v>283</v>
      </c>
      <c r="D68" s="67" t="s">
        <v>284</v>
      </c>
      <c r="E68" s="88" t="s">
        <v>285</v>
      </c>
      <c r="F68" s="68" t="s">
        <v>123</v>
      </c>
      <c r="G68" s="85">
        <v>1</v>
      </c>
      <c r="H68" s="329">
        <f>ROUND(19500*per_Euro*USD_Change_IRR,-3)</f>
        <v>8885989000</v>
      </c>
      <c r="I68" s="207"/>
      <c r="J68" s="329">
        <v>0</v>
      </c>
      <c r="K68" s="70">
        <f t="shared" si="11"/>
        <v>8885989000</v>
      </c>
      <c r="L68" s="70">
        <f>J68*G68</f>
        <v>0</v>
      </c>
      <c r="M68" s="75"/>
      <c r="N68" s="71">
        <f>10000000*IRR_Inflation_Factor</f>
        <v>185760328.66437733</v>
      </c>
      <c r="O68" s="1481"/>
      <c r="P68" s="1487"/>
    </row>
    <row r="69" spans="1:16" ht="17.45" customHeight="1">
      <c r="A69" s="79">
        <v>65</v>
      </c>
      <c r="B69" s="64"/>
      <c r="C69" s="65"/>
      <c r="D69" s="67" t="s">
        <v>286</v>
      </c>
      <c r="E69" s="88"/>
      <c r="F69" s="68"/>
      <c r="G69" s="85"/>
      <c r="H69" s="89"/>
      <c r="I69" s="89"/>
      <c r="J69" s="75"/>
      <c r="K69" s="89" t="s">
        <v>287</v>
      </c>
      <c r="L69" s="78"/>
      <c r="M69" s="75"/>
      <c r="N69" s="71">
        <f>130000000*IRR_Inflation_Factor</f>
        <v>2414884272.6369052</v>
      </c>
      <c r="O69" s="1481"/>
      <c r="P69" s="1487"/>
    </row>
    <row r="70" spans="1:16" ht="17.45" customHeight="1">
      <c r="A70" s="90">
        <v>65.099999999999994</v>
      </c>
      <c r="B70" s="64" t="s">
        <v>288</v>
      </c>
      <c r="C70" s="65" t="s">
        <v>289</v>
      </c>
      <c r="D70" s="91" t="s">
        <v>290</v>
      </c>
      <c r="E70" s="92"/>
      <c r="F70" s="68" t="s">
        <v>123</v>
      </c>
      <c r="G70" s="93">
        <v>1</v>
      </c>
      <c r="H70" s="329">
        <f>39000*USD_Change_IRR</f>
        <v>16380000000</v>
      </c>
      <c r="I70" s="70"/>
      <c r="J70" s="76"/>
      <c r="K70" s="70">
        <f t="shared" ref="K70:K82" si="12">H70*G70</f>
        <v>16380000000</v>
      </c>
      <c r="L70" s="78"/>
      <c r="M70" s="75"/>
      <c r="N70" s="71"/>
      <c r="O70" s="1481"/>
      <c r="P70" s="1487"/>
    </row>
    <row r="71" spans="1:16" ht="17.45" customHeight="1">
      <c r="A71" s="90">
        <v>65.2</v>
      </c>
      <c r="B71" s="64" t="s">
        <v>288</v>
      </c>
      <c r="C71" s="65" t="s">
        <v>291</v>
      </c>
      <c r="D71" s="91" t="s">
        <v>292</v>
      </c>
      <c r="E71" s="92"/>
      <c r="F71" s="68" t="s">
        <v>123</v>
      </c>
      <c r="G71" s="93">
        <v>1</v>
      </c>
      <c r="H71" s="329">
        <f>78000*USD_Change_IRR</f>
        <v>32760000000</v>
      </c>
      <c r="I71" s="70"/>
      <c r="J71" s="76"/>
      <c r="K71" s="70">
        <f t="shared" si="12"/>
        <v>32760000000</v>
      </c>
      <c r="L71" s="78"/>
      <c r="M71" s="75"/>
      <c r="N71" s="71"/>
      <c r="O71" s="1481"/>
      <c r="P71" s="1487"/>
    </row>
    <row r="72" spans="1:16" ht="17.45" customHeight="1">
      <c r="A72" s="90">
        <v>65.3</v>
      </c>
      <c r="B72" s="64" t="s">
        <v>288</v>
      </c>
      <c r="C72" s="65" t="s">
        <v>293</v>
      </c>
      <c r="D72" s="91" t="s">
        <v>292</v>
      </c>
      <c r="E72" s="92"/>
      <c r="F72" s="68" t="s">
        <v>123</v>
      </c>
      <c r="G72" s="93">
        <v>1</v>
      </c>
      <c r="H72" s="329">
        <f>78000*USD_Change_IRR</f>
        <v>32760000000</v>
      </c>
      <c r="I72" s="70"/>
      <c r="J72" s="76"/>
      <c r="K72" s="70">
        <f t="shared" si="12"/>
        <v>32760000000</v>
      </c>
      <c r="L72" s="78"/>
      <c r="M72" s="75"/>
      <c r="N72" s="71"/>
      <c r="O72" s="1481"/>
      <c r="P72" s="1487"/>
    </row>
    <row r="73" spans="1:16" ht="17.45" customHeight="1">
      <c r="A73" s="90">
        <v>65.400000000000006</v>
      </c>
      <c r="B73" s="64" t="s">
        <v>288</v>
      </c>
      <c r="C73" s="65" t="s">
        <v>294</v>
      </c>
      <c r="D73" s="91" t="s">
        <v>295</v>
      </c>
      <c r="E73" s="92"/>
      <c r="F73" s="68" t="s">
        <v>123</v>
      </c>
      <c r="G73" s="93">
        <v>1</v>
      </c>
      <c r="H73" s="329">
        <f>96000*USD_Change_IRR</f>
        <v>40320000000</v>
      </c>
      <c r="I73" s="70"/>
      <c r="J73" s="76"/>
      <c r="K73" s="70">
        <f t="shared" si="12"/>
        <v>40320000000</v>
      </c>
      <c r="L73" s="78"/>
      <c r="M73" s="75"/>
      <c r="N73" s="71"/>
      <c r="O73" s="1481"/>
      <c r="P73" s="1487"/>
    </row>
    <row r="74" spans="1:16" ht="17.45" customHeight="1">
      <c r="A74" s="90">
        <v>65.5</v>
      </c>
      <c r="B74" s="64" t="s">
        <v>288</v>
      </c>
      <c r="C74" s="65" t="s">
        <v>296</v>
      </c>
      <c r="D74" s="91" t="s">
        <v>295</v>
      </c>
      <c r="E74" s="92"/>
      <c r="F74" s="68" t="s">
        <v>123</v>
      </c>
      <c r="G74" s="93">
        <v>1</v>
      </c>
      <c r="H74" s="329">
        <f>96000*USD_Change_IRR</f>
        <v>40320000000</v>
      </c>
      <c r="I74" s="70"/>
      <c r="J74" s="76"/>
      <c r="K74" s="70">
        <f t="shared" si="12"/>
        <v>40320000000</v>
      </c>
      <c r="L74" s="78"/>
      <c r="M74" s="75"/>
      <c r="N74" s="71"/>
      <c r="O74" s="1481"/>
      <c r="P74" s="1487"/>
    </row>
    <row r="75" spans="1:16" ht="17.45" customHeight="1">
      <c r="A75" s="90">
        <v>65.599999999999994</v>
      </c>
      <c r="B75" s="64" t="s">
        <v>288</v>
      </c>
      <c r="C75" s="65" t="s">
        <v>297</v>
      </c>
      <c r="D75" s="91" t="s">
        <v>298</v>
      </c>
      <c r="E75" s="92"/>
      <c r="F75" s="68" t="s">
        <v>123</v>
      </c>
      <c r="G75" s="93">
        <v>1</v>
      </c>
      <c r="H75" s="329">
        <f>39000*USD_Change_IRR</f>
        <v>16380000000</v>
      </c>
      <c r="I75" s="70"/>
      <c r="J75" s="76"/>
      <c r="K75" s="70">
        <f t="shared" si="12"/>
        <v>16380000000</v>
      </c>
      <c r="L75" s="78"/>
      <c r="M75" s="75"/>
      <c r="N75" s="71"/>
      <c r="O75" s="1481"/>
      <c r="P75" s="1487"/>
    </row>
    <row r="76" spans="1:16" ht="17.45" customHeight="1">
      <c r="A76" s="90">
        <v>65.7</v>
      </c>
      <c r="B76" s="64" t="s">
        <v>288</v>
      </c>
      <c r="C76" s="65" t="s">
        <v>299</v>
      </c>
      <c r="D76" s="91" t="s">
        <v>300</v>
      </c>
      <c r="E76" s="92"/>
      <c r="F76" s="68" t="s">
        <v>123</v>
      </c>
      <c r="G76" s="93">
        <v>1</v>
      </c>
      <c r="H76" s="329">
        <f>96000*USD_Change_IRR</f>
        <v>40320000000</v>
      </c>
      <c r="I76" s="70"/>
      <c r="J76" s="76"/>
      <c r="K76" s="70">
        <f t="shared" si="12"/>
        <v>40320000000</v>
      </c>
      <c r="L76" s="78"/>
      <c r="M76" s="75"/>
      <c r="N76" s="71"/>
      <c r="O76" s="1481"/>
      <c r="P76" s="1487"/>
    </row>
    <row r="77" spans="1:16" ht="17.45" customHeight="1">
      <c r="A77" s="90">
        <v>65.800000000000097</v>
      </c>
      <c r="B77" s="64" t="s">
        <v>288</v>
      </c>
      <c r="C77" s="65" t="s">
        <v>301</v>
      </c>
      <c r="D77" s="91" t="s">
        <v>302</v>
      </c>
      <c r="E77" s="92"/>
      <c r="F77" s="68" t="s">
        <v>123</v>
      </c>
      <c r="G77" s="93">
        <v>1</v>
      </c>
      <c r="H77" s="329">
        <f>36000*USD_Change_IRR</f>
        <v>15120000000</v>
      </c>
      <c r="I77" s="70"/>
      <c r="J77" s="76"/>
      <c r="K77" s="70">
        <f t="shared" si="12"/>
        <v>15120000000</v>
      </c>
      <c r="L77" s="78"/>
      <c r="M77" s="75"/>
      <c r="N77" s="71"/>
      <c r="O77" s="1481"/>
      <c r="P77" s="1487"/>
    </row>
    <row r="78" spans="1:16" ht="17.45" customHeight="1">
      <c r="A78" s="90">
        <v>65.900000000000105</v>
      </c>
      <c r="B78" s="64" t="s">
        <v>288</v>
      </c>
      <c r="C78" s="65" t="s">
        <v>303</v>
      </c>
      <c r="D78" s="91" t="s">
        <v>304</v>
      </c>
      <c r="E78" s="92"/>
      <c r="F78" s="68" t="s">
        <v>123</v>
      </c>
      <c r="G78" s="93">
        <v>1</v>
      </c>
      <c r="H78" s="329">
        <f>110000*USD_Change_IRR</f>
        <v>46200000000</v>
      </c>
      <c r="I78" s="70"/>
      <c r="J78" s="76"/>
      <c r="K78" s="70">
        <f t="shared" si="12"/>
        <v>46200000000</v>
      </c>
      <c r="L78" s="78"/>
      <c r="M78" s="75"/>
      <c r="N78" s="71"/>
      <c r="O78" s="1481"/>
      <c r="P78" s="1487"/>
    </row>
    <row r="79" spans="1:16" ht="17.45" customHeight="1">
      <c r="A79" s="94" t="s">
        <v>305</v>
      </c>
      <c r="B79" s="64" t="s">
        <v>288</v>
      </c>
      <c r="C79" s="65" t="s">
        <v>306</v>
      </c>
      <c r="D79" s="91" t="s">
        <v>307</v>
      </c>
      <c r="E79" s="92"/>
      <c r="F79" s="68" t="s">
        <v>123</v>
      </c>
      <c r="G79" s="93">
        <v>1</v>
      </c>
      <c r="H79" s="329">
        <f>37000*USD_Change_IRR</f>
        <v>15540000000</v>
      </c>
      <c r="I79" s="70"/>
      <c r="J79" s="76"/>
      <c r="K79" s="70">
        <f t="shared" si="12"/>
        <v>15540000000</v>
      </c>
      <c r="L79" s="78"/>
      <c r="M79" s="75"/>
      <c r="N79" s="71"/>
      <c r="O79" s="1481"/>
      <c r="P79" s="1487"/>
    </row>
    <row r="80" spans="1:16" ht="17.45" customHeight="1">
      <c r="A80" s="90">
        <v>65.11</v>
      </c>
      <c r="B80" s="64" t="s">
        <v>288</v>
      </c>
      <c r="C80" s="65" t="s">
        <v>308</v>
      </c>
      <c r="D80" s="91" t="s">
        <v>309</v>
      </c>
      <c r="E80" s="92"/>
      <c r="F80" s="68" t="s">
        <v>123</v>
      </c>
      <c r="G80" s="93">
        <v>1</v>
      </c>
      <c r="H80" s="329">
        <f>37000*USD_Change_IRR</f>
        <v>15540000000</v>
      </c>
      <c r="I80" s="70"/>
      <c r="J80" s="76"/>
      <c r="K80" s="70">
        <f t="shared" si="12"/>
        <v>15540000000</v>
      </c>
      <c r="L80" s="78"/>
      <c r="M80" s="75"/>
      <c r="N80" s="71"/>
      <c r="O80" s="1481"/>
      <c r="P80" s="1487"/>
    </row>
    <row r="81" spans="1:16" ht="17.45" customHeight="1">
      <c r="A81" s="94">
        <v>65.12</v>
      </c>
      <c r="B81" s="64" t="s">
        <v>288</v>
      </c>
      <c r="C81" s="65" t="s">
        <v>310</v>
      </c>
      <c r="D81" s="91" t="s">
        <v>311</v>
      </c>
      <c r="E81" s="92"/>
      <c r="F81" s="68" t="s">
        <v>123</v>
      </c>
      <c r="G81" s="93">
        <v>1</v>
      </c>
      <c r="H81" s="329">
        <f>120000*USD_Change_IRR</f>
        <v>50400000000</v>
      </c>
      <c r="I81" s="70"/>
      <c r="J81" s="76"/>
      <c r="K81" s="70">
        <f t="shared" si="12"/>
        <v>50400000000</v>
      </c>
      <c r="L81" s="78"/>
      <c r="M81" s="75"/>
      <c r="N81" s="71"/>
      <c r="O81" s="1481"/>
      <c r="P81" s="1487"/>
    </row>
    <row r="82" spans="1:16" ht="17.45" customHeight="1">
      <c r="A82" s="90">
        <v>65.13</v>
      </c>
      <c r="B82" s="64" t="s">
        <v>288</v>
      </c>
      <c r="C82" s="65" t="s">
        <v>312</v>
      </c>
      <c r="D82" s="91" t="s">
        <v>313</v>
      </c>
      <c r="E82" s="92"/>
      <c r="F82" s="68" t="s">
        <v>123</v>
      </c>
      <c r="G82" s="93">
        <v>1</v>
      </c>
      <c r="H82" s="329">
        <f>95000*USD_Change_IRR</f>
        <v>39900000000</v>
      </c>
      <c r="I82" s="70"/>
      <c r="J82" s="76"/>
      <c r="K82" s="70">
        <f t="shared" si="12"/>
        <v>39900000000</v>
      </c>
      <c r="L82" s="78"/>
      <c r="M82" s="75"/>
      <c r="N82" s="71"/>
      <c r="O82" s="1481"/>
      <c r="P82" s="1487"/>
    </row>
    <row r="83" spans="1:16" ht="17.45" customHeight="1">
      <c r="A83" s="79">
        <v>66</v>
      </c>
      <c r="B83" s="64"/>
      <c r="C83" s="65"/>
      <c r="D83" s="95" t="s">
        <v>314</v>
      </c>
      <c r="E83" s="92"/>
      <c r="F83" s="68"/>
      <c r="G83" s="93"/>
      <c r="H83" s="89"/>
      <c r="I83" s="89"/>
      <c r="J83" s="75"/>
      <c r="K83" s="89" t="s">
        <v>287</v>
      </c>
      <c r="L83" s="78"/>
      <c r="M83" s="75"/>
      <c r="N83" s="71">
        <f>65000000*IRR_Inflation_Factor</f>
        <v>1207442136.3184526</v>
      </c>
      <c r="O83" s="1481"/>
      <c r="P83" s="1487"/>
    </row>
    <row r="84" spans="1:16" ht="17.45" customHeight="1">
      <c r="A84" s="90">
        <v>66.099999999999994</v>
      </c>
      <c r="B84" s="64"/>
      <c r="C84" s="65"/>
      <c r="D84" s="95" t="s">
        <v>315</v>
      </c>
      <c r="E84" s="92"/>
      <c r="F84" s="68" t="s">
        <v>117</v>
      </c>
      <c r="G84" s="93">
        <v>1</v>
      </c>
      <c r="H84" s="329">
        <v>1300000000</v>
      </c>
      <c r="I84" s="70"/>
      <c r="J84" s="76"/>
      <c r="K84" s="70">
        <f t="shared" ref="K84:K93" si="13">H84*G84</f>
        <v>1300000000</v>
      </c>
      <c r="L84" s="78"/>
      <c r="M84" s="75"/>
      <c r="N84" s="71"/>
      <c r="O84" s="1481"/>
      <c r="P84" s="1487"/>
    </row>
    <row r="85" spans="1:16" ht="17.45" customHeight="1">
      <c r="A85" s="90">
        <v>66.2</v>
      </c>
      <c r="B85" s="64"/>
      <c r="C85" s="65"/>
      <c r="D85" s="95" t="s">
        <v>316</v>
      </c>
      <c r="E85" s="92"/>
      <c r="F85" s="68" t="s">
        <v>117</v>
      </c>
      <c r="G85" s="93">
        <v>1</v>
      </c>
      <c r="H85" s="329">
        <f>276000*USD_Change_IRR</f>
        <v>115920000000</v>
      </c>
      <c r="I85" s="70"/>
      <c r="J85" s="76"/>
      <c r="K85" s="70">
        <f t="shared" si="13"/>
        <v>115920000000</v>
      </c>
      <c r="L85" s="78"/>
      <c r="M85" s="75"/>
      <c r="N85" s="71"/>
      <c r="O85" s="1481"/>
      <c r="P85" s="1487"/>
    </row>
    <row r="86" spans="1:16" ht="17.45" customHeight="1">
      <c r="A86" s="90">
        <v>66.3</v>
      </c>
      <c r="B86" s="64"/>
      <c r="C86" s="65"/>
      <c r="D86" s="95" t="s">
        <v>317</v>
      </c>
      <c r="E86" s="92"/>
      <c r="F86" s="68" t="s">
        <v>117</v>
      </c>
      <c r="G86" s="93">
        <v>1</v>
      </c>
      <c r="H86" s="329">
        <f>336000*USD_Change_IRR</f>
        <v>141120000000</v>
      </c>
      <c r="I86" s="70"/>
      <c r="J86" s="76"/>
      <c r="K86" s="70">
        <f t="shared" si="13"/>
        <v>141120000000</v>
      </c>
      <c r="L86" s="78"/>
      <c r="M86" s="75"/>
      <c r="N86" s="71"/>
      <c r="O86" s="1481"/>
      <c r="P86" s="1487"/>
    </row>
    <row r="87" spans="1:16" ht="17.45" customHeight="1">
      <c r="A87" s="90">
        <v>66.400000000000006</v>
      </c>
      <c r="B87" s="64"/>
      <c r="C87" s="65"/>
      <c r="D87" s="95" t="s">
        <v>318</v>
      </c>
      <c r="E87" s="92"/>
      <c r="F87" s="68" t="s">
        <v>117</v>
      </c>
      <c r="G87" s="93">
        <v>1</v>
      </c>
      <c r="H87" s="329">
        <f>220000*USD_Change_IRR</f>
        <v>92400000000</v>
      </c>
      <c r="I87" s="70"/>
      <c r="J87" s="76"/>
      <c r="K87" s="70">
        <f t="shared" si="13"/>
        <v>92400000000</v>
      </c>
      <c r="L87" s="78"/>
      <c r="M87" s="75"/>
      <c r="N87" s="71"/>
      <c r="O87" s="1481"/>
      <c r="P87" s="1487"/>
    </row>
    <row r="88" spans="1:16" ht="17.45" customHeight="1">
      <c r="A88" s="90">
        <v>66.5</v>
      </c>
      <c r="B88" s="64"/>
      <c r="C88" s="65"/>
      <c r="D88" s="95" t="s">
        <v>319</v>
      </c>
      <c r="E88" s="92"/>
      <c r="F88" s="68" t="s">
        <v>117</v>
      </c>
      <c r="G88" s="93">
        <v>1</v>
      </c>
      <c r="H88" s="1477">
        <v>3700000000</v>
      </c>
      <c r="I88" s="70"/>
      <c r="J88" s="76"/>
      <c r="K88" s="70">
        <f t="shared" si="13"/>
        <v>3700000000</v>
      </c>
      <c r="L88" s="78"/>
      <c r="M88" s="75"/>
      <c r="N88" s="71"/>
      <c r="O88" s="1481"/>
      <c r="P88" s="1487"/>
    </row>
    <row r="89" spans="1:16" ht="17.45" customHeight="1">
      <c r="A89" s="90">
        <v>66.599999999999994</v>
      </c>
      <c r="B89" s="64"/>
      <c r="C89" s="65"/>
      <c r="D89" s="95" t="s">
        <v>320</v>
      </c>
      <c r="E89" s="92"/>
      <c r="F89" s="68" t="s">
        <v>117</v>
      </c>
      <c r="G89" s="93">
        <v>1</v>
      </c>
      <c r="H89" s="1477">
        <v>1300000000</v>
      </c>
      <c r="I89" s="70"/>
      <c r="J89" s="76"/>
      <c r="K89" s="70">
        <f t="shared" si="13"/>
        <v>1300000000</v>
      </c>
      <c r="L89" s="78"/>
      <c r="M89" s="75"/>
      <c r="N89" s="71"/>
      <c r="O89" s="1481"/>
      <c r="P89" s="1487"/>
    </row>
    <row r="90" spans="1:16" ht="17.45" customHeight="1">
      <c r="A90" s="90">
        <v>66.7</v>
      </c>
      <c r="B90" s="64"/>
      <c r="C90" s="65"/>
      <c r="D90" s="95" t="s">
        <v>321</v>
      </c>
      <c r="E90" s="92"/>
      <c r="F90" s="68" t="s">
        <v>117</v>
      </c>
      <c r="G90" s="93">
        <v>1</v>
      </c>
      <c r="H90" s="1477">
        <v>3000000000</v>
      </c>
      <c r="I90" s="70"/>
      <c r="J90" s="76"/>
      <c r="K90" s="70">
        <f t="shared" si="13"/>
        <v>3000000000</v>
      </c>
      <c r="L90" s="78"/>
      <c r="M90" s="75"/>
      <c r="N90" s="71"/>
      <c r="O90" s="1481"/>
      <c r="P90" s="1487"/>
    </row>
    <row r="91" spans="1:16" ht="17.45" customHeight="1">
      <c r="A91" s="90">
        <v>66.8</v>
      </c>
      <c r="B91" s="64"/>
      <c r="C91" s="65"/>
      <c r="D91" s="95" t="s">
        <v>322</v>
      </c>
      <c r="E91" s="92"/>
      <c r="F91" s="68" t="s">
        <v>123</v>
      </c>
      <c r="G91" s="96">
        <v>1</v>
      </c>
      <c r="H91" s="1477">
        <v>6000000000</v>
      </c>
      <c r="I91" s="70"/>
      <c r="J91" s="76"/>
      <c r="K91" s="70">
        <f t="shared" si="13"/>
        <v>6000000000</v>
      </c>
      <c r="L91" s="78"/>
      <c r="M91" s="75"/>
      <c r="N91" s="71">
        <f>32500000*IRR_Inflation_Factor</f>
        <v>603721068.1592263</v>
      </c>
      <c r="O91" s="1481"/>
      <c r="P91" s="1487"/>
    </row>
    <row r="92" spans="1:16" ht="15.75" customHeight="1">
      <c r="A92" s="90">
        <v>66.900000000000006</v>
      </c>
      <c r="B92" s="1547"/>
      <c r="C92" s="98"/>
      <c r="D92" s="95" t="s">
        <v>324</v>
      </c>
      <c r="E92" s="99"/>
      <c r="F92" s="100" t="s">
        <v>117</v>
      </c>
      <c r="G92" s="101">
        <v>1</v>
      </c>
      <c r="H92" s="1477">
        <v>3600000000</v>
      </c>
      <c r="I92" s="97"/>
      <c r="J92" s="102"/>
      <c r="K92" s="97">
        <f t="shared" si="13"/>
        <v>3600000000</v>
      </c>
      <c r="L92" s="103"/>
      <c r="M92" s="104"/>
      <c r="N92" s="71">
        <f>6500000*IRR_Inflation_Factor</f>
        <v>120744213.63184525</v>
      </c>
      <c r="O92" s="1481"/>
      <c r="P92" s="1487"/>
    </row>
    <row r="93" spans="1:16" ht="15.75" customHeight="1">
      <c r="A93" s="105" t="s">
        <v>325</v>
      </c>
      <c r="B93" s="106"/>
      <c r="C93" s="98"/>
      <c r="D93" s="95" t="s">
        <v>326</v>
      </c>
      <c r="E93" s="99"/>
      <c r="F93" s="100" t="s">
        <v>117</v>
      </c>
      <c r="G93" s="101">
        <v>1</v>
      </c>
      <c r="H93" s="1477">
        <v>2500000000</v>
      </c>
      <c r="I93" s="97"/>
      <c r="J93" s="102"/>
      <c r="K93" s="97">
        <f t="shared" si="13"/>
        <v>2500000000</v>
      </c>
      <c r="L93" s="103"/>
      <c r="M93" s="104"/>
      <c r="N93" s="71">
        <f>6500000*IRR_Inflation_Factor</f>
        <v>120744213.63184525</v>
      </c>
      <c r="O93" s="1481"/>
      <c r="P93" s="1487"/>
    </row>
    <row r="94" spans="1:16" ht="17.45" customHeight="1">
      <c r="A94" s="79">
        <v>67</v>
      </c>
      <c r="B94" s="64"/>
      <c r="C94" s="65"/>
      <c r="D94" s="107" t="s">
        <v>327</v>
      </c>
      <c r="E94" s="89" t="s">
        <v>287</v>
      </c>
      <c r="F94" s="68" t="s">
        <v>123</v>
      </c>
      <c r="G94" s="93"/>
      <c r="H94" s="89"/>
      <c r="I94" s="89"/>
      <c r="J94" s="75"/>
      <c r="K94" s="89" t="s">
        <v>287</v>
      </c>
      <c r="L94" s="75"/>
      <c r="M94" s="75"/>
      <c r="N94" s="71"/>
      <c r="O94" s="1481"/>
      <c r="P94" s="1487"/>
    </row>
    <row r="95" spans="1:16" ht="17.45" customHeight="1" outlineLevel="1">
      <c r="A95" s="90">
        <v>67.099999999999994</v>
      </c>
      <c r="B95" s="64"/>
      <c r="C95" s="65"/>
      <c r="D95" s="108" t="s">
        <v>328</v>
      </c>
      <c r="E95" s="88" t="s">
        <v>329</v>
      </c>
      <c r="F95" s="68" t="s">
        <v>123</v>
      </c>
      <c r="G95" s="96">
        <v>13</v>
      </c>
      <c r="H95" s="87">
        <f>35000000*IRR_ME_Inflation_Factor</f>
        <v>373071767.2632305</v>
      </c>
      <c r="I95" s="87"/>
      <c r="J95" s="76"/>
      <c r="K95" s="70">
        <f t="shared" ref="K95:K114" si="14">H95*G95</f>
        <v>4849932974.4219961</v>
      </c>
      <c r="L95" s="75"/>
      <c r="M95" s="75"/>
      <c r="N95" s="71"/>
      <c r="O95" s="1481"/>
      <c r="P95" s="1487"/>
    </row>
    <row r="96" spans="1:16" ht="17.45" customHeight="1" outlineLevel="1">
      <c r="A96" s="90">
        <v>67.2</v>
      </c>
      <c r="B96" s="64"/>
      <c r="C96" s="65"/>
      <c r="D96" s="108" t="s">
        <v>330</v>
      </c>
      <c r="E96" s="88" t="s">
        <v>329</v>
      </c>
      <c r="F96" s="68" t="s">
        <v>123</v>
      </c>
      <c r="G96" s="96">
        <v>27</v>
      </c>
      <c r="H96" s="87">
        <f>85000000*IRR_ME_Inflation_Factor</f>
        <v>906031434.7821312</v>
      </c>
      <c r="I96" s="87"/>
      <c r="J96" s="76"/>
      <c r="K96" s="70">
        <f t="shared" si="14"/>
        <v>24462848739.117542</v>
      </c>
      <c r="L96" s="75"/>
      <c r="M96" s="75"/>
      <c r="N96" s="71"/>
      <c r="O96" s="1481"/>
      <c r="P96" s="1487"/>
    </row>
    <row r="97" spans="1:16" ht="17.45" customHeight="1" outlineLevel="1">
      <c r="A97" s="90">
        <v>67.3</v>
      </c>
      <c r="B97" s="64"/>
      <c r="C97" s="65"/>
      <c r="D97" s="108" t="s">
        <v>331</v>
      </c>
      <c r="E97" s="88" t="s">
        <v>332</v>
      </c>
      <c r="F97" s="68" t="s">
        <v>123</v>
      </c>
      <c r="G97" s="96">
        <v>2</v>
      </c>
      <c r="H97" s="1475">
        <f>15000*USD_Change_IRR</f>
        <v>6300000000</v>
      </c>
      <c r="I97" s="87"/>
      <c r="J97" s="76"/>
      <c r="K97" s="70">
        <f t="shared" si="14"/>
        <v>12600000000</v>
      </c>
      <c r="L97" s="75"/>
      <c r="M97" s="75"/>
      <c r="N97" s="71"/>
      <c r="O97" s="1481"/>
      <c r="P97" s="1487"/>
    </row>
    <row r="98" spans="1:16" ht="17.45" customHeight="1" outlineLevel="1">
      <c r="A98" s="90">
        <v>67.400000000000006</v>
      </c>
      <c r="B98" s="64"/>
      <c r="C98" s="65"/>
      <c r="D98" s="109" t="s">
        <v>333</v>
      </c>
      <c r="E98" s="88" t="s">
        <v>334</v>
      </c>
      <c r="F98" s="68" t="s">
        <v>123</v>
      </c>
      <c r="G98" s="96">
        <v>32</v>
      </c>
      <c r="H98" s="87">
        <f>4500000*IRR_ME_Inflation_Factor</f>
        <v>47966370.076701067</v>
      </c>
      <c r="I98" s="87"/>
      <c r="J98" s="76"/>
      <c r="K98" s="70">
        <f t="shared" si="14"/>
        <v>1534923842.4544342</v>
      </c>
      <c r="L98" s="75"/>
      <c r="M98" s="75"/>
      <c r="N98" s="71"/>
      <c r="O98" s="1481"/>
      <c r="P98" s="1487"/>
    </row>
    <row r="99" spans="1:16" ht="17.45" customHeight="1" outlineLevel="1">
      <c r="A99" s="90">
        <v>67.5</v>
      </c>
      <c r="B99" s="64"/>
      <c r="C99" s="65"/>
      <c r="D99" s="109" t="s">
        <v>335</v>
      </c>
      <c r="E99" s="88" t="s">
        <v>336</v>
      </c>
      <c r="F99" s="68" t="s">
        <v>123</v>
      </c>
      <c r="G99" s="96">
        <v>12</v>
      </c>
      <c r="H99" s="87">
        <f>30000000*IRR_ME_Inflation_Factor</f>
        <v>319775800.51134044</v>
      </c>
      <c r="I99" s="87"/>
      <c r="J99" s="76"/>
      <c r="K99" s="70">
        <f t="shared" si="14"/>
        <v>3837309606.1360855</v>
      </c>
      <c r="L99" s="75"/>
      <c r="M99" s="75"/>
      <c r="N99" s="71"/>
      <c r="O99" s="1481"/>
      <c r="P99" s="1487"/>
    </row>
    <row r="100" spans="1:16" ht="17.45" customHeight="1" outlineLevel="1">
      <c r="A100" s="90">
        <v>67.599999999999994</v>
      </c>
      <c r="B100" s="64"/>
      <c r="C100" s="65"/>
      <c r="D100" s="108" t="s">
        <v>337</v>
      </c>
      <c r="E100" s="88" t="s">
        <v>338</v>
      </c>
      <c r="F100" s="68" t="s">
        <v>123</v>
      </c>
      <c r="G100" s="96">
        <v>42</v>
      </c>
      <c r="H100" s="87">
        <f>3500000*IRR_ME_Inflation_Factor</f>
        <v>37307176.726323053</v>
      </c>
      <c r="I100" s="87"/>
      <c r="J100" s="76"/>
      <c r="K100" s="70">
        <f t="shared" si="14"/>
        <v>1566901422.5055683</v>
      </c>
      <c r="L100" s="75"/>
      <c r="M100" s="75"/>
      <c r="N100" s="71"/>
      <c r="O100" s="1481"/>
      <c r="P100" s="1487"/>
    </row>
    <row r="101" spans="1:16" ht="17.45" customHeight="1" outlineLevel="1">
      <c r="A101" s="90">
        <v>67.7</v>
      </c>
      <c r="B101" s="64"/>
      <c r="C101" s="65"/>
      <c r="D101" s="108" t="s">
        <v>339</v>
      </c>
      <c r="E101" s="88" t="s">
        <v>340</v>
      </c>
      <c r="F101" s="68" t="s">
        <v>123</v>
      </c>
      <c r="G101" s="96">
        <v>24</v>
      </c>
      <c r="H101" s="87">
        <f>25000000*IRR_ME_Inflation_Factor</f>
        <v>266479833.75945038</v>
      </c>
      <c r="I101" s="87"/>
      <c r="J101" s="76"/>
      <c r="K101" s="70">
        <f t="shared" si="14"/>
        <v>6395516010.2268085</v>
      </c>
      <c r="L101" s="75"/>
      <c r="M101" s="75"/>
      <c r="N101" s="71"/>
      <c r="O101" s="1481"/>
      <c r="P101" s="1487"/>
    </row>
    <row r="102" spans="1:16" ht="17.45" customHeight="1" outlineLevel="1">
      <c r="A102" s="90">
        <v>67.800000000000097</v>
      </c>
      <c r="B102" s="64"/>
      <c r="C102" s="65"/>
      <c r="D102" s="108" t="s">
        <v>341</v>
      </c>
      <c r="E102" s="88" t="s">
        <v>342</v>
      </c>
      <c r="F102" s="68" t="s">
        <v>123</v>
      </c>
      <c r="G102" s="96">
        <v>7</v>
      </c>
      <c r="H102" s="1475">
        <f>3000*USD_Change_IRR</f>
        <v>1260000000</v>
      </c>
      <c r="I102" s="87"/>
      <c r="J102" s="76"/>
      <c r="K102" s="70">
        <f t="shared" si="14"/>
        <v>8820000000</v>
      </c>
      <c r="L102" s="75"/>
      <c r="M102" s="75"/>
      <c r="N102" s="71"/>
      <c r="O102" s="1481"/>
      <c r="P102" s="1487"/>
    </row>
    <row r="103" spans="1:16" ht="17.45" customHeight="1" outlineLevel="1">
      <c r="A103" s="90">
        <v>67.900000000000105</v>
      </c>
      <c r="B103" s="64"/>
      <c r="C103" s="65"/>
      <c r="D103" s="108" t="s">
        <v>343</v>
      </c>
      <c r="E103" s="88" t="s">
        <v>342</v>
      </c>
      <c r="F103" s="68" t="s">
        <v>123</v>
      </c>
      <c r="G103" s="96">
        <v>4</v>
      </c>
      <c r="H103" s="87">
        <f>13000000*IRR_ME_Inflation_Factor</f>
        <v>138569513.55491421</v>
      </c>
      <c r="I103" s="87"/>
      <c r="J103" s="76"/>
      <c r="K103" s="70">
        <f t="shared" si="14"/>
        <v>554278054.21965683</v>
      </c>
      <c r="L103" s="75"/>
      <c r="M103" s="75"/>
      <c r="N103" s="71"/>
      <c r="O103" s="1481"/>
      <c r="P103" s="1487"/>
    </row>
    <row r="104" spans="1:16" ht="17.45" customHeight="1" outlineLevel="1">
      <c r="A104" s="90">
        <v>67.11</v>
      </c>
      <c r="B104" s="64"/>
      <c r="C104" s="65"/>
      <c r="D104" s="110" t="s">
        <v>344</v>
      </c>
      <c r="E104" s="88"/>
      <c r="F104" s="68" t="s">
        <v>123</v>
      </c>
      <c r="G104" s="96">
        <v>2</v>
      </c>
      <c r="H104" s="1475">
        <f>4000*USD_Change_IRR</f>
        <v>1680000000</v>
      </c>
      <c r="I104" s="87"/>
      <c r="J104" s="76"/>
      <c r="K104" s="70">
        <f t="shared" si="14"/>
        <v>3360000000</v>
      </c>
      <c r="L104" s="75"/>
      <c r="M104" s="75"/>
      <c r="N104" s="71"/>
      <c r="O104" s="1481"/>
      <c r="P104" s="1487"/>
    </row>
    <row r="105" spans="1:16" ht="17.45" customHeight="1" outlineLevel="1">
      <c r="A105" s="90">
        <v>67.12</v>
      </c>
      <c r="B105" s="64"/>
      <c r="C105" s="65"/>
      <c r="D105" s="110" t="s">
        <v>345</v>
      </c>
      <c r="E105" s="88"/>
      <c r="F105" s="68" t="s">
        <v>123</v>
      </c>
      <c r="G105" s="96">
        <v>19</v>
      </c>
      <c r="H105" s="1475">
        <f>2000*USD_Change_IRR</f>
        <v>840000000</v>
      </c>
      <c r="I105" s="87"/>
      <c r="J105" s="76"/>
      <c r="K105" s="70">
        <f t="shared" si="14"/>
        <v>15960000000</v>
      </c>
      <c r="L105" s="75"/>
      <c r="M105" s="75"/>
      <c r="N105" s="71"/>
      <c r="O105" s="1481"/>
      <c r="P105" s="1487"/>
    </row>
    <row r="106" spans="1:16" ht="17.45" customHeight="1" outlineLevel="1">
      <c r="A106" s="90">
        <v>67.13</v>
      </c>
      <c r="B106" s="64"/>
      <c r="C106" s="65"/>
      <c r="D106" s="108" t="s">
        <v>346</v>
      </c>
      <c r="E106" s="88" t="s">
        <v>342</v>
      </c>
      <c r="F106" s="68" t="s">
        <v>123</v>
      </c>
      <c r="G106" s="96">
        <v>8</v>
      </c>
      <c r="H106" s="87">
        <f>3500000*IRR_ME_Inflation_Factor</f>
        <v>37307176.726323053</v>
      </c>
      <c r="I106" s="87"/>
      <c r="J106" s="76"/>
      <c r="K106" s="70">
        <f t="shared" si="14"/>
        <v>298457413.81058443</v>
      </c>
      <c r="L106" s="75"/>
      <c r="M106" s="75"/>
      <c r="N106" s="71"/>
      <c r="O106" s="1481"/>
      <c r="P106" s="1487"/>
    </row>
    <row r="107" spans="1:16" ht="16.5" customHeight="1" outlineLevel="1">
      <c r="A107" s="90">
        <v>67.14</v>
      </c>
      <c r="B107" s="64"/>
      <c r="C107" s="65"/>
      <c r="D107" s="95" t="s">
        <v>347</v>
      </c>
      <c r="E107" s="88"/>
      <c r="F107" s="68" t="s">
        <v>123</v>
      </c>
      <c r="G107" s="96">
        <v>2</v>
      </c>
      <c r="H107" s="87">
        <f>50000000*IRR_ME_Inflation_Factor</f>
        <v>532959667.51890075</v>
      </c>
      <c r="I107" s="87"/>
      <c r="J107" s="76"/>
      <c r="K107" s="87">
        <f t="shared" si="14"/>
        <v>1065919335.0378015</v>
      </c>
      <c r="L107" s="75"/>
      <c r="M107" s="75"/>
      <c r="N107" s="71"/>
      <c r="O107" s="1481"/>
      <c r="P107" s="1487"/>
    </row>
    <row r="108" spans="1:16" ht="16.5" customHeight="1" outlineLevel="1">
      <c r="A108" s="90">
        <v>67.150000000000006</v>
      </c>
      <c r="B108" s="106"/>
      <c r="C108" s="98"/>
      <c r="D108" s="95" t="s">
        <v>348</v>
      </c>
      <c r="E108" s="99"/>
      <c r="F108" s="68" t="s">
        <v>123</v>
      </c>
      <c r="G108" s="101">
        <v>2</v>
      </c>
      <c r="H108" s="97">
        <f>500000000*IRR_ME_Inflation_Factor</f>
        <v>5329596675.1890078</v>
      </c>
      <c r="I108" s="87"/>
      <c r="J108" s="102"/>
      <c r="K108" s="97">
        <f t="shared" si="14"/>
        <v>10659193350.378016</v>
      </c>
      <c r="L108" s="103"/>
      <c r="M108" s="104"/>
      <c r="N108" s="71"/>
      <c r="O108" s="1481"/>
      <c r="P108" s="1487"/>
    </row>
    <row r="109" spans="1:16" ht="14.25" customHeight="1" outlineLevel="1">
      <c r="A109" s="90">
        <v>67.16</v>
      </c>
      <c r="B109" s="64"/>
      <c r="C109" s="65"/>
      <c r="D109" s="110" t="s">
        <v>349</v>
      </c>
      <c r="E109" s="88" t="s">
        <v>342</v>
      </c>
      <c r="F109" s="68" t="s">
        <v>123</v>
      </c>
      <c r="G109" s="96">
        <v>10</v>
      </c>
      <c r="H109" s="1475">
        <f>15000*USD_Change_IRR</f>
        <v>6300000000</v>
      </c>
      <c r="I109" s="87"/>
      <c r="J109" s="76"/>
      <c r="K109" s="70">
        <f t="shared" si="14"/>
        <v>63000000000</v>
      </c>
      <c r="L109" s="75"/>
      <c r="M109" s="75"/>
      <c r="N109" s="71"/>
      <c r="O109" s="1481"/>
      <c r="P109" s="1487"/>
    </row>
    <row r="110" spans="1:16" ht="16.5" customHeight="1" outlineLevel="1">
      <c r="A110" s="90">
        <v>67.17</v>
      </c>
      <c r="B110" s="106"/>
      <c r="C110" s="98"/>
      <c r="D110" s="95" t="s">
        <v>350</v>
      </c>
      <c r="E110" s="99"/>
      <c r="F110" s="68" t="s">
        <v>123</v>
      </c>
      <c r="G110" s="101">
        <v>40</v>
      </c>
      <c r="H110" s="97">
        <f>400000*IRR_ME_Inflation_Factor</f>
        <v>4263677.3401512057</v>
      </c>
      <c r="I110" s="87"/>
      <c r="J110" s="102"/>
      <c r="K110" s="70">
        <f t="shared" si="14"/>
        <v>170547093.60604823</v>
      </c>
      <c r="L110" s="103"/>
      <c r="M110" s="104"/>
      <c r="N110" s="71"/>
      <c r="O110" s="1481"/>
      <c r="P110" s="1487"/>
    </row>
    <row r="111" spans="1:16" ht="16.5" customHeight="1" outlineLevel="1">
      <c r="A111" s="90">
        <v>67.180000000000007</v>
      </c>
      <c r="B111" s="106"/>
      <c r="C111" s="98"/>
      <c r="D111" s="95" t="s">
        <v>351</v>
      </c>
      <c r="E111" s="99"/>
      <c r="F111" s="68" t="s">
        <v>123</v>
      </c>
      <c r="G111" s="101">
        <v>200</v>
      </c>
      <c r="H111" s="97">
        <f>200000*IRR_ME_Inflation_Factor</f>
        <v>2131838.6700756028</v>
      </c>
      <c r="I111" s="87"/>
      <c r="J111" s="102"/>
      <c r="K111" s="70">
        <f t="shared" si="14"/>
        <v>426367734.01512057</v>
      </c>
      <c r="L111" s="103"/>
      <c r="M111" s="104"/>
      <c r="N111" s="71"/>
      <c r="O111" s="1481"/>
      <c r="P111" s="1487"/>
    </row>
    <row r="112" spans="1:16" ht="30.6" customHeight="1" outlineLevel="1">
      <c r="A112" s="90">
        <v>67.19</v>
      </c>
      <c r="B112" s="64"/>
      <c r="C112" s="65"/>
      <c r="D112" s="95" t="s">
        <v>352</v>
      </c>
      <c r="E112" s="88"/>
      <c r="F112" s="96" t="s">
        <v>323</v>
      </c>
      <c r="G112" s="96">
        <v>1</v>
      </c>
      <c r="H112" s="1478">
        <f>10000*USD_Change_IRR</f>
        <v>4200000000</v>
      </c>
      <c r="I112" s="87"/>
      <c r="J112" s="76"/>
      <c r="K112" s="70">
        <f t="shared" si="14"/>
        <v>4200000000</v>
      </c>
      <c r="L112" s="75"/>
      <c r="M112" s="75"/>
      <c r="N112" s="71">
        <f>65000000*IRR_Inflation_Factor</f>
        <v>1207442136.3184526</v>
      </c>
      <c r="O112" s="1481"/>
      <c r="P112" s="1487"/>
    </row>
    <row r="113" spans="1:16" ht="15.75" customHeight="1">
      <c r="A113" s="111">
        <v>68</v>
      </c>
      <c r="B113" s="106"/>
      <c r="C113" s="98"/>
      <c r="D113" s="95" t="s">
        <v>353</v>
      </c>
      <c r="E113" s="99"/>
      <c r="F113" s="100" t="s">
        <v>117</v>
      </c>
      <c r="G113" s="101">
        <v>1</v>
      </c>
      <c r="H113" s="1478">
        <f>225000*USD_Change_IRR</f>
        <v>94500000000</v>
      </c>
      <c r="I113" s="87"/>
      <c r="J113" s="102"/>
      <c r="K113" s="97">
        <f t="shared" si="14"/>
        <v>94500000000</v>
      </c>
      <c r="L113" s="103"/>
      <c r="M113" s="104"/>
      <c r="N113" s="71">
        <f>13000000*IRR_Inflation_Factor</f>
        <v>241488427.2636905</v>
      </c>
      <c r="O113" s="1481"/>
      <c r="P113" s="1487"/>
    </row>
    <row r="114" spans="1:16" ht="15.75" customHeight="1" thickBot="1">
      <c r="A114" s="1548">
        <v>69</v>
      </c>
      <c r="B114" s="112"/>
      <c r="C114" s="113"/>
      <c r="D114" s="1549" t="s">
        <v>354</v>
      </c>
      <c r="E114" s="114"/>
      <c r="F114" s="1550" t="s">
        <v>117</v>
      </c>
      <c r="G114" s="1551">
        <v>2</v>
      </c>
      <c r="H114" s="115">
        <f>50000*USD_Inflation_Factor*USD_Change_IRR</f>
        <v>28708122189.314857</v>
      </c>
      <c r="I114" s="115"/>
      <c r="J114" s="1552"/>
      <c r="K114" s="1553">
        <f t="shared" si="14"/>
        <v>57416244378.629715</v>
      </c>
      <c r="L114" s="115"/>
      <c r="M114" s="116"/>
      <c r="N114" s="197">
        <f>13000000*IRR_Inflation_Factor</f>
        <v>241488427.2636905</v>
      </c>
      <c r="O114" s="1481"/>
      <c r="P114" s="1487"/>
    </row>
    <row r="115" spans="1:16" ht="15.75" customHeight="1">
      <c r="C115" s="117"/>
      <c r="D115" s="117"/>
      <c r="E115" s="117"/>
      <c r="H115" s="118"/>
      <c r="I115" s="118"/>
      <c r="J115" s="118"/>
      <c r="O115" s="1481"/>
      <c r="P115" s="1487"/>
    </row>
    <row r="116" spans="1:16" ht="15.75" customHeight="1" thickBot="1">
      <c r="C116" s="117"/>
      <c r="D116" s="117"/>
      <c r="E116" s="117"/>
      <c r="H116" s="118"/>
      <c r="O116" s="1481"/>
      <c r="P116" s="1487"/>
    </row>
    <row r="117" spans="1:16" ht="15.75">
      <c r="C117" s="117"/>
      <c r="D117" s="117"/>
      <c r="E117" s="117"/>
      <c r="F117" s="1540">
        <f>H117*0.1</f>
        <v>580014656421.86194</v>
      </c>
      <c r="G117" s="265">
        <f>I117*0.1</f>
        <v>1737802.4000000001</v>
      </c>
      <c r="H117" s="61">
        <f>SUM(K4:K114)</f>
        <v>5800146564218.6191</v>
      </c>
      <c r="I117" s="61">
        <f>SUM(L4:L114)</f>
        <v>17378024</v>
      </c>
      <c r="J117" s="61">
        <f>SUM(M4:M114)+G117*per_Euro*USD_Change_IRR*0.15</f>
        <v>910687581192.28589</v>
      </c>
      <c r="K117" s="62">
        <f>2*SUM(N4:N114)+K142*0.03+(F117+G117*per_Euro*USD_Change_IRR)*0.03</f>
        <v>321268343167.94061</v>
      </c>
      <c r="P117" s="1487"/>
    </row>
    <row r="118" spans="1:16" ht="15.75">
      <c r="F118" s="1519" t="s">
        <v>973</v>
      </c>
      <c r="G118" s="1520" t="s">
        <v>112</v>
      </c>
      <c r="H118" s="49" t="s">
        <v>111</v>
      </c>
      <c r="I118" s="49" t="s">
        <v>112</v>
      </c>
      <c r="J118" s="49" t="s">
        <v>111</v>
      </c>
      <c r="K118" s="50" t="s">
        <v>111</v>
      </c>
      <c r="P118" s="1487"/>
    </row>
    <row r="119" spans="1:16" ht="15.75" customHeight="1" thickBot="1">
      <c r="F119" s="2230" t="s">
        <v>355</v>
      </c>
      <c r="G119" s="2231"/>
      <c r="H119" s="2232" t="s">
        <v>108</v>
      </c>
      <c r="I119" s="2231"/>
      <c r="J119" s="312" t="s">
        <v>109</v>
      </c>
      <c r="K119" s="313" t="s">
        <v>110</v>
      </c>
      <c r="P119" s="1487"/>
    </row>
    <row r="120" spans="1:16" ht="16.5" thickBot="1">
      <c r="F120" s="1542"/>
      <c r="G120" s="1522" t="s">
        <v>107</v>
      </c>
      <c r="H120" s="1522"/>
      <c r="I120" s="1522"/>
      <c r="J120" s="1522"/>
      <c r="K120" s="1523"/>
      <c r="L120" s="1541"/>
      <c r="M120"/>
      <c r="N120"/>
      <c r="P120" s="1487"/>
    </row>
    <row r="121" spans="1:16">
      <c r="M121" s="1554"/>
    </row>
    <row r="122" spans="1:16">
      <c r="H122" s="2211"/>
      <c r="I122" s="2211"/>
      <c r="J122" s="2211"/>
    </row>
    <row r="123" spans="1:16" ht="15.75" thickBot="1">
      <c r="H123" s="2212"/>
      <c r="I123" s="2212"/>
      <c r="J123" s="2212"/>
    </row>
    <row r="124" spans="1:16" ht="37.9" customHeight="1" thickBot="1">
      <c r="F124" s="1536"/>
      <c r="G124" s="2213" t="s">
        <v>56</v>
      </c>
      <c r="H124" s="2214"/>
      <c r="I124" s="2214"/>
      <c r="J124" s="2214"/>
      <c r="K124" s="2215"/>
      <c r="L124" s="1536"/>
      <c r="M124" s="1536"/>
    </row>
    <row r="125" spans="1:16">
      <c r="G125" s="1537" t="s">
        <v>58</v>
      </c>
      <c r="H125" s="1538" t="s">
        <v>59</v>
      </c>
      <c r="I125" s="1538" t="s">
        <v>968</v>
      </c>
      <c r="J125" s="1538" t="s">
        <v>60</v>
      </c>
      <c r="K125" s="1539" t="s">
        <v>1</v>
      </c>
    </row>
    <row r="126" spans="1:16" ht="29.25">
      <c r="G126" s="27">
        <v>1</v>
      </c>
      <c r="H126" s="28" t="s">
        <v>61</v>
      </c>
      <c r="I126" s="29">
        <f t="shared" ref="I126:I142" si="15">J126*per_Euro</f>
        <v>7594862.7657075329</v>
      </c>
      <c r="J126" s="29">
        <f>SUM(L4:L5)</f>
        <v>7000000</v>
      </c>
      <c r="K126" s="122">
        <f>SUM(K4:K5)</f>
        <v>0</v>
      </c>
    </row>
    <row r="127" spans="1:16">
      <c r="G127" s="27">
        <v>2</v>
      </c>
      <c r="H127" s="28" t="s">
        <v>62</v>
      </c>
      <c r="I127" s="29">
        <f>ROUND(J127*per_Euro,-3)</f>
        <v>6487000</v>
      </c>
      <c r="J127" s="29">
        <f>ROUNDUP(SUM(L8:L9),-3)</f>
        <v>5979000</v>
      </c>
      <c r="K127" s="122">
        <f>SUM(K8:K9)</f>
        <v>0</v>
      </c>
    </row>
    <row r="128" spans="1:16" ht="29.25">
      <c r="G128" s="27">
        <v>3</v>
      </c>
      <c r="H128" s="28" t="s">
        <v>63</v>
      </c>
      <c r="I128" s="29">
        <f t="shared" si="15"/>
        <v>0</v>
      </c>
      <c r="J128" s="29">
        <f>SUM(L6:L7)</f>
        <v>0</v>
      </c>
      <c r="K128" s="1584">
        <f>ROUNDUP(K114+SUM(K6:K7),-6)</f>
        <v>625209000000</v>
      </c>
    </row>
    <row r="129" spans="7:12" ht="22.15" customHeight="1">
      <c r="G129" s="27">
        <v>4</v>
      </c>
      <c r="H129" s="28" t="s">
        <v>64</v>
      </c>
      <c r="I129" s="29">
        <f>ROUND(J129*per_Euro,-3)</f>
        <v>0</v>
      </c>
      <c r="J129" s="29">
        <f>ROUNDUP(SUBTOTAL(9,L68,L60,L58,L57,L55,L54,L53,L51,L50,L46,L36,L25,L24,L23,L21,L20,L18,L17,L14,L13,L12,L11,L64),-3)</f>
        <v>0</v>
      </c>
      <c r="K129" s="1584">
        <f>ROUNDUP(SUBTOTAL(9,K68,K60,K58,K57,K55,K54,K53,K51,K50,K46,K36,K25,K24,K23,K21,K20,K18,K17,K14,K13,K12,K11,K64)+SUM(K61:K63),-6)</f>
        <v>2082268000000</v>
      </c>
    </row>
    <row r="130" spans="7:12" ht="43.5">
      <c r="G130" s="27">
        <v>5</v>
      </c>
      <c r="H130" s="28" t="s">
        <v>65</v>
      </c>
      <c r="I130" s="29">
        <f t="shared" si="15"/>
        <v>0</v>
      </c>
      <c r="J130" s="29">
        <v>0</v>
      </c>
      <c r="K130" s="1584">
        <f>ROUNDUP(P.PI!J815*USD_Change_IRR+P.PI!L815,-6)</f>
        <v>2452617000000</v>
      </c>
    </row>
    <row r="131" spans="7:12" ht="22.15" customHeight="1">
      <c r="G131" s="27">
        <v>6</v>
      </c>
      <c r="H131" s="28" t="s">
        <v>66</v>
      </c>
      <c r="I131" s="29">
        <f t="shared" si="15"/>
        <v>0</v>
      </c>
      <c r="J131" s="29">
        <v>0</v>
      </c>
      <c r="K131" s="1584">
        <f>ROUNDUP(P.PL!C21*USD_Change_IRR+P.PL!D21,-6)</f>
        <v>2982846000000</v>
      </c>
    </row>
    <row r="132" spans="7:12" ht="29.25">
      <c r="G132" s="27">
        <v>7</v>
      </c>
      <c r="H132" s="28" t="s">
        <v>67</v>
      </c>
      <c r="I132" s="29">
        <f t="shared" si="15"/>
        <v>0</v>
      </c>
      <c r="J132" s="29"/>
      <c r="K132" s="122">
        <f>ROUNDUP(SUBTOTAL(9,K10,K15,K16,K22,K26,K29,K30,K31,K45,K52,K56,K59,K65,K66,K67),-6)</f>
        <v>797604000000</v>
      </c>
    </row>
    <row r="133" spans="7:12" ht="20.45" customHeight="1">
      <c r="G133" s="27">
        <v>8</v>
      </c>
      <c r="H133" s="28" t="s">
        <v>68</v>
      </c>
      <c r="I133" s="29">
        <f t="shared" si="15"/>
        <v>4773913.7384447353</v>
      </c>
      <c r="J133" s="29">
        <f>SUBTOTAL(9,L27:L28)</f>
        <v>4400000</v>
      </c>
      <c r="K133" s="122">
        <f>SUBTOTAL(9,K27:K28)</f>
        <v>0</v>
      </c>
    </row>
    <row r="134" spans="7:12" ht="21" customHeight="1">
      <c r="G134" s="27">
        <v>9</v>
      </c>
      <c r="H134" s="28" t="s">
        <v>361</v>
      </c>
      <c r="I134" s="29">
        <f t="shared" si="15"/>
        <v>0</v>
      </c>
      <c r="J134" s="29">
        <f>SUBTOTAL(9,L32:L35)</f>
        <v>0</v>
      </c>
      <c r="K134" s="122">
        <f>ROUNDUP(SUBTOTAL(9,K32:K35),-6)</f>
        <v>418938000000</v>
      </c>
    </row>
    <row r="135" spans="7:12" ht="24" customHeight="1">
      <c r="G135" s="27">
        <v>10</v>
      </c>
      <c r="H135" s="28" t="s">
        <v>69</v>
      </c>
      <c r="I135" s="29">
        <f t="shared" si="15"/>
        <v>0</v>
      </c>
      <c r="J135" s="29">
        <f>SUM(J47:J48)</f>
        <v>0</v>
      </c>
      <c r="K135" s="122">
        <f>ROUNDUP(SUM(H47:H48),-6)</f>
        <v>372764000000</v>
      </c>
    </row>
    <row r="136" spans="7:12" ht="18.600000000000001" customHeight="1">
      <c r="G136" s="27"/>
      <c r="H136" s="28" t="s">
        <v>70</v>
      </c>
      <c r="I136" s="29">
        <f t="shared" si="15"/>
        <v>0</v>
      </c>
      <c r="J136" s="29">
        <f>SUBTOTAL(9,L37:L44)</f>
        <v>0</v>
      </c>
      <c r="K136" s="122">
        <f>ROUNDUP(SUM(K37:K44),-6)</f>
        <v>337896000000</v>
      </c>
    </row>
    <row r="137" spans="7:12" ht="29.25">
      <c r="G137" s="27">
        <v>12</v>
      </c>
      <c r="H137" s="28" t="s">
        <v>71</v>
      </c>
      <c r="I137" s="29">
        <f t="shared" si="15"/>
        <v>0</v>
      </c>
      <c r="J137" s="29">
        <f>L19</f>
        <v>0</v>
      </c>
      <c r="K137" s="122">
        <f>K19</f>
        <v>134429070953.02333</v>
      </c>
    </row>
    <row r="138" spans="7:12">
      <c r="G138" s="27">
        <v>13</v>
      </c>
      <c r="H138" s="28" t="s">
        <v>72</v>
      </c>
      <c r="I138" s="29">
        <f t="shared" si="15"/>
        <v>0</v>
      </c>
      <c r="J138" s="29"/>
      <c r="K138" s="122">
        <f>SUM(K84:K93)</f>
        <v>370840000000</v>
      </c>
    </row>
    <row r="139" spans="7:12">
      <c r="G139" s="27">
        <v>14</v>
      </c>
      <c r="H139" s="28" t="s">
        <v>73</v>
      </c>
      <c r="I139" s="29">
        <f t="shared" si="15"/>
        <v>0</v>
      </c>
      <c r="J139" s="29"/>
      <c r="K139" s="122">
        <f>SUM(K70:K82)</f>
        <v>401940000000</v>
      </c>
    </row>
    <row r="140" spans="7:12" ht="29.25">
      <c r="G140" s="27">
        <v>15</v>
      </c>
      <c r="H140" s="28" t="s">
        <v>74</v>
      </c>
      <c r="I140" s="29">
        <f t="shared" si="15"/>
        <v>0</v>
      </c>
      <c r="J140" s="29"/>
      <c r="K140" s="122">
        <f>ROUNDUP(SUM(K95:K112),-6)</f>
        <v>163763000000</v>
      </c>
    </row>
    <row r="141" spans="7:12">
      <c r="G141" s="27">
        <v>16</v>
      </c>
      <c r="H141" s="28" t="s">
        <v>75</v>
      </c>
      <c r="I141" s="29">
        <f t="shared" si="15"/>
        <v>0</v>
      </c>
      <c r="J141" s="29"/>
      <c r="K141" s="122">
        <f>ROUNDUP(K113,-6)</f>
        <v>94500000000</v>
      </c>
    </row>
    <row r="142" spans="7:12">
      <c r="G142" s="27">
        <v>17</v>
      </c>
      <c r="H142" s="28" t="s">
        <v>76</v>
      </c>
      <c r="I142" s="29">
        <f t="shared" si="15"/>
        <v>0</v>
      </c>
      <c r="J142" s="29"/>
      <c r="K142" s="122">
        <f>ROUNDUP(P.LAB!E40,-6)</f>
        <v>592670000000</v>
      </c>
    </row>
    <row r="143" spans="7:12" ht="15.75" thickBot="1">
      <c r="G143" s="124">
        <v>18</v>
      </c>
      <c r="H143" s="125" t="s">
        <v>77</v>
      </c>
      <c r="I143" s="126">
        <f>SUM(I126:I142)</f>
        <v>18855776.504152268</v>
      </c>
      <c r="J143" s="126">
        <f>SUM(J126:J140)</f>
        <v>17379000</v>
      </c>
      <c r="K143" s="127">
        <f>SUM(K126:K142)</f>
        <v>11828284070953.023</v>
      </c>
      <c r="L143" s="1587"/>
    </row>
    <row r="146" ht="30.75" customHeight="1"/>
  </sheetData>
  <dataConsolidate/>
  <mergeCells count="15">
    <mergeCell ref="H122:J122"/>
    <mergeCell ref="H123:J123"/>
    <mergeCell ref="G124:K124"/>
    <mergeCell ref="A1:A3"/>
    <mergeCell ref="B1:C3"/>
    <mergeCell ref="D1:D3"/>
    <mergeCell ref="E1:E2"/>
    <mergeCell ref="F1:F3"/>
    <mergeCell ref="F119:G119"/>
    <mergeCell ref="H119:I119"/>
    <mergeCell ref="G1:G3"/>
    <mergeCell ref="H1:J1"/>
    <mergeCell ref="K1:N1"/>
    <mergeCell ref="H2:J2"/>
    <mergeCell ref="K2:L2"/>
  </mergeCells>
  <printOptions horizontalCentered="1"/>
  <pageMargins left="0" right="0" top="0.39370078740157483" bottom="0.19685039370078741" header="0.11811023622047245" footer="0.11811023622047245"/>
  <pageSetup paperSize="9" scale="65" orientation="landscape" horizontalDpi="4294967294"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8">
    <tabColor theme="0" tint="-0.14999847407452621"/>
    <outlinePr summaryBelow="0" summaryRight="0"/>
  </sheetPr>
  <dimension ref="A1:N180"/>
  <sheetViews>
    <sheetView rightToLeft="1" zoomScale="73" zoomScaleNormal="73" workbookViewId="0">
      <pane ySplit="3" topLeftCell="A4" activePane="bottomLeft" state="frozen"/>
      <selection activeCell="J50" sqref="J50"/>
      <selection pane="bottomLeft" sqref="A1:XFD1048576"/>
    </sheetView>
  </sheetViews>
  <sheetFormatPr defaultColWidth="9.140625" defaultRowHeight="15" outlineLevelRow="2"/>
  <cols>
    <col min="1" max="1" width="6.28515625" style="263" customWidth="1"/>
    <col min="2" max="2" width="74" style="23" customWidth="1"/>
    <col min="3" max="4" width="9.140625" style="23" customWidth="1"/>
    <col min="5" max="5" width="20.7109375" style="48" customWidth="1"/>
    <col min="6" max="6" width="28.28515625" style="48" bestFit="1" customWidth="1"/>
    <col min="7" max="7" width="20.7109375" style="48" bestFit="1" customWidth="1"/>
    <col min="8" max="8" width="23" style="48" bestFit="1" customWidth="1"/>
    <col min="9" max="9" width="22.7109375" style="48" customWidth="1"/>
    <col min="10" max="10" width="20.140625" style="48" customWidth="1"/>
    <col min="11" max="11" width="14.7109375" customWidth="1"/>
    <col min="12" max="12" width="18.140625" customWidth="1"/>
    <col min="13" max="13" width="20.28515625" customWidth="1"/>
    <col min="14" max="14" width="10.42578125" customWidth="1"/>
  </cols>
  <sheetData>
    <row r="1" spans="1:12" ht="24.75" customHeight="1">
      <c r="A1" s="2249" t="s">
        <v>100</v>
      </c>
      <c r="B1" s="2252" t="s">
        <v>364</v>
      </c>
      <c r="C1" s="2255" t="s">
        <v>485</v>
      </c>
      <c r="D1" s="2256"/>
      <c r="E1" s="2257" t="s">
        <v>106</v>
      </c>
      <c r="F1" s="2237"/>
      <c r="G1" s="1559"/>
      <c r="H1" s="2257" t="s">
        <v>107</v>
      </c>
      <c r="I1" s="2258"/>
      <c r="J1" s="2259"/>
    </row>
    <row r="2" spans="1:12" ht="15.75">
      <c r="A2" s="2250"/>
      <c r="B2" s="2253"/>
      <c r="C2" s="2260" t="s">
        <v>369</v>
      </c>
      <c r="D2" s="2260" t="s">
        <v>104</v>
      </c>
      <c r="E2" s="2261" t="s">
        <v>108</v>
      </c>
      <c r="F2" s="2241"/>
      <c r="G2" s="324"/>
      <c r="H2" s="2261" t="s">
        <v>108</v>
      </c>
      <c r="I2" s="2241"/>
      <c r="J2" s="50" t="s">
        <v>110</v>
      </c>
    </row>
    <row r="3" spans="1:12" ht="15.75">
      <c r="A3" s="2251"/>
      <c r="B3" s="2254"/>
      <c r="C3" s="2254"/>
      <c r="D3" s="2254"/>
      <c r="E3" s="49" t="s">
        <v>111</v>
      </c>
      <c r="F3" s="49" t="s">
        <v>112</v>
      </c>
      <c r="G3" s="49" t="s">
        <v>969</v>
      </c>
      <c r="H3" s="49" t="s">
        <v>111</v>
      </c>
      <c r="I3" s="49" t="s">
        <v>112</v>
      </c>
      <c r="J3" s="50" t="s">
        <v>111</v>
      </c>
    </row>
    <row r="4" spans="1:12" ht="23.25" customHeight="1">
      <c r="A4" s="225">
        <v>1</v>
      </c>
      <c r="B4" s="226" t="s">
        <v>555</v>
      </c>
      <c r="C4" s="227"/>
      <c r="D4" s="227"/>
      <c r="E4" s="227"/>
      <c r="F4" s="227"/>
      <c r="G4" s="227"/>
      <c r="H4" s="227"/>
      <c r="I4" s="227"/>
      <c r="J4" s="228"/>
    </row>
    <row r="5" spans="1:12" ht="51.75" outlineLevel="1">
      <c r="A5" s="229">
        <v>1.1000000000000001</v>
      </c>
      <c r="B5" s="230" t="s">
        <v>556</v>
      </c>
      <c r="C5" s="231">
        <v>1</v>
      </c>
      <c r="D5" s="231" t="s">
        <v>117</v>
      </c>
      <c r="E5" s="329">
        <f>375000*530000</f>
        <v>198750000000</v>
      </c>
      <c r="F5" s="1561"/>
      <c r="G5" s="1561"/>
      <c r="H5" s="70">
        <f t="shared" ref="H5:H12" si="0">C5*E5</f>
        <v>198750000000</v>
      </c>
      <c r="I5" s="70">
        <f t="shared" ref="I5:I12" si="1">C5*F5</f>
        <v>0</v>
      </c>
      <c r="J5" s="71">
        <v>1161002054.1523583</v>
      </c>
      <c r="K5" s="1481"/>
    </row>
    <row r="6" spans="1:12" ht="51.75" outlineLevel="1">
      <c r="A6" s="229">
        <v>1.2</v>
      </c>
      <c r="B6" s="230" t="s">
        <v>557</v>
      </c>
      <c r="C6" s="231">
        <v>1</v>
      </c>
      <c r="D6" s="231" t="s">
        <v>117</v>
      </c>
      <c r="E6" s="329">
        <f>198000*530000</f>
        <v>104940000000</v>
      </c>
      <c r="F6" s="1561"/>
      <c r="G6" s="1561"/>
      <c r="H6" s="70">
        <f t="shared" si="0"/>
        <v>104940000000</v>
      </c>
      <c r="I6" s="70">
        <f t="shared" si="1"/>
        <v>0</v>
      </c>
      <c r="J6" s="71" t="s">
        <v>558</v>
      </c>
      <c r="K6" s="1481"/>
    </row>
    <row r="7" spans="1:12" ht="51.75" outlineLevel="1">
      <c r="A7" s="229">
        <v>1.3</v>
      </c>
      <c r="B7" s="230" t="s">
        <v>559</v>
      </c>
      <c r="C7" s="231">
        <v>1</v>
      </c>
      <c r="D7" s="231" t="s">
        <v>117</v>
      </c>
      <c r="E7" s="329">
        <f>264000*530000</f>
        <v>139920000000</v>
      </c>
      <c r="F7" s="1561"/>
      <c r="G7" s="1561"/>
      <c r="H7" s="70">
        <f t="shared" si="0"/>
        <v>139920000000</v>
      </c>
      <c r="I7" s="70">
        <f t="shared" si="1"/>
        <v>0</v>
      </c>
      <c r="J7" s="71" t="s">
        <v>558</v>
      </c>
      <c r="K7" s="1481"/>
    </row>
    <row r="8" spans="1:12" ht="54" customHeight="1" outlineLevel="1">
      <c r="A8" s="229">
        <v>1.4</v>
      </c>
      <c r="B8" s="230" t="s">
        <v>560</v>
      </c>
      <c r="C8" s="231">
        <v>1</v>
      </c>
      <c r="D8" s="231" t="s">
        <v>117</v>
      </c>
      <c r="E8" s="329">
        <f>160000*530000</f>
        <v>84800000000</v>
      </c>
      <c r="F8" s="1561"/>
      <c r="G8" s="1561"/>
      <c r="H8" s="70">
        <f t="shared" si="0"/>
        <v>84800000000</v>
      </c>
      <c r="I8" s="70">
        <f t="shared" si="1"/>
        <v>0</v>
      </c>
      <c r="J8" s="71" t="s">
        <v>558</v>
      </c>
      <c r="K8" s="1481"/>
    </row>
    <row r="9" spans="1:12" ht="32.25" customHeight="1" outlineLevel="1">
      <c r="A9" s="229">
        <v>1.5</v>
      </c>
      <c r="B9" s="233" t="s">
        <v>561</v>
      </c>
      <c r="C9" s="231">
        <v>2</v>
      </c>
      <c r="D9" s="231" t="s">
        <v>117</v>
      </c>
      <c r="E9" s="329">
        <f>116200*530000</f>
        <v>61586000000</v>
      </c>
      <c r="F9" s="1561"/>
      <c r="G9" s="1561"/>
      <c r="H9" s="70">
        <f t="shared" si="0"/>
        <v>123172000000</v>
      </c>
      <c r="I9" s="70">
        <f t="shared" si="1"/>
        <v>0</v>
      </c>
      <c r="J9" s="71" t="s">
        <v>558</v>
      </c>
      <c r="K9" s="1481"/>
    </row>
    <row r="10" spans="1:12" ht="51.75" outlineLevel="1">
      <c r="A10" s="229">
        <v>1.6</v>
      </c>
      <c r="B10" s="230" t="s">
        <v>562</v>
      </c>
      <c r="C10" s="231">
        <v>1</v>
      </c>
      <c r="D10" s="231" t="s">
        <v>117</v>
      </c>
      <c r="E10" s="329">
        <f>198000*530000</f>
        <v>104940000000</v>
      </c>
      <c r="F10" s="1561"/>
      <c r="G10" s="1561"/>
      <c r="H10" s="70">
        <f t="shared" si="0"/>
        <v>104940000000</v>
      </c>
      <c r="I10" s="70">
        <f t="shared" si="1"/>
        <v>0</v>
      </c>
      <c r="J10" s="71" t="s">
        <v>563</v>
      </c>
      <c r="K10" s="1481"/>
    </row>
    <row r="11" spans="1:12" ht="26.25" outlineLevel="1">
      <c r="A11" s="229">
        <v>1.7</v>
      </c>
      <c r="B11" s="234" t="s">
        <v>564</v>
      </c>
      <c r="C11" s="231">
        <v>2</v>
      </c>
      <c r="D11" s="231" t="s">
        <v>117</v>
      </c>
      <c r="E11" s="1562">
        <f>30000*530000</f>
        <v>15900000000</v>
      </c>
      <c r="F11" s="1561"/>
      <c r="G11" s="1561"/>
      <c r="H11" s="70">
        <f t="shared" si="0"/>
        <v>31800000000</v>
      </c>
      <c r="I11" s="70">
        <f t="shared" si="1"/>
        <v>0</v>
      </c>
      <c r="J11" s="71" t="s">
        <v>565</v>
      </c>
      <c r="K11" s="1481"/>
    </row>
    <row r="12" spans="1:12" ht="51.75" outlineLevel="1">
      <c r="A12" s="1480">
        <v>1.8</v>
      </c>
      <c r="B12" s="1563" t="s">
        <v>4499</v>
      </c>
      <c r="C12" s="259">
        <v>2</v>
      </c>
      <c r="D12" s="236"/>
      <c r="E12" s="1482">
        <f>17000*530000</f>
        <v>9010000000</v>
      </c>
      <c r="F12" s="1561"/>
      <c r="G12" s="70"/>
      <c r="H12" s="70">
        <f t="shared" si="0"/>
        <v>18020000000</v>
      </c>
      <c r="I12" s="70">
        <f t="shared" si="1"/>
        <v>0</v>
      </c>
      <c r="J12" s="1479"/>
      <c r="K12" s="1481"/>
    </row>
    <row r="13" spans="1:12" ht="53.25" customHeight="1">
      <c r="A13" s="235">
        <v>2</v>
      </c>
      <c r="B13" s="226" t="s">
        <v>566</v>
      </c>
      <c r="C13" s="236"/>
      <c r="D13" s="236"/>
      <c r="E13" s="236"/>
      <c r="F13" s="236"/>
      <c r="G13" s="236"/>
      <c r="H13" s="236"/>
      <c r="I13" s="236"/>
      <c r="J13" s="237"/>
    </row>
    <row r="14" spans="1:12" ht="36.75" customHeight="1" outlineLevel="1">
      <c r="A14" s="229" t="s">
        <v>567</v>
      </c>
      <c r="B14" s="230" t="s">
        <v>568</v>
      </c>
      <c r="C14" s="231">
        <v>1</v>
      </c>
      <c r="D14" s="231" t="s">
        <v>117</v>
      </c>
      <c r="E14" s="329">
        <v>28896400000</v>
      </c>
      <c r="F14" s="75"/>
      <c r="G14" s="70"/>
      <c r="H14" s="70">
        <f>E14*C14</f>
        <v>28896400000</v>
      </c>
      <c r="I14" s="75"/>
      <c r="J14" s="71">
        <v>232200410.83047163</v>
      </c>
      <c r="K14" s="1483"/>
      <c r="L14" s="1484"/>
    </row>
    <row r="15" spans="1:12" ht="36.75" customHeight="1" outlineLevel="1">
      <c r="A15" s="229" t="s">
        <v>569</v>
      </c>
      <c r="B15" s="230" t="s">
        <v>570</v>
      </c>
      <c r="C15" s="231">
        <v>1</v>
      </c>
      <c r="D15" s="231" t="s">
        <v>117</v>
      </c>
      <c r="E15" s="329">
        <v>28896400000</v>
      </c>
      <c r="F15" s="75"/>
      <c r="G15" s="70"/>
      <c r="H15" s="70">
        <f>E15*C15</f>
        <v>28896400000</v>
      </c>
      <c r="I15" s="75"/>
      <c r="J15" s="71">
        <v>232200410.83047163</v>
      </c>
      <c r="K15" s="1483"/>
      <c r="L15" s="1484"/>
    </row>
    <row r="16" spans="1:12" ht="36.75" customHeight="1" outlineLevel="1">
      <c r="A16" s="229" t="s">
        <v>571</v>
      </c>
      <c r="B16" s="230" t="s">
        <v>572</v>
      </c>
      <c r="C16" s="231">
        <v>1</v>
      </c>
      <c r="D16" s="231" t="s">
        <v>117</v>
      </c>
      <c r="E16" s="329">
        <v>55291600000</v>
      </c>
      <c r="F16" s="75"/>
      <c r="G16" s="70"/>
      <c r="H16" s="70">
        <f>E16*C16</f>
        <v>55291600000</v>
      </c>
      <c r="I16" s="75"/>
      <c r="J16" s="71">
        <v>232200410.83047163</v>
      </c>
      <c r="K16" s="1483"/>
      <c r="L16" s="1484"/>
    </row>
    <row r="17" spans="1:14" ht="45" customHeight="1" outlineLevel="1">
      <c r="A17" s="229" t="s">
        <v>573</v>
      </c>
      <c r="B17" s="230" t="s">
        <v>574</v>
      </c>
      <c r="C17" s="231">
        <v>1</v>
      </c>
      <c r="D17" s="231" t="s">
        <v>117</v>
      </c>
      <c r="E17" s="329">
        <v>55291600000</v>
      </c>
      <c r="F17" s="75"/>
      <c r="G17" s="70"/>
      <c r="H17" s="70">
        <f>E17*C17</f>
        <v>55291600000</v>
      </c>
      <c r="I17" s="75"/>
      <c r="J17" s="71">
        <v>232200410.83047163</v>
      </c>
      <c r="K17" s="1483"/>
      <c r="L17" s="1484"/>
    </row>
    <row r="18" spans="1:14" ht="15.75">
      <c r="A18" s="235">
        <v>3</v>
      </c>
      <c r="B18" s="238" t="s">
        <v>575</v>
      </c>
      <c r="C18" s="236"/>
      <c r="D18" s="236"/>
      <c r="E18" s="236"/>
      <c r="F18" s="236"/>
      <c r="G18" s="236"/>
      <c r="H18" s="236"/>
      <c r="I18" s="236"/>
      <c r="J18" s="237"/>
    </row>
    <row r="19" spans="1:14" ht="31.5" outlineLevel="1">
      <c r="A19" s="235">
        <v>3.1</v>
      </c>
      <c r="B19" s="239" t="s">
        <v>576</v>
      </c>
      <c r="C19" s="231">
        <v>1</v>
      </c>
      <c r="D19" s="231"/>
      <c r="E19" s="329">
        <v>36296000000</v>
      </c>
      <c r="F19" s="75"/>
      <c r="G19" s="70"/>
      <c r="H19" s="70">
        <f>E19*C19</f>
        <v>36296000000</v>
      </c>
      <c r="I19" s="75"/>
      <c r="J19" s="71">
        <v>696601232.4914149</v>
      </c>
    </row>
    <row r="20" spans="1:14" ht="31.5" outlineLevel="1">
      <c r="A20" s="235">
        <v>3.2</v>
      </c>
      <c r="B20" s="239" t="s">
        <v>577</v>
      </c>
      <c r="C20" s="231">
        <v>1</v>
      </c>
      <c r="D20" s="231"/>
      <c r="E20" s="329">
        <v>16536000000</v>
      </c>
      <c r="F20" s="75"/>
      <c r="G20" s="70"/>
      <c r="H20" s="70">
        <f>E20*C20</f>
        <v>16536000000</v>
      </c>
      <c r="I20" s="75"/>
      <c r="J20" s="71" t="s">
        <v>188</v>
      </c>
    </row>
    <row r="21" spans="1:14" ht="20.100000000000001" customHeight="1">
      <c r="A21" s="235">
        <v>4</v>
      </c>
      <c r="B21" s="240" t="s">
        <v>578</v>
      </c>
      <c r="C21" s="231"/>
      <c r="D21" s="231"/>
      <c r="E21" s="70"/>
      <c r="F21" s="75"/>
      <c r="G21" s="70"/>
      <c r="H21" s="70"/>
      <c r="I21" s="75"/>
      <c r="J21" s="71"/>
    </row>
    <row r="22" spans="1:14" ht="20.100000000000001" customHeight="1" outlineLevel="1">
      <c r="A22" s="235">
        <v>4.0999999999999996</v>
      </c>
      <c r="B22" s="241" t="s">
        <v>579</v>
      </c>
      <c r="C22" s="231">
        <v>2</v>
      </c>
      <c r="D22" s="231"/>
      <c r="E22" s="70"/>
      <c r="F22" s="70"/>
      <c r="G22" s="70"/>
      <c r="H22" s="70"/>
      <c r="I22" s="70"/>
      <c r="J22" s="71">
        <v>232200410.83047163</v>
      </c>
    </row>
    <row r="23" spans="1:14" ht="15.75" outlineLevel="2">
      <c r="A23" s="235" t="s">
        <v>580</v>
      </c>
      <c r="B23" s="242" t="s">
        <v>581</v>
      </c>
      <c r="C23" s="231">
        <v>2</v>
      </c>
      <c r="D23" s="231"/>
      <c r="E23" s="329">
        <v>28600000000</v>
      </c>
      <c r="F23" s="75"/>
      <c r="G23" s="70"/>
      <c r="H23" s="70">
        <f>E23*C23</f>
        <v>57200000000</v>
      </c>
      <c r="I23" s="75"/>
      <c r="J23" s="71"/>
      <c r="L23" s="48"/>
      <c r="N23" s="48"/>
    </row>
    <row r="24" spans="1:14" ht="38.25" outlineLevel="2">
      <c r="A24" s="235" t="s">
        <v>582</v>
      </c>
      <c r="B24" s="242" t="s">
        <v>4500</v>
      </c>
      <c r="C24" s="231">
        <v>2</v>
      </c>
      <c r="D24" s="231"/>
      <c r="E24" s="75"/>
      <c r="F24" s="329">
        <v>91592.58031829026</v>
      </c>
      <c r="G24" s="70"/>
      <c r="H24" s="75"/>
      <c r="I24" s="70">
        <f>C24*F24</f>
        <v>183185.16063658052</v>
      </c>
      <c r="J24" s="71"/>
      <c r="L24" s="48"/>
      <c r="N24" s="48"/>
    </row>
    <row r="25" spans="1:14" ht="16.5" outlineLevel="1">
      <c r="A25" s="235">
        <v>4.2</v>
      </c>
      <c r="B25" s="241" t="s">
        <v>583</v>
      </c>
      <c r="C25" s="231">
        <v>2</v>
      </c>
      <c r="D25" s="231"/>
      <c r="E25" s="70"/>
      <c r="F25" s="70"/>
      <c r="G25" s="70"/>
      <c r="H25" s="70"/>
      <c r="I25" s="70"/>
      <c r="J25" s="71" t="s">
        <v>584</v>
      </c>
      <c r="L25" s="48"/>
    </row>
    <row r="26" spans="1:14" ht="38.25" outlineLevel="2">
      <c r="A26" s="235" t="s">
        <v>585</v>
      </c>
      <c r="B26" s="242" t="s">
        <v>586</v>
      </c>
      <c r="C26" s="231">
        <v>2</v>
      </c>
      <c r="D26" s="231"/>
      <c r="E26" s="329">
        <v>14040000000</v>
      </c>
      <c r="F26" s="75"/>
      <c r="G26" s="70"/>
      <c r="H26" s="70">
        <f>E26*C26</f>
        <v>28080000000</v>
      </c>
      <c r="I26" s="75"/>
      <c r="J26" s="71"/>
      <c r="L26" s="48"/>
      <c r="N26" s="48"/>
    </row>
    <row r="27" spans="1:14" ht="38.25" outlineLevel="2">
      <c r="A27" s="235" t="s">
        <v>587</v>
      </c>
      <c r="B27" s="242" t="s">
        <v>4501</v>
      </c>
      <c r="C27" s="231">
        <v>2</v>
      </c>
      <c r="D27" s="231"/>
      <c r="E27" s="75"/>
      <c r="F27" s="329">
        <v>76900</v>
      </c>
      <c r="G27" s="70"/>
      <c r="H27" s="75"/>
      <c r="I27" s="70">
        <f>C27*F27</f>
        <v>153800</v>
      </c>
      <c r="J27" s="71"/>
      <c r="L27" s="48"/>
      <c r="N27" s="48"/>
    </row>
    <row r="28" spans="1:14" ht="16.5" outlineLevel="1">
      <c r="A28" s="235">
        <v>4.3</v>
      </c>
      <c r="B28" s="241" t="s">
        <v>588</v>
      </c>
      <c r="C28" s="231">
        <v>2</v>
      </c>
      <c r="D28" s="231"/>
      <c r="E28" s="70"/>
      <c r="F28" s="70"/>
      <c r="G28" s="70"/>
      <c r="H28" s="70"/>
      <c r="I28" s="70"/>
      <c r="J28" s="71">
        <v>232200410.83047163</v>
      </c>
      <c r="L28" s="48"/>
    </row>
    <row r="29" spans="1:14" ht="38.25" outlineLevel="2">
      <c r="A29" s="235" t="s">
        <v>589</v>
      </c>
      <c r="B29" s="242" t="s">
        <v>590</v>
      </c>
      <c r="C29" s="231">
        <v>2</v>
      </c>
      <c r="D29" s="231"/>
      <c r="E29" s="329">
        <v>93600000000</v>
      </c>
      <c r="F29" s="75"/>
      <c r="G29" s="70"/>
      <c r="H29" s="70">
        <f>E29*C29</f>
        <v>187200000000</v>
      </c>
      <c r="I29" s="70"/>
      <c r="J29" s="71"/>
      <c r="L29" s="48"/>
    </row>
    <row r="30" spans="1:14" ht="38.25" outlineLevel="2">
      <c r="A30" s="235" t="s">
        <v>591</v>
      </c>
      <c r="B30" s="242" t="s">
        <v>4502</v>
      </c>
      <c r="C30" s="231">
        <v>2</v>
      </c>
      <c r="D30" s="231"/>
      <c r="E30" s="75"/>
      <c r="F30" s="329">
        <v>276100</v>
      </c>
      <c r="G30" s="70"/>
      <c r="H30" s="75"/>
      <c r="I30" s="70">
        <f>C30*F30</f>
        <v>552200</v>
      </c>
      <c r="J30" s="71"/>
      <c r="L30" s="48"/>
    </row>
    <row r="31" spans="1:14" ht="16.5" outlineLevel="1">
      <c r="A31" s="235">
        <v>4.4000000000000004</v>
      </c>
      <c r="B31" s="241" t="s">
        <v>592</v>
      </c>
      <c r="C31" s="231">
        <v>2</v>
      </c>
      <c r="D31" s="231"/>
      <c r="E31" s="70"/>
      <c r="F31" s="70"/>
      <c r="G31" s="70"/>
      <c r="H31" s="70"/>
      <c r="I31" s="70"/>
      <c r="J31" s="71" t="s">
        <v>593</v>
      </c>
      <c r="L31" s="48"/>
    </row>
    <row r="32" spans="1:14" ht="38.25" outlineLevel="2">
      <c r="A32" s="235" t="s">
        <v>594</v>
      </c>
      <c r="B32" s="242" t="s">
        <v>595</v>
      </c>
      <c r="C32" s="231">
        <v>2</v>
      </c>
      <c r="D32" s="231"/>
      <c r="E32" s="329">
        <v>13520000000</v>
      </c>
      <c r="F32" s="75"/>
      <c r="G32" s="70"/>
      <c r="H32" s="70">
        <f>E32*C32</f>
        <v>27040000000</v>
      </c>
      <c r="I32" s="75"/>
      <c r="J32" s="71"/>
      <c r="L32" s="48"/>
    </row>
    <row r="33" spans="1:12" ht="38.25" outlineLevel="2">
      <c r="A33" s="235" t="s">
        <v>596</v>
      </c>
      <c r="B33" s="242" t="s">
        <v>4503</v>
      </c>
      <c r="C33" s="231">
        <v>2</v>
      </c>
      <c r="D33" s="231"/>
      <c r="E33" s="75"/>
      <c r="F33" s="329">
        <v>65000</v>
      </c>
      <c r="G33" s="70"/>
      <c r="H33" s="75"/>
      <c r="I33" s="70">
        <f>C33*F33</f>
        <v>130000</v>
      </c>
      <c r="J33" s="71"/>
      <c r="L33" s="48"/>
    </row>
    <row r="34" spans="1:12" ht="16.5" outlineLevel="1">
      <c r="A34" s="235">
        <v>4.5</v>
      </c>
      <c r="B34" s="241" t="s">
        <v>597</v>
      </c>
      <c r="C34" s="231">
        <v>2</v>
      </c>
      <c r="D34" s="231"/>
      <c r="E34" s="70"/>
      <c r="F34" s="70"/>
      <c r="G34" s="70"/>
      <c r="H34" s="70"/>
      <c r="I34" s="70"/>
      <c r="J34" s="71">
        <v>232200410.83047163</v>
      </c>
      <c r="L34" s="48"/>
    </row>
    <row r="35" spans="1:12" ht="38.25" outlineLevel="2">
      <c r="A35" s="235" t="s">
        <v>598</v>
      </c>
      <c r="B35" s="242" t="s">
        <v>595</v>
      </c>
      <c r="C35" s="231">
        <v>2</v>
      </c>
      <c r="D35" s="231"/>
      <c r="E35" s="329">
        <v>13520000000</v>
      </c>
      <c r="F35" s="75"/>
      <c r="G35" s="70"/>
      <c r="H35" s="70">
        <f>E35*C35</f>
        <v>27040000000</v>
      </c>
      <c r="I35" s="75"/>
      <c r="J35" s="71"/>
      <c r="L35" s="48"/>
    </row>
    <row r="36" spans="1:12" ht="38.25" outlineLevel="2">
      <c r="A36" s="235" t="s">
        <v>599</v>
      </c>
      <c r="B36" s="242" t="s">
        <v>4504</v>
      </c>
      <c r="C36" s="231">
        <v>2</v>
      </c>
      <c r="D36" s="231"/>
      <c r="E36" s="75"/>
      <c r="F36" s="329">
        <v>65000</v>
      </c>
      <c r="G36" s="70"/>
      <c r="H36" s="75"/>
      <c r="I36" s="70">
        <f>C36*F36</f>
        <v>130000</v>
      </c>
      <c r="J36" s="71"/>
      <c r="L36" s="48"/>
    </row>
    <row r="37" spans="1:12" ht="16.5" outlineLevel="1">
      <c r="A37" s="235">
        <v>4.5999999999999996</v>
      </c>
      <c r="B37" s="241" t="s">
        <v>600</v>
      </c>
      <c r="C37" s="231">
        <v>2</v>
      </c>
      <c r="D37" s="231"/>
      <c r="E37" s="70"/>
      <c r="F37" s="70"/>
      <c r="G37" s="70"/>
      <c r="H37" s="70"/>
      <c r="I37" s="70"/>
      <c r="J37" s="71" t="s">
        <v>601</v>
      </c>
      <c r="L37" s="48"/>
    </row>
    <row r="38" spans="1:12" ht="38.25" outlineLevel="2">
      <c r="A38" s="235" t="s">
        <v>602</v>
      </c>
      <c r="B38" s="242" t="s">
        <v>586</v>
      </c>
      <c r="C38" s="231">
        <v>2</v>
      </c>
      <c r="D38" s="231"/>
      <c r="E38" s="329">
        <v>14040000000</v>
      </c>
      <c r="F38" s="75"/>
      <c r="G38" s="70"/>
      <c r="H38" s="70">
        <f>E38*C38</f>
        <v>28080000000</v>
      </c>
      <c r="I38" s="75"/>
      <c r="J38" s="71"/>
      <c r="L38" s="48"/>
    </row>
    <row r="39" spans="1:12" ht="38.25" outlineLevel="2">
      <c r="A39" s="235" t="s">
        <v>603</v>
      </c>
      <c r="B39" s="242" t="s">
        <v>4505</v>
      </c>
      <c r="C39" s="231">
        <v>2</v>
      </c>
      <c r="D39" s="231"/>
      <c r="E39" s="75"/>
      <c r="F39" s="329">
        <v>76900</v>
      </c>
      <c r="G39" s="70"/>
      <c r="H39" s="75"/>
      <c r="I39" s="70">
        <f>C39*F39</f>
        <v>153800</v>
      </c>
      <c r="J39" s="71"/>
      <c r="L39" s="48"/>
    </row>
    <row r="40" spans="1:12" ht="15.75">
      <c r="A40" s="235">
        <v>5</v>
      </c>
      <c r="B40" s="243" t="s">
        <v>604</v>
      </c>
      <c r="C40" s="236"/>
      <c r="D40" s="236"/>
      <c r="E40" s="236"/>
      <c r="F40" s="236"/>
      <c r="G40" s="236"/>
      <c r="H40" s="236"/>
      <c r="I40" s="236"/>
      <c r="J40" s="237"/>
    </row>
    <row r="41" spans="1:12" ht="15.75" outlineLevel="1">
      <c r="A41" s="244">
        <v>5.0999999999999996</v>
      </c>
      <c r="B41" s="239" t="s">
        <v>605</v>
      </c>
      <c r="C41" s="245">
        <v>1200</v>
      </c>
      <c r="D41" s="330" t="s">
        <v>404</v>
      </c>
      <c r="E41" s="329">
        <v>7031700</v>
      </c>
      <c r="F41" s="75"/>
      <c r="G41" s="70"/>
      <c r="H41" s="70">
        <f>E41*C41</f>
        <v>8438040000</v>
      </c>
      <c r="I41" s="75"/>
      <c r="J41" s="71">
        <v>696601232.4914149</v>
      </c>
    </row>
    <row r="42" spans="1:12" ht="31.5" outlineLevel="1">
      <c r="A42" s="244">
        <v>5.2</v>
      </c>
      <c r="B42" s="239" t="s">
        <v>606</v>
      </c>
      <c r="C42" s="245">
        <v>500</v>
      </c>
      <c r="D42" s="245" t="s">
        <v>404</v>
      </c>
      <c r="E42" s="329">
        <v>7423000</v>
      </c>
      <c r="F42" s="75"/>
      <c r="G42" s="70"/>
      <c r="H42" s="70">
        <f>E42*C42</f>
        <v>3711500000</v>
      </c>
      <c r="I42" s="75"/>
      <c r="J42" s="71" t="s">
        <v>607</v>
      </c>
    </row>
    <row r="43" spans="1:12" ht="15.75" outlineLevel="1">
      <c r="A43" s="244">
        <v>5.3</v>
      </c>
      <c r="B43" s="239" t="s">
        <v>608</v>
      </c>
      <c r="C43" s="245">
        <v>4630</v>
      </c>
      <c r="D43" s="245" t="s">
        <v>404</v>
      </c>
      <c r="E43" s="329">
        <v>4108000</v>
      </c>
      <c r="F43" s="75"/>
      <c r="G43" s="70"/>
      <c r="H43" s="70">
        <f t="shared" ref="H43:H62" si="2">E43*C43</f>
        <v>19020040000</v>
      </c>
      <c r="I43" s="75"/>
      <c r="J43" s="71" t="s">
        <v>607</v>
      </c>
    </row>
    <row r="44" spans="1:12" ht="31.5" outlineLevel="1">
      <c r="A44" s="244">
        <v>5.4</v>
      </c>
      <c r="B44" s="239" t="s">
        <v>609</v>
      </c>
      <c r="C44" s="245">
        <v>2850</v>
      </c>
      <c r="D44" s="245" t="s">
        <v>404</v>
      </c>
      <c r="E44" s="329">
        <v>4355000</v>
      </c>
      <c r="F44" s="75"/>
      <c r="G44" s="70"/>
      <c r="H44" s="70">
        <f t="shared" si="2"/>
        <v>12411750000</v>
      </c>
      <c r="I44" s="75"/>
      <c r="J44" s="71" t="s">
        <v>607</v>
      </c>
    </row>
    <row r="45" spans="1:12" ht="31.5" outlineLevel="1">
      <c r="A45" s="244">
        <v>5.5</v>
      </c>
      <c r="B45" s="239" t="s">
        <v>610</v>
      </c>
      <c r="C45" s="245">
        <v>350</v>
      </c>
      <c r="D45" s="245" t="s">
        <v>404</v>
      </c>
      <c r="E45" s="329">
        <v>2210000</v>
      </c>
      <c r="F45" s="75"/>
      <c r="G45" s="70"/>
      <c r="H45" s="70">
        <f t="shared" si="2"/>
        <v>773500000</v>
      </c>
      <c r="I45" s="75"/>
      <c r="J45" s="71" t="s">
        <v>607</v>
      </c>
    </row>
    <row r="46" spans="1:12" ht="31.5" outlineLevel="1">
      <c r="A46" s="244">
        <v>5.6</v>
      </c>
      <c r="B46" s="239" t="s">
        <v>611</v>
      </c>
      <c r="C46" s="245">
        <v>400</v>
      </c>
      <c r="D46" s="245" t="s">
        <v>404</v>
      </c>
      <c r="E46" s="329">
        <v>1053000</v>
      </c>
      <c r="F46" s="75"/>
      <c r="G46" s="70"/>
      <c r="H46" s="70">
        <f t="shared" si="2"/>
        <v>421200000</v>
      </c>
      <c r="I46" s="75"/>
      <c r="J46" s="71" t="s">
        <v>607</v>
      </c>
    </row>
    <row r="47" spans="1:12" ht="31.5" outlineLevel="1">
      <c r="A47" s="244">
        <v>5.7</v>
      </c>
      <c r="B47" s="239" t="s">
        <v>612</v>
      </c>
      <c r="C47" s="245">
        <v>22</v>
      </c>
      <c r="D47" s="245" t="s">
        <v>362</v>
      </c>
      <c r="E47" s="329">
        <v>2730000</v>
      </c>
      <c r="F47" s="75"/>
      <c r="G47" s="70"/>
      <c r="H47" s="70">
        <f t="shared" si="2"/>
        <v>60060000</v>
      </c>
      <c r="I47" s="75"/>
      <c r="J47" s="71" t="s">
        <v>607</v>
      </c>
    </row>
    <row r="48" spans="1:12" ht="15.75" outlineLevel="1">
      <c r="A48" s="244">
        <v>5.8</v>
      </c>
      <c r="B48" s="239" t="s">
        <v>613</v>
      </c>
      <c r="C48" s="245">
        <v>72</v>
      </c>
      <c r="D48" s="245" t="s">
        <v>362</v>
      </c>
      <c r="E48" s="329">
        <v>1560000</v>
      </c>
      <c r="F48" s="75"/>
      <c r="G48" s="70"/>
      <c r="H48" s="70">
        <f t="shared" si="2"/>
        <v>112320000</v>
      </c>
      <c r="I48" s="75"/>
      <c r="J48" s="71" t="s">
        <v>607</v>
      </c>
    </row>
    <row r="49" spans="1:10" ht="15.75" outlineLevel="1">
      <c r="A49" s="244">
        <v>5.9</v>
      </c>
      <c r="B49" s="239" t="s">
        <v>614</v>
      </c>
      <c r="C49" s="245">
        <v>7</v>
      </c>
      <c r="D49" s="245" t="s">
        <v>362</v>
      </c>
      <c r="E49" s="329">
        <v>1053000</v>
      </c>
      <c r="F49" s="75"/>
      <c r="G49" s="70"/>
      <c r="H49" s="70">
        <f t="shared" si="2"/>
        <v>7371000</v>
      </c>
      <c r="I49" s="75"/>
      <c r="J49" s="71" t="s">
        <v>607</v>
      </c>
    </row>
    <row r="50" spans="1:10" ht="15.75" outlineLevel="1">
      <c r="A50" s="244" t="s">
        <v>615</v>
      </c>
      <c r="B50" s="239" t="s">
        <v>616</v>
      </c>
      <c r="C50" s="245">
        <v>160</v>
      </c>
      <c r="D50" s="245" t="s">
        <v>362</v>
      </c>
      <c r="E50" s="329">
        <v>1261000</v>
      </c>
      <c r="F50" s="75"/>
      <c r="G50" s="70"/>
      <c r="H50" s="70">
        <f t="shared" si="2"/>
        <v>201760000</v>
      </c>
      <c r="I50" s="75"/>
      <c r="J50" s="71" t="s">
        <v>607</v>
      </c>
    </row>
    <row r="51" spans="1:10" ht="15.75" outlineLevel="1">
      <c r="A51" s="244" t="s">
        <v>617</v>
      </c>
      <c r="B51" s="239" t="s">
        <v>618</v>
      </c>
      <c r="C51" s="245">
        <v>40</v>
      </c>
      <c r="D51" s="245" t="s">
        <v>362</v>
      </c>
      <c r="E51" s="329">
        <v>780000</v>
      </c>
      <c r="F51" s="75"/>
      <c r="G51" s="70"/>
      <c r="H51" s="70">
        <f t="shared" si="2"/>
        <v>31200000</v>
      </c>
      <c r="I51" s="75"/>
      <c r="J51" s="71" t="s">
        <v>607</v>
      </c>
    </row>
    <row r="52" spans="1:10" ht="15.75" outlineLevel="1">
      <c r="A52" s="244" t="s">
        <v>619</v>
      </c>
      <c r="B52" s="239" t="s">
        <v>620</v>
      </c>
      <c r="C52" s="245">
        <v>40</v>
      </c>
      <c r="D52" s="245" t="s">
        <v>362</v>
      </c>
      <c r="E52" s="329">
        <v>780000</v>
      </c>
      <c r="F52" s="75"/>
      <c r="G52" s="70"/>
      <c r="H52" s="70">
        <f t="shared" si="2"/>
        <v>31200000</v>
      </c>
      <c r="I52" s="75"/>
      <c r="J52" s="71" t="s">
        <v>607</v>
      </c>
    </row>
    <row r="53" spans="1:10" ht="31.5" outlineLevel="1">
      <c r="A53" s="244" t="s">
        <v>621</v>
      </c>
      <c r="B53" s="239" t="s">
        <v>622</v>
      </c>
      <c r="C53" s="245">
        <v>40</v>
      </c>
      <c r="D53" s="245" t="s">
        <v>362</v>
      </c>
      <c r="E53" s="329">
        <v>1261000</v>
      </c>
      <c r="F53" s="75"/>
      <c r="G53" s="70"/>
      <c r="H53" s="70">
        <f t="shared" si="2"/>
        <v>50440000</v>
      </c>
      <c r="I53" s="75"/>
      <c r="J53" s="71" t="s">
        <v>607</v>
      </c>
    </row>
    <row r="54" spans="1:10" ht="31.5" outlineLevel="1">
      <c r="A54" s="244" t="s">
        <v>623</v>
      </c>
      <c r="B54" s="239" t="s">
        <v>624</v>
      </c>
      <c r="C54" s="245">
        <v>68</v>
      </c>
      <c r="D54" s="245" t="s">
        <v>362</v>
      </c>
      <c r="E54" s="329">
        <v>32500000</v>
      </c>
      <c r="F54" s="75"/>
      <c r="G54" s="70"/>
      <c r="H54" s="70">
        <f t="shared" si="2"/>
        <v>2210000000</v>
      </c>
      <c r="I54" s="75"/>
      <c r="J54" s="71" t="s">
        <v>607</v>
      </c>
    </row>
    <row r="55" spans="1:10" ht="31.5" outlineLevel="1">
      <c r="A55" s="244" t="s">
        <v>625</v>
      </c>
      <c r="B55" s="239" t="s">
        <v>626</v>
      </c>
      <c r="C55" s="245">
        <v>64</v>
      </c>
      <c r="D55" s="245" t="s">
        <v>362</v>
      </c>
      <c r="E55" s="329">
        <v>50700000</v>
      </c>
      <c r="F55" s="75"/>
      <c r="G55" s="70"/>
      <c r="H55" s="70">
        <f t="shared" si="2"/>
        <v>3244800000</v>
      </c>
      <c r="I55" s="75"/>
      <c r="J55" s="71" t="s">
        <v>607</v>
      </c>
    </row>
    <row r="56" spans="1:10" ht="15.75" outlineLevel="1">
      <c r="A56" s="244" t="s">
        <v>627</v>
      </c>
      <c r="B56" s="239" t="s">
        <v>628</v>
      </c>
      <c r="C56" s="245">
        <v>64</v>
      </c>
      <c r="D56" s="245" t="s">
        <v>362</v>
      </c>
      <c r="E56" s="329">
        <v>273000</v>
      </c>
      <c r="F56" s="75"/>
      <c r="G56" s="70"/>
      <c r="H56" s="70">
        <f t="shared" si="2"/>
        <v>17472000</v>
      </c>
      <c r="I56" s="75"/>
      <c r="J56" s="71" t="s">
        <v>607</v>
      </c>
    </row>
    <row r="57" spans="1:10" ht="31.5" outlineLevel="1">
      <c r="A57" s="244" t="s">
        <v>629</v>
      </c>
      <c r="B57" s="239" t="s">
        <v>630</v>
      </c>
      <c r="C57" s="245">
        <v>24</v>
      </c>
      <c r="D57" s="245" t="s">
        <v>362</v>
      </c>
      <c r="E57" s="329">
        <v>1105000</v>
      </c>
      <c r="F57" s="75"/>
      <c r="G57" s="70"/>
      <c r="H57" s="70">
        <f t="shared" si="2"/>
        <v>26520000</v>
      </c>
      <c r="I57" s="75"/>
      <c r="J57" s="71" t="s">
        <v>607</v>
      </c>
    </row>
    <row r="58" spans="1:10" ht="21.75" customHeight="1" outlineLevel="1">
      <c r="A58" s="244" t="s">
        <v>631</v>
      </c>
      <c r="B58" s="239" t="s">
        <v>632</v>
      </c>
      <c r="C58" s="245">
        <v>46</v>
      </c>
      <c r="D58" s="245" t="s">
        <v>362</v>
      </c>
      <c r="E58" s="329">
        <v>585000</v>
      </c>
      <c r="F58" s="75"/>
      <c r="G58" s="70"/>
      <c r="H58" s="70">
        <f t="shared" si="2"/>
        <v>26910000</v>
      </c>
      <c r="I58" s="75"/>
      <c r="J58" s="71" t="s">
        <v>607</v>
      </c>
    </row>
    <row r="59" spans="1:10" ht="21.75" customHeight="1" outlineLevel="1">
      <c r="A59" s="244" t="s">
        <v>633</v>
      </c>
      <c r="B59" s="239" t="s">
        <v>634</v>
      </c>
      <c r="C59" s="245">
        <v>74</v>
      </c>
      <c r="D59" s="245" t="s">
        <v>362</v>
      </c>
      <c r="E59" s="329">
        <v>455000</v>
      </c>
      <c r="F59" s="75"/>
      <c r="G59" s="70"/>
      <c r="H59" s="70">
        <f t="shared" si="2"/>
        <v>33670000</v>
      </c>
      <c r="I59" s="75"/>
      <c r="J59" s="71" t="s">
        <v>607</v>
      </c>
    </row>
    <row r="60" spans="1:10" ht="31.5" outlineLevel="1">
      <c r="A60" s="244" t="s">
        <v>635</v>
      </c>
      <c r="B60" s="239" t="s">
        <v>636</v>
      </c>
      <c r="C60" s="245">
        <v>121</v>
      </c>
      <c r="D60" s="245" t="s">
        <v>362</v>
      </c>
      <c r="E60" s="329">
        <v>234000</v>
      </c>
      <c r="F60" s="75"/>
      <c r="G60" s="70"/>
      <c r="H60" s="70">
        <f t="shared" si="2"/>
        <v>28314000</v>
      </c>
      <c r="I60" s="75"/>
      <c r="J60" s="71" t="s">
        <v>607</v>
      </c>
    </row>
    <row r="61" spans="1:10" ht="31.5" outlineLevel="1">
      <c r="A61" s="244" t="s">
        <v>637</v>
      </c>
      <c r="B61" s="246" t="s">
        <v>638</v>
      </c>
      <c r="C61" s="245">
        <v>49</v>
      </c>
      <c r="D61" s="245" t="s">
        <v>362</v>
      </c>
      <c r="E61" s="329">
        <v>432000</v>
      </c>
      <c r="F61" s="75"/>
      <c r="G61" s="70"/>
      <c r="H61" s="70">
        <f t="shared" si="2"/>
        <v>21168000</v>
      </c>
      <c r="I61" s="75"/>
      <c r="J61" s="71" t="s">
        <v>607</v>
      </c>
    </row>
    <row r="62" spans="1:10" ht="15.75" outlineLevel="1">
      <c r="A62" s="244" t="s">
        <v>639</v>
      </c>
      <c r="B62" s="239" t="s">
        <v>640</v>
      </c>
      <c r="C62" s="245">
        <v>147</v>
      </c>
      <c r="D62" s="245" t="s">
        <v>362</v>
      </c>
      <c r="E62" s="329">
        <v>25200</v>
      </c>
      <c r="F62" s="75"/>
      <c r="G62" s="70"/>
      <c r="H62" s="70">
        <f t="shared" si="2"/>
        <v>3704400</v>
      </c>
      <c r="I62" s="75"/>
      <c r="J62" s="71" t="s">
        <v>607</v>
      </c>
    </row>
    <row r="63" spans="1:10" ht="23.25" customHeight="1" outlineLevel="1">
      <c r="A63" s="244" t="s">
        <v>641</v>
      </c>
      <c r="B63" s="239" t="s">
        <v>642</v>
      </c>
      <c r="C63" s="245">
        <v>1</v>
      </c>
      <c r="D63" s="245" t="s">
        <v>362</v>
      </c>
      <c r="E63" s="1485">
        <v>84500000</v>
      </c>
      <c r="F63" s="75"/>
      <c r="G63" s="70"/>
      <c r="H63" s="70" t="s">
        <v>643</v>
      </c>
      <c r="I63" s="75"/>
      <c r="J63" s="71" t="s">
        <v>607</v>
      </c>
    </row>
    <row r="64" spans="1:10" ht="46.5" customHeight="1">
      <c r="A64" s="235">
        <v>6</v>
      </c>
      <c r="B64" s="238" t="s">
        <v>644</v>
      </c>
      <c r="C64" s="247"/>
      <c r="D64" s="247"/>
      <c r="E64" s="247"/>
      <c r="F64" s="247"/>
      <c r="G64" s="247"/>
      <c r="H64" s="247"/>
      <c r="I64" s="247"/>
      <c r="J64" s="248"/>
    </row>
    <row r="65" spans="1:10" ht="39" outlineLevel="1">
      <c r="A65" s="244" t="s">
        <v>645</v>
      </c>
      <c r="B65" s="249" t="s">
        <v>646</v>
      </c>
      <c r="C65" s="245"/>
      <c r="D65" s="245"/>
      <c r="E65" s="232"/>
      <c r="F65" s="70"/>
      <c r="G65" s="70"/>
      <c r="H65" s="70"/>
      <c r="I65" s="70"/>
      <c r="J65" s="71"/>
    </row>
    <row r="66" spans="1:10" outlineLevel="2">
      <c r="A66" s="244" t="s">
        <v>647</v>
      </c>
      <c r="B66" s="250" t="s">
        <v>648</v>
      </c>
      <c r="C66" s="251">
        <v>8200</v>
      </c>
      <c r="D66" s="250" t="s">
        <v>404</v>
      </c>
      <c r="E66" s="1486">
        <v>2148800</v>
      </c>
      <c r="F66" s="75"/>
      <c r="G66" s="70"/>
      <c r="H66" s="70">
        <f t="shared" ref="H66:H81" si="3">E66*C66</f>
        <v>17620160000</v>
      </c>
      <c r="I66" s="75"/>
      <c r="J66" s="71">
        <v>5108409038.2703762</v>
      </c>
    </row>
    <row r="67" spans="1:10" outlineLevel="2">
      <c r="A67" s="244" t="s">
        <v>649</v>
      </c>
      <c r="B67" s="250" t="s">
        <v>650</v>
      </c>
      <c r="C67" s="251">
        <v>2100</v>
      </c>
      <c r="D67" s="250" t="s">
        <v>404</v>
      </c>
      <c r="E67" s="1486">
        <v>3091700</v>
      </c>
      <c r="F67" s="75"/>
      <c r="G67" s="70"/>
      <c r="H67" s="70">
        <f t="shared" si="3"/>
        <v>6492570000</v>
      </c>
      <c r="I67" s="75"/>
      <c r="J67" s="71" t="s">
        <v>651</v>
      </c>
    </row>
    <row r="68" spans="1:10" outlineLevel="2">
      <c r="A68" s="244" t="s">
        <v>652</v>
      </c>
      <c r="B68" s="250" t="s">
        <v>653</v>
      </c>
      <c r="C68" s="251">
        <v>4100</v>
      </c>
      <c r="D68" s="250" t="s">
        <v>404</v>
      </c>
      <c r="E68" s="1486">
        <v>4051700</v>
      </c>
      <c r="F68" s="75"/>
      <c r="G68" s="70"/>
      <c r="H68" s="70">
        <f t="shared" si="3"/>
        <v>16611970000</v>
      </c>
      <c r="I68" s="75"/>
      <c r="J68" s="71" t="s">
        <v>651</v>
      </c>
    </row>
    <row r="69" spans="1:10" outlineLevel="2">
      <c r="A69" s="244" t="s">
        <v>654</v>
      </c>
      <c r="B69" s="250" t="s">
        <v>655</v>
      </c>
      <c r="C69" s="251">
        <v>550</v>
      </c>
      <c r="D69" s="250" t="s">
        <v>404</v>
      </c>
      <c r="E69" s="1486">
        <v>5876100</v>
      </c>
      <c r="F69" s="75"/>
      <c r="G69" s="70"/>
      <c r="H69" s="70">
        <f t="shared" si="3"/>
        <v>3231855000</v>
      </c>
      <c r="I69" s="75"/>
      <c r="J69" s="71" t="s">
        <v>651</v>
      </c>
    </row>
    <row r="70" spans="1:10" outlineLevel="2">
      <c r="A70" s="244" t="s">
        <v>656</v>
      </c>
      <c r="B70" s="250" t="s">
        <v>657</v>
      </c>
      <c r="C70" s="251">
        <v>250</v>
      </c>
      <c r="D70" s="252" t="s">
        <v>404</v>
      </c>
      <c r="E70" s="1486">
        <v>16995700</v>
      </c>
      <c r="F70" s="75"/>
      <c r="G70" s="70"/>
      <c r="H70" s="70">
        <f t="shared" si="3"/>
        <v>4248925000</v>
      </c>
      <c r="I70" s="75"/>
      <c r="J70" s="71" t="s">
        <v>651</v>
      </c>
    </row>
    <row r="71" spans="1:10" outlineLevel="2">
      <c r="A71" s="244" t="s">
        <v>658</v>
      </c>
      <c r="B71" s="250" t="s">
        <v>659</v>
      </c>
      <c r="C71" s="251">
        <v>750</v>
      </c>
      <c r="D71" s="250" t="s">
        <v>404</v>
      </c>
      <c r="E71" s="1486">
        <v>46158700</v>
      </c>
      <c r="F71" s="75"/>
      <c r="G71" s="70"/>
      <c r="H71" s="70">
        <f t="shared" si="3"/>
        <v>34619025000</v>
      </c>
      <c r="I71" s="75"/>
      <c r="J71" s="71" t="s">
        <v>651</v>
      </c>
    </row>
    <row r="72" spans="1:10" outlineLevel="2">
      <c r="A72" s="244" t="s">
        <v>660</v>
      </c>
      <c r="B72" s="250" t="s">
        <v>661</v>
      </c>
      <c r="C72" s="251">
        <v>1100</v>
      </c>
      <c r="D72" s="252" t="s">
        <v>404</v>
      </c>
      <c r="E72" s="1486">
        <v>2309300</v>
      </c>
      <c r="F72" s="75"/>
      <c r="G72" s="70"/>
      <c r="H72" s="70">
        <f t="shared" si="3"/>
        <v>2540230000</v>
      </c>
      <c r="I72" s="75"/>
      <c r="J72" s="71" t="s">
        <v>651</v>
      </c>
    </row>
    <row r="73" spans="1:10" outlineLevel="2">
      <c r="A73" s="244" t="s">
        <v>662</v>
      </c>
      <c r="B73" s="250" t="s">
        <v>663</v>
      </c>
      <c r="C73" s="251">
        <v>4100</v>
      </c>
      <c r="D73" s="252" t="s">
        <v>404</v>
      </c>
      <c r="E73" s="1486">
        <v>2796200</v>
      </c>
      <c r="F73" s="75"/>
      <c r="G73" s="70"/>
      <c r="H73" s="70">
        <f t="shared" si="3"/>
        <v>11464420000</v>
      </c>
      <c r="I73" s="75"/>
      <c r="J73" s="71" t="s">
        <v>651</v>
      </c>
    </row>
    <row r="74" spans="1:10" outlineLevel="2">
      <c r="A74" s="244" t="s">
        <v>664</v>
      </c>
      <c r="B74" s="250" t="s">
        <v>665</v>
      </c>
      <c r="C74" s="251">
        <v>1500</v>
      </c>
      <c r="D74" s="252" t="s">
        <v>404</v>
      </c>
      <c r="E74" s="1486">
        <v>3715900</v>
      </c>
      <c r="F74" s="75"/>
      <c r="G74" s="70"/>
      <c r="H74" s="70">
        <f t="shared" si="3"/>
        <v>5573850000</v>
      </c>
      <c r="I74" s="75"/>
      <c r="J74" s="71" t="s">
        <v>651</v>
      </c>
    </row>
    <row r="75" spans="1:10" s="253" customFormat="1" outlineLevel="2">
      <c r="A75" s="244" t="s">
        <v>666</v>
      </c>
      <c r="B75" s="250" t="s">
        <v>667</v>
      </c>
      <c r="C75" s="251">
        <v>300</v>
      </c>
      <c r="D75" s="252" t="s">
        <v>404</v>
      </c>
      <c r="E75" s="1486">
        <v>4986700</v>
      </c>
      <c r="F75" s="75"/>
      <c r="G75" s="70"/>
      <c r="H75" s="70">
        <f t="shared" si="3"/>
        <v>1496010000</v>
      </c>
      <c r="I75" s="75"/>
      <c r="J75" s="71" t="s">
        <v>651</v>
      </c>
    </row>
    <row r="76" spans="1:10" s="253" customFormat="1" outlineLevel="2">
      <c r="A76" s="244" t="s">
        <v>668</v>
      </c>
      <c r="B76" s="250" t="s">
        <v>669</v>
      </c>
      <c r="C76" s="251">
        <v>280</v>
      </c>
      <c r="D76" s="252" t="s">
        <v>404</v>
      </c>
      <c r="E76" s="1486">
        <v>19778400</v>
      </c>
      <c r="F76" s="75"/>
      <c r="G76" s="70"/>
      <c r="H76" s="70">
        <f t="shared" si="3"/>
        <v>5537952000</v>
      </c>
      <c r="I76" s="75"/>
      <c r="J76" s="71" t="s">
        <v>651</v>
      </c>
    </row>
    <row r="77" spans="1:10" s="253" customFormat="1" outlineLevel="2">
      <c r="A77" s="244" t="s">
        <v>670</v>
      </c>
      <c r="B77" s="250" t="s">
        <v>671</v>
      </c>
      <c r="C77" s="251">
        <v>3900</v>
      </c>
      <c r="D77" s="252" t="s">
        <v>404</v>
      </c>
      <c r="E77" s="1486">
        <v>12690900</v>
      </c>
      <c r="F77" s="75"/>
      <c r="G77" s="70"/>
      <c r="H77" s="70">
        <f t="shared" si="3"/>
        <v>49494510000</v>
      </c>
      <c r="I77" s="75"/>
      <c r="J77" s="71" t="s">
        <v>651</v>
      </c>
    </row>
    <row r="78" spans="1:10" outlineLevel="2">
      <c r="A78" s="244" t="s">
        <v>672</v>
      </c>
      <c r="B78" s="250" t="s">
        <v>673</v>
      </c>
      <c r="C78" s="251">
        <v>750</v>
      </c>
      <c r="D78" s="252" t="s">
        <v>404</v>
      </c>
      <c r="E78" s="1486">
        <v>9358000</v>
      </c>
      <c r="F78" s="75"/>
      <c r="G78" s="70"/>
      <c r="H78" s="70">
        <f t="shared" si="3"/>
        <v>7018500000</v>
      </c>
      <c r="I78" s="75"/>
      <c r="J78" s="71" t="s">
        <v>651</v>
      </c>
    </row>
    <row r="79" spans="1:10" outlineLevel="2">
      <c r="A79" s="244" t="s">
        <v>674</v>
      </c>
      <c r="B79" s="250" t="s">
        <v>675</v>
      </c>
      <c r="C79" s="251">
        <v>200</v>
      </c>
      <c r="D79" s="252" t="s">
        <v>404</v>
      </c>
      <c r="E79" s="1486">
        <v>25095700</v>
      </c>
      <c r="F79" s="75"/>
      <c r="G79" s="70"/>
      <c r="H79" s="70">
        <f t="shared" si="3"/>
        <v>5019140000</v>
      </c>
      <c r="I79" s="75"/>
      <c r="J79" s="71" t="s">
        <v>651</v>
      </c>
    </row>
    <row r="80" spans="1:10" outlineLevel="2">
      <c r="A80" s="244" t="s">
        <v>676</v>
      </c>
      <c r="B80" s="250" t="s">
        <v>677</v>
      </c>
      <c r="C80" s="251">
        <v>300</v>
      </c>
      <c r="D80" s="252" t="s">
        <v>404</v>
      </c>
      <c r="E80" s="1486">
        <v>7424100</v>
      </c>
      <c r="F80" s="75"/>
      <c r="G80" s="70"/>
      <c r="H80" s="70">
        <f t="shared" si="3"/>
        <v>2227230000</v>
      </c>
      <c r="I80" s="75"/>
      <c r="J80" s="71" t="s">
        <v>651</v>
      </c>
    </row>
    <row r="81" spans="1:10" outlineLevel="2">
      <c r="A81" s="244" t="s">
        <v>678</v>
      </c>
      <c r="B81" s="250" t="s">
        <v>679</v>
      </c>
      <c r="C81" s="251">
        <v>1000</v>
      </c>
      <c r="D81" s="252" t="s">
        <v>404</v>
      </c>
      <c r="E81" s="1486">
        <v>40044000</v>
      </c>
      <c r="F81" s="75"/>
      <c r="G81" s="70"/>
      <c r="H81" s="70">
        <f t="shared" si="3"/>
        <v>40044000000</v>
      </c>
      <c r="I81" s="75"/>
      <c r="J81" s="71" t="s">
        <v>651</v>
      </c>
    </row>
    <row r="82" spans="1:10" ht="26.25" outlineLevel="1">
      <c r="A82" s="244" t="s">
        <v>680</v>
      </c>
      <c r="B82" s="249" t="s">
        <v>681</v>
      </c>
      <c r="C82" s="245"/>
      <c r="D82" s="245"/>
      <c r="E82" s="232"/>
      <c r="F82" s="75"/>
      <c r="G82" s="70"/>
      <c r="H82" s="70"/>
      <c r="I82" s="75"/>
      <c r="J82" s="71"/>
    </row>
    <row r="83" spans="1:10" outlineLevel="2">
      <c r="A83" s="244" t="s">
        <v>682</v>
      </c>
      <c r="B83" s="250" t="s">
        <v>683</v>
      </c>
      <c r="C83" s="251">
        <v>2000</v>
      </c>
      <c r="D83" s="250" t="s">
        <v>404</v>
      </c>
      <c r="E83" s="1486">
        <v>13768500</v>
      </c>
      <c r="F83" s="75"/>
      <c r="G83" s="70"/>
      <c r="H83" s="70">
        <f t="shared" ref="H83:H96" si="4">E83*C83</f>
        <v>27537000000</v>
      </c>
      <c r="I83" s="75"/>
      <c r="J83" s="71" t="s">
        <v>651</v>
      </c>
    </row>
    <row r="84" spans="1:10" outlineLevel="2">
      <c r="A84" s="244" t="s">
        <v>684</v>
      </c>
      <c r="B84" s="250" t="s">
        <v>648</v>
      </c>
      <c r="C84" s="251">
        <v>150</v>
      </c>
      <c r="D84" s="250" t="s">
        <v>404</v>
      </c>
      <c r="E84" s="1486">
        <v>877400</v>
      </c>
      <c r="F84" s="75"/>
      <c r="G84" s="70"/>
      <c r="H84" s="70">
        <f t="shared" si="4"/>
        <v>131610000</v>
      </c>
      <c r="I84" s="75"/>
      <c r="J84" s="71" t="s">
        <v>651</v>
      </c>
    </row>
    <row r="85" spans="1:10" outlineLevel="2">
      <c r="A85" s="244" t="s">
        <v>685</v>
      </c>
      <c r="B85" s="250" t="s">
        <v>686</v>
      </c>
      <c r="C85" s="251">
        <v>250</v>
      </c>
      <c r="D85" s="250" t="s">
        <v>404</v>
      </c>
      <c r="E85" s="1486">
        <v>1171900</v>
      </c>
      <c r="F85" s="75"/>
      <c r="G85" s="70"/>
      <c r="H85" s="70">
        <f t="shared" si="4"/>
        <v>292975000</v>
      </c>
      <c r="I85" s="75"/>
      <c r="J85" s="71" t="s">
        <v>651</v>
      </c>
    </row>
    <row r="86" spans="1:10" outlineLevel="2">
      <c r="A86" s="244" t="s">
        <v>687</v>
      </c>
      <c r="B86" s="250" t="s">
        <v>653</v>
      </c>
      <c r="C86" s="251">
        <v>300</v>
      </c>
      <c r="D86" s="250" t="s">
        <v>404</v>
      </c>
      <c r="E86" s="1486">
        <v>2605900</v>
      </c>
      <c r="F86" s="75"/>
      <c r="G86" s="70"/>
      <c r="H86" s="70">
        <f t="shared" si="4"/>
        <v>781770000</v>
      </c>
      <c r="I86" s="75"/>
      <c r="J86" s="71" t="s">
        <v>651</v>
      </c>
    </row>
    <row r="87" spans="1:10" outlineLevel="2">
      <c r="A87" s="244" t="s">
        <v>688</v>
      </c>
      <c r="B87" s="250" t="s">
        <v>655</v>
      </c>
      <c r="C87" s="251">
        <v>650</v>
      </c>
      <c r="D87" s="252" t="s">
        <v>404</v>
      </c>
      <c r="E87" s="1486">
        <v>3864100</v>
      </c>
      <c r="F87" s="75"/>
      <c r="G87" s="70"/>
      <c r="H87" s="70">
        <f t="shared" si="4"/>
        <v>2511665000</v>
      </c>
      <c r="I87" s="75"/>
      <c r="J87" s="71" t="s">
        <v>651</v>
      </c>
    </row>
    <row r="88" spans="1:10" outlineLevel="2">
      <c r="A88" s="244" t="s">
        <v>689</v>
      </c>
      <c r="B88" s="250" t="s">
        <v>690</v>
      </c>
      <c r="C88" s="251">
        <v>500</v>
      </c>
      <c r="D88" s="252" t="s">
        <v>404</v>
      </c>
      <c r="E88" s="1486">
        <v>4571500</v>
      </c>
      <c r="F88" s="75"/>
      <c r="G88" s="70"/>
      <c r="H88" s="70">
        <f t="shared" si="4"/>
        <v>2285750000</v>
      </c>
      <c r="I88" s="75"/>
      <c r="J88" s="71" t="s">
        <v>651</v>
      </c>
    </row>
    <row r="89" spans="1:10" outlineLevel="2">
      <c r="A89" s="244" t="s">
        <v>691</v>
      </c>
      <c r="B89" s="250" t="s">
        <v>692</v>
      </c>
      <c r="C89" s="251">
        <v>100</v>
      </c>
      <c r="D89" s="252" t="s">
        <v>404</v>
      </c>
      <c r="E89" s="1486">
        <v>23917300</v>
      </c>
      <c r="F89" s="75"/>
      <c r="G89" s="70"/>
      <c r="H89" s="70">
        <f t="shared" si="4"/>
        <v>2391730000</v>
      </c>
      <c r="I89" s="75"/>
      <c r="J89" s="71" t="s">
        <v>651</v>
      </c>
    </row>
    <row r="90" spans="1:10" outlineLevel="2">
      <c r="A90" s="244" t="s">
        <v>693</v>
      </c>
      <c r="B90" s="250" t="s">
        <v>661</v>
      </c>
      <c r="C90" s="251">
        <v>500</v>
      </c>
      <c r="D90" s="252" t="s">
        <v>404</v>
      </c>
      <c r="E90" s="1486">
        <v>1061400</v>
      </c>
      <c r="F90" s="75"/>
      <c r="G90" s="70"/>
      <c r="H90" s="70">
        <f t="shared" si="4"/>
        <v>530700000</v>
      </c>
      <c r="I90" s="75"/>
      <c r="J90" s="71" t="s">
        <v>651</v>
      </c>
    </row>
    <row r="91" spans="1:10" s="253" customFormat="1" outlineLevel="2">
      <c r="A91" s="244" t="s">
        <v>694</v>
      </c>
      <c r="B91" s="250" t="s">
        <v>667</v>
      </c>
      <c r="C91" s="251">
        <v>600</v>
      </c>
      <c r="D91" s="252" t="s">
        <v>404</v>
      </c>
      <c r="E91" s="1486">
        <v>3292200</v>
      </c>
      <c r="F91" s="75"/>
      <c r="G91" s="70"/>
      <c r="H91" s="70">
        <f t="shared" si="4"/>
        <v>1975320000</v>
      </c>
      <c r="I91" s="75"/>
      <c r="J91" s="71" t="s">
        <v>651</v>
      </c>
    </row>
    <row r="92" spans="1:10" s="253" customFormat="1" outlineLevel="2">
      <c r="A92" s="244" t="s">
        <v>695</v>
      </c>
      <c r="B92" s="250" t="s">
        <v>665</v>
      </c>
      <c r="C92" s="251">
        <v>150</v>
      </c>
      <c r="D92" s="252" t="s">
        <v>404</v>
      </c>
      <c r="E92" s="1486">
        <v>2302600</v>
      </c>
      <c r="F92" s="75"/>
      <c r="G92" s="70"/>
      <c r="H92" s="70">
        <f t="shared" si="4"/>
        <v>345390000</v>
      </c>
      <c r="I92" s="75"/>
      <c r="J92" s="71" t="s">
        <v>651</v>
      </c>
    </row>
    <row r="93" spans="1:10" s="253" customFormat="1" outlineLevel="2">
      <c r="A93" s="244" t="s">
        <v>696</v>
      </c>
      <c r="B93" s="250" t="s">
        <v>669</v>
      </c>
      <c r="C93" s="251">
        <v>500</v>
      </c>
      <c r="D93" s="252" t="s">
        <v>404</v>
      </c>
      <c r="E93" s="1486">
        <v>15674200</v>
      </c>
      <c r="F93" s="75"/>
      <c r="G93" s="70"/>
      <c r="H93" s="70">
        <f t="shared" si="4"/>
        <v>7837100000</v>
      </c>
      <c r="I93" s="75"/>
      <c r="J93" s="71" t="s">
        <v>651</v>
      </c>
    </row>
    <row r="94" spans="1:10" s="253" customFormat="1" outlineLevel="2">
      <c r="A94" s="244" t="s">
        <v>697</v>
      </c>
      <c r="B94" s="250" t="s">
        <v>698</v>
      </c>
      <c r="C94" s="251">
        <v>100</v>
      </c>
      <c r="D94" s="252" t="s">
        <v>404</v>
      </c>
      <c r="E94" s="1486">
        <v>8183600</v>
      </c>
      <c r="F94" s="75"/>
      <c r="G94" s="70"/>
      <c r="H94" s="70">
        <f t="shared" si="4"/>
        <v>818360000</v>
      </c>
      <c r="I94" s="75"/>
      <c r="J94" s="71" t="s">
        <v>651</v>
      </c>
    </row>
    <row r="95" spans="1:10" outlineLevel="2">
      <c r="A95" s="244" t="s">
        <v>699</v>
      </c>
      <c r="B95" s="250" t="s">
        <v>673</v>
      </c>
      <c r="C95" s="251">
        <v>1100</v>
      </c>
      <c r="D95" s="252" t="s">
        <v>404</v>
      </c>
      <c r="E95" s="1486">
        <v>6919800</v>
      </c>
      <c r="F95" s="75"/>
      <c r="G95" s="70"/>
      <c r="H95" s="70">
        <f t="shared" si="4"/>
        <v>7611780000</v>
      </c>
      <c r="I95" s="75"/>
      <c r="J95" s="71" t="s">
        <v>651</v>
      </c>
    </row>
    <row r="96" spans="1:10" s="253" customFormat="1" outlineLevel="2">
      <c r="A96" s="244" t="s">
        <v>700</v>
      </c>
      <c r="B96" s="250" t="s">
        <v>663</v>
      </c>
      <c r="C96" s="251">
        <v>200</v>
      </c>
      <c r="D96" s="252" t="s">
        <v>404</v>
      </c>
      <c r="E96" s="1486">
        <v>1435700</v>
      </c>
      <c r="F96" s="75"/>
      <c r="G96" s="70"/>
      <c r="H96" s="70">
        <f t="shared" si="4"/>
        <v>287140000</v>
      </c>
      <c r="I96" s="75"/>
      <c r="J96" s="71" t="s">
        <v>701</v>
      </c>
    </row>
    <row r="97" spans="1:13" s="253" customFormat="1" ht="38.25" outlineLevel="1">
      <c r="A97" s="244" t="s">
        <v>702</v>
      </c>
      <c r="B97" s="254" t="s">
        <v>703</v>
      </c>
      <c r="C97" s="255"/>
      <c r="D97" s="255"/>
      <c r="E97" s="232"/>
      <c r="F97" s="75"/>
      <c r="G97" s="70"/>
      <c r="H97" s="70"/>
      <c r="I97" s="75"/>
      <c r="J97" s="71"/>
    </row>
    <row r="98" spans="1:13" s="253" customFormat="1" outlineLevel="2">
      <c r="A98" s="244" t="s">
        <v>704</v>
      </c>
      <c r="B98" s="250" t="s">
        <v>673</v>
      </c>
      <c r="C98" s="251">
        <v>600</v>
      </c>
      <c r="D98" s="250" t="s">
        <v>404</v>
      </c>
      <c r="E98" s="1486">
        <v>9770700</v>
      </c>
      <c r="F98" s="75"/>
      <c r="G98" s="70"/>
      <c r="H98" s="70">
        <f>C98*E98</f>
        <v>5862420000</v>
      </c>
      <c r="I98" s="75"/>
      <c r="J98" s="71" t="s">
        <v>651</v>
      </c>
    </row>
    <row r="99" spans="1:13" s="253" customFormat="1" outlineLevel="2">
      <c r="A99" s="244" t="s">
        <v>705</v>
      </c>
      <c r="B99" s="250" t="s">
        <v>671</v>
      </c>
      <c r="C99" s="251">
        <v>1800</v>
      </c>
      <c r="D99" s="250" t="s">
        <v>404</v>
      </c>
      <c r="E99" s="1486">
        <v>12871400</v>
      </c>
      <c r="F99" s="75"/>
      <c r="G99" s="70"/>
      <c r="H99" s="70">
        <f>C99*E99</f>
        <v>23168520000</v>
      </c>
      <c r="I99" s="75"/>
      <c r="J99" s="71" t="s">
        <v>651</v>
      </c>
    </row>
    <row r="100" spans="1:13" s="253" customFormat="1" outlineLevel="2">
      <c r="A100" s="244" t="s">
        <v>706</v>
      </c>
      <c r="B100" s="250" t="s">
        <v>657</v>
      </c>
      <c r="C100" s="251">
        <v>400</v>
      </c>
      <c r="D100" s="250" t="s">
        <v>404</v>
      </c>
      <c r="E100" s="1486">
        <v>16488900</v>
      </c>
      <c r="F100" s="75"/>
      <c r="G100" s="70"/>
      <c r="H100" s="70">
        <f>C100*E100</f>
        <v>6595560000</v>
      </c>
      <c r="I100" s="75"/>
      <c r="J100" s="71" t="s">
        <v>651</v>
      </c>
    </row>
    <row r="101" spans="1:13" s="253" customFormat="1" outlineLevel="2">
      <c r="A101" s="244" t="s">
        <v>707</v>
      </c>
      <c r="B101" s="250" t="s">
        <v>679</v>
      </c>
      <c r="C101" s="251">
        <v>3800</v>
      </c>
      <c r="D101" s="250" t="s">
        <v>404</v>
      </c>
      <c r="E101" s="1486">
        <v>36963500</v>
      </c>
      <c r="F101" s="75"/>
      <c r="G101" s="70"/>
      <c r="H101" s="70">
        <f>E101*C101</f>
        <v>140461300000</v>
      </c>
      <c r="I101" s="75"/>
      <c r="J101" s="71" t="s">
        <v>651</v>
      </c>
    </row>
    <row r="102" spans="1:13" s="253" customFormat="1" outlineLevel="2">
      <c r="A102" s="244" t="s">
        <v>708</v>
      </c>
      <c r="B102" s="250" t="s">
        <v>659</v>
      </c>
      <c r="C102" s="251">
        <v>1000</v>
      </c>
      <c r="D102" s="250" t="s">
        <v>404</v>
      </c>
      <c r="E102" s="1486">
        <v>46158700</v>
      </c>
      <c r="F102" s="75"/>
      <c r="G102" s="70"/>
      <c r="H102" s="70">
        <f>E102*C102</f>
        <v>46158700000</v>
      </c>
      <c r="I102" s="75"/>
      <c r="J102" s="71" t="s">
        <v>651</v>
      </c>
    </row>
    <row r="103" spans="1:13" s="253" customFormat="1" ht="25.5" outlineLevel="1">
      <c r="A103" s="244" t="s">
        <v>709</v>
      </c>
      <c r="B103" s="254" t="s">
        <v>710</v>
      </c>
      <c r="C103" s="255"/>
      <c r="D103" s="255"/>
      <c r="E103" s="232"/>
      <c r="F103" s="75"/>
      <c r="G103" s="70"/>
      <c r="H103" s="70"/>
      <c r="I103" s="75"/>
      <c r="J103" s="71"/>
    </row>
    <row r="104" spans="1:13" ht="21.75" customHeight="1" outlineLevel="2">
      <c r="A104" s="256" t="s">
        <v>705</v>
      </c>
      <c r="B104" s="250" t="s">
        <v>711</v>
      </c>
      <c r="C104" s="251">
        <v>14500</v>
      </c>
      <c r="D104" s="250" t="s">
        <v>404</v>
      </c>
      <c r="E104" s="1486">
        <v>6775600</v>
      </c>
      <c r="F104" s="75"/>
      <c r="G104" s="70"/>
      <c r="H104" s="70">
        <f>E104*C104</f>
        <v>98246200000</v>
      </c>
      <c r="I104" s="75"/>
      <c r="J104" s="71" t="s">
        <v>651</v>
      </c>
    </row>
    <row r="105" spans="1:13" outlineLevel="2">
      <c r="A105" s="256" t="s">
        <v>706</v>
      </c>
      <c r="B105" s="250" t="s">
        <v>712</v>
      </c>
      <c r="C105" s="251">
        <v>17000</v>
      </c>
      <c r="D105" s="250" t="s">
        <v>404</v>
      </c>
      <c r="E105" s="1486">
        <v>2268204</v>
      </c>
      <c r="F105" s="75"/>
      <c r="G105" s="70"/>
      <c r="H105" s="70">
        <f>E105*C105</f>
        <v>38559468000</v>
      </c>
      <c r="I105" s="75"/>
      <c r="J105" s="71" t="s">
        <v>651</v>
      </c>
    </row>
    <row r="106" spans="1:13" ht="15.75">
      <c r="A106" s="235">
        <v>7</v>
      </c>
      <c r="B106" s="226" t="s">
        <v>713</v>
      </c>
      <c r="C106" s="257"/>
      <c r="D106" s="257"/>
      <c r="E106" s="247"/>
      <c r="F106" s="247"/>
      <c r="G106" s="247"/>
      <c r="H106" s="247"/>
      <c r="I106" s="247"/>
      <c r="J106" s="248"/>
    </row>
    <row r="107" spans="1:13" ht="63" outlineLevel="1">
      <c r="A107" s="244">
        <v>7.1</v>
      </c>
      <c r="B107" s="239" t="s">
        <v>714</v>
      </c>
      <c r="C107" s="245">
        <v>31</v>
      </c>
      <c r="D107" s="245" t="s">
        <v>117</v>
      </c>
      <c r="E107" s="329">
        <v>156000000</v>
      </c>
      <c r="F107" s="75"/>
      <c r="G107" s="70"/>
      <c r="H107" s="70">
        <f>E107*C107*1.05</f>
        <v>5077800000</v>
      </c>
      <c r="I107" s="75"/>
      <c r="J107" s="71">
        <v>2322004238.3369465</v>
      </c>
      <c r="M107" s="48"/>
    </row>
    <row r="108" spans="1:13" ht="57" outlineLevel="1">
      <c r="A108" s="244">
        <v>7.2</v>
      </c>
      <c r="B108" s="239" t="s">
        <v>715</v>
      </c>
      <c r="C108" s="245">
        <v>8</v>
      </c>
      <c r="D108" s="245" t="s">
        <v>117</v>
      </c>
      <c r="E108" s="329">
        <v>504400000</v>
      </c>
      <c r="F108" s="75"/>
      <c r="G108" s="70"/>
      <c r="H108" s="70">
        <f>E108*C108</f>
        <v>4035200000</v>
      </c>
      <c r="I108" s="75"/>
      <c r="J108" s="71" t="s">
        <v>716</v>
      </c>
      <c r="M108" s="48"/>
    </row>
    <row r="109" spans="1:13" ht="63" outlineLevel="1">
      <c r="A109" s="244">
        <v>7.3</v>
      </c>
      <c r="B109" s="239" t="s">
        <v>717</v>
      </c>
      <c r="C109" s="245">
        <v>13</v>
      </c>
      <c r="D109" s="245" t="s">
        <v>117</v>
      </c>
      <c r="E109" s="329">
        <v>156000000</v>
      </c>
      <c r="F109" s="75"/>
      <c r="G109" s="70"/>
      <c r="H109" s="70">
        <f>E109*C109</f>
        <v>2028000000</v>
      </c>
      <c r="I109" s="75"/>
      <c r="J109" s="71" t="s">
        <v>716</v>
      </c>
      <c r="M109" s="48"/>
    </row>
    <row r="110" spans="1:13" ht="57" outlineLevel="1">
      <c r="A110" s="244">
        <v>7.4</v>
      </c>
      <c r="B110" s="239" t="s">
        <v>718</v>
      </c>
      <c r="C110" s="245">
        <v>9</v>
      </c>
      <c r="D110" s="245" t="s">
        <v>117</v>
      </c>
      <c r="E110" s="329">
        <v>341120000</v>
      </c>
      <c r="F110" s="75"/>
      <c r="G110" s="70"/>
      <c r="H110" s="70">
        <f>E110*C110</f>
        <v>3070080000</v>
      </c>
      <c r="I110" s="75"/>
      <c r="J110" s="71" t="s">
        <v>716</v>
      </c>
      <c r="M110" s="48"/>
    </row>
    <row r="111" spans="1:13" ht="47.25" outlineLevel="1">
      <c r="A111" s="244">
        <v>7.5</v>
      </c>
      <c r="B111" s="239" t="s">
        <v>719</v>
      </c>
      <c r="C111" s="245">
        <v>1</v>
      </c>
      <c r="D111" s="245" t="s">
        <v>117</v>
      </c>
      <c r="E111" s="329">
        <v>156000000</v>
      </c>
      <c r="F111" s="75"/>
      <c r="G111" s="70"/>
      <c r="H111" s="70">
        <f>E111*C111</f>
        <v>156000000</v>
      </c>
      <c r="I111" s="75"/>
      <c r="J111" s="71" t="s">
        <v>716</v>
      </c>
      <c r="M111" s="48"/>
    </row>
    <row r="112" spans="1:13" ht="20.100000000000001" customHeight="1">
      <c r="A112" s="235">
        <v>8</v>
      </c>
      <c r="B112" s="258" t="s">
        <v>720</v>
      </c>
      <c r="C112" s="245"/>
      <c r="D112" s="245"/>
      <c r="E112" s="70"/>
      <c r="F112" s="75"/>
      <c r="G112" s="70"/>
      <c r="H112" s="70"/>
      <c r="I112" s="75"/>
      <c r="J112" s="71"/>
    </row>
    <row r="113" spans="1:13" ht="20.100000000000001" customHeight="1" outlineLevel="1">
      <c r="A113" s="235">
        <v>8.1</v>
      </c>
      <c r="B113" s="259" t="s">
        <v>721</v>
      </c>
      <c r="C113" s="245">
        <v>108000</v>
      </c>
      <c r="D113" s="245" t="s">
        <v>404</v>
      </c>
      <c r="E113" s="70">
        <v>599936.61721854145</v>
      </c>
      <c r="F113" s="75"/>
      <c r="G113" s="70"/>
      <c r="H113" s="70">
        <f>E113*C113</f>
        <v>64793154659.602478</v>
      </c>
      <c r="I113" s="75"/>
      <c r="J113" s="71">
        <v>13932024649.828299</v>
      </c>
      <c r="L113" s="1481"/>
    </row>
    <row r="114" spans="1:13" ht="20.100000000000001" customHeight="1" outlineLevel="1">
      <c r="A114" s="235">
        <v>8.1999999999999993</v>
      </c>
      <c r="B114" s="259" t="s">
        <v>722</v>
      </c>
      <c r="C114" s="245">
        <v>6000</v>
      </c>
      <c r="D114" s="245" t="s">
        <v>404</v>
      </c>
      <c r="E114" s="70">
        <v>539326.58225981903</v>
      </c>
      <c r="F114" s="75"/>
      <c r="G114" s="70"/>
      <c r="H114" s="70">
        <f>E114*C114</f>
        <v>3235959493.5589142</v>
      </c>
      <c r="I114" s="75"/>
      <c r="J114" s="71">
        <v>2322004108.3047166</v>
      </c>
      <c r="L114" s="1481"/>
    </row>
    <row r="115" spans="1:13" ht="20.100000000000001" customHeight="1" outlineLevel="1">
      <c r="A115" s="235">
        <v>8.3000000000000007</v>
      </c>
      <c r="B115" s="259" t="s">
        <v>723</v>
      </c>
      <c r="C115" s="245">
        <v>24000</v>
      </c>
      <c r="D115" s="245" t="s">
        <v>404</v>
      </c>
      <c r="E115" s="70">
        <v>539326.58225981903</v>
      </c>
      <c r="F115" s="75"/>
      <c r="G115" s="70"/>
      <c r="H115" s="70">
        <f>E115*C115</f>
        <v>12943837974.235657</v>
      </c>
      <c r="I115" s="75"/>
      <c r="J115" s="71"/>
      <c r="L115" s="1481"/>
    </row>
    <row r="116" spans="1:13" ht="20.25" customHeight="1" outlineLevel="1">
      <c r="A116" s="235">
        <v>8.4</v>
      </c>
      <c r="B116" s="259" t="s">
        <v>724</v>
      </c>
      <c r="C116" s="245">
        <v>80</v>
      </c>
      <c r="D116" s="245" t="s">
        <v>725</v>
      </c>
      <c r="E116" s="70">
        <v>5650088004.6266747</v>
      </c>
      <c r="F116" s="75"/>
      <c r="G116" s="70"/>
      <c r="H116" s="70">
        <f>E116*C116</f>
        <v>452007040370.13397</v>
      </c>
      <c r="I116" s="75"/>
      <c r="J116" s="71">
        <v>11610020541.523582</v>
      </c>
      <c r="L116" s="1481"/>
    </row>
    <row r="117" spans="1:13" ht="15.75">
      <c r="A117" s="260">
        <v>9</v>
      </c>
      <c r="B117" s="238" t="s">
        <v>726</v>
      </c>
      <c r="C117" s="247"/>
      <c r="D117" s="247"/>
      <c r="E117" s="247"/>
      <c r="F117" s="247"/>
      <c r="G117" s="247"/>
      <c r="H117" s="247"/>
      <c r="I117" s="247"/>
      <c r="J117" s="248"/>
    </row>
    <row r="118" spans="1:13" ht="15.75" outlineLevel="1">
      <c r="A118" s="235">
        <v>9.1</v>
      </c>
      <c r="B118" s="259" t="s">
        <v>727</v>
      </c>
      <c r="C118" s="245"/>
      <c r="D118" s="245"/>
      <c r="E118" s="70"/>
      <c r="F118" s="75"/>
      <c r="G118" s="70"/>
      <c r="H118" s="70"/>
      <c r="I118" s="75"/>
      <c r="J118" s="71"/>
    </row>
    <row r="119" spans="1:13" ht="96" outlineLevel="2">
      <c r="A119" s="235" t="s">
        <v>728</v>
      </c>
      <c r="B119" s="261" t="s">
        <v>729</v>
      </c>
      <c r="C119" s="245">
        <v>6</v>
      </c>
      <c r="D119" s="262" t="s">
        <v>117</v>
      </c>
      <c r="E119" s="329">
        <v>29640000</v>
      </c>
      <c r="F119" s="75"/>
      <c r="G119" s="70"/>
      <c r="H119" s="70">
        <f t="shared" ref="H119:H131" si="5">E119*C119</f>
        <v>177840000</v>
      </c>
      <c r="I119" s="75"/>
      <c r="J119" s="71">
        <v>696601232.4914149</v>
      </c>
      <c r="K119" s="1488"/>
      <c r="L119" s="1481"/>
      <c r="M119" s="1487"/>
    </row>
    <row r="120" spans="1:13" ht="84" outlineLevel="2">
      <c r="A120" s="235" t="s">
        <v>730</v>
      </c>
      <c r="B120" s="261" t="s">
        <v>731</v>
      </c>
      <c r="C120" s="245">
        <v>9</v>
      </c>
      <c r="D120" s="262" t="s">
        <v>117</v>
      </c>
      <c r="E120" s="329">
        <v>29640000</v>
      </c>
      <c r="F120" s="75"/>
      <c r="G120" s="70"/>
      <c r="H120" s="70">
        <f t="shared" si="5"/>
        <v>266760000</v>
      </c>
      <c r="I120" s="75"/>
      <c r="J120" s="71" t="s">
        <v>732</v>
      </c>
      <c r="L120" s="1481"/>
      <c r="M120" s="1487"/>
    </row>
    <row r="121" spans="1:13" ht="84" customHeight="1" outlineLevel="2">
      <c r="A121" s="235" t="s">
        <v>733</v>
      </c>
      <c r="B121" s="261" t="s">
        <v>734</v>
      </c>
      <c r="C121" s="245">
        <v>121</v>
      </c>
      <c r="D121" s="262" t="s">
        <v>117</v>
      </c>
      <c r="E121" s="329">
        <v>29640000</v>
      </c>
      <c r="F121" s="75"/>
      <c r="G121" s="70"/>
      <c r="H121" s="70">
        <f t="shared" si="5"/>
        <v>3586440000</v>
      </c>
      <c r="I121" s="75"/>
      <c r="J121" s="71" t="s">
        <v>732</v>
      </c>
      <c r="L121" s="1481"/>
      <c r="M121" s="1487"/>
    </row>
    <row r="122" spans="1:13" ht="84" outlineLevel="2">
      <c r="A122" s="235" t="s">
        <v>735</v>
      </c>
      <c r="B122" s="261" t="s">
        <v>736</v>
      </c>
      <c r="C122" s="245">
        <v>18</v>
      </c>
      <c r="D122" s="262" t="s">
        <v>117</v>
      </c>
      <c r="E122" s="329">
        <v>29640000</v>
      </c>
      <c r="F122" s="75"/>
      <c r="G122" s="70"/>
      <c r="H122" s="70">
        <f t="shared" si="5"/>
        <v>533520000</v>
      </c>
      <c r="I122" s="75"/>
      <c r="J122" s="71" t="s">
        <v>737</v>
      </c>
      <c r="L122" s="1481"/>
      <c r="M122" s="1487"/>
    </row>
    <row r="123" spans="1:13" ht="108" outlineLevel="2">
      <c r="A123" s="235" t="s">
        <v>738</v>
      </c>
      <c r="B123" s="261" t="s">
        <v>739</v>
      </c>
      <c r="C123" s="245">
        <v>40</v>
      </c>
      <c r="D123" s="262" t="s">
        <v>117</v>
      </c>
      <c r="E123" s="329">
        <v>220480000</v>
      </c>
      <c r="F123" s="75"/>
      <c r="G123" s="70"/>
      <c r="H123" s="70">
        <f t="shared" si="5"/>
        <v>8819200000</v>
      </c>
      <c r="I123" s="75"/>
      <c r="J123" s="71" t="s">
        <v>737</v>
      </c>
      <c r="L123" s="1481"/>
      <c r="M123" s="1487"/>
    </row>
    <row r="124" spans="1:13" ht="72" customHeight="1" outlineLevel="2">
      <c r="A124" s="235" t="s">
        <v>740</v>
      </c>
      <c r="B124" s="261" t="s">
        <v>741</v>
      </c>
      <c r="C124" s="245">
        <v>160</v>
      </c>
      <c r="D124" s="262" t="s">
        <v>117</v>
      </c>
      <c r="E124" s="329">
        <v>59280000</v>
      </c>
      <c r="F124" s="75"/>
      <c r="G124" s="70"/>
      <c r="H124" s="70">
        <f t="shared" si="5"/>
        <v>9484800000</v>
      </c>
      <c r="I124" s="75"/>
      <c r="J124" s="71" t="s">
        <v>737</v>
      </c>
      <c r="L124" s="1481"/>
      <c r="M124" s="1487"/>
    </row>
    <row r="125" spans="1:13" ht="82.5" customHeight="1" outlineLevel="2">
      <c r="A125" s="235" t="s">
        <v>742</v>
      </c>
      <c r="B125" s="261" t="s">
        <v>743</v>
      </c>
      <c r="C125" s="245">
        <v>35</v>
      </c>
      <c r="D125" s="262" t="s">
        <v>117</v>
      </c>
      <c r="E125" s="329">
        <v>81640000</v>
      </c>
      <c r="F125" s="75"/>
      <c r="G125" s="70"/>
      <c r="H125" s="70">
        <f t="shared" si="5"/>
        <v>2857400000</v>
      </c>
      <c r="I125" s="75"/>
      <c r="J125" s="71" t="s">
        <v>737</v>
      </c>
      <c r="L125" s="1481"/>
      <c r="M125" s="1487"/>
    </row>
    <row r="126" spans="1:13" ht="84" outlineLevel="2">
      <c r="A126" s="235" t="s">
        <v>744</v>
      </c>
      <c r="B126" s="261" t="s">
        <v>745</v>
      </c>
      <c r="C126" s="245">
        <v>4</v>
      </c>
      <c r="D126" s="262" t="s">
        <v>117</v>
      </c>
      <c r="E126" s="329">
        <v>74880000</v>
      </c>
      <c r="F126" s="75"/>
      <c r="G126" s="70"/>
      <c r="H126" s="70">
        <f t="shared" si="5"/>
        <v>299520000</v>
      </c>
      <c r="I126" s="75"/>
      <c r="J126" s="71" t="s">
        <v>737</v>
      </c>
      <c r="L126" s="1481"/>
      <c r="M126" s="1487"/>
    </row>
    <row r="127" spans="1:13" ht="84" outlineLevel="2">
      <c r="A127" s="235" t="s">
        <v>746</v>
      </c>
      <c r="B127" s="261" t="s">
        <v>747</v>
      </c>
      <c r="C127" s="245">
        <v>46</v>
      </c>
      <c r="D127" s="262" t="s">
        <v>117</v>
      </c>
      <c r="E127" s="329">
        <v>124800000</v>
      </c>
      <c r="F127" s="75"/>
      <c r="G127" s="70"/>
      <c r="H127" s="70">
        <f t="shared" si="5"/>
        <v>5740800000</v>
      </c>
      <c r="I127" s="75"/>
      <c r="J127" s="71" t="s">
        <v>737</v>
      </c>
      <c r="L127" s="1481"/>
      <c r="M127" s="1487"/>
    </row>
    <row r="128" spans="1:13" ht="63" customHeight="1" outlineLevel="2">
      <c r="A128" s="235" t="s">
        <v>748</v>
      </c>
      <c r="B128" s="261" t="s">
        <v>749</v>
      </c>
      <c r="C128" s="245">
        <v>72</v>
      </c>
      <c r="D128" s="262" t="s">
        <v>117</v>
      </c>
      <c r="E128" s="329">
        <v>70200000</v>
      </c>
      <c r="F128" s="75"/>
      <c r="G128" s="70"/>
      <c r="H128" s="70">
        <f t="shared" si="5"/>
        <v>5054400000</v>
      </c>
      <c r="I128" s="75"/>
      <c r="J128" s="71" t="s">
        <v>737</v>
      </c>
      <c r="L128" s="1481"/>
      <c r="M128" s="1487"/>
    </row>
    <row r="129" spans="1:13" ht="84" outlineLevel="2">
      <c r="A129" s="235" t="s">
        <v>750</v>
      </c>
      <c r="B129" s="261" t="s">
        <v>751</v>
      </c>
      <c r="C129" s="245">
        <v>75</v>
      </c>
      <c r="D129" s="262" t="s">
        <v>117</v>
      </c>
      <c r="E129" s="329">
        <v>42120000</v>
      </c>
      <c r="F129" s="75"/>
      <c r="G129" s="70"/>
      <c r="H129" s="70">
        <f t="shared" si="5"/>
        <v>3159000000</v>
      </c>
      <c r="I129" s="75"/>
      <c r="J129" s="71" t="s">
        <v>737</v>
      </c>
      <c r="L129" s="1481"/>
      <c r="M129" s="1487"/>
    </row>
    <row r="130" spans="1:13" ht="49.5" customHeight="1" outlineLevel="2">
      <c r="A130" s="235" t="s">
        <v>752</v>
      </c>
      <c r="B130" s="261" t="s">
        <v>753</v>
      </c>
      <c r="C130" s="245">
        <v>9</v>
      </c>
      <c r="D130" s="262" t="s">
        <v>117</v>
      </c>
      <c r="E130" s="329">
        <v>29640000</v>
      </c>
      <c r="F130" s="75"/>
      <c r="G130" s="70"/>
      <c r="H130" s="70">
        <f t="shared" si="5"/>
        <v>266760000</v>
      </c>
      <c r="I130" s="75"/>
      <c r="J130" s="71" t="s">
        <v>737</v>
      </c>
      <c r="L130" s="1481"/>
      <c r="M130" s="1487"/>
    </row>
    <row r="131" spans="1:13" ht="49.5" customHeight="1" outlineLevel="2">
      <c r="A131" s="235" t="s">
        <v>754</v>
      </c>
      <c r="B131" s="261" t="s">
        <v>755</v>
      </c>
      <c r="C131" s="245">
        <v>11</v>
      </c>
      <c r="D131" s="262" t="s">
        <v>117</v>
      </c>
      <c r="E131" s="70">
        <v>9617733.894784743</v>
      </c>
      <c r="F131" s="75"/>
      <c r="G131" s="70"/>
      <c r="H131" s="70">
        <f t="shared" si="5"/>
        <v>105795072.84263217</v>
      </c>
      <c r="I131" s="75"/>
      <c r="J131" s="71" t="s">
        <v>737</v>
      </c>
      <c r="L131" s="1481"/>
      <c r="M131" s="1487"/>
    </row>
    <row r="132" spans="1:13" ht="49.5" customHeight="1" outlineLevel="1">
      <c r="A132" s="235">
        <v>9.1999999999999993</v>
      </c>
      <c r="B132" s="259" t="s">
        <v>756</v>
      </c>
      <c r="C132" s="245"/>
      <c r="D132" s="262"/>
      <c r="E132" s="70"/>
      <c r="F132" s="75"/>
      <c r="G132" s="70"/>
      <c r="H132" s="70"/>
      <c r="I132" s="75"/>
      <c r="J132" s="71"/>
      <c r="L132" s="1481"/>
      <c r="M132" s="1487"/>
    </row>
    <row r="133" spans="1:13" ht="36" customHeight="1" outlineLevel="2">
      <c r="A133" s="235" t="s">
        <v>757</v>
      </c>
      <c r="B133" s="261" t="s">
        <v>758</v>
      </c>
      <c r="C133" s="245">
        <v>56</v>
      </c>
      <c r="D133" s="262" t="s">
        <v>362</v>
      </c>
      <c r="E133" s="329">
        <v>107640000</v>
      </c>
      <c r="F133" s="75"/>
      <c r="G133" s="70"/>
      <c r="H133" s="70">
        <f t="shared" ref="H133:H138" si="6">E133*C133</f>
        <v>6027840000</v>
      </c>
      <c r="I133" s="75"/>
      <c r="J133" s="71" t="s">
        <v>737</v>
      </c>
      <c r="L133" s="1481"/>
      <c r="M133" s="1487"/>
    </row>
    <row r="134" spans="1:13" ht="49.5" customHeight="1" outlineLevel="2">
      <c r="A134" s="235" t="s">
        <v>759</v>
      </c>
      <c r="B134" s="261" t="s">
        <v>760</v>
      </c>
      <c r="C134" s="245">
        <v>5</v>
      </c>
      <c r="D134" s="262" t="s">
        <v>362</v>
      </c>
      <c r="E134" s="329">
        <v>7280000</v>
      </c>
      <c r="F134" s="75"/>
      <c r="G134" s="70"/>
      <c r="H134" s="70">
        <f t="shared" si="6"/>
        <v>36400000</v>
      </c>
      <c r="I134" s="75"/>
      <c r="J134" s="71" t="s">
        <v>737</v>
      </c>
      <c r="L134" s="1481"/>
      <c r="M134" s="1487"/>
    </row>
    <row r="135" spans="1:13" ht="49.5" customHeight="1" outlineLevel="2">
      <c r="A135" s="235" t="s">
        <v>761</v>
      </c>
      <c r="B135" s="261" t="s">
        <v>762</v>
      </c>
      <c r="C135" s="245">
        <v>58</v>
      </c>
      <c r="D135" s="262" t="s">
        <v>362</v>
      </c>
      <c r="E135" s="329">
        <v>5720000</v>
      </c>
      <c r="F135" s="75"/>
      <c r="G135" s="70"/>
      <c r="H135" s="70">
        <f t="shared" si="6"/>
        <v>331760000</v>
      </c>
      <c r="I135" s="75"/>
      <c r="J135" s="71" t="s">
        <v>737</v>
      </c>
      <c r="L135" s="1481"/>
      <c r="M135" s="1487"/>
    </row>
    <row r="136" spans="1:13" ht="48" outlineLevel="2">
      <c r="A136" s="235" t="s">
        <v>763</v>
      </c>
      <c r="B136" s="261" t="s">
        <v>764</v>
      </c>
      <c r="C136" s="245">
        <v>3</v>
      </c>
      <c r="D136" s="262" t="s">
        <v>362</v>
      </c>
      <c r="E136" s="329">
        <v>73840000</v>
      </c>
      <c r="F136" s="75"/>
      <c r="G136" s="70"/>
      <c r="H136" s="70">
        <f t="shared" si="6"/>
        <v>221520000</v>
      </c>
      <c r="I136" s="75"/>
      <c r="J136" s="71" t="s">
        <v>737</v>
      </c>
      <c r="L136" s="1481"/>
      <c r="M136" s="1487"/>
    </row>
    <row r="137" spans="1:13" ht="49.5" customHeight="1" outlineLevel="2">
      <c r="A137" s="235" t="s">
        <v>765</v>
      </c>
      <c r="B137" s="261" t="s">
        <v>766</v>
      </c>
      <c r="C137" s="245">
        <v>17</v>
      </c>
      <c r="D137" s="262" t="s">
        <v>362</v>
      </c>
      <c r="E137" s="329">
        <v>110760000</v>
      </c>
      <c r="F137" s="75"/>
      <c r="G137" s="70"/>
      <c r="H137" s="70">
        <f t="shared" si="6"/>
        <v>1882920000</v>
      </c>
      <c r="I137" s="75"/>
      <c r="J137" s="71" t="s">
        <v>737</v>
      </c>
      <c r="L137" s="1481"/>
      <c r="M137" s="1487"/>
    </row>
    <row r="138" spans="1:13" ht="48" outlineLevel="2">
      <c r="A138" s="235" t="s">
        <v>767</v>
      </c>
      <c r="B138" s="261" t="s">
        <v>768</v>
      </c>
      <c r="C138" s="245">
        <v>4</v>
      </c>
      <c r="D138" s="262" t="s">
        <v>362</v>
      </c>
      <c r="E138" s="329">
        <v>326560000</v>
      </c>
      <c r="F138" s="75"/>
      <c r="G138" s="70"/>
      <c r="H138" s="70">
        <f t="shared" si="6"/>
        <v>1306240000</v>
      </c>
      <c r="I138" s="75"/>
      <c r="J138" s="71" t="s">
        <v>737</v>
      </c>
      <c r="L138" s="1481"/>
      <c r="M138" s="1487"/>
    </row>
    <row r="139" spans="1:13" ht="15.75" outlineLevel="1">
      <c r="A139" s="235">
        <v>9.3000000000000007</v>
      </c>
      <c r="B139" s="259" t="s">
        <v>769</v>
      </c>
      <c r="C139" s="245"/>
      <c r="D139" s="262"/>
      <c r="E139" s="70"/>
      <c r="F139" s="75"/>
      <c r="G139" s="70"/>
      <c r="H139" s="70"/>
      <c r="I139" s="75"/>
      <c r="J139" s="71"/>
      <c r="L139" s="1481"/>
      <c r="M139" s="1487"/>
    </row>
    <row r="140" spans="1:13" ht="50.25" outlineLevel="2">
      <c r="A140" s="235" t="s">
        <v>770</v>
      </c>
      <c r="B140" s="261" t="s">
        <v>771</v>
      </c>
      <c r="C140" s="245">
        <v>38</v>
      </c>
      <c r="D140" s="262" t="s">
        <v>362</v>
      </c>
      <c r="E140" s="329">
        <v>3120000</v>
      </c>
      <c r="F140" s="75"/>
      <c r="G140" s="70"/>
      <c r="H140" s="70">
        <f>E140*C140</f>
        <v>118560000</v>
      </c>
      <c r="I140" s="75"/>
      <c r="J140" s="71">
        <v>696601232.4914149</v>
      </c>
      <c r="L140" s="1481"/>
      <c r="M140" s="1487"/>
    </row>
    <row r="141" spans="1:13" ht="63.75" customHeight="1" outlineLevel="2">
      <c r="A141" s="235" t="s">
        <v>772</v>
      </c>
      <c r="B141" s="261" t="s">
        <v>773</v>
      </c>
      <c r="C141" s="245">
        <v>20</v>
      </c>
      <c r="D141" s="262" t="s">
        <v>362</v>
      </c>
      <c r="E141" s="329">
        <v>8320000</v>
      </c>
      <c r="F141" s="75"/>
      <c r="G141" s="70"/>
      <c r="H141" s="70">
        <f>E141*C141</f>
        <v>166400000</v>
      </c>
      <c r="I141" s="75"/>
      <c r="J141" s="71">
        <v>928801643.32188654</v>
      </c>
      <c r="L141" s="1481"/>
      <c r="M141" s="1487"/>
    </row>
    <row r="142" spans="1:13" ht="75.75" outlineLevel="2">
      <c r="A142" s="235" t="s">
        <v>774</v>
      </c>
      <c r="B142" s="261" t="s">
        <v>775</v>
      </c>
      <c r="C142" s="245">
        <v>9</v>
      </c>
      <c r="D142" s="262" t="s">
        <v>362</v>
      </c>
      <c r="E142" s="329">
        <v>3120000</v>
      </c>
      <c r="F142" s="75"/>
      <c r="G142" s="70"/>
      <c r="H142" s="70">
        <f>E142*C142</f>
        <v>28080000</v>
      </c>
      <c r="I142" s="75"/>
      <c r="J142" s="71">
        <v>232200410.83047163</v>
      </c>
      <c r="L142" s="1481"/>
      <c r="M142" s="1487"/>
    </row>
    <row r="143" spans="1:13" ht="51" outlineLevel="2">
      <c r="A143" s="235" t="s">
        <v>776</v>
      </c>
      <c r="B143" s="261" t="s">
        <v>777</v>
      </c>
      <c r="C143" s="245">
        <v>51</v>
      </c>
      <c r="D143" s="262" t="s">
        <v>362</v>
      </c>
      <c r="E143" s="329">
        <v>3120000</v>
      </c>
      <c r="F143" s="75"/>
      <c r="G143" s="70"/>
      <c r="H143" s="70">
        <f>E143*C143</f>
        <v>159120000</v>
      </c>
      <c r="I143" s="75"/>
      <c r="J143" s="71">
        <v>928801643.32188654</v>
      </c>
      <c r="L143" s="1481"/>
      <c r="M143" s="1487"/>
    </row>
    <row r="144" spans="1:13" ht="60" outlineLevel="2">
      <c r="A144" s="235" t="s">
        <v>778</v>
      </c>
      <c r="B144" s="261" t="s">
        <v>779</v>
      </c>
      <c r="C144" s="245">
        <v>5</v>
      </c>
      <c r="D144" s="262" t="s">
        <v>362</v>
      </c>
      <c r="E144" s="329">
        <v>36400000</v>
      </c>
      <c r="F144" s="75"/>
      <c r="G144" s="70"/>
      <c r="H144" s="70">
        <f>E144*C144</f>
        <v>182000000</v>
      </c>
      <c r="I144" s="75"/>
      <c r="J144" s="71">
        <v>232200410.83047163</v>
      </c>
      <c r="L144" s="1481"/>
      <c r="M144" s="1487"/>
    </row>
    <row r="145" spans="1:13" ht="15.75" outlineLevel="1">
      <c r="A145" s="235">
        <v>9.4</v>
      </c>
      <c r="B145" s="239" t="s">
        <v>780</v>
      </c>
      <c r="C145" s="245"/>
      <c r="D145" s="262"/>
      <c r="E145" s="70"/>
      <c r="F145" s="75"/>
      <c r="G145" s="70"/>
      <c r="H145" s="70"/>
      <c r="I145" s="75"/>
      <c r="J145" s="71"/>
      <c r="L145" s="1481"/>
      <c r="M145" s="1487"/>
    </row>
    <row r="146" spans="1:13" ht="60" outlineLevel="2">
      <c r="A146" s="235" t="s">
        <v>781</v>
      </c>
      <c r="B146" s="261" t="s">
        <v>782</v>
      </c>
      <c r="C146" s="245">
        <v>44</v>
      </c>
      <c r="D146" s="262" t="s">
        <v>362</v>
      </c>
      <c r="E146" s="329">
        <v>135720000</v>
      </c>
      <c r="F146" s="75"/>
      <c r="G146" s="70"/>
      <c r="H146" s="70">
        <f t="shared" ref="H146:H152" si="7">E146*C146</f>
        <v>5971680000</v>
      </c>
      <c r="I146" s="75"/>
      <c r="J146" s="71"/>
      <c r="L146" s="1481"/>
      <c r="M146" s="1487"/>
    </row>
    <row r="147" spans="1:13" ht="36" outlineLevel="2">
      <c r="A147" s="235" t="s">
        <v>783</v>
      </c>
      <c r="B147" s="261" t="s">
        <v>784</v>
      </c>
      <c r="C147" s="245">
        <v>22</v>
      </c>
      <c r="D147" s="262" t="s">
        <v>362</v>
      </c>
      <c r="E147" s="329">
        <v>1673360000</v>
      </c>
      <c r="F147" s="75"/>
      <c r="G147" s="70"/>
      <c r="H147" s="70">
        <f t="shared" si="7"/>
        <v>36813920000</v>
      </c>
      <c r="I147" s="75"/>
      <c r="J147" s="71"/>
      <c r="L147" s="1481"/>
      <c r="M147" s="1487"/>
    </row>
    <row r="148" spans="1:13" ht="36" outlineLevel="2">
      <c r="A148" s="235" t="s">
        <v>785</v>
      </c>
      <c r="B148" s="261" t="s">
        <v>786</v>
      </c>
      <c r="C148" s="245">
        <v>20</v>
      </c>
      <c r="D148" s="262" t="s">
        <v>362</v>
      </c>
      <c r="E148" s="70">
        <v>265744184.63215479</v>
      </c>
      <c r="F148" s="75"/>
      <c r="G148" s="70"/>
      <c r="H148" s="70">
        <f t="shared" si="7"/>
        <v>5314883692.643096</v>
      </c>
      <c r="I148" s="75"/>
      <c r="J148" s="71"/>
      <c r="L148" s="1481"/>
      <c r="M148" s="1487"/>
    </row>
    <row r="149" spans="1:13" ht="15.75" outlineLevel="1">
      <c r="A149" s="235">
        <v>9.5</v>
      </c>
      <c r="B149" s="239" t="s">
        <v>787</v>
      </c>
      <c r="C149" s="245">
        <v>1</v>
      </c>
      <c r="D149" s="262"/>
      <c r="E149" s="70"/>
      <c r="F149" s="75"/>
      <c r="G149" s="70"/>
      <c r="H149" s="70">
        <f t="shared" si="7"/>
        <v>0</v>
      </c>
      <c r="I149" s="75"/>
      <c r="J149" s="71"/>
      <c r="L149" s="1481"/>
      <c r="M149" s="1487"/>
    </row>
    <row r="150" spans="1:13" ht="48" outlineLevel="2">
      <c r="A150" s="235" t="s">
        <v>788</v>
      </c>
      <c r="B150" s="261" t="s">
        <v>789</v>
      </c>
      <c r="C150" s="245">
        <v>4</v>
      </c>
      <c r="D150" s="262" t="s">
        <v>362</v>
      </c>
      <c r="E150" s="329">
        <v>1560000000</v>
      </c>
      <c r="F150" s="75"/>
      <c r="G150" s="70"/>
      <c r="H150" s="70">
        <f t="shared" si="7"/>
        <v>6240000000</v>
      </c>
      <c r="I150" s="75"/>
      <c r="J150" s="71"/>
      <c r="L150" s="1481"/>
      <c r="M150" s="1487"/>
    </row>
    <row r="151" spans="1:13" ht="60" outlineLevel="2">
      <c r="A151" s="235" t="s">
        <v>790</v>
      </c>
      <c r="B151" s="261" t="s">
        <v>791</v>
      </c>
      <c r="C151" s="245">
        <v>21</v>
      </c>
      <c r="D151" s="262" t="s">
        <v>362</v>
      </c>
      <c r="E151" s="329">
        <v>1560000000</v>
      </c>
      <c r="F151" s="75"/>
      <c r="G151" s="70"/>
      <c r="H151" s="70">
        <f t="shared" si="7"/>
        <v>32760000000</v>
      </c>
      <c r="I151" s="75"/>
      <c r="J151" s="71"/>
      <c r="L151" s="1481"/>
      <c r="M151" s="1487"/>
    </row>
    <row r="152" spans="1:13" ht="72" outlineLevel="2">
      <c r="A152" s="235" t="s">
        <v>792</v>
      </c>
      <c r="B152" s="261" t="s">
        <v>793</v>
      </c>
      <c r="C152" s="245">
        <v>12</v>
      </c>
      <c r="D152" s="262" t="s">
        <v>362</v>
      </c>
      <c r="E152" s="329">
        <v>2600000000</v>
      </c>
      <c r="F152" s="75"/>
      <c r="G152" s="70"/>
      <c r="H152" s="70">
        <f t="shared" si="7"/>
        <v>31200000000</v>
      </c>
      <c r="I152" s="75"/>
      <c r="J152" s="71"/>
      <c r="L152" s="1481"/>
      <c r="M152" s="1487"/>
    </row>
    <row r="153" spans="1:13" ht="20.100000000000001" customHeight="1">
      <c r="A153" s="235">
        <v>10</v>
      </c>
      <c r="B153" s="258" t="s">
        <v>794</v>
      </c>
      <c r="C153" s="245"/>
      <c r="D153" s="245"/>
      <c r="E153" s="70"/>
      <c r="F153" s="75"/>
      <c r="G153" s="70"/>
      <c r="H153" s="70"/>
      <c r="I153" s="75"/>
      <c r="J153" s="71"/>
    </row>
    <row r="154" spans="1:13" ht="20.100000000000001" customHeight="1" outlineLevel="1">
      <c r="A154" s="235">
        <v>10.1</v>
      </c>
      <c r="B154" s="239" t="s">
        <v>795</v>
      </c>
      <c r="C154" s="245">
        <v>1</v>
      </c>
      <c r="D154" s="245" t="s">
        <v>117</v>
      </c>
      <c r="E154" s="75"/>
      <c r="F154" s="329">
        <v>58575</v>
      </c>
      <c r="G154" s="70"/>
      <c r="H154" s="70">
        <f>C154*E154</f>
        <v>0</v>
      </c>
      <c r="I154" s="70">
        <f>F154*C154</f>
        <v>58575</v>
      </c>
      <c r="J154" s="71">
        <v>232200410.83047163</v>
      </c>
    </row>
    <row r="155" spans="1:13" ht="45" customHeight="1" outlineLevel="1">
      <c r="A155" s="235">
        <v>10.199999999999999</v>
      </c>
      <c r="B155" s="246" t="s">
        <v>796</v>
      </c>
      <c r="C155" s="333">
        <v>1</v>
      </c>
      <c r="D155" s="333" t="s">
        <v>797</v>
      </c>
      <c r="E155" s="70">
        <v>5115281492.7705574</v>
      </c>
      <c r="F155" s="75"/>
      <c r="G155" s="70"/>
      <c r="H155" s="70">
        <f>C155*E155</f>
        <v>5115281492.7705574</v>
      </c>
      <c r="I155" s="75"/>
      <c r="J155" s="71" t="s">
        <v>188</v>
      </c>
      <c r="M155" s="1481"/>
    </row>
    <row r="156" spans="1:13" ht="20.25" customHeight="1" outlineLevel="1">
      <c r="A156" s="235">
        <v>10.3</v>
      </c>
      <c r="B156" s="239" t="s">
        <v>798</v>
      </c>
      <c r="C156" s="245">
        <v>1</v>
      </c>
      <c r="D156" s="245" t="s">
        <v>117</v>
      </c>
      <c r="E156" s="75"/>
      <c r="F156" s="70">
        <v>81066.26884887481</v>
      </c>
      <c r="G156" s="70"/>
      <c r="H156" s="75"/>
      <c r="I156" s="70">
        <f>F156*C156</f>
        <v>81066.26884887481</v>
      </c>
      <c r="J156" s="71">
        <v>232200410.83047163</v>
      </c>
    </row>
    <row r="157" spans="1:13" ht="20.25" customHeight="1" outlineLevel="1">
      <c r="A157" s="235">
        <v>10.4</v>
      </c>
      <c r="B157" s="239" t="s">
        <v>799</v>
      </c>
      <c r="C157" s="245">
        <v>1200</v>
      </c>
      <c r="D157" s="245" t="s">
        <v>404</v>
      </c>
      <c r="E157" s="70">
        <v>2054577.4562278818</v>
      </c>
      <c r="F157" s="75"/>
      <c r="G157" s="70"/>
      <c r="H157" s="70">
        <f>C157*E157</f>
        <v>2465492947.4734583</v>
      </c>
      <c r="I157" s="75"/>
      <c r="J157" s="71" t="s">
        <v>188</v>
      </c>
    </row>
    <row r="158" spans="1:13" ht="20.100000000000001" customHeight="1" outlineLevel="1">
      <c r="A158" s="235">
        <v>10.5</v>
      </c>
      <c r="B158" s="239" t="s">
        <v>800</v>
      </c>
      <c r="C158" s="245">
        <v>1</v>
      </c>
      <c r="D158" s="245" t="s">
        <v>117</v>
      </c>
      <c r="E158" s="75"/>
      <c r="F158" s="329">
        <v>41250</v>
      </c>
      <c r="G158" s="70"/>
      <c r="H158" s="75"/>
      <c r="I158" s="70">
        <f>F158*C158</f>
        <v>41250</v>
      </c>
      <c r="J158" s="71">
        <v>232200410.83047163</v>
      </c>
    </row>
    <row r="159" spans="1:13" ht="20.100000000000001" customHeight="1" outlineLevel="1">
      <c r="A159" s="235"/>
      <c r="B159" s="239" t="s">
        <v>801</v>
      </c>
      <c r="C159" s="245">
        <v>300</v>
      </c>
      <c r="D159" s="245" t="s">
        <v>404</v>
      </c>
      <c r="E159" s="70"/>
      <c r="F159" s="329">
        <v>5</v>
      </c>
      <c r="G159" s="70"/>
      <c r="H159" s="70">
        <f>C159*E159</f>
        <v>0</v>
      </c>
      <c r="I159" s="70">
        <f>F159*C159</f>
        <v>1500</v>
      </c>
      <c r="J159" s="71" t="s">
        <v>188</v>
      </c>
    </row>
    <row r="160" spans="1:13" ht="20.100000000000001" customHeight="1">
      <c r="A160" s="235">
        <v>11</v>
      </c>
      <c r="B160" s="239" t="s">
        <v>4487</v>
      </c>
      <c r="C160" s="245">
        <v>2</v>
      </c>
      <c r="D160" s="245" t="s">
        <v>802</v>
      </c>
      <c r="E160" s="329">
        <v>2800000000</v>
      </c>
      <c r="F160" s="75"/>
      <c r="G160" s="70"/>
      <c r="H160" s="70">
        <f>C160*E160</f>
        <v>5600000000</v>
      </c>
      <c r="I160" s="70">
        <f>F160*C160</f>
        <v>0</v>
      </c>
      <c r="J160" s="71"/>
    </row>
    <row r="161" spans="1:12" ht="20.100000000000001" customHeight="1">
      <c r="A161" s="235">
        <v>12</v>
      </c>
      <c r="B161" s="239" t="s">
        <v>803</v>
      </c>
      <c r="C161" s="245">
        <v>1</v>
      </c>
      <c r="D161" s="245"/>
      <c r="E161" s="70">
        <v>20545774562.27882</v>
      </c>
      <c r="F161" s="75"/>
      <c r="G161" s="70"/>
      <c r="H161" s="70">
        <f>E161*C161</f>
        <v>20545774562.27882</v>
      </c>
      <c r="I161" s="75"/>
      <c r="J161" s="71">
        <v>232200410.83047163</v>
      </c>
    </row>
    <row r="162" spans="1:12" ht="20.100000000000001" customHeight="1">
      <c r="A162" s="235">
        <v>13</v>
      </c>
      <c r="B162" s="239" t="s">
        <v>804</v>
      </c>
      <c r="C162" s="245">
        <v>80</v>
      </c>
      <c r="D162" s="245" t="s">
        <v>404</v>
      </c>
      <c r="E162" s="329">
        <v>2028000000</v>
      </c>
      <c r="F162" s="75"/>
      <c r="G162" s="70"/>
      <c r="H162" s="70">
        <f>E162*C162</f>
        <v>162240000000</v>
      </c>
      <c r="I162" s="75"/>
      <c r="J162" s="71">
        <v>232200410.83047163</v>
      </c>
    </row>
    <row r="163" spans="1:12" ht="20.100000000000001" customHeight="1">
      <c r="A163" s="235">
        <v>14</v>
      </c>
      <c r="B163" s="239" t="s">
        <v>805</v>
      </c>
      <c r="C163" s="245">
        <v>1</v>
      </c>
      <c r="D163" s="245"/>
      <c r="E163" s="70">
        <v>51364436405.697044</v>
      </c>
      <c r="F163" s="75"/>
      <c r="G163" s="70"/>
      <c r="H163" s="70">
        <f>E163*C163</f>
        <v>51364436405.697044</v>
      </c>
      <c r="I163" s="75"/>
      <c r="J163" s="71">
        <v>2322004108.3047166</v>
      </c>
    </row>
    <row r="164" spans="1:12" ht="20.100000000000001" customHeight="1">
      <c r="B164" s="264"/>
    </row>
    <row r="165" spans="1:12" ht="16.5" thickBot="1">
      <c r="B165" s="264"/>
      <c r="L165" s="198"/>
    </row>
    <row r="166" spans="1:12">
      <c r="E166" s="119">
        <f>0.05*I166</f>
        <v>74268.821474272772</v>
      </c>
      <c r="F166" s="265">
        <f>H166*0.05</f>
        <v>151224768053.56186</v>
      </c>
      <c r="G166" s="265">
        <f>((I158+I159)*0.1+(I156+I154)*0.15+SUM(I24:I39)*0.04+E166*0.15)*USD_Change_IRR</f>
        <v>37161986389.052856</v>
      </c>
      <c r="H166" s="61">
        <f>SUM(H4:H163)</f>
        <v>3024495361071.2368</v>
      </c>
      <c r="I166" s="61">
        <f>SUM(I5:I163)</f>
        <v>1485376.4294854554</v>
      </c>
      <c r="J166" s="62">
        <f>2*SUM(J5:J163)</f>
        <v>93344565413.914108</v>
      </c>
    </row>
    <row r="167" spans="1:12" ht="15.75">
      <c r="E167" s="1519" t="s">
        <v>112</v>
      </c>
      <c r="F167" s="1520" t="s">
        <v>111</v>
      </c>
      <c r="G167" s="1520"/>
      <c r="H167" s="49" t="s">
        <v>111</v>
      </c>
      <c r="I167" s="49" t="s">
        <v>112</v>
      </c>
      <c r="J167" s="50" t="s">
        <v>111</v>
      </c>
    </row>
    <row r="168" spans="1:12" ht="16.5" thickBot="1">
      <c r="E168" s="2247" t="s">
        <v>806</v>
      </c>
      <c r="F168" s="2248"/>
      <c r="G168" s="271" t="s">
        <v>4486</v>
      </c>
      <c r="H168" s="2243" t="s">
        <v>108</v>
      </c>
      <c r="I168" s="2243"/>
      <c r="J168" s="121" t="s">
        <v>110</v>
      </c>
      <c r="L168" s="48"/>
    </row>
    <row r="169" spans="1:12" ht="24" customHeight="1" thickBot="1">
      <c r="F169" s="2244" t="s">
        <v>107</v>
      </c>
      <c r="G169" s="2245"/>
      <c r="H169" s="2245"/>
      <c r="I169" s="2245"/>
      <c r="J169" s="2246"/>
    </row>
    <row r="170" spans="1:12">
      <c r="L170" s="198"/>
    </row>
    <row r="171" spans="1:12" ht="15.75">
      <c r="A171" s="267"/>
      <c r="B171"/>
      <c r="C171"/>
      <c r="D171"/>
      <c r="E171" s="1755" t="s">
        <v>78</v>
      </c>
      <c r="F171" s="1755"/>
      <c r="G171" s="1755"/>
      <c r="H171" s="1755"/>
      <c r="I171" s="1755"/>
    </row>
    <row r="172" spans="1:12">
      <c r="A172" s="267"/>
      <c r="B172"/>
      <c r="C172"/>
      <c r="D172"/>
      <c r="E172" s="34" t="s">
        <v>58</v>
      </c>
      <c r="F172" s="34" t="s">
        <v>59</v>
      </c>
      <c r="G172" s="34" t="s">
        <v>968</v>
      </c>
      <c r="H172" s="34" t="s">
        <v>1</v>
      </c>
      <c r="I172" s="34" t="s">
        <v>975</v>
      </c>
    </row>
    <row r="173" spans="1:12">
      <c r="A173" s="267"/>
      <c r="B173"/>
      <c r="C173"/>
      <c r="D173"/>
      <c r="E173" s="35">
        <v>1</v>
      </c>
      <c r="F173" s="35" t="s">
        <v>79</v>
      </c>
      <c r="G173" s="268">
        <f t="shared" ref="G173:G180" si="8">I173*per_Euro</f>
        <v>0</v>
      </c>
      <c r="H173" s="268">
        <f>SUM(H5:H12)</f>
        <v>806342000000</v>
      </c>
      <c r="I173" s="268">
        <f>SUM(I5:I12)</f>
        <v>0</v>
      </c>
    </row>
    <row r="174" spans="1:12" ht="28.5">
      <c r="A174" s="267"/>
      <c r="B174"/>
      <c r="C174"/>
      <c r="D174"/>
      <c r="E174" s="35">
        <v>2</v>
      </c>
      <c r="F174" s="35" t="s">
        <v>80</v>
      </c>
      <c r="G174" s="37">
        <f t="shared" si="8"/>
        <v>0</v>
      </c>
      <c r="H174" s="37">
        <f>SUM(H160:H163,H41:H63,H107:H111)</f>
        <v>305000230367.97583</v>
      </c>
      <c r="I174" s="37">
        <f>SUM(I160)</f>
        <v>0</v>
      </c>
      <c r="K174" s="198"/>
    </row>
    <row r="175" spans="1:12">
      <c r="A175" s="267"/>
      <c r="B175"/>
      <c r="C175"/>
      <c r="D175"/>
      <c r="E175" s="35">
        <v>3</v>
      </c>
      <c r="F175" s="35" t="s">
        <v>81</v>
      </c>
      <c r="G175" s="269">
        <f t="shared" si="8"/>
        <v>0</v>
      </c>
      <c r="H175" s="268">
        <f>SUM(H65:H105)</f>
        <v>627630805000</v>
      </c>
      <c r="I175" s="269"/>
      <c r="K175" s="198"/>
    </row>
    <row r="176" spans="1:12" ht="42.75">
      <c r="A176" s="267"/>
      <c r="B176"/>
      <c r="C176"/>
      <c r="D176"/>
      <c r="E176" s="35">
        <v>4</v>
      </c>
      <c r="F176" s="35" t="s">
        <v>807</v>
      </c>
      <c r="G176" s="268">
        <f t="shared" si="8"/>
        <v>1413713.3543983162</v>
      </c>
      <c r="H176" s="268">
        <f>SUM(H14:H39)</f>
        <v>575848000000</v>
      </c>
      <c r="I176" s="268">
        <f>SUM(I19:I63)</f>
        <v>1302985.1606365805</v>
      </c>
    </row>
    <row r="177" spans="1:10" ht="28.5">
      <c r="A177" s="267"/>
      <c r="B177"/>
      <c r="C177"/>
      <c r="D177"/>
      <c r="E177" s="35">
        <v>5</v>
      </c>
      <c r="F177" s="35" t="s">
        <v>83</v>
      </c>
      <c r="G177" s="268">
        <f t="shared" si="8"/>
        <v>196263.48034598719</v>
      </c>
      <c r="H177" s="268">
        <f>SUM(H154:H159)</f>
        <v>7580774440.2440157</v>
      </c>
      <c r="I177" s="268">
        <f>SUM(F154:F158)</f>
        <v>180891.26884887481</v>
      </c>
    </row>
    <row r="178" spans="1:10" ht="28.5">
      <c r="A178" s="267"/>
      <c r="B178"/>
      <c r="C178"/>
      <c r="D178"/>
      <c r="E178" s="35">
        <v>6</v>
      </c>
      <c r="F178" s="35" t="s">
        <v>84</v>
      </c>
      <c r="G178" s="48">
        <f t="shared" si="8"/>
        <v>0</v>
      </c>
      <c r="H178" s="37">
        <f>SUM(H118:H152)</f>
        <v>169113558765.48572</v>
      </c>
      <c r="I178" s="70"/>
    </row>
    <row r="179" spans="1:10" ht="28.5">
      <c r="A179" s="267"/>
      <c r="B179"/>
      <c r="C179"/>
      <c r="D179"/>
      <c r="E179" s="35">
        <v>7</v>
      </c>
      <c r="F179" s="35" t="s">
        <v>85</v>
      </c>
      <c r="G179" s="37">
        <f t="shared" si="8"/>
        <v>0</v>
      </c>
      <c r="H179" s="37">
        <f>SUM(H113:H116)</f>
        <v>532979992497.53101</v>
      </c>
      <c r="I179" s="37"/>
      <c r="J179"/>
    </row>
    <row r="180" spans="1:10">
      <c r="E180" s="39"/>
      <c r="F180" s="34" t="s">
        <v>974</v>
      </c>
      <c r="G180" s="37">
        <f t="shared" si="8"/>
        <v>1609976.8347443035</v>
      </c>
      <c r="H180" s="37">
        <f>SUM(H173:H179)</f>
        <v>3024495361071.2363</v>
      </c>
      <c r="I180" s="37">
        <f>SUM(I173:I179)</f>
        <v>1483876.4294854554</v>
      </c>
    </row>
  </sheetData>
  <mergeCells count="13">
    <mergeCell ref="H168:I168"/>
    <mergeCell ref="E171:I171"/>
    <mergeCell ref="F169:J169"/>
    <mergeCell ref="E168:F168"/>
    <mergeCell ref="A1:A3"/>
    <mergeCell ref="B1:B3"/>
    <mergeCell ref="C1:D1"/>
    <mergeCell ref="E1:F1"/>
    <mergeCell ref="H1:J1"/>
    <mergeCell ref="C2:C3"/>
    <mergeCell ref="D2:D3"/>
    <mergeCell ref="E2:F2"/>
    <mergeCell ref="H2:I2"/>
  </mergeCells>
  <printOptions horizontalCentered="1"/>
  <pageMargins left="0" right="0" top="0" bottom="0" header="0.11811023622047245" footer="0.19685039370078741"/>
  <pageSetup paperSize="9" scale="70" orientation="landscape" horizontalDpi="4294967294"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9">
    <tabColor theme="0" tint="-0.14999847407452621"/>
    <outlinePr summaryBelow="0"/>
  </sheetPr>
  <dimension ref="A1:R143"/>
  <sheetViews>
    <sheetView rightToLeft="1" zoomScale="72" zoomScaleNormal="72" workbookViewId="0">
      <pane xSplit="2" ySplit="2" topLeftCell="C3" activePane="bottomRight" state="frozen"/>
      <selection activeCell="J50" sqref="J50"/>
      <selection pane="topRight" activeCell="J50" sqref="J50"/>
      <selection pane="bottomLeft" activeCell="J50" sqref="J50"/>
      <selection pane="bottomRight" sqref="A1:XFD1048576"/>
    </sheetView>
  </sheetViews>
  <sheetFormatPr defaultRowHeight="15" outlineLevelRow="2"/>
  <cols>
    <col min="1" max="1" width="6.28515625" style="314" customWidth="1"/>
    <col min="2" max="2" width="42.5703125" style="315" customWidth="1"/>
    <col min="3" max="3" width="10.28515625" style="23" bestFit="1" customWidth="1"/>
    <col min="4" max="4" width="43.28515625" style="23" customWidth="1"/>
    <col min="5" max="5" width="20.28515625" style="23" customWidth="1"/>
    <col min="6" max="6" width="20.7109375" style="48" customWidth="1"/>
    <col min="7" max="7" width="19.7109375" style="48" customWidth="1"/>
    <col min="8" max="8" width="21.7109375" style="48" customWidth="1"/>
    <col min="9" max="9" width="21.28515625" style="48" customWidth="1"/>
    <col min="10" max="10" width="18.140625" customWidth="1"/>
    <col min="11" max="11" width="17.7109375" bestFit="1" customWidth="1"/>
    <col min="12" max="12" width="11.140625" bestFit="1" customWidth="1"/>
    <col min="13" max="13" width="13.85546875" bestFit="1" customWidth="1"/>
    <col min="14" max="14" width="22.7109375" customWidth="1"/>
    <col min="15" max="15" width="15.28515625" customWidth="1"/>
    <col min="16" max="16" width="17.7109375" customWidth="1"/>
    <col min="17" max="17" width="9.140625" customWidth="1"/>
  </cols>
  <sheetData>
    <row r="1" spans="1:11" ht="15.75">
      <c r="A1" s="2264" t="s">
        <v>100</v>
      </c>
      <c r="B1" s="2266" t="s">
        <v>364</v>
      </c>
      <c r="C1" s="2266" t="s">
        <v>485</v>
      </c>
      <c r="D1" s="2266"/>
      <c r="E1" s="1535"/>
      <c r="F1" s="2262" t="s">
        <v>106</v>
      </c>
      <c r="G1" s="2262"/>
      <c r="H1" s="2262" t="s">
        <v>107</v>
      </c>
      <c r="I1" s="2263"/>
    </row>
    <row r="2" spans="1:11" ht="16.5" thickBot="1">
      <c r="A2" s="2265"/>
      <c r="B2" s="2267"/>
      <c r="C2" s="2267"/>
      <c r="D2" s="2267"/>
      <c r="E2" s="270"/>
      <c r="F2" s="2243" t="s">
        <v>108</v>
      </c>
      <c r="G2" s="2243"/>
      <c r="H2" s="2243" t="s">
        <v>108</v>
      </c>
      <c r="I2" s="2243"/>
    </row>
    <row r="3" spans="1:11" ht="15.75">
      <c r="A3" s="272"/>
      <c r="B3" s="273"/>
      <c r="C3" s="274" t="s">
        <v>104</v>
      </c>
      <c r="D3" s="275" t="s">
        <v>369</v>
      </c>
      <c r="E3" s="275" t="s">
        <v>969</v>
      </c>
      <c r="F3" s="276" t="s">
        <v>111</v>
      </c>
      <c r="G3" s="276" t="s">
        <v>112</v>
      </c>
      <c r="H3" s="276" t="s">
        <v>111</v>
      </c>
      <c r="I3" s="276" t="s">
        <v>112</v>
      </c>
    </row>
    <row r="4" spans="1:11">
      <c r="A4" s="277">
        <v>1</v>
      </c>
      <c r="B4" s="278" t="s">
        <v>808</v>
      </c>
      <c r="C4" s="279"/>
      <c r="D4" s="280"/>
      <c r="E4" s="280"/>
      <c r="F4" s="70"/>
      <c r="G4" s="281"/>
      <c r="H4" s="70"/>
      <c r="I4" s="70"/>
    </row>
    <row r="5" spans="1:11" outlineLevel="1">
      <c r="A5" s="282" t="s">
        <v>809</v>
      </c>
      <c r="B5" s="283" t="s">
        <v>810</v>
      </c>
      <c r="C5" s="279" t="s">
        <v>811</v>
      </c>
      <c r="D5" s="279">
        <v>3</v>
      </c>
      <c r="E5" s="279"/>
      <c r="F5" s="284"/>
      <c r="G5" s="1507">
        <v>70000</v>
      </c>
      <c r="H5" s="284"/>
      <c r="I5" s="70">
        <f>D5*G5</f>
        <v>210000</v>
      </c>
      <c r="J5" s="1586"/>
      <c r="K5" s="1487"/>
    </row>
    <row r="6" spans="1:11" outlineLevel="1">
      <c r="A6" s="282" t="s">
        <v>812</v>
      </c>
      <c r="B6" s="283" t="s">
        <v>813</v>
      </c>
      <c r="C6" s="279" t="s">
        <v>811</v>
      </c>
      <c r="D6" s="279">
        <v>1</v>
      </c>
      <c r="E6" s="279"/>
      <c r="F6" s="1593">
        <f>50000*per_Euro*USD_Inflation_Factor*USD_Change_IRR</f>
        <v>31147749755.572807</v>
      </c>
      <c r="G6" s="281">
        <v>0</v>
      </c>
      <c r="H6" s="70">
        <f>D6*F6</f>
        <v>31147749755.572807</v>
      </c>
      <c r="I6" s="70">
        <f>D6*G6</f>
        <v>0</v>
      </c>
      <c r="J6" s="1586"/>
      <c r="K6" s="1487"/>
    </row>
    <row r="7" spans="1:11">
      <c r="A7" s="277">
        <v>2</v>
      </c>
      <c r="B7" s="278" t="s">
        <v>814</v>
      </c>
      <c r="C7" s="280"/>
      <c r="D7" s="279"/>
      <c r="E7" s="279"/>
      <c r="F7" s="70"/>
      <c r="G7" s="281"/>
      <c r="H7" s="70"/>
      <c r="I7" s="70"/>
      <c r="J7" s="1586"/>
      <c r="K7" s="1487"/>
    </row>
    <row r="8" spans="1:11" outlineLevel="1">
      <c r="A8" s="285" t="s">
        <v>567</v>
      </c>
      <c r="B8" s="286" t="s">
        <v>815</v>
      </c>
      <c r="C8" s="279" t="s">
        <v>811</v>
      </c>
      <c r="D8" s="1581">
        <f>27+1</f>
        <v>28</v>
      </c>
      <c r="E8" s="279"/>
      <c r="F8" s="1585">
        <f>900*per_Euro*USD_Change_IRR</f>
        <v>410122589.34820676</v>
      </c>
      <c r="G8" s="1507">
        <v>0</v>
      </c>
      <c r="H8" s="70">
        <f t="shared" ref="H8:H13" si="0">D8*F8</f>
        <v>11483432501.74979</v>
      </c>
      <c r="I8" s="70">
        <f t="shared" ref="I8:I32" si="1">D8*G8</f>
        <v>0</v>
      </c>
      <c r="J8" s="1586"/>
      <c r="K8" s="1487"/>
    </row>
    <row r="9" spans="1:11" outlineLevel="1">
      <c r="A9" s="285">
        <v>2.2000000000000002</v>
      </c>
      <c r="B9" s="286" t="s">
        <v>4513</v>
      </c>
      <c r="C9" s="279" t="s">
        <v>811</v>
      </c>
      <c r="D9" s="1581">
        <f>14+1</f>
        <v>15</v>
      </c>
      <c r="E9" s="279"/>
      <c r="F9" s="1585">
        <f>3700*per_Euro*USD_Change_IRR</f>
        <v>1686059533.9870725</v>
      </c>
      <c r="G9" s="1507">
        <v>0</v>
      </c>
      <c r="H9" s="70">
        <f t="shared" si="0"/>
        <v>25290893009.806087</v>
      </c>
      <c r="I9" s="70">
        <f t="shared" si="1"/>
        <v>0</v>
      </c>
      <c r="J9" s="1586"/>
      <c r="K9" s="1487"/>
    </row>
    <row r="10" spans="1:11" outlineLevel="1">
      <c r="A10" s="285">
        <v>2.2999999999999998</v>
      </c>
      <c r="B10" s="286" t="s">
        <v>4472</v>
      </c>
      <c r="C10" s="279" t="s">
        <v>811</v>
      </c>
      <c r="D10" s="1581">
        <f>14+1</f>
        <v>15</v>
      </c>
      <c r="E10" s="279"/>
      <c r="F10" s="1585">
        <f>3000*per_Euro*USD_Change_IRR</f>
        <v>1367075297.8273559</v>
      </c>
      <c r="G10" s="1507">
        <v>0</v>
      </c>
      <c r="H10" s="70">
        <f t="shared" si="0"/>
        <v>20506129467.410339</v>
      </c>
      <c r="I10" s="70">
        <f t="shared" si="1"/>
        <v>0</v>
      </c>
      <c r="J10" s="1586"/>
      <c r="K10" s="1487"/>
    </row>
    <row r="11" spans="1:11" ht="24" outlineLevel="1">
      <c r="A11" s="285" t="s">
        <v>573</v>
      </c>
      <c r="B11" s="286" t="s">
        <v>4471</v>
      </c>
      <c r="C11" s="279" t="s">
        <v>811</v>
      </c>
      <c r="D11" s="279">
        <v>1</v>
      </c>
      <c r="E11" s="279"/>
      <c r="F11" s="1585">
        <f>ROUND((48000*per_Euro*USD_Inflation_Factor+4500*per_Euro)*USD_Change_IRR,-3)</f>
        <v>31952453000</v>
      </c>
      <c r="G11" s="281">
        <v>0</v>
      </c>
      <c r="H11" s="70">
        <f t="shared" si="0"/>
        <v>31952453000</v>
      </c>
      <c r="I11" s="70">
        <f t="shared" si="1"/>
        <v>0</v>
      </c>
      <c r="J11" s="1586"/>
      <c r="K11" s="1487"/>
    </row>
    <row r="12" spans="1:11" ht="25.5">
      <c r="A12" s="277">
        <v>3</v>
      </c>
      <c r="B12" s="278" t="s">
        <v>816</v>
      </c>
      <c r="C12" s="280" t="s">
        <v>811</v>
      </c>
      <c r="D12" s="280">
        <v>37</v>
      </c>
      <c r="E12" s="279"/>
      <c r="F12" s="281">
        <f>ROUND(1510*per_Euro*USD_Inflation_Factor*USD_Change_IRR,-3)</f>
        <v>940662000</v>
      </c>
      <c r="G12" s="281">
        <v>0</v>
      </c>
      <c r="H12" s="70">
        <f t="shared" si="0"/>
        <v>34804494000</v>
      </c>
      <c r="I12" s="70">
        <f t="shared" si="1"/>
        <v>0</v>
      </c>
      <c r="J12" s="1586"/>
      <c r="K12" s="1487"/>
    </row>
    <row r="13" spans="1:11" ht="25.5">
      <c r="A13" s="277">
        <v>4</v>
      </c>
      <c r="B13" s="278" t="s">
        <v>817</v>
      </c>
      <c r="C13" s="280" t="s">
        <v>811</v>
      </c>
      <c r="D13" s="280">
        <v>10</v>
      </c>
      <c r="E13" s="279"/>
      <c r="F13" s="281">
        <f>ROUND(1520*per_Euro*USD_Inflation_Factor*USD_Change_IRR,-3)</f>
        <v>946892000</v>
      </c>
      <c r="G13" s="281">
        <v>0</v>
      </c>
      <c r="H13" s="70">
        <f t="shared" si="0"/>
        <v>9468920000</v>
      </c>
      <c r="I13" s="70">
        <f t="shared" si="1"/>
        <v>0</v>
      </c>
      <c r="J13" s="1586"/>
      <c r="K13" s="1487"/>
    </row>
    <row r="14" spans="1:11">
      <c r="A14" s="277">
        <v>5</v>
      </c>
      <c r="B14" s="278" t="s">
        <v>818</v>
      </c>
      <c r="C14" s="280" t="s">
        <v>811</v>
      </c>
      <c r="D14" s="280">
        <v>23</v>
      </c>
      <c r="E14" s="279"/>
      <c r="F14" s="281">
        <f>ROUND(1850*per_Euro*USD_Inflation_Factor*USD_Change_IRR,-3)</f>
        <v>1152467000</v>
      </c>
      <c r="G14" s="281">
        <v>0</v>
      </c>
      <c r="H14" s="70">
        <f t="shared" ref="H14:H32" si="2">D14*F14</f>
        <v>26506741000</v>
      </c>
      <c r="I14" s="70">
        <f t="shared" si="1"/>
        <v>0</v>
      </c>
      <c r="J14" s="1586"/>
      <c r="K14" s="1487"/>
    </row>
    <row r="15" spans="1:11">
      <c r="A15" s="277">
        <v>6</v>
      </c>
      <c r="B15" s="278" t="s">
        <v>819</v>
      </c>
      <c r="C15" s="280" t="s">
        <v>811</v>
      </c>
      <c r="D15" s="280">
        <v>37</v>
      </c>
      <c r="E15" s="279"/>
      <c r="F15" s="281">
        <f>ROUND(1150*per_Euro*USD_Inflation_Factor*USD_Change_IRR,-3)</f>
        <v>716398000</v>
      </c>
      <c r="G15" s="281">
        <v>0</v>
      </c>
      <c r="H15" s="70">
        <f t="shared" si="2"/>
        <v>26506726000</v>
      </c>
      <c r="I15" s="70">
        <f t="shared" si="1"/>
        <v>0</v>
      </c>
      <c r="J15" s="1586"/>
      <c r="K15" s="1487"/>
    </row>
    <row r="16" spans="1:11">
      <c r="A16" s="277">
        <v>7</v>
      </c>
      <c r="B16" s="278" t="s">
        <v>820</v>
      </c>
      <c r="C16" s="280" t="s">
        <v>811</v>
      </c>
      <c r="D16" s="280">
        <v>6</v>
      </c>
      <c r="E16" s="279"/>
      <c r="F16" s="281">
        <f>ROUND(1050*per_Euro*USD_Inflation_Factor*USD_Change_IRR,-3)</f>
        <v>654103000</v>
      </c>
      <c r="G16" s="281">
        <v>0</v>
      </c>
      <c r="H16" s="70">
        <f t="shared" si="2"/>
        <v>3924618000</v>
      </c>
      <c r="I16" s="70">
        <f t="shared" si="1"/>
        <v>0</v>
      </c>
      <c r="J16" s="1586"/>
      <c r="K16" s="1487"/>
    </row>
    <row r="17" spans="1:11">
      <c r="A17" s="277">
        <v>8</v>
      </c>
      <c r="B17" s="278" t="s">
        <v>821</v>
      </c>
      <c r="C17" s="280" t="s">
        <v>811</v>
      </c>
      <c r="D17" s="280">
        <v>14</v>
      </c>
      <c r="E17" s="279"/>
      <c r="F17" s="281">
        <f>ROUND(3500*per_Euro*USD_Inflation_Factor*USD_Change_IRR,-3)</f>
        <v>2180342000</v>
      </c>
      <c r="G17" s="281">
        <v>0</v>
      </c>
      <c r="H17" s="70">
        <f t="shared" si="2"/>
        <v>30524788000</v>
      </c>
      <c r="I17" s="70">
        <f t="shared" si="1"/>
        <v>0</v>
      </c>
      <c r="J17" s="1586"/>
      <c r="K17" s="1487"/>
    </row>
    <row r="18" spans="1:11">
      <c r="A18" s="277">
        <v>9</v>
      </c>
      <c r="B18" s="278" t="s">
        <v>822</v>
      </c>
      <c r="C18" s="280" t="s">
        <v>811</v>
      </c>
      <c r="D18" s="280">
        <v>2</v>
      </c>
      <c r="E18" s="279"/>
      <c r="F18" s="281">
        <f>ROUND(8500*per_Euro*USD_Inflation_Factor*USD_Change_IRR,-3)</f>
        <v>5295117000</v>
      </c>
      <c r="G18" s="281">
        <v>0</v>
      </c>
      <c r="H18" s="70">
        <f t="shared" si="2"/>
        <v>10590234000</v>
      </c>
      <c r="I18" s="70">
        <f t="shared" si="1"/>
        <v>0</v>
      </c>
      <c r="J18" s="1586"/>
      <c r="K18" s="1487"/>
    </row>
    <row r="19" spans="1:11" ht="25.5">
      <c r="A19" s="277">
        <v>10</v>
      </c>
      <c r="B19" s="278" t="s">
        <v>823</v>
      </c>
      <c r="C19" s="280" t="s">
        <v>811</v>
      </c>
      <c r="D19" s="280">
        <v>31</v>
      </c>
      <c r="E19" s="279"/>
      <c r="F19" s="281">
        <f>ROUND(3900*per_Euro*USD_Inflation_Factor*USD_Change_IRR,-3)</f>
        <v>2429524000</v>
      </c>
      <c r="G19" s="281">
        <v>0</v>
      </c>
      <c r="H19" s="70">
        <f t="shared" si="2"/>
        <v>75315244000</v>
      </c>
      <c r="I19" s="70">
        <f t="shared" si="1"/>
        <v>0</v>
      </c>
      <c r="J19" s="1586"/>
      <c r="K19" s="1487"/>
    </row>
    <row r="20" spans="1:11" ht="25.5">
      <c r="A20" s="277">
        <v>11</v>
      </c>
      <c r="B20" s="278" t="s">
        <v>824</v>
      </c>
      <c r="C20" s="280" t="s">
        <v>811</v>
      </c>
      <c r="D20" s="280">
        <v>7</v>
      </c>
      <c r="E20" s="279"/>
      <c r="F20" s="281">
        <f>ROUND(3870*per_Euro*USD_Inflation_Factor*USD_Change_IRR,-3)</f>
        <v>2410836000</v>
      </c>
      <c r="G20" s="281">
        <v>0</v>
      </c>
      <c r="H20" s="70">
        <f t="shared" si="2"/>
        <v>16875852000</v>
      </c>
      <c r="I20" s="70">
        <f t="shared" si="1"/>
        <v>0</v>
      </c>
      <c r="J20" s="1586"/>
      <c r="K20" s="1487"/>
    </row>
    <row r="21" spans="1:11" ht="25.5">
      <c r="A21" s="277">
        <v>12</v>
      </c>
      <c r="B21" s="278" t="s">
        <v>825</v>
      </c>
      <c r="C21" s="280" t="s">
        <v>811</v>
      </c>
      <c r="D21" s="280">
        <v>8</v>
      </c>
      <c r="E21" s="279"/>
      <c r="F21" s="281">
        <f>ROUND(11300*per_Euro*USD_Inflation_Factor*USD_Change_IRR,-3)</f>
        <v>7039391000</v>
      </c>
      <c r="G21" s="281">
        <v>0</v>
      </c>
      <c r="H21" s="70">
        <f t="shared" si="2"/>
        <v>56315128000</v>
      </c>
      <c r="I21" s="70">
        <f t="shared" si="1"/>
        <v>0</v>
      </c>
      <c r="J21" s="1586"/>
      <c r="K21" s="1487"/>
    </row>
    <row r="22" spans="1:11" ht="25.5">
      <c r="A22" s="277">
        <v>13</v>
      </c>
      <c r="B22" s="278" t="s">
        <v>826</v>
      </c>
      <c r="C22" s="280" t="s">
        <v>811</v>
      </c>
      <c r="D22" s="280">
        <v>7</v>
      </c>
      <c r="E22" s="279"/>
      <c r="F22" s="281">
        <f>ROUND(1950*per_Euro*USD_Inflation_Factor*USD_Change_IRR,-3)</f>
        <v>1214762000</v>
      </c>
      <c r="G22" s="281">
        <v>0</v>
      </c>
      <c r="H22" s="70">
        <f t="shared" si="2"/>
        <v>8503334000</v>
      </c>
      <c r="I22" s="70">
        <f t="shared" si="1"/>
        <v>0</v>
      </c>
      <c r="J22" s="1586"/>
      <c r="K22" s="1487"/>
    </row>
    <row r="23" spans="1:11" ht="25.5">
      <c r="A23" s="277">
        <v>14</v>
      </c>
      <c r="B23" s="278" t="s">
        <v>827</v>
      </c>
      <c r="C23" s="280" t="s">
        <v>811</v>
      </c>
      <c r="D23" s="280">
        <v>134</v>
      </c>
      <c r="E23" s="279"/>
      <c r="F23" s="281">
        <f>ROUND(375*per_Euro*USD_Inflation_Factor*USD_Change_IRR,-3)</f>
        <v>233608000</v>
      </c>
      <c r="G23" s="281">
        <v>0</v>
      </c>
      <c r="H23" s="70">
        <f t="shared" si="2"/>
        <v>31303472000</v>
      </c>
      <c r="I23" s="70">
        <f t="shared" si="1"/>
        <v>0</v>
      </c>
      <c r="J23" s="1586"/>
      <c r="K23" s="1487"/>
    </row>
    <row r="24" spans="1:11" ht="25.5">
      <c r="A24" s="288" t="s">
        <v>828</v>
      </c>
      <c r="B24" s="278" t="s">
        <v>829</v>
      </c>
      <c r="C24" s="280" t="s">
        <v>811</v>
      </c>
      <c r="D24" s="280">
        <v>28</v>
      </c>
      <c r="E24" s="279"/>
      <c r="F24" s="281">
        <f>ROUND(1540*per_Euro*USD_Inflation_Factor*USD_Change_IRR,-3)</f>
        <v>959351000</v>
      </c>
      <c r="G24" s="281">
        <v>0</v>
      </c>
      <c r="H24" s="70">
        <f t="shared" si="2"/>
        <v>26861828000</v>
      </c>
      <c r="I24" s="70">
        <f t="shared" si="1"/>
        <v>0</v>
      </c>
      <c r="J24" s="1586"/>
      <c r="K24" s="1487"/>
    </row>
    <row r="25" spans="1:11" ht="25.5">
      <c r="A25" s="288" t="s">
        <v>830</v>
      </c>
      <c r="B25" s="278" t="s">
        <v>831</v>
      </c>
      <c r="C25" s="280" t="s">
        <v>811</v>
      </c>
      <c r="D25" s="280">
        <v>97</v>
      </c>
      <c r="E25" s="279"/>
      <c r="F25" s="281">
        <f>ROUND(1180*per_Euro*USD_Inflation_Factor*USD_Change_IRR,-3)</f>
        <v>735087000</v>
      </c>
      <c r="G25" s="281">
        <v>0</v>
      </c>
      <c r="H25" s="70">
        <f t="shared" si="2"/>
        <v>71303439000</v>
      </c>
      <c r="I25" s="70">
        <f t="shared" si="1"/>
        <v>0</v>
      </c>
      <c r="J25" s="1586"/>
      <c r="K25" s="1487"/>
    </row>
    <row r="26" spans="1:11" ht="25.5">
      <c r="A26" s="288" t="s">
        <v>832</v>
      </c>
      <c r="B26" s="278" t="s">
        <v>833</v>
      </c>
      <c r="C26" s="280" t="s">
        <v>811</v>
      </c>
      <c r="D26" s="280">
        <v>82</v>
      </c>
      <c r="E26" s="279"/>
      <c r="F26" s="281">
        <f>ROUND(1780*per_Euro*USD_Inflation_Factor*USD_Change_IRR,-3)</f>
        <v>1108860000</v>
      </c>
      <c r="G26" s="281">
        <v>0</v>
      </c>
      <c r="H26" s="70">
        <f t="shared" si="2"/>
        <v>90926520000</v>
      </c>
      <c r="I26" s="70">
        <f t="shared" si="1"/>
        <v>0</v>
      </c>
      <c r="J26" s="1586"/>
      <c r="K26" s="1487"/>
    </row>
    <row r="27" spans="1:11" ht="25.5">
      <c r="A27" s="288" t="s">
        <v>834</v>
      </c>
      <c r="B27" s="278" t="s">
        <v>835</v>
      </c>
      <c r="C27" s="280" t="s">
        <v>811</v>
      </c>
      <c r="D27" s="280">
        <v>17</v>
      </c>
      <c r="E27" s="279"/>
      <c r="F27" s="281">
        <f>ROUND(1510*per_Euro*USD_Inflation_Factor*USD_Change_IRR,-3)</f>
        <v>940662000</v>
      </c>
      <c r="G27" s="281">
        <v>0</v>
      </c>
      <c r="H27" s="70">
        <f t="shared" si="2"/>
        <v>15991254000</v>
      </c>
      <c r="I27" s="70">
        <f t="shared" si="1"/>
        <v>0</v>
      </c>
      <c r="J27" s="1586"/>
      <c r="K27" s="1487"/>
    </row>
    <row r="28" spans="1:11" ht="25.5">
      <c r="A28" s="277">
        <v>19</v>
      </c>
      <c r="B28" s="278" t="s">
        <v>836</v>
      </c>
      <c r="C28" s="280" t="s">
        <v>811</v>
      </c>
      <c r="D28" s="280">
        <v>34</v>
      </c>
      <c r="E28" s="279"/>
      <c r="F28" s="281">
        <f>ROUND(1920*per_Euro*USD_Inflation_Factor*USD_Change_IRR,-3)</f>
        <v>1196074000</v>
      </c>
      <c r="G28" s="281">
        <v>0</v>
      </c>
      <c r="H28" s="70">
        <f t="shared" si="2"/>
        <v>40666516000</v>
      </c>
      <c r="I28" s="70">
        <f t="shared" si="1"/>
        <v>0</v>
      </c>
      <c r="J28" s="1586"/>
      <c r="K28" s="1487"/>
    </row>
    <row r="29" spans="1:11" ht="15" customHeight="1">
      <c r="A29" s="288" t="s">
        <v>837</v>
      </c>
      <c r="B29" s="278" t="s">
        <v>838</v>
      </c>
      <c r="C29" s="280" t="s">
        <v>811</v>
      </c>
      <c r="D29" s="280">
        <v>8</v>
      </c>
      <c r="E29" s="279"/>
      <c r="F29" s="281">
        <f>ROUND(1530*per_Euro*USD_Inflation_Factor*USD_Change_IRR,-3)</f>
        <v>953121000</v>
      </c>
      <c r="G29" s="281">
        <v>0</v>
      </c>
      <c r="H29" s="70">
        <f t="shared" si="2"/>
        <v>7624968000</v>
      </c>
      <c r="I29" s="70">
        <f t="shared" si="1"/>
        <v>0</v>
      </c>
      <c r="J29" s="1586"/>
      <c r="K29" s="1487"/>
    </row>
    <row r="30" spans="1:11" ht="25.5">
      <c r="A30" s="277">
        <v>21</v>
      </c>
      <c r="B30" s="278" t="s">
        <v>839</v>
      </c>
      <c r="C30" s="280" t="s">
        <v>811</v>
      </c>
      <c r="D30" s="279">
        <v>57</v>
      </c>
      <c r="E30" s="279"/>
      <c r="F30" s="281">
        <f>ROUND(780*per_Euro*USD_Inflation_Factor*USD_Change_IRR,-3)</f>
        <v>485905000</v>
      </c>
      <c r="G30" s="281">
        <v>0</v>
      </c>
      <c r="H30" s="70">
        <f t="shared" si="2"/>
        <v>27696585000</v>
      </c>
      <c r="I30" s="70">
        <f t="shared" si="1"/>
        <v>0</v>
      </c>
      <c r="J30" s="1586"/>
      <c r="K30" s="1487"/>
    </row>
    <row r="31" spans="1:11">
      <c r="A31" s="277">
        <v>22</v>
      </c>
      <c r="B31" s="278" t="s">
        <v>840</v>
      </c>
      <c r="C31" s="280" t="s">
        <v>811</v>
      </c>
      <c r="D31" s="280">
        <v>1</v>
      </c>
      <c r="E31" s="279"/>
      <c r="F31" s="281">
        <f>ROUND(8000*per_Euro*USD_Inflation_Factor*USD_Change_IRR,-3)</f>
        <v>4983640000</v>
      </c>
      <c r="G31" s="281">
        <v>0</v>
      </c>
      <c r="H31" s="70">
        <f t="shared" si="2"/>
        <v>4983640000</v>
      </c>
      <c r="I31" s="70">
        <f t="shared" si="1"/>
        <v>0</v>
      </c>
      <c r="J31" s="1586"/>
      <c r="K31" s="1487"/>
    </row>
    <row r="32" spans="1:11">
      <c r="A32" s="277">
        <v>23</v>
      </c>
      <c r="B32" s="278" t="s">
        <v>841</v>
      </c>
      <c r="C32" s="280" t="s">
        <v>811</v>
      </c>
      <c r="D32" s="280">
        <v>1</v>
      </c>
      <c r="E32" s="279"/>
      <c r="F32" s="281">
        <f>ROUND(175000*per_Euro*USD_Inflation_Factor*USD_Change_IRR,-3)</f>
        <v>109017124000</v>
      </c>
      <c r="G32" s="281">
        <v>0</v>
      </c>
      <c r="H32" s="70">
        <f t="shared" si="2"/>
        <v>109017124000</v>
      </c>
      <c r="I32" s="70">
        <f t="shared" si="1"/>
        <v>0</v>
      </c>
      <c r="J32" s="1586"/>
      <c r="K32" s="1487"/>
    </row>
    <row r="33" spans="1:11">
      <c r="A33" s="290">
        <v>24</v>
      </c>
      <c r="B33" s="291" t="s">
        <v>842</v>
      </c>
      <c r="C33" s="280"/>
      <c r="D33" s="280"/>
      <c r="E33" s="279"/>
      <c r="F33" s="70"/>
      <c r="G33" s="281"/>
      <c r="H33" s="70"/>
      <c r="I33" s="70"/>
      <c r="J33" s="1586"/>
      <c r="K33" s="1487"/>
    </row>
    <row r="34" spans="1:11" outlineLevel="1">
      <c r="A34" s="282" t="s">
        <v>843</v>
      </c>
      <c r="B34" s="283" t="s">
        <v>844</v>
      </c>
      <c r="C34" s="279" t="s">
        <v>811</v>
      </c>
      <c r="D34" s="279">
        <v>3</v>
      </c>
      <c r="E34" s="279"/>
      <c r="F34" s="281">
        <f>ROUND(4816*per_Euro*USD_Inflation_Factor*USD_Change_IRR,-3)</f>
        <v>3000151000</v>
      </c>
      <c r="G34" s="289">
        <v>0</v>
      </c>
      <c r="H34" s="70">
        <f t="shared" ref="H34:H55" si="3">D34*F34</f>
        <v>9000453000</v>
      </c>
      <c r="I34" s="70">
        <f>D34*G34</f>
        <v>0</v>
      </c>
      <c r="J34" s="1586"/>
      <c r="K34" s="1487"/>
    </row>
    <row r="35" spans="1:11" outlineLevel="1">
      <c r="A35" s="282" t="s">
        <v>845</v>
      </c>
      <c r="B35" s="283" t="s">
        <v>846</v>
      </c>
      <c r="C35" s="279" t="s">
        <v>811</v>
      </c>
      <c r="D35" s="279">
        <v>1</v>
      </c>
      <c r="E35" s="279"/>
      <c r="F35" s="281">
        <f>ROUND(5000*per_Euro*USD_Inflation_Factor*USD_Change_IRR,-3)</f>
        <v>3114775000</v>
      </c>
      <c r="G35" s="289">
        <v>0</v>
      </c>
      <c r="H35" s="70">
        <f t="shared" si="3"/>
        <v>3114775000</v>
      </c>
      <c r="I35" s="70">
        <f t="shared" ref="I35:I45" si="4">D35*G35</f>
        <v>0</v>
      </c>
      <c r="J35" s="1586"/>
      <c r="K35" s="1487"/>
    </row>
    <row r="36" spans="1:11" outlineLevel="1">
      <c r="A36" s="282" t="s">
        <v>847</v>
      </c>
      <c r="B36" s="283" t="s">
        <v>848</v>
      </c>
      <c r="C36" s="279" t="s">
        <v>811</v>
      </c>
      <c r="D36" s="279">
        <v>8</v>
      </c>
      <c r="E36" s="279"/>
      <c r="F36" s="281">
        <f>ROUND(5315*per_Euro*USD_Inflation_Factor*USD_Change_IRR,-3)</f>
        <v>3311006000</v>
      </c>
      <c r="G36" s="289">
        <v>0</v>
      </c>
      <c r="H36" s="70">
        <f t="shared" si="3"/>
        <v>26488048000</v>
      </c>
      <c r="I36" s="70">
        <f t="shared" si="4"/>
        <v>0</v>
      </c>
      <c r="J36" s="1586"/>
      <c r="K36" s="1487"/>
    </row>
    <row r="37" spans="1:11" outlineLevel="1">
      <c r="A37" s="282" t="s">
        <v>849</v>
      </c>
      <c r="B37" s="283" t="s">
        <v>850</v>
      </c>
      <c r="C37" s="279" t="s">
        <v>811</v>
      </c>
      <c r="D37" s="279">
        <v>8</v>
      </c>
      <c r="E37" s="279"/>
      <c r="F37" s="281">
        <f>ROUND(6500*per_Euro*USD_Inflation_Factor*USD_Change_IRR,-3)</f>
        <v>4049207000</v>
      </c>
      <c r="G37" s="289">
        <v>0</v>
      </c>
      <c r="H37" s="70">
        <f t="shared" si="3"/>
        <v>32393656000</v>
      </c>
      <c r="I37" s="70">
        <f t="shared" si="4"/>
        <v>0</v>
      </c>
      <c r="J37" s="1586"/>
      <c r="K37" s="1487"/>
    </row>
    <row r="38" spans="1:11" outlineLevel="1">
      <c r="A38" s="282" t="s">
        <v>851</v>
      </c>
      <c r="B38" s="283" t="s">
        <v>852</v>
      </c>
      <c r="C38" s="279" t="s">
        <v>811</v>
      </c>
      <c r="D38" s="279">
        <v>2</v>
      </c>
      <c r="E38" s="279"/>
      <c r="F38" s="281">
        <f>ROUND(10500*per_Euro*USD_Inflation_Factor*USD_Change_IRR,-3)</f>
        <v>6541027000</v>
      </c>
      <c r="G38" s="289">
        <v>0</v>
      </c>
      <c r="H38" s="70">
        <f t="shared" si="3"/>
        <v>13082054000</v>
      </c>
      <c r="I38" s="70">
        <f t="shared" si="4"/>
        <v>0</v>
      </c>
      <c r="J38" s="1586"/>
      <c r="K38" s="1487"/>
    </row>
    <row r="39" spans="1:11" outlineLevel="1">
      <c r="A39" s="282" t="s">
        <v>853</v>
      </c>
      <c r="B39" s="283" t="s">
        <v>854</v>
      </c>
      <c r="C39" s="279" t="s">
        <v>811</v>
      </c>
      <c r="D39" s="279">
        <v>4</v>
      </c>
      <c r="E39" s="279"/>
      <c r="F39" s="281">
        <f>ROUND(9500*per_Euro*USD_Inflation_Factor*USD_Change_IRR,-3)</f>
        <v>5918072000</v>
      </c>
      <c r="G39" s="289">
        <v>0</v>
      </c>
      <c r="H39" s="70">
        <f t="shared" si="3"/>
        <v>23672288000</v>
      </c>
      <c r="I39" s="70">
        <f t="shared" si="4"/>
        <v>0</v>
      </c>
      <c r="J39" s="1586"/>
      <c r="K39" s="1487"/>
    </row>
    <row r="40" spans="1:11" outlineLevel="1">
      <c r="A40" s="282" t="s">
        <v>855</v>
      </c>
      <c r="B40" s="283" t="s">
        <v>856</v>
      </c>
      <c r="C40" s="279" t="s">
        <v>811</v>
      </c>
      <c r="D40" s="279">
        <v>6</v>
      </c>
      <c r="E40" s="279"/>
      <c r="F40" s="281">
        <f>ROUND(15200*per_Euro*USD_Inflation_Factor*USD_Change_IRR,-3)</f>
        <v>9468916000</v>
      </c>
      <c r="G40" s="289">
        <v>0</v>
      </c>
      <c r="H40" s="70">
        <f t="shared" si="3"/>
        <v>56813496000</v>
      </c>
      <c r="I40" s="70">
        <f t="shared" si="4"/>
        <v>0</v>
      </c>
      <c r="J40" s="1586"/>
      <c r="K40" s="1487"/>
    </row>
    <row r="41" spans="1:11" outlineLevel="1">
      <c r="A41" s="282" t="s">
        <v>857</v>
      </c>
      <c r="B41" s="283" t="s">
        <v>858</v>
      </c>
      <c r="C41" s="279" t="s">
        <v>811</v>
      </c>
      <c r="D41" s="279">
        <v>7</v>
      </c>
      <c r="E41" s="279"/>
      <c r="F41" s="281">
        <f>ROUND(10195*per_Euro*USD_Inflation_Factor*USD_Change_IRR,-3)</f>
        <v>6351026000</v>
      </c>
      <c r="G41" s="289">
        <v>0</v>
      </c>
      <c r="H41" s="70">
        <f t="shared" si="3"/>
        <v>44457182000</v>
      </c>
      <c r="I41" s="70">
        <f t="shared" si="4"/>
        <v>0</v>
      </c>
      <c r="J41" s="1586"/>
      <c r="K41" s="1487"/>
    </row>
    <row r="42" spans="1:11" outlineLevel="1">
      <c r="A42" s="282" t="s">
        <v>859</v>
      </c>
      <c r="B42" s="283" t="s">
        <v>860</v>
      </c>
      <c r="C42" s="279" t="s">
        <v>811</v>
      </c>
      <c r="D42" s="279">
        <v>1</v>
      </c>
      <c r="E42" s="279"/>
      <c r="F42" s="281">
        <f>ROUND(15740*per_Euro*USD_Inflation_Factor*USD_Change_IRR,-3)</f>
        <v>9805312000</v>
      </c>
      <c r="G42" s="289">
        <v>0</v>
      </c>
      <c r="H42" s="70">
        <f t="shared" si="3"/>
        <v>9805312000</v>
      </c>
      <c r="I42" s="70">
        <f t="shared" si="4"/>
        <v>0</v>
      </c>
      <c r="J42" s="1586"/>
      <c r="K42" s="1487"/>
    </row>
    <row r="43" spans="1:11" outlineLevel="1">
      <c r="A43" s="282" t="s">
        <v>861</v>
      </c>
      <c r="B43" s="283" t="s">
        <v>862</v>
      </c>
      <c r="C43" s="279" t="s">
        <v>811</v>
      </c>
      <c r="D43" s="279">
        <v>4</v>
      </c>
      <c r="E43" s="279"/>
      <c r="F43" s="281">
        <f>ROUND(19638*per_Euro*USD_Inflation_Factor*USD_Change_IRR,-3)</f>
        <v>12233590000</v>
      </c>
      <c r="G43" s="289">
        <v>0</v>
      </c>
      <c r="H43" s="70">
        <f t="shared" si="3"/>
        <v>48934360000</v>
      </c>
      <c r="I43" s="70">
        <f t="shared" si="4"/>
        <v>0</v>
      </c>
      <c r="J43" s="1586"/>
      <c r="K43" s="1487"/>
    </row>
    <row r="44" spans="1:11" outlineLevel="1">
      <c r="A44" s="282" t="s">
        <v>863</v>
      </c>
      <c r="B44" s="283" t="s">
        <v>864</v>
      </c>
      <c r="C44" s="279" t="s">
        <v>811</v>
      </c>
      <c r="D44" s="279">
        <v>2</v>
      </c>
      <c r="E44" s="279"/>
      <c r="F44" s="281">
        <f>ROUND(28000*per_Euro*USD_Inflation_Factor*USD_Change_IRR,-3)</f>
        <v>17442740000</v>
      </c>
      <c r="G44" s="289">
        <v>0</v>
      </c>
      <c r="H44" s="70">
        <f t="shared" si="3"/>
        <v>34885480000</v>
      </c>
      <c r="I44" s="70">
        <f t="shared" si="4"/>
        <v>0</v>
      </c>
      <c r="J44" s="1586"/>
      <c r="K44" s="1487"/>
    </row>
    <row r="45" spans="1:11" outlineLevel="1">
      <c r="A45" s="282" t="s">
        <v>865</v>
      </c>
      <c r="B45" s="283" t="s">
        <v>866</v>
      </c>
      <c r="C45" s="279" t="s">
        <v>811</v>
      </c>
      <c r="D45" s="279">
        <v>2</v>
      </c>
      <c r="E45" s="279"/>
      <c r="F45" s="281">
        <f>ROUND(45000*per_Euro*USD_Inflation_Factor*USD_Change_IRR,-3)</f>
        <v>28032975000</v>
      </c>
      <c r="G45" s="289">
        <v>0</v>
      </c>
      <c r="H45" s="70">
        <f t="shared" si="3"/>
        <v>56065950000</v>
      </c>
      <c r="I45" s="70">
        <f t="shared" si="4"/>
        <v>0</v>
      </c>
      <c r="J45" s="1586"/>
      <c r="K45" s="1487"/>
    </row>
    <row r="46" spans="1:11" ht="25.5">
      <c r="A46" s="290">
        <v>25</v>
      </c>
      <c r="B46" s="291" t="s">
        <v>867</v>
      </c>
      <c r="C46" s="280" t="s">
        <v>811</v>
      </c>
      <c r="D46" s="280">
        <v>1</v>
      </c>
      <c r="E46" s="279"/>
      <c r="F46" s="281">
        <f>ROUND(5822*per_Euro*USD_Inflation_Factor*USD_Change_IRR,-3)</f>
        <v>3626844000</v>
      </c>
      <c r="G46" s="281">
        <v>0</v>
      </c>
      <c r="H46" s="70">
        <f t="shared" si="3"/>
        <v>3626844000</v>
      </c>
      <c r="I46" s="70"/>
      <c r="J46" s="1586"/>
      <c r="K46" s="1487"/>
    </row>
    <row r="47" spans="1:11" ht="14.25" customHeight="1">
      <c r="A47" s="290">
        <v>26</v>
      </c>
      <c r="B47" s="291" t="s">
        <v>868</v>
      </c>
      <c r="C47" s="280"/>
      <c r="D47" s="280"/>
      <c r="E47" s="279"/>
      <c r="F47" s="70"/>
      <c r="G47" s="281"/>
      <c r="H47" s="70"/>
      <c r="I47" s="70"/>
      <c r="J47" s="1586"/>
      <c r="K47" s="1487"/>
    </row>
    <row r="48" spans="1:11" outlineLevel="1">
      <c r="A48" s="282" t="s">
        <v>869</v>
      </c>
      <c r="B48" s="283" t="s">
        <v>844</v>
      </c>
      <c r="C48" s="279" t="s">
        <v>811</v>
      </c>
      <c r="D48" s="279">
        <v>1</v>
      </c>
      <c r="E48" s="279"/>
      <c r="F48" s="281">
        <f>ROUND(3000*per_Euro*USD_Inflation_Factor*USD_Change_IRR,-3)</f>
        <v>1868865000</v>
      </c>
      <c r="G48" s="289">
        <v>0</v>
      </c>
      <c r="H48" s="70">
        <f t="shared" si="3"/>
        <v>1868865000</v>
      </c>
      <c r="I48" s="70">
        <f t="shared" ref="I48:I65" si="5">D48*G48</f>
        <v>0</v>
      </c>
      <c r="J48" s="1586"/>
      <c r="K48" s="1487"/>
    </row>
    <row r="49" spans="1:11" outlineLevel="1">
      <c r="A49" s="282" t="s">
        <v>870</v>
      </c>
      <c r="B49" s="283" t="s">
        <v>848</v>
      </c>
      <c r="C49" s="279" t="s">
        <v>811</v>
      </c>
      <c r="D49" s="279">
        <v>5</v>
      </c>
      <c r="E49" s="279"/>
      <c r="F49" s="281">
        <f>ROUND(3500*per_Euro*USD_Inflation_Factor*USD_Change_IRR,-3)</f>
        <v>2180342000</v>
      </c>
      <c r="G49" s="289">
        <v>0</v>
      </c>
      <c r="H49" s="70">
        <f t="shared" si="3"/>
        <v>10901710000</v>
      </c>
      <c r="I49" s="70">
        <f t="shared" si="5"/>
        <v>0</v>
      </c>
      <c r="J49" s="1586"/>
      <c r="K49" s="1487"/>
    </row>
    <row r="50" spans="1:11" outlineLevel="1">
      <c r="A50" s="282" t="s">
        <v>871</v>
      </c>
      <c r="B50" s="283" t="s">
        <v>854</v>
      </c>
      <c r="C50" s="279" t="s">
        <v>811</v>
      </c>
      <c r="D50" s="279">
        <v>5</v>
      </c>
      <c r="E50" s="279"/>
      <c r="F50" s="281">
        <f>ROUND(4000*per_Euro*USD_Inflation_Factor*USD_Change_IRR,-3)</f>
        <v>2491820000</v>
      </c>
      <c r="G50" s="289">
        <v>0</v>
      </c>
      <c r="H50" s="70">
        <f t="shared" si="3"/>
        <v>12459100000</v>
      </c>
      <c r="I50" s="70">
        <f t="shared" si="5"/>
        <v>0</v>
      </c>
      <c r="J50" s="1586"/>
      <c r="K50" s="1487"/>
    </row>
    <row r="51" spans="1:11" outlineLevel="1">
      <c r="A51" s="282" t="s">
        <v>872</v>
      </c>
      <c r="B51" s="283" t="s">
        <v>858</v>
      </c>
      <c r="C51" s="279" t="s">
        <v>811</v>
      </c>
      <c r="D51" s="279">
        <v>7</v>
      </c>
      <c r="E51" s="279"/>
      <c r="F51" s="281">
        <f>ROUND(7000*per_Euro*USD_Inflation_Factor*USD_Change_IRR,-3)</f>
        <v>4360685000</v>
      </c>
      <c r="G51" s="289">
        <v>0</v>
      </c>
      <c r="H51" s="70">
        <f t="shared" si="3"/>
        <v>30524795000</v>
      </c>
      <c r="I51" s="70">
        <f t="shared" si="5"/>
        <v>0</v>
      </c>
      <c r="J51" s="1586"/>
      <c r="K51" s="1487"/>
    </row>
    <row r="52" spans="1:11" outlineLevel="1">
      <c r="A52" s="282" t="s">
        <v>873</v>
      </c>
      <c r="B52" s="283" t="s">
        <v>874</v>
      </c>
      <c r="C52" s="279" t="s">
        <v>811</v>
      </c>
      <c r="D52" s="279">
        <v>2</v>
      </c>
      <c r="E52" s="279"/>
      <c r="F52" s="281">
        <f>ROUND(9000*per_Euro*USD_Inflation_Factor*USD_Change_IRR,-3)</f>
        <v>5606595000</v>
      </c>
      <c r="G52" s="289">
        <v>0</v>
      </c>
      <c r="H52" s="70">
        <f t="shared" si="3"/>
        <v>11213190000</v>
      </c>
      <c r="I52" s="70">
        <f t="shared" si="5"/>
        <v>0</v>
      </c>
      <c r="J52" s="1586"/>
      <c r="K52" s="1487"/>
    </row>
    <row r="53" spans="1:11" outlineLevel="1">
      <c r="A53" s="282" t="s">
        <v>875</v>
      </c>
      <c r="B53" s="283" t="s">
        <v>862</v>
      </c>
      <c r="C53" s="279" t="s">
        <v>811</v>
      </c>
      <c r="D53" s="279">
        <v>18</v>
      </c>
      <c r="E53" s="279"/>
      <c r="F53" s="281">
        <f>ROUND(14500*per_Euro*USD_Inflation_Factor*USD_Change_IRR,-3)</f>
        <v>9032847000</v>
      </c>
      <c r="G53" s="289">
        <v>0</v>
      </c>
      <c r="H53" s="70">
        <f t="shared" si="3"/>
        <v>162591246000</v>
      </c>
      <c r="I53" s="70">
        <f t="shared" si="5"/>
        <v>0</v>
      </c>
      <c r="J53" s="1586"/>
      <c r="K53" s="1487"/>
    </row>
    <row r="54" spans="1:11" outlineLevel="1">
      <c r="A54" s="282" t="s">
        <v>876</v>
      </c>
      <c r="B54" s="283" t="s">
        <v>864</v>
      </c>
      <c r="C54" s="279" t="s">
        <v>811</v>
      </c>
      <c r="D54" s="279">
        <v>6</v>
      </c>
      <c r="E54" s="279"/>
      <c r="F54" s="281">
        <f>ROUND(25000*per_Euro*USD_Inflation_Factor*USD_Change_IRR,-3)</f>
        <v>15573875000</v>
      </c>
      <c r="G54" s="289">
        <v>0</v>
      </c>
      <c r="H54" s="70">
        <f t="shared" si="3"/>
        <v>93443250000</v>
      </c>
      <c r="I54" s="70">
        <f t="shared" si="5"/>
        <v>0</v>
      </c>
      <c r="J54" s="1586"/>
      <c r="K54" s="1487"/>
    </row>
    <row r="55" spans="1:11" outlineLevel="1">
      <c r="A55" s="282" t="s">
        <v>877</v>
      </c>
      <c r="B55" s="283" t="s">
        <v>878</v>
      </c>
      <c r="C55" s="279" t="s">
        <v>811</v>
      </c>
      <c r="D55" s="279">
        <v>5</v>
      </c>
      <c r="E55" s="279"/>
      <c r="F55" s="281">
        <f>ROUND(50000*per_Euro*USD_Inflation_Factor*USD_Change_IRR,-3)</f>
        <v>31147750000</v>
      </c>
      <c r="G55" s="289">
        <v>0</v>
      </c>
      <c r="H55" s="70">
        <f t="shared" si="3"/>
        <v>155738750000</v>
      </c>
      <c r="I55" s="70">
        <f t="shared" si="5"/>
        <v>0</v>
      </c>
      <c r="J55" s="1586"/>
      <c r="K55" s="1487"/>
    </row>
    <row r="56" spans="1:11">
      <c r="A56" s="290">
        <v>27</v>
      </c>
      <c r="B56" s="291" t="s">
        <v>879</v>
      </c>
      <c r="C56" s="280"/>
      <c r="D56" s="280"/>
      <c r="E56" s="279"/>
      <c r="F56" s="292"/>
      <c r="G56" s="281"/>
      <c r="H56" s="292"/>
      <c r="I56" s="70"/>
      <c r="J56" s="1586"/>
      <c r="K56" s="1487"/>
    </row>
    <row r="57" spans="1:11" outlineLevel="1">
      <c r="A57" s="282" t="s">
        <v>880</v>
      </c>
      <c r="B57" s="283" t="s">
        <v>881</v>
      </c>
      <c r="C57" s="279" t="s">
        <v>811</v>
      </c>
      <c r="D57" s="1581">
        <f>4+2</f>
        <v>6</v>
      </c>
      <c r="E57" s="279"/>
      <c r="F57" s="281">
        <f>ROUND(2600*per_Euro*USD_Inflation_Factor*USD_Change_IRR,-3)</f>
        <v>1619683000</v>
      </c>
      <c r="G57" s="281">
        <v>0</v>
      </c>
      <c r="H57" s="289">
        <f>F57*D57</f>
        <v>9718098000</v>
      </c>
      <c r="I57" s="70">
        <f t="shared" si="5"/>
        <v>0</v>
      </c>
      <c r="J57" s="1586"/>
      <c r="K57" s="1487"/>
    </row>
    <row r="58" spans="1:11" outlineLevel="1">
      <c r="A58" s="282" t="s">
        <v>882</v>
      </c>
      <c r="B58" s="283" t="s">
        <v>883</v>
      </c>
      <c r="C58" s="279" t="s">
        <v>811</v>
      </c>
      <c r="D58" s="1581">
        <f>2+2</f>
        <v>4</v>
      </c>
      <c r="E58" s="279"/>
      <c r="F58" s="281">
        <f>ROUND(3900*per_Euro*USD_Inflation_Factor*USD_Change_IRR,-3)</f>
        <v>2429524000</v>
      </c>
      <c r="G58" s="281">
        <v>0</v>
      </c>
      <c r="H58" s="289">
        <f t="shared" ref="H58:H69" si="6">F58*D58</f>
        <v>9718096000</v>
      </c>
      <c r="I58" s="70">
        <f t="shared" si="5"/>
        <v>0</v>
      </c>
      <c r="J58" s="1586"/>
      <c r="K58" s="1487"/>
    </row>
    <row r="59" spans="1:11" outlineLevel="1">
      <c r="A59" s="282" t="s">
        <v>884</v>
      </c>
      <c r="B59" s="283" t="s">
        <v>885</v>
      </c>
      <c r="C59" s="279" t="s">
        <v>811</v>
      </c>
      <c r="D59" s="279">
        <v>4</v>
      </c>
      <c r="E59" s="279"/>
      <c r="F59" s="281">
        <f>ROUND(3000*per_Euro*USD_Inflation_Factor*USD_Change_IRR,-3)</f>
        <v>1868865000</v>
      </c>
      <c r="G59" s="281">
        <v>0</v>
      </c>
      <c r="H59" s="289">
        <f t="shared" si="6"/>
        <v>7475460000</v>
      </c>
      <c r="I59" s="70">
        <f t="shared" si="5"/>
        <v>0</v>
      </c>
      <c r="J59" s="1586"/>
      <c r="K59" s="1487"/>
    </row>
    <row r="60" spans="1:11" outlineLevel="1">
      <c r="A60" s="282" t="s">
        <v>886</v>
      </c>
      <c r="B60" s="283" t="s">
        <v>887</v>
      </c>
      <c r="C60" s="279" t="s">
        <v>811</v>
      </c>
      <c r="D60" s="279">
        <v>4</v>
      </c>
      <c r="E60" s="279"/>
      <c r="F60" s="281">
        <f>ROUND(4100*per_Euro*USD_Inflation_Factor*USD_Change_IRR,-3)</f>
        <v>2554115000</v>
      </c>
      <c r="G60" s="281">
        <v>0</v>
      </c>
      <c r="H60" s="289">
        <f t="shared" si="6"/>
        <v>10216460000</v>
      </c>
      <c r="I60" s="70">
        <f t="shared" si="5"/>
        <v>0</v>
      </c>
      <c r="J60" s="1586"/>
      <c r="K60" s="1487"/>
    </row>
    <row r="61" spans="1:11" outlineLevel="1">
      <c r="A61" s="282" t="s">
        <v>888</v>
      </c>
      <c r="B61" s="283" t="s">
        <v>889</v>
      </c>
      <c r="C61" s="279" t="s">
        <v>811</v>
      </c>
      <c r="D61" s="279">
        <v>2</v>
      </c>
      <c r="E61" s="279"/>
      <c r="F61" s="281">
        <f>ROUND(3400*per_Euro*USD_Inflation_Factor*USD_Change_IRR,-3)</f>
        <v>2118047000</v>
      </c>
      <c r="G61" s="281">
        <v>0</v>
      </c>
      <c r="H61" s="289">
        <f t="shared" si="6"/>
        <v>4236094000</v>
      </c>
      <c r="I61" s="70">
        <f t="shared" si="5"/>
        <v>0</v>
      </c>
      <c r="J61" s="1586"/>
      <c r="K61" s="1487"/>
    </row>
    <row r="62" spans="1:11" outlineLevel="1">
      <c r="A62" s="282" t="s">
        <v>890</v>
      </c>
      <c r="B62" s="283" t="s">
        <v>891</v>
      </c>
      <c r="C62" s="279" t="s">
        <v>811</v>
      </c>
      <c r="D62" s="279">
        <f>4+4</f>
        <v>8</v>
      </c>
      <c r="E62" s="279"/>
      <c r="F62" s="281">
        <f>ROUND(6500*per_Euro*USD_Inflation_Factor*USD_Change_IRR,-3)</f>
        <v>4049207000</v>
      </c>
      <c r="G62" s="281">
        <v>0</v>
      </c>
      <c r="H62" s="289">
        <f t="shared" si="6"/>
        <v>32393656000</v>
      </c>
      <c r="I62" s="70">
        <f t="shared" si="5"/>
        <v>0</v>
      </c>
      <c r="J62" s="1586"/>
      <c r="K62" s="1487"/>
    </row>
    <row r="63" spans="1:11" outlineLevel="1">
      <c r="A63" s="282" t="s">
        <v>892</v>
      </c>
      <c r="B63" s="283" t="s">
        <v>893</v>
      </c>
      <c r="C63" s="279" t="s">
        <v>811</v>
      </c>
      <c r="D63" s="279">
        <v>12</v>
      </c>
      <c r="E63" s="279"/>
      <c r="F63" s="281">
        <f>ROUND(8400*per_Euro*USD_Inflation_Factor*USD_Change_IRR,-3)</f>
        <v>5232822000</v>
      </c>
      <c r="G63" s="281">
        <v>0</v>
      </c>
      <c r="H63" s="289">
        <f t="shared" si="6"/>
        <v>62793864000</v>
      </c>
      <c r="I63" s="70">
        <f t="shared" si="5"/>
        <v>0</v>
      </c>
      <c r="J63" s="1586"/>
      <c r="K63" s="1487"/>
    </row>
    <row r="64" spans="1:11" outlineLevel="1">
      <c r="A64" s="282" t="s">
        <v>894</v>
      </c>
      <c r="B64" s="283" t="s">
        <v>895</v>
      </c>
      <c r="C64" s="279" t="s">
        <v>811</v>
      </c>
      <c r="D64" s="279">
        <v>2</v>
      </c>
      <c r="E64" s="279"/>
      <c r="F64" s="281">
        <f>ROUND(10500*per_Euro*USD_Inflation_Factor*USD_Change_IRR,-3)</f>
        <v>6541027000</v>
      </c>
      <c r="G64" s="281">
        <v>0</v>
      </c>
      <c r="H64" s="289">
        <f t="shared" si="6"/>
        <v>13082054000</v>
      </c>
      <c r="I64" s="70">
        <f t="shared" si="5"/>
        <v>0</v>
      </c>
      <c r="J64" s="1586"/>
      <c r="K64" s="1487"/>
    </row>
    <row r="65" spans="1:18" outlineLevel="1">
      <c r="A65" s="282" t="s">
        <v>896</v>
      </c>
      <c r="B65" s="283" t="s">
        <v>897</v>
      </c>
      <c r="C65" s="279" t="s">
        <v>811</v>
      </c>
      <c r="D65" s="1581">
        <f>10+1</f>
        <v>11</v>
      </c>
      <c r="E65" s="279"/>
      <c r="F65" s="281">
        <f>ROUND(13000*per_Euro*USD_Inflation_Factor*USD_Change_IRR,-3)</f>
        <v>8098415000</v>
      </c>
      <c r="G65" s="281">
        <v>0</v>
      </c>
      <c r="H65" s="289">
        <f t="shared" si="6"/>
        <v>89082565000</v>
      </c>
      <c r="I65" s="70">
        <f t="shared" si="5"/>
        <v>0</v>
      </c>
      <c r="J65" s="1586"/>
      <c r="K65" s="1487"/>
    </row>
    <row r="66" spans="1:18">
      <c r="A66" s="290">
        <v>28</v>
      </c>
      <c r="B66" s="291" t="s">
        <v>898</v>
      </c>
      <c r="C66" s="280"/>
      <c r="D66" s="280"/>
      <c r="E66" s="279"/>
      <c r="F66" s="292"/>
      <c r="G66" s="281"/>
      <c r="H66" s="292"/>
      <c r="I66" s="70"/>
      <c r="J66" s="1586"/>
      <c r="K66" s="1487"/>
    </row>
    <row r="67" spans="1:18" outlineLevel="1">
      <c r="A67" s="282" t="s">
        <v>899</v>
      </c>
      <c r="B67" s="283" t="s">
        <v>848</v>
      </c>
      <c r="C67" s="279" t="s">
        <v>811</v>
      </c>
      <c r="D67" s="279">
        <v>4</v>
      </c>
      <c r="E67" s="279"/>
      <c r="F67" s="281">
        <f>ROUND(13000*per_Euro*USD_Inflation_Factor*USD_Change_IRR,-3)</f>
        <v>8098415000</v>
      </c>
      <c r="G67" s="289">
        <v>0</v>
      </c>
      <c r="H67" s="289">
        <f t="shared" si="6"/>
        <v>32393660000</v>
      </c>
      <c r="I67" s="70">
        <f>D67*G67</f>
        <v>0</v>
      </c>
      <c r="J67" s="1586"/>
      <c r="K67" s="1487"/>
    </row>
    <row r="68" spans="1:18" outlineLevel="1">
      <c r="A68" s="282" t="s">
        <v>900</v>
      </c>
      <c r="B68" s="283" t="s">
        <v>854</v>
      </c>
      <c r="C68" s="279" t="s">
        <v>811</v>
      </c>
      <c r="D68" s="279">
        <v>1</v>
      </c>
      <c r="E68" s="279"/>
      <c r="F68" s="281">
        <f>ROUND(13000*per_Euro*USD_Inflation_Factor*USD_Change_IRR,-3)</f>
        <v>8098415000</v>
      </c>
      <c r="G68" s="289">
        <v>0</v>
      </c>
      <c r="H68" s="289">
        <f t="shared" si="6"/>
        <v>8098415000</v>
      </c>
      <c r="I68" s="70">
        <f>D68*G68</f>
        <v>0</v>
      </c>
      <c r="J68" s="1586"/>
      <c r="K68" s="1487"/>
    </row>
    <row r="69" spans="1:18">
      <c r="A69" s="290">
        <v>29</v>
      </c>
      <c r="B69" s="291" t="s">
        <v>901</v>
      </c>
      <c r="C69" s="280" t="s">
        <v>811</v>
      </c>
      <c r="D69" s="1580">
        <f>2+2</f>
        <v>4</v>
      </c>
      <c r="E69" s="279"/>
      <c r="F69" s="281">
        <f>ROUND(45000*per_Euro*USD_Inflation_Factor*USD_Change_IRR,-3)</f>
        <v>28032975000</v>
      </c>
      <c r="G69" s="281">
        <v>0</v>
      </c>
      <c r="H69" s="289">
        <f t="shared" si="6"/>
        <v>112131900000</v>
      </c>
      <c r="I69" s="70">
        <f>D69*G69</f>
        <v>0</v>
      </c>
      <c r="J69" s="1586"/>
      <c r="K69" s="1487"/>
    </row>
    <row r="70" spans="1:18" ht="15.75">
      <c r="A70" s="290">
        <v>30</v>
      </c>
      <c r="B70" s="291" t="s">
        <v>644</v>
      </c>
      <c r="C70" s="293"/>
      <c r="D70" s="294"/>
      <c r="E70" s="279"/>
      <c r="F70" s="292"/>
      <c r="G70" s="281"/>
      <c r="H70" s="292"/>
      <c r="I70" s="70"/>
      <c r="J70" s="1586"/>
      <c r="K70" s="1487"/>
    </row>
    <row r="71" spans="1:18" ht="25.5" outlineLevel="1">
      <c r="A71" s="295" t="s">
        <v>902</v>
      </c>
      <c r="B71" s="283" t="s">
        <v>903</v>
      </c>
      <c r="C71" s="289" t="s">
        <v>404</v>
      </c>
      <c r="D71" s="289">
        <v>4500</v>
      </c>
      <c r="E71" s="279"/>
      <c r="F71" s="289">
        <v>572300</v>
      </c>
      <c r="G71" s="287"/>
      <c r="H71" s="289">
        <f>F71*D71</f>
        <v>2575350000</v>
      </c>
      <c r="I71" s="287"/>
      <c r="J71" s="1586"/>
      <c r="K71" s="1488"/>
    </row>
    <row r="72" spans="1:18" ht="25.5" outlineLevel="1">
      <c r="A72" s="295" t="s">
        <v>902</v>
      </c>
      <c r="B72" s="283" t="s">
        <v>904</v>
      </c>
      <c r="C72" s="289" t="s">
        <v>404</v>
      </c>
      <c r="D72" s="289">
        <v>6100</v>
      </c>
      <c r="E72" s="279"/>
      <c r="F72" s="289">
        <v>287000</v>
      </c>
      <c r="G72" s="287"/>
      <c r="H72" s="289">
        <f t="shared" ref="H72:H97" si="7">F72*D72</f>
        <v>1750700000</v>
      </c>
      <c r="I72" s="287"/>
      <c r="J72" s="1586"/>
      <c r="K72" s="1488"/>
    </row>
    <row r="73" spans="1:18" ht="38.25" outlineLevel="1">
      <c r="A73" s="295" t="s">
        <v>902</v>
      </c>
      <c r="B73" s="283" t="s">
        <v>905</v>
      </c>
      <c r="C73" s="289" t="s">
        <v>404</v>
      </c>
      <c r="D73" s="289">
        <v>900</v>
      </c>
      <c r="E73" s="279"/>
      <c r="F73" s="289">
        <v>3153500</v>
      </c>
      <c r="G73" s="287"/>
      <c r="H73" s="289">
        <f t="shared" si="7"/>
        <v>2838150000</v>
      </c>
      <c r="I73" s="287"/>
      <c r="J73" s="1586"/>
      <c r="K73" s="1488"/>
    </row>
    <row r="74" spans="1:18" ht="25.5" outlineLevel="1">
      <c r="A74" s="295" t="s">
        <v>902</v>
      </c>
      <c r="B74" s="283" t="s">
        <v>906</v>
      </c>
      <c r="C74" s="289" t="s">
        <v>404</v>
      </c>
      <c r="D74" s="289">
        <v>2900</v>
      </c>
      <c r="E74" s="279"/>
      <c r="F74" s="289">
        <v>1399800</v>
      </c>
      <c r="G74" s="287"/>
      <c r="H74" s="289">
        <f t="shared" si="7"/>
        <v>4059420000</v>
      </c>
      <c r="I74" s="287"/>
      <c r="J74" s="1586"/>
      <c r="K74" s="1488"/>
    </row>
    <row r="75" spans="1:18" ht="25.5" outlineLevel="1">
      <c r="A75" s="295" t="s">
        <v>902</v>
      </c>
      <c r="B75" s="283" t="s">
        <v>907</v>
      </c>
      <c r="C75" s="289" t="s">
        <v>404</v>
      </c>
      <c r="D75" s="289">
        <v>4700</v>
      </c>
      <c r="E75" s="279"/>
      <c r="F75" s="289">
        <v>461100</v>
      </c>
      <c r="G75" s="287"/>
      <c r="H75" s="289">
        <f t="shared" si="7"/>
        <v>2167170000</v>
      </c>
      <c r="I75" s="287"/>
      <c r="J75" s="1586"/>
      <c r="K75" s="1488"/>
      <c r="O75" s="1487"/>
    </row>
    <row r="76" spans="1:18" ht="25.5" outlineLevel="1">
      <c r="A76" s="295" t="s">
        <v>902</v>
      </c>
      <c r="B76" s="283" t="s">
        <v>908</v>
      </c>
      <c r="C76" s="289" t="s">
        <v>404</v>
      </c>
      <c r="D76" s="289">
        <v>6200</v>
      </c>
      <c r="E76" s="279"/>
      <c r="F76" s="1592">
        <v>3775600</v>
      </c>
      <c r="G76" s="287"/>
      <c r="H76" s="289">
        <f t="shared" si="7"/>
        <v>23408720000</v>
      </c>
      <c r="I76" s="287"/>
      <c r="J76" s="1586"/>
      <c r="K76" s="1488"/>
      <c r="L76" s="1586"/>
      <c r="M76" s="1586"/>
      <c r="O76" s="1591"/>
      <c r="Q76" s="1590"/>
      <c r="R76" s="1590"/>
    </row>
    <row r="77" spans="1:18" ht="25.5" outlineLevel="1">
      <c r="A77" s="295" t="s">
        <v>902</v>
      </c>
      <c r="B77" s="283" t="s">
        <v>909</v>
      </c>
      <c r="C77" s="289" t="s">
        <v>404</v>
      </c>
      <c r="D77" s="289">
        <v>2800</v>
      </c>
      <c r="E77" s="279"/>
      <c r="F77" s="289">
        <v>5225600</v>
      </c>
      <c r="G77" s="287"/>
      <c r="H77" s="289">
        <f t="shared" si="7"/>
        <v>14631680000</v>
      </c>
      <c r="I77" s="287"/>
      <c r="J77" s="1586"/>
      <c r="K77" s="1488"/>
      <c r="Q77" s="1590"/>
      <c r="R77" s="1590"/>
    </row>
    <row r="78" spans="1:18" ht="25.5" outlineLevel="1">
      <c r="A78" s="295" t="s">
        <v>902</v>
      </c>
      <c r="B78" s="283" t="s">
        <v>910</v>
      </c>
      <c r="C78" s="289" t="s">
        <v>404</v>
      </c>
      <c r="D78" s="289">
        <v>800</v>
      </c>
      <c r="E78" s="279"/>
      <c r="F78" s="289">
        <v>1752200</v>
      </c>
      <c r="G78" s="287"/>
      <c r="H78" s="289">
        <f t="shared" si="7"/>
        <v>1401760000</v>
      </c>
      <c r="I78" s="287"/>
      <c r="J78" s="1586"/>
      <c r="K78" s="1488"/>
      <c r="Q78" s="1590"/>
      <c r="R78" s="1590"/>
    </row>
    <row r="79" spans="1:18" ht="25.5" outlineLevel="1">
      <c r="A79" s="295" t="s">
        <v>902</v>
      </c>
      <c r="B79" s="283" t="s">
        <v>911</v>
      </c>
      <c r="C79" s="289" t="s">
        <v>404</v>
      </c>
      <c r="D79" s="289">
        <v>4000</v>
      </c>
      <c r="E79" s="279"/>
      <c r="F79" s="289">
        <v>671800</v>
      </c>
      <c r="G79" s="287"/>
      <c r="H79" s="289">
        <f t="shared" si="7"/>
        <v>2687200000</v>
      </c>
      <c r="I79" s="287"/>
      <c r="J79" s="1586"/>
      <c r="K79" s="1488"/>
      <c r="Q79" s="1590"/>
      <c r="R79" s="1590"/>
    </row>
    <row r="80" spans="1:18" ht="38.25" outlineLevel="1">
      <c r="A80" s="295" t="s">
        <v>902</v>
      </c>
      <c r="B80" s="283" t="s">
        <v>912</v>
      </c>
      <c r="C80" s="289" t="s">
        <v>404</v>
      </c>
      <c r="D80" s="289">
        <v>2800</v>
      </c>
      <c r="E80" s="279"/>
      <c r="F80" s="1592">
        <v>7863900</v>
      </c>
      <c r="G80" s="287"/>
      <c r="H80" s="289">
        <f t="shared" si="7"/>
        <v>22018920000</v>
      </c>
      <c r="I80" s="287"/>
      <c r="J80" s="1586"/>
      <c r="K80" s="1488"/>
      <c r="L80" s="1586"/>
      <c r="M80" s="1586"/>
      <c r="O80" s="1591"/>
      <c r="Q80" s="1590"/>
      <c r="R80" s="1590"/>
    </row>
    <row r="81" spans="1:18" ht="25.5" outlineLevel="1">
      <c r="A81" s="295" t="s">
        <v>902</v>
      </c>
      <c r="B81" s="283" t="s">
        <v>913</v>
      </c>
      <c r="C81" s="289" t="s">
        <v>404</v>
      </c>
      <c r="D81" s="289">
        <v>500</v>
      </c>
      <c r="E81" s="279"/>
      <c r="F81" s="289">
        <v>1647400</v>
      </c>
      <c r="G81" s="287"/>
      <c r="H81" s="289">
        <f t="shared" si="7"/>
        <v>823700000</v>
      </c>
      <c r="I81" s="287"/>
      <c r="J81" s="1586"/>
      <c r="K81" s="1488"/>
      <c r="L81" s="1586"/>
      <c r="M81" s="1586"/>
      <c r="Q81" s="1590"/>
      <c r="R81" s="1590"/>
    </row>
    <row r="82" spans="1:18" ht="25.5" outlineLevel="1">
      <c r="A82" s="295" t="s">
        <v>902</v>
      </c>
      <c r="B82" s="283" t="s">
        <v>914</v>
      </c>
      <c r="C82" s="289" t="s">
        <v>404</v>
      </c>
      <c r="D82" s="289">
        <v>4700</v>
      </c>
      <c r="E82" s="279"/>
      <c r="F82" s="289">
        <v>574100</v>
      </c>
      <c r="G82" s="287"/>
      <c r="H82" s="289">
        <f t="shared" si="7"/>
        <v>2698270000</v>
      </c>
      <c r="I82" s="287"/>
      <c r="J82" s="1586"/>
      <c r="K82" s="1488"/>
      <c r="L82" s="1586"/>
      <c r="M82" s="1586"/>
      <c r="Q82" s="1590"/>
      <c r="R82" s="1590"/>
    </row>
    <row r="83" spans="1:18" ht="25.5" outlineLevel="1">
      <c r="A83" s="295" t="s">
        <v>902</v>
      </c>
      <c r="B83" s="283" t="s">
        <v>915</v>
      </c>
      <c r="C83" s="289" t="s">
        <v>404</v>
      </c>
      <c r="D83" s="289">
        <v>1800</v>
      </c>
      <c r="E83" s="279"/>
      <c r="F83" s="289">
        <v>313700</v>
      </c>
      <c r="G83" s="287"/>
      <c r="H83" s="289">
        <f t="shared" si="7"/>
        <v>564660000</v>
      </c>
      <c r="I83" s="287"/>
      <c r="J83" s="1586"/>
      <c r="K83" s="1488"/>
      <c r="L83" s="1586"/>
      <c r="M83" s="1586"/>
      <c r="Q83" s="1590"/>
      <c r="R83" s="1590"/>
    </row>
    <row r="84" spans="1:18" ht="25.5" outlineLevel="1">
      <c r="A84" s="295" t="s">
        <v>902</v>
      </c>
      <c r="B84" s="283" t="s">
        <v>916</v>
      </c>
      <c r="C84" s="289" t="s">
        <v>404</v>
      </c>
      <c r="D84" s="289">
        <v>2100</v>
      </c>
      <c r="E84" s="279"/>
      <c r="F84" s="1592">
        <v>5030800</v>
      </c>
      <c r="G84" s="287"/>
      <c r="H84" s="289">
        <f t="shared" si="7"/>
        <v>10564680000</v>
      </c>
      <c r="I84" s="287"/>
      <c r="J84" s="1586"/>
      <c r="K84" s="1488"/>
      <c r="L84" s="1586"/>
      <c r="M84" s="1586"/>
      <c r="O84" s="1591"/>
      <c r="Q84" s="1590"/>
      <c r="R84" s="1590"/>
    </row>
    <row r="85" spans="1:18" ht="25.5" outlineLevel="1">
      <c r="A85" s="295" t="s">
        <v>902</v>
      </c>
      <c r="B85" s="283" t="s">
        <v>917</v>
      </c>
      <c r="C85" s="289" t="s">
        <v>404</v>
      </c>
      <c r="D85" s="289">
        <v>4100</v>
      </c>
      <c r="E85" s="279"/>
      <c r="F85" s="1592">
        <v>6712800</v>
      </c>
      <c r="G85" s="287"/>
      <c r="H85" s="289">
        <f t="shared" si="7"/>
        <v>27522480000</v>
      </c>
      <c r="I85" s="287"/>
      <c r="J85" s="1586"/>
      <c r="K85" s="1488"/>
      <c r="L85" s="1586"/>
      <c r="M85" s="1586"/>
      <c r="O85" s="1591"/>
      <c r="Q85" s="1590"/>
      <c r="R85" s="1590"/>
    </row>
    <row r="86" spans="1:18" ht="25.5" outlineLevel="1">
      <c r="A86" s="295" t="s">
        <v>902</v>
      </c>
      <c r="B86" s="283" t="s">
        <v>918</v>
      </c>
      <c r="C86" s="289" t="s">
        <v>404</v>
      </c>
      <c r="D86" s="289">
        <v>300</v>
      </c>
      <c r="E86" s="279"/>
      <c r="F86" s="289">
        <v>4164400</v>
      </c>
      <c r="G86" s="287"/>
      <c r="H86" s="289">
        <f t="shared" si="7"/>
        <v>1249320000</v>
      </c>
      <c r="I86" s="287"/>
      <c r="J86" s="1586"/>
      <c r="K86" s="1488"/>
      <c r="L86" s="1586"/>
      <c r="M86" s="1586"/>
      <c r="Q86" s="1590"/>
      <c r="R86" s="1590"/>
    </row>
    <row r="87" spans="1:18" ht="25.5" outlineLevel="1">
      <c r="A87" s="295" t="s">
        <v>902</v>
      </c>
      <c r="B87" s="283" t="s">
        <v>919</v>
      </c>
      <c r="C87" s="289" t="s">
        <v>404</v>
      </c>
      <c r="D87" s="289">
        <v>600</v>
      </c>
      <c r="E87" s="279"/>
      <c r="F87" s="1592">
        <v>7193900</v>
      </c>
      <c r="G87" s="287"/>
      <c r="H87" s="289">
        <f t="shared" si="7"/>
        <v>4316340000</v>
      </c>
      <c r="I87" s="287"/>
      <c r="J87" s="1586"/>
      <c r="K87" s="1488"/>
      <c r="L87" s="1586"/>
      <c r="M87" s="1586"/>
      <c r="Q87" s="1590"/>
      <c r="R87" s="1590"/>
    </row>
    <row r="88" spans="1:18" ht="25.5" outlineLevel="1">
      <c r="A88" s="295" t="s">
        <v>902</v>
      </c>
      <c r="B88" s="283" t="s">
        <v>920</v>
      </c>
      <c r="C88" s="289" t="s">
        <v>404</v>
      </c>
      <c r="D88" s="289">
        <v>1400</v>
      </c>
      <c r="E88" s="279"/>
      <c r="F88" s="289">
        <v>2127100</v>
      </c>
      <c r="G88" s="287"/>
      <c r="H88" s="289">
        <f t="shared" si="7"/>
        <v>2977940000</v>
      </c>
      <c r="I88" s="287"/>
      <c r="J88" s="1586"/>
      <c r="K88" s="1488"/>
      <c r="L88" s="1586"/>
      <c r="M88" s="1586"/>
      <c r="Q88" s="1590"/>
      <c r="R88" s="1590"/>
    </row>
    <row r="89" spans="1:18" ht="25.5" outlineLevel="1">
      <c r="A89" s="295" t="s">
        <v>902</v>
      </c>
      <c r="B89" s="283" t="s">
        <v>921</v>
      </c>
      <c r="C89" s="289" t="s">
        <v>404</v>
      </c>
      <c r="D89" s="289">
        <v>1100</v>
      </c>
      <c r="E89" s="279"/>
      <c r="F89" s="1592">
        <v>6199700</v>
      </c>
      <c r="G89" s="287"/>
      <c r="H89" s="289">
        <f t="shared" si="7"/>
        <v>6819670000</v>
      </c>
      <c r="I89" s="287"/>
      <c r="J89" s="1586"/>
      <c r="K89" s="1488"/>
      <c r="L89" s="1586"/>
      <c r="M89" s="1586"/>
      <c r="Q89" s="1590"/>
      <c r="R89" s="1590"/>
    </row>
    <row r="90" spans="1:18">
      <c r="A90" s="290">
        <v>31</v>
      </c>
      <c r="B90" s="291" t="s">
        <v>922</v>
      </c>
      <c r="C90" s="292" t="s">
        <v>923</v>
      </c>
      <c r="D90" s="281">
        <v>1</v>
      </c>
      <c r="E90" s="279"/>
      <c r="F90" s="289">
        <f>ROUND(4200000000*IRR_Inflation_Factor,-3)</f>
        <v>78019338000</v>
      </c>
      <c r="G90" s="281"/>
      <c r="H90" s="289">
        <f t="shared" si="7"/>
        <v>78019338000</v>
      </c>
      <c r="I90" s="70"/>
      <c r="J90" s="1586"/>
      <c r="K90" s="1487"/>
    </row>
    <row r="91" spans="1:18">
      <c r="A91" s="290">
        <v>32</v>
      </c>
      <c r="B91" s="291" t="s">
        <v>924</v>
      </c>
      <c r="C91" s="292"/>
      <c r="D91" s="292"/>
      <c r="E91" s="279"/>
      <c r="F91" s="292"/>
      <c r="G91" s="281"/>
      <c r="H91" s="70"/>
      <c r="I91" s="70"/>
      <c r="J91" s="1586"/>
      <c r="K91" s="1487"/>
    </row>
    <row r="92" spans="1:18" ht="23.45" customHeight="1" outlineLevel="1">
      <c r="A92" s="282" t="s">
        <v>925</v>
      </c>
      <c r="B92" s="283" t="s">
        <v>4521</v>
      </c>
      <c r="C92" s="289" t="s">
        <v>802</v>
      </c>
      <c r="D92" s="281">
        <v>1</v>
      </c>
      <c r="E92" s="279"/>
      <c r="F92" s="281">
        <f>ROUND(458000*per_Euro*USD_Inflation_Factor*USD_Change_IRR,-3)</f>
        <v>285313388000</v>
      </c>
      <c r="G92" s="289">
        <v>0</v>
      </c>
      <c r="H92" s="289">
        <f t="shared" si="7"/>
        <v>285313388000</v>
      </c>
      <c r="I92" s="292">
        <f t="shared" ref="I92:I97" si="8">G92*D92</f>
        <v>0</v>
      </c>
      <c r="J92" s="1586"/>
      <c r="K92" s="1487"/>
    </row>
    <row r="93" spans="1:18" ht="25.5" outlineLevel="1">
      <c r="A93" s="282" t="s">
        <v>926</v>
      </c>
      <c r="B93" s="283" t="s">
        <v>927</v>
      </c>
      <c r="C93" s="289" t="s">
        <v>802</v>
      </c>
      <c r="D93" s="281">
        <v>1</v>
      </c>
      <c r="E93" s="279"/>
      <c r="F93" s="281">
        <f>ROUND(246000*per_Euro*USD_Inflation_Factor*USD_Change_IRR,-3)</f>
        <v>153246929000</v>
      </c>
      <c r="G93" s="289">
        <v>0</v>
      </c>
      <c r="H93" s="289">
        <f t="shared" si="7"/>
        <v>153246929000</v>
      </c>
      <c r="I93" s="292">
        <f t="shared" si="8"/>
        <v>0</v>
      </c>
      <c r="J93" s="1586"/>
      <c r="K93" s="1487"/>
    </row>
    <row r="94" spans="1:18" ht="25.5" outlineLevel="1">
      <c r="A94" s="282" t="s">
        <v>928</v>
      </c>
      <c r="B94" s="283" t="s">
        <v>929</v>
      </c>
      <c r="C94" s="289" t="s">
        <v>802</v>
      </c>
      <c r="D94" s="281">
        <v>1</v>
      </c>
      <c r="E94" s="279"/>
      <c r="F94" s="281">
        <f>ROUND(77000*per_Euro*USD_Inflation_Factor*USD_Change_IRR,-3)</f>
        <v>47967535000</v>
      </c>
      <c r="G94" s="289">
        <v>0</v>
      </c>
      <c r="H94" s="289">
        <f t="shared" si="7"/>
        <v>47967535000</v>
      </c>
      <c r="I94" s="292">
        <f t="shared" si="8"/>
        <v>0</v>
      </c>
      <c r="J94" s="1586"/>
      <c r="K94" s="1487"/>
    </row>
    <row r="95" spans="1:18" ht="25.5" outlineLevel="1">
      <c r="A95" s="282" t="s">
        <v>930</v>
      </c>
      <c r="B95" s="283" t="s">
        <v>931</v>
      </c>
      <c r="C95" s="289" t="s">
        <v>802</v>
      </c>
      <c r="D95" s="281">
        <v>1</v>
      </c>
      <c r="E95" s="279"/>
      <c r="F95" s="281">
        <f>ROUND(30000*per_Euro*USD_Inflation_Factor*USD_Change_IRR,-3)</f>
        <v>18688650000</v>
      </c>
      <c r="G95" s="289">
        <v>0</v>
      </c>
      <c r="H95" s="289">
        <f t="shared" si="7"/>
        <v>18688650000</v>
      </c>
      <c r="I95" s="292">
        <f t="shared" si="8"/>
        <v>0</v>
      </c>
      <c r="J95" s="1586"/>
      <c r="K95" s="1487"/>
    </row>
    <row r="96" spans="1:18" ht="25.5" outlineLevel="1">
      <c r="A96" s="282" t="s">
        <v>932</v>
      </c>
      <c r="B96" s="283" t="s">
        <v>933</v>
      </c>
      <c r="C96" s="289" t="s">
        <v>802</v>
      </c>
      <c r="D96" s="281">
        <v>1</v>
      </c>
      <c r="E96" s="279"/>
      <c r="F96" s="281">
        <f>ROUND(255000*per_Euro*USD_Inflation_Factor*USD_Change_IRR,-3)</f>
        <v>158853524000</v>
      </c>
      <c r="G96" s="289">
        <v>0</v>
      </c>
      <c r="H96" s="289">
        <f t="shared" si="7"/>
        <v>158853524000</v>
      </c>
      <c r="I96" s="292">
        <f t="shared" si="8"/>
        <v>0</v>
      </c>
      <c r="J96" s="1586"/>
      <c r="K96" s="1487"/>
    </row>
    <row r="97" spans="1:11" ht="25.5" outlineLevel="1">
      <c r="A97" s="282" t="s">
        <v>934</v>
      </c>
      <c r="B97" s="283" t="s">
        <v>935</v>
      </c>
      <c r="C97" s="289" t="s">
        <v>802</v>
      </c>
      <c r="D97" s="281">
        <v>2</v>
      </c>
      <c r="E97" s="279"/>
      <c r="F97" s="281">
        <f>ROUND(30000*per_Euro*USD_Inflation_Factor*USD_Change_IRR,-3)</f>
        <v>18688650000</v>
      </c>
      <c r="G97" s="289">
        <v>0</v>
      </c>
      <c r="H97" s="289">
        <f t="shared" si="7"/>
        <v>37377300000</v>
      </c>
      <c r="I97" s="292">
        <f t="shared" si="8"/>
        <v>0</v>
      </c>
      <c r="J97" s="1586"/>
      <c r="K97" s="1487"/>
    </row>
    <row r="98" spans="1:11" ht="25.5">
      <c r="A98" s="296">
        <v>33</v>
      </c>
      <c r="B98" s="291" t="s">
        <v>936</v>
      </c>
      <c r="C98" s="292"/>
      <c r="D98" s="292"/>
      <c r="E98" s="279"/>
      <c r="F98" s="70"/>
      <c r="G98" s="289"/>
      <c r="H98" s="70"/>
      <c r="I98" s="292"/>
      <c r="J98" s="1586"/>
      <c r="K98" s="1487"/>
    </row>
    <row r="99" spans="1:11" outlineLevel="1">
      <c r="A99" s="295" t="s">
        <v>937</v>
      </c>
      <c r="B99" s="283" t="s">
        <v>938</v>
      </c>
      <c r="C99" s="292"/>
      <c r="D99" s="281"/>
      <c r="E99" s="279"/>
      <c r="F99" s="70"/>
      <c r="G99" s="297"/>
      <c r="H99" s="70"/>
      <c r="I99" s="70"/>
      <c r="J99" s="1586"/>
      <c r="K99" s="1487"/>
    </row>
    <row r="100" spans="1:11" outlineLevel="2">
      <c r="A100" s="295" t="s">
        <v>902</v>
      </c>
      <c r="B100" s="283" t="s">
        <v>939</v>
      </c>
      <c r="C100" s="292" t="s">
        <v>811</v>
      </c>
      <c r="D100" s="279">
        <v>3</v>
      </c>
      <c r="E100" s="279"/>
      <c r="F100" s="1513">
        <f>1200*per_Euro*USD_Change_IRR</f>
        <v>546830119.13094234</v>
      </c>
      <c r="G100" s="1513">
        <v>0</v>
      </c>
      <c r="H100" s="289">
        <f t="shared" ref="H100:H120" si="9">F100*D100</f>
        <v>1640490357.392827</v>
      </c>
      <c r="I100" s="292">
        <f t="shared" ref="I100:I116" si="10">G100*D100</f>
        <v>0</v>
      </c>
      <c r="J100" s="1586"/>
      <c r="K100" s="1487"/>
    </row>
    <row r="101" spans="1:11" outlineLevel="2">
      <c r="A101" s="295" t="s">
        <v>902</v>
      </c>
      <c r="B101" s="283" t="s">
        <v>940</v>
      </c>
      <c r="C101" s="292" t="s">
        <v>811</v>
      </c>
      <c r="D101" s="279">
        <v>4</v>
      </c>
      <c r="E101" s="279"/>
      <c r="F101" s="1513">
        <f>135*per_Euro*USD_Change_IRR</f>
        <v>61518388.402231023</v>
      </c>
      <c r="G101" s="1513">
        <v>0</v>
      </c>
      <c r="H101" s="289">
        <f t="shared" si="9"/>
        <v>246073553.60892409</v>
      </c>
      <c r="I101" s="292">
        <f t="shared" si="10"/>
        <v>0</v>
      </c>
      <c r="J101" s="1586"/>
      <c r="K101" s="1487"/>
    </row>
    <row r="102" spans="1:11" outlineLevel="1">
      <c r="A102" s="295" t="s">
        <v>941</v>
      </c>
      <c r="B102" s="283" t="s">
        <v>942</v>
      </c>
      <c r="C102" s="292"/>
      <c r="D102" s="253"/>
      <c r="E102" s="279"/>
      <c r="F102" s="253"/>
      <c r="G102" s="297"/>
      <c r="H102" s="289">
        <f t="shared" si="9"/>
        <v>0</v>
      </c>
      <c r="I102" s="292"/>
      <c r="J102" s="1586"/>
      <c r="K102" s="1487"/>
    </row>
    <row r="103" spans="1:11" outlineLevel="2">
      <c r="A103" s="295" t="s">
        <v>902</v>
      </c>
      <c r="B103" s="283" t="s">
        <v>943</v>
      </c>
      <c r="C103" s="292" t="s">
        <v>811</v>
      </c>
      <c r="D103" s="279">
        <v>32</v>
      </c>
      <c r="E103" s="279"/>
      <c r="F103" s="1513">
        <f>2500*per_Euro*USD_Change_IRR</f>
        <v>1139229414.8561299</v>
      </c>
      <c r="G103" s="1513">
        <v>0</v>
      </c>
      <c r="H103" s="289">
        <f t="shared" si="9"/>
        <v>36455341275.396156</v>
      </c>
      <c r="I103" s="292">
        <f t="shared" si="10"/>
        <v>0</v>
      </c>
      <c r="J103" s="1586"/>
      <c r="K103" s="1487"/>
    </row>
    <row r="104" spans="1:11" outlineLevel="2">
      <c r="A104" s="295" t="s">
        <v>902</v>
      </c>
      <c r="B104" s="283" t="s">
        <v>944</v>
      </c>
      <c r="C104" s="292" t="s">
        <v>811</v>
      </c>
      <c r="D104" s="279">
        <v>5</v>
      </c>
      <c r="E104" s="279"/>
      <c r="F104" s="1513">
        <f>2500*per_Euro*USD_Change_IRR</f>
        <v>1139229414.8561299</v>
      </c>
      <c r="G104" s="1513">
        <v>0</v>
      </c>
      <c r="H104" s="289">
        <f t="shared" si="9"/>
        <v>5696147074.2806492</v>
      </c>
      <c r="I104" s="292">
        <f t="shared" si="10"/>
        <v>0</v>
      </c>
      <c r="J104" s="1586"/>
      <c r="K104" s="1487"/>
    </row>
    <row r="105" spans="1:11" outlineLevel="1">
      <c r="A105" s="295" t="s">
        <v>945</v>
      </c>
      <c r="B105" s="283" t="s">
        <v>946</v>
      </c>
      <c r="C105" s="292"/>
      <c r="D105" s="253"/>
      <c r="E105" s="279"/>
      <c r="F105" s="253"/>
      <c r="G105" s="297"/>
      <c r="H105" s="289">
        <f t="shared" si="9"/>
        <v>0</v>
      </c>
      <c r="I105" s="292"/>
      <c r="J105" s="1586"/>
      <c r="K105" s="1487"/>
    </row>
    <row r="106" spans="1:11" outlineLevel="2">
      <c r="A106" s="295" t="s">
        <v>902</v>
      </c>
      <c r="B106" s="283" t="s">
        <v>943</v>
      </c>
      <c r="C106" s="292" t="s">
        <v>811</v>
      </c>
      <c r="D106" s="279">
        <v>24</v>
      </c>
      <c r="E106" s="279"/>
      <c r="F106" s="1513">
        <f>ROUND(2017*per_Euro*USD_Inflation_Factor*USD_Change_IRR,-3)</f>
        <v>1256500000</v>
      </c>
      <c r="G106" s="297">
        <v>0</v>
      </c>
      <c r="H106" s="289">
        <f t="shared" si="9"/>
        <v>30156000000</v>
      </c>
      <c r="I106" s="292">
        <f t="shared" si="10"/>
        <v>0</v>
      </c>
      <c r="J106" s="1586"/>
      <c r="K106" s="1487"/>
    </row>
    <row r="107" spans="1:11" outlineLevel="2">
      <c r="A107" s="295" t="s">
        <v>902</v>
      </c>
      <c r="B107" s="283" t="s">
        <v>944</v>
      </c>
      <c r="C107" s="292" t="s">
        <v>811</v>
      </c>
      <c r="D107" s="279">
        <v>5</v>
      </c>
      <c r="E107" s="279"/>
      <c r="F107" s="1513">
        <f>2700*per_Euro*USD_Change_IRR</f>
        <v>1230367768.0446203</v>
      </c>
      <c r="G107" s="1513">
        <v>0</v>
      </c>
      <c r="H107" s="289">
        <f t="shared" si="9"/>
        <v>6151838840.2231016</v>
      </c>
      <c r="I107" s="292">
        <f t="shared" si="10"/>
        <v>0</v>
      </c>
      <c r="J107" s="1586"/>
      <c r="K107" s="1487"/>
    </row>
    <row r="108" spans="1:11" outlineLevel="1">
      <c r="A108" s="295" t="s">
        <v>947</v>
      </c>
      <c r="B108" s="283" t="s">
        <v>948</v>
      </c>
      <c r="C108" s="292"/>
      <c r="D108" s="253"/>
      <c r="E108" s="279"/>
      <c r="F108" s="253"/>
      <c r="G108" s="297"/>
      <c r="H108" s="289">
        <f t="shared" si="9"/>
        <v>0</v>
      </c>
      <c r="I108" s="292"/>
      <c r="J108" s="1586"/>
      <c r="K108" s="1487"/>
    </row>
    <row r="109" spans="1:11" outlineLevel="2">
      <c r="A109" s="295" t="s">
        <v>902</v>
      </c>
      <c r="B109" s="283" t="s">
        <v>943</v>
      </c>
      <c r="C109" s="292" t="s">
        <v>811</v>
      </c>
      <c r="D109" s="279">
        <v>14</v>
      </c>
      <c r="E109" s="279"/>
      <c r="F109" s="1513">
        <f>1400*per_Euro*USD_Change_IRR</f>
        <v>637968472.31943274</v>
      </c>
      <c r="G109" s="1513">
        <v>0</v>
      </c>
      <c r="H109" s="289">
        <f t="shared" si="9"/>
        <v>8931558612.4720573</v>
      </c>
      <c r="I109" s="292">
        <f t="shared" si="10"/>
        <v>0</v>
      </c>
      <c r="J109" s="1586"/>
      <c r="K109" s="1487"/>
    </row>
    <row r="110" spans="1:11" outlineLevel="2">
      <c r="A110" s="295" t="s">
        <v>902</v>
      </c>
      <c r="B110" s="283" t="s">
        <v>940</v>
      </c>
      <c r="C110" s="292" t="s">
        <v>811</v>
      </c>
      <c r="D110" s="279">
        <v>6</v>
      </c>
      <c r="E110" s="279"/>
      <c r="F110" s="1513">
        <f>210*per_Euro*USD_Change_IRR</f>
        <v>95695270.847914919</v>
      </c>
      <c r="G110" s="1513">
        <v>0</v>
      </c>
      <c r="H110" s="289">
        <f t="shared" si="9"/>
        <v>574171625.08748949</v>
      </c>
      <c r="I110" s="292">
        <f t="shared" si="10"/>
        <v>0</v>
      </c>
      <c r="J110" s="1586"/>
      <c r="K110" s="1487"/>
    </row>
    <row r="111" spans="1:11" outlineLevel="1">
      <c r="A111" s="295" t="s">
        <v>949</v>
      </c>
      <c r="B111" s="283" t="s">
        <v>950</v>
      </c>
      <c r="C111" s="292"/>
      <c r="D111" s="253"/>
      <c r="E111" s="279"/>
      <c r="F111" s="253"/>
      <c r="G111" s="297"/>
      <c r="H111" s="289">
        <f t="shared" si="9"/>
        <v>0</v>
      </c>
      <c r="I111" s="292"/>
      <c r="J111" s="1586"/>
      <c r="K111" s="1487"/>
    </row>
    <row r="112" spans="1:11" outlineLevel="2">
      <c r="A112" s="295" t="s">
        <v>902</v>
      </c>
      <c r="B112" s="283" t="s">
        <v>943</v>
      </c>
      <c r="C112" s="292" t="s">
        <v>811</v>
      </c>
      <c r="D112" s="279">
        <v>24</v>
      </c>
      <c r="E112" s="279"/>
      <c r="F112" s="1513">
        <f>1600*per_Euro*USD_Change_IRR</f>
        <v>729106825.50792313</v>
      </c>
      <c r="G112" s="1513">
        <v>0</v>
      </c>
      <c r="H112" s="289">
        <f t="shared" si="9"/>
        <v>17498563812.190155</v>
      </c>
      <c r="I112" s="292">
        <f t="shared" si="10"/>
        <v>0</v>
      </c>
      <c r="J112" s="1586"/>
      <c r="K112" s="1487"/>
    </row>
    <row r="113" spans="1:11" outlineLevel="2">
      <c r="A113" s="295" t="s">
        <v>902</v>
      </c>
      <c r="B113" s="283" t="s">
        <v>951</v>
      </c>
      <c r="C113" s="292" t="s">
        <v>811</v>
      </c>
      <c r="D113" s="279">
        <v>10</v>
      </c>
      <c r="E113" s="279"/>
      <c r="F113" s="1513">
        <f>210*per_Euro*USD_Change_IRR</f>
        <v>95695270.847914919</v>
      </c>
      <c r="G113" s="1513">
        <v>0</v>
      </c>
      <c r="H113" s="289">
        <f t="shared" si="9"/>
        <v>956952708.47914922</v>
      </c>
      <c r="I113" s="292">
        <f t="shared" si="10"/>
        <v>0</v>
      </c>
      <c r="J113" s="1586"/>
      <c r="K113" s="1487"/>
    </row>
    <row r="114" spans="1:11" outlineLevel="1">
      <c r="A114" s="295" t="s">
        <v>952</v>
      </c>
      <c r="B114" s="283" t="s">
        <v>953</v>
      </c>
      <c r="C114" s="292" t="s">
        <v>811</v>
      </c>
      <c r="D114" s="279">
        <v>48</v>
      </c>
      <c r="E114" s="279"/>
      <c r="F114" s="1513">
        <f>3800*per_Euro*USD_Change_IRR</f>
        <v>1731628710.5813174</v>
      </c>
      <c r="G114" s="1513">
        <v>0</v>
      </c>
      <c r="H114" s="289">
        <f t="shared" si="9"/>
        <v>83118178107.903229</v>
      </c>
      <c r="I114" s="292">
        <f t="shared" si="10"/>
        <v>0</v>
      </c>
      <c r="J114" s="1586"/>
      <c r="K114" s="1487"/>
    </row>
    <row r="115" spans="1:11" ht="25.5" outlineLevel="1">
      <c r="A115" s="295" t="s">
        <v>954</v>
      </c>
      <c r="B115" s="283" t="s">
        <v>955</v>
      </c>
      <c r="C115" s="292" t="s">
        <v>811</v>
      </c>
      <c r="D115" s="279">
        <f>90+25</f>
        <v>115</v>
      </c>
      <c r="E115" s="279"/>
      <c r="F115" s="1513">
        <f>135*per_Euro*USD_Change_IRR</f>
        <v>61518388.402231023</v>
      </c>
      <c r="G115" s="1513">
        <v>0</v>
      </c>
      <c r="H115" s="289">
        <f t="shared" si="9"/>
        <v>7074614666.256568</v>
      </c>
      <c r="I115" s="292">
        <f t="shared" si="10"/>
        <v>0</v>
      </c>
      <c r="J115" s="1586"/>
      <c r="K115" s="1487"/>
    </row>
    <row r="116" spans="1:11" ht="25.5" outlineLevel="1">
      <c r="A116" s="295" t="s">
        <v>956</v>
      </c>
      <c r="B116" s="283" t="s">
        <v>957</v>
      </c>
      <c r="C116" s="292" t="s">
        <v>811</v>
      </c>
      <c r="D116" s="279">
        <v>3</v>
      </c>
      <c r="E116" s="279"/>
      <c r="F116" s="1513">
        <f>2852*per_Euro*USD_Change_IRR</f>
        <v>1299632916.4678731</v>
      </c>
      <c r="G116" s="1513">
        <v>0</v>
      </c>
      <c r="H116" s="289">
        <f t="shared" si="9"/>
        <v>3898898749.4036193</v>
      </c>
      <c r="I116" s="292">
        <f t="shared" si="10"/>
        <v>0</v>
      </c>
      <c r="J116" s="1586"/>
      <c r="K116" s="1487"/>
    </row>
    <row r="117" spans="1:11" outlineLevel="1">
      <c r="A117" s="295" t="s">
        <v>958</v>
      </c>
      <c r="B117" s="283" t="s">
        <v>959</v>
      </c>
      <c r="C117" s="292"/>
      <c r="D117" s="253"/>
      <c r="E117" s="279"/>
      <c r="F117" s="253"/>
      <c r="G117" s="297"/>
      <c r="H117" s="289">
        <f t="shared" si="9"/>
        <v>0</v>
      </c>
      <c r="I117" s="292"/>
      <c r="J117" s="1586"/>
      <c r="K117" s="1487"/>
    </row>
    <row r="118" spans="1:11" outlineLevel="1">
      <c r="A118" s="295" t="s">
        <v>902</v>
      </c>
      <c r="B118" s="283" t="s">
        <v>943</v>
      </c>
      <c r="C118" s="292" t="s">
        <v>811</v>
      </c>
      <c r="D118" s="279">
        <v>34</v>
      </c>
      <c r="E118" s="279"/>
      <c r="F118" s="1513">
        <f>450*per_Euro*USD_Change_IRR</f>
        <v>205061294.67410338</v>
      </c>
      <c r="G118" s="1513">
        <v>0</v>
      </c>
      <c r="H118" s="289">
        <f t="shared" si="9"/>
        <v>6972084018.9195147</v>
      </c>
      <c r="I118" s="292">
        <f t="shared" ref="I118:I123" si="11">G118*D118</f>
        <v>0</v>
      </c>
      <c r="J118" s="1586"/>
      <c r="K118" s="1487"/>
    </row>
    <row r="119" spans="1:11" outlineLevel="1">
      <c r="A119" s="295" t="s">
        <v>902</v>
      </c>
      <c r="B119" s="283" t="s">
        <v>940</v>
      </c>
      <c r="C119" s="292" t="s">
        <v>811</v>
      </c>
      <c r="D119" s="279">
        <f>27+12</f>
        <v>39</v>
      </c>
      <c r="E119" s="279"/>
      <c r="F119" s="1513">
        <f>280*per_Euro*USD_Change_IRR</f>
        <v>127593694.46388656</v>
      </c>
      <c r="G119" s="1513">
        <v>0</v>
      </c>
      <c r="H119" s="289">
        <f t="shared" si="9"/>
        <v>4976154084.0915756</v>
      </c>
      <c r="I119" s="292">
        <f t="shared" si="11"/>
        <v>0</v>
      </c>
      <c r="J119" s="1586"/>
      <c r="K119" s="1487"/>
    </row>
    <row r="120" spans="1:11" outlineLevel="1">
      <c r="A120" s="295" t="s">
        <v>960</v>
      </c>
      <c r="B120" s="283" t="s">
        <v>4473</v>
      </c>
      <c r="C120" s="292" t="s">
        <v>117</v>
      </c>
      <c r="D120" s="279">
        <v>1</v>
      </c>
      <c r="E120" s="279"/>
      <c r="F120" s="1513">
        <f>35500*per_Euro*USD_Change_IRR</f>
        <v>16177057690.957047</v>
      </c>
      <c r="G120" s="1513">
        <v>0</v>
      </c>
      <c r="H120" s="289">
        <f t="shared" si="9"/>
        <v>16177057690.957047</v>
      </c>
      <c r="I120" s="292">
        <f t="shared" si="11"/>
        <v>0</v>
      </c>
      <c r="J120" s="1586"/>
      <c r="K120" s="1487"/>
    </row>
    <row r="121" spans="1:11" outlineLevel="1">
      <c r="A121" s="295" t="s">
        <v>961</v>
      </c>
      <c r="B121" s="283" t="s">
        <v>92</v>
      </c>
      <c r="C121" s="292" t="s">
        <v>117</v>
      </c>
      <c r="D121" s="279">
        <v>1</v>
      </c>
      <c r="E121" s="279"/>
      <c r="F121" s="1507">
        <f>ROUND(319775*1.04*per_Euro*USD_Change_IRR,-3)</f>
        <v>151547588000</v>
      </c>
      <c r="G121" s="297">
        <v>0</v>
      </c>
      <c r="H121" s="289">
        <f t="shared" ref="H121:H123" si="12">F121*D121</f>
        <v>151547588000</v>
      </c>
      <c r="I121" s="292">
        <f t="shared" si="11"/>
        <v>0</v>
      </c>
      <c r="J121" s="1586"/>
      <c r="K121" s="1487"/>
    </row>
    <row r="122" spans="1:11" outlineLevel="1">
      <c r="A122" s="295" t="s">
        <v>962</v>
      </c>
      <c r="B122" s="298" t="s">
        <v>4475</v>
      </c>
      <c r="C122" s="292" t="s">
        <v>117</v>
      </c>
      <c r="D122" s="279">
        <v>1</v>
      </c>
      <c r="E122" s="279"/>
      <c r="F122" s="1507">
        <f>ROUND(22152125000*1.5,-3)</f>
        <v>33228188000</v>
      </c>
      <c r="G122" s="297">
        <v>0</v>
      </c>
      <c r="H122" s="289">
        <f t="shared" si="12"/>
        <v>33228188000</v>
      </c>
      <c r="I122" s="292">
        <f t="shared" si="11"/>
        <v>0</v>
      </c>
      <c r="J122" s="1586"/>
      <c r="K122" s="1487"/>
    </row>
    <row r="123" spans="1:11">
      <c r="A123" s="299" t="s">
        <v>963</v>
      </c>
      <c r="B123" s="298" t="s">
        <v>964</v>
      </c>
      <c r="C123" s="300" t="s">
        <v>117</v>
      </c>
      <c r="D123" s="301">
        <v>5</v>
      </c>
      <c r="E123" s="279"/>
      <c r="F123" s="281">
        <f>ROUND(120000*per_Euro*USD_Inflation_Factor*USD_Change_IRR,-3)</f>
        <v>74754599000</v>
      </c>
      <c r="G123" s="302">
        <v>0</v>
      </c>
      <c r="H123" s="289">
        <f t="shared" si="12"/>
        <v>373772995000</v>
      </c>
      <c r="I123" s="300">
        <f t="shared" si="11"/>
        <v>0</v>
      </c>
      <c r="J123" s="1586"/>
      <c r="K123" s="1487"/>
    </row>
    <row r="124" spans="1:11" ht="15.75">
      <c r="A124" s="295" t="s">
        <v>965</v>
      </c>
      <c r="B124" s="283" t="s">
        <v>966</v>
      </c>
      <c r="C124" s="293"/>
      <c r="D124" s="279"/>
      <c r="E124" s="279"/>
      <c r="F124" s="287"/>
      <c r="G124" s="297"/>
      <c r="H124" s="70">
        <f>ROUND(0.1*D127,-3)</f>
        <v>378212890000</v>
      </c>
      <c r="I124" s="70">
        <f>ROUND(0.1*E127,-3)</f>
        <v>21000</v>
      </c>
      <c r="J124" s="1586"/>
      <c r="K124" s="1487"/>
    </row>
    <row r="125" spans="1:11" ht="15.75">
      <c r="A125" s="303"/>
      <c r="B125" s="304"/>
      <c r="C125" s="305"/>
      <c r="D125" s="306"/>
      <c r="E125" s="306"/>
      <c r="F125" s="307"/>
      <c r="G125" s="308"/>
      <c r="H125" s="307"/>
    </row>
    <row r="126" spans="1:11" ht="15.75" thickBot="1">
      <c r="A126" s="309"/>
      <c r="B126" s="310"/>
      <c r="C126" s="311"/>
      <c r="D126" s="311"/>
      <c r="E126" s="311"/>
    </row>
    <row r="127" spans="1:11">
      <c r="C127" s="119">
        <f>I124</f>
        <v>21000</v>
      </c>
      <c r="D127" s="61">
        <f>ROUND(SUM(H4:H123),-3)</f>
        <v>3782128899000</v>
      </c>
      <c r="E127" s="61">
        <f>ROUND(SUM(I4:I123),-3)</f>
        <v>210000</v>
      </c>
      <c r="F127" s="61">
        <f>ROUND(SUM(E127,C127,F141)*0.15*per_Euro*USD_Change_IRR,-3)</f>
        <v>15789720000</v>
      </c>
      <c r="G127" s="62">
        <f>ROUND(86*8000000*IRR_Inflation_Factor,-3)</f>
        <v>12780311000</v>
      </c>
    </row>
    <row r="128" spans="1:11" ht="15.75">
      <c r="C128" s="1519" t="s">
        <v>112</v>
      </c>
      <c r="D128" s="49" t="s">
        <v>111</v>
      </c>
      <c r="E128" s="49" t="s">
        <v>112</v>
      </c>
      <c r="F128" s="49" t="s">
        <v>111</v>
      </c>
      <c r="G128" s="50" t="s">
        <v>111</v>
      </c>
    </row>
    <row r="129" spans="2:9" ht="16.5" thickBot="1">
      <c r="C129" s="1533" t="s">
        <v>355</v>
      </c>
      <c r="D129" s="2268" t="s">
        <v>108</v>
      </c>
      <c r="E129" s="2248"/>
      <c r="F129" s="120" t="s">
        <v>480</v>
      </c>
      <c r="G129" s="121" t="s">
        <v>967</v>
      </c>
    </row>
    <row r="130" spans="2:9" ht="15.75" thickBot="1"/>
    <row r="131" spans="2:9" ht="16.5" thickBot="1">
      <c r="C131" s="2271" t="s">
        <v>86</v>
      </c>
      <c r="D131" s="2272"/>
      <c r="E131" s="2272"/>
      <c r="F131" s="2272"/>
      <c r="G131" s="2273"/>
    </row>
    <row r="132" spans="2:9" ht="33.75" customHeight="1" thickBot="1">
      <c r="C132" s="316" t="s">
        <v>58</v>
      </c>
      <c r="D132" s="317" t="s">
        <v>59</v>
      </c>
      <c r="E132" s="318" t="s">
        <v>968</v>
      </c>
      <c r="F132" s="318" t="s">
        <v>60</v>
      </c>
      <c r="G132" s="318" t="s">
        <v>1</v>
      </c>
    </row>
    <row r="133" spans="2:9" ht="33.75" customHeight="1" thickBot="1">
      <c r="B133" s="42"/>
      <c r="C133" s="2269">
        <v>1</v>
      </c>
      <c r="D133" s="1514" t="s">
        <v>87</v>
      </c>
      <c r="E133" s="321">
        <f t="shared" ref="E133:E142" si="13">F133*per_Euro</f>
        <v>227845.88297122598</v>
      </c>
      <c r="F133" s="321">
        <f>SUM(I5:I32)</f>
        <v>210000</v>
      </c>
      <c r="G133" s="321">
        <f>SUM(H5:H32)</f>
        <v>846092082734.53906</v>
      </c>
      <c r="H133" s="46"/>
      <c r="I133" s="46"/>
    </row>
    <row r="134" spans="2:9" ht="33.75" customHeight="1" thickBot="1">
      <c r="B134" s="42"/>
      <c r="C134" s="2270"/>
      <c r="D134" s="320" t="s">
        <v>4469</v>
      </c>
      <c r="E134" s="321">
        <f>-0.1*E133</f>
        <v>-22784.588297122598</v>
      </c>
      <c r="F134" s="321">
        <f>-0.1*F133</f>
        <v>-21000</v>
      </c>
      <c r="G134" s="321">
        <f>-0.1*G133</f>
        <v>-84609208273.453918</v>
      </c>
      <c r="H134" s="46"/>
      <c r="I134" s="46"/>
    </row>
    <row r="135" spans="2:9" ht="39.6" customHeight="1" thickBot="1">
      <c r="C135" s="319">
        <v>2</v>
      </c>
      <c r="D135" s="320" t="s">
        <v>88</v>
      </c>
      <c r="E135" s="321">
        <f t="shared" si="13"/>
        <v>0</v>
      </c>
      <c r="F135" s="321">
        <f>SUM(I34:I69)</f>
        <v>0</v>
      </c>
      <c r="G135" s="321">
        <f>SUM(H34:H69)</f>
        <v>1232421126000</v>
      </c>
      <c r="H135" s="46"/>
      <c r="I135" s="46"/>
    </row>
    <row r="136" spans="2:9" ht="33.75" customHeight="1" thickBot="1">
      <c r="C136" s="319">
        <v>3</v>
      </c>
      <c r="D136" s="320" t="s">
        <v>4509</v>
      </c>
      <c r="E136" s="321">
        <f t="shared" si="13"/>
        <v>0</v>
      </c>
      <c r="F136" s="321">
        <f>SUM(I92:I97)</f>
        <v>0</v>
      </c>
      <c r="G136" s="321">
        <f>SUM(H92:H97)</f>
        <v>701447326000</v>
      </c>
      <c r="H136" s="46"/>
      <c r="I136" s="46"/>
    </row>
    <row r="137" spans="2:9" ht="33.75" customHeight="1" thickBot="1">
      <c r="C137" s="319">
        <v>4</v>
      </c>
      <c r="D137" s="1578" t="s">
        <v>4517</v>
      </c>
      <c r="E137" s="321">
        <f t="shared" si="13"/>
        <v>0</v>
      </c>
      <c r="F137" s="321">
        <f>SUM(I99:I120)+I123</f>
        <v>0</v>
      </c>
      <c r="G137" s="321">
        <f>SUM(H99:H120)+H123</f>
        <v>604297120176.66211</v>
      </c>
      <c r="H137" s="46"/>
      <c r="I137" s="46"/>
    </row>
    <row r="138" spans="2:9" ht="33.75" customHeight="1" thickBot="1">
      <c r="C138" s="319">
        <v>5</v>
      </c>
      <c r="D138" s="320" t="s">
        <v>89</v>
      </c>
      <c r="E138" s="321">
        <f t="shared" si="13"/>
        <v>0</v>
      </c>
      <c r="F138" s="321"/>
      <c r="G138" s="321">
        <f>H90</f>
        <v>78019338000</v>
      </c>
      <c r="H138" s="46"/>
      <c r="I138" s="46"/>
    </row>
    <row r="139" spans="2:9" ht="33.75" customHeight="1" thickBot="1">
      <c r="C139" s="2269">
        <v>6</v>
      </c>
      <c r="D139" s="320" t="s">
        <v>90</v>
      </c>
      <c r="E139" s="321">
        <f t="shared" si="13"/>
        <v>0</v>
      </c>
      <c r="F139" s="321"/>
      <c r="G139" s="321">
        <f>ROUND(SUM(H71:H89),-3)</f>
        <v>135076130000</v>
      </c>
      <c r="H139" s="46"/>
      <c r="I139" s="46"/>
    </row>
    <row r="140" spans="2:9" ht="33.75" customHeight="1" thickBot="1">
      <c r="C140" s="2270"/>
      <c r="D140" s="320" t="s">
        <v>4470</v>
      </c>
      <c r="E140" s="321"/>
      <c r="F140" s="321"/>
      <c r="G140" s="321">
        <f>ABS(E134)*USD_Change_IRR+ABS(G134)</f>
        <v>94178735358.245407</v>
      </c>
      <c r="H140" s="46"/>
      <c r="I140" s="46"/>
    </row>
    <row r="141" spans="2:9" ht="33.75" customHeight="1" thickBot="1">
      <c r="C141" s="319">
        <v>7</v>
      </c>
      <c r="D141" s="320" t="s">
        <v>91</v>
      </c>
      <c r="E141" s="321">
        <f t="shared" si="13"/>
        <v>0</v>
      </c>
      <c r="F141" s="321">
        <v>0</v>
      </c>
      <c r="G141" s="321">
        <f>ROUND(P.LAB!G27*per_Euro*USD_Change_IRR+P.LAB!F27,-3)</f>
        <v>436841074000</v>
      </c>
      <c r="H141" s="46"/>
      <c r="I141" s="46"/>
    </row>
    <row r="142" spans="2:9" ht="17.25" thickBot="1">
      <c r="C142" s="319">
        <v>8</v>
      </c>
      <c r="D142" s="1534" t="s">
        <v>4474</v>
      </c>
      <c r="E142" s="321">
        <f t="shared" si="13"/>
        <v>0</v>
      </c>
      <c r="F142" s="321">
        <f>SUM(G121:G122)</f>
        <v>0</v>
      </c>
      <c r="G142" s="321">
        <f>H121+H122</f>
        <v>184775776000</v>
      </c>
      <c r="H142" s="46"/>
      <c r="I142" s="46"/>
    </row>
    <row r="143" spans="2:9" ht="17.25" thickBot="1">
      <c r="C143" s="319"/>
      <c r="D143" s="320" t="s">
        <v>77</v>
      </c>
      <c r="E143" s="321">
        <f>ROUNDUP(SUM(E133:E142),-3)</f>
        <v>206000</v>
      </c>
      <c r="F143" s="321">
        <f>ROUNDUP(SUM(F133:F142),-3)</f>
        <v>189000</v>
      </c>
      <c r="G143" s="321">
        <f>SUM(G133:G142)</f>
        <v>4228539499995.9927</v>
      </c>
      <c r="H143" s="46"/>
      <c r="I143" s="46"/>
    </row>
  </sheetData>
  <mergeCells count="11">
    <mergeCell ref="D129:E129"/>
    <mergeCell ref="C133:C134"/>
    <mergeCell ref="C139:C140"/>
    <mergeCell ref="C131:G131"/>
    <mergeCell ref="H2:I2"/>
    <mergeCell ref="H1:I1"/>
    <mergeCell ref="A1:A2"/>
    <mergeCell ref="B1:B2"/>
    <mergeCell ref="C1:D2"/>
    <mergeCell ref="F1:G1"/>
    <mergeCell ref="F2:G2"/>
  </mergeCells>
  <printOptions horizontalCentered="1"/>
  <pageMargins left="0" right="0" top="0" bottom="0" header="0.11811023622047245" footer="0.11811023622047245"/>
  <pageSetup paperSize="9" scale="70" orientation="landscape" horizontalDpi="4294967294"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10">
    <tabColor theme="0" tint="-0.14999847407452621"/>
  </sheetPr>
  <dimension ref="A1:W831"/>
  <sheetViews>
    <sheetView rightToLeft="1" zoomScale="85" zoomScaleNormal="85" workbookViewId="0">
      <selection sqref="A1:XFD1048576"/>
    </sheetView>
  </sheetViews>
  <sheetFormatPr defaultColWidth="9.140625" defaultRowHeight="15"/>
  <cols>
    <col min="1" max="1" width="7.7109375" style="173" customWidth="1"/>
    <col min="2" max="2" width="15.28515625" style="156" bestFit="1" customWidth="1"/>
    <col min="3" max="3" width="33.28515625" style="156" customWidth="1"/>
    <col min="4" max="4" width="19.28515625" style="156" customWidth="1"/>
    <col min="5" max="7" width="8.7109375" style="157" customWidth="1"/>
    <col min="8" max="8" width="9.140625" style="156" customWidth="1"/>
    <col min="9" max="9" width="9.7109375" style="156" customWidth="1"/>
    <col min="10" max="10" width="19.7109375" style="156" bestFit="1" customWidth="1"/>
    <col min="11" max="11" width="21.28515625" style="156" bestFit="1" customWidth="1"/>
    <col min="12" max="12" width="18.140625" style="156" bestFit="1" customWidth="1"/>
    <col min="13" max="13" width="13.42578125" bestFit="1" customWidth="1"/>
    <col min="14" max="14" width="9.140625" style="38" bestFit="1" customWidth="1"/>
    <col min="15" max="15" width="15.42578125" bestFit="1" customWidth="1"/>
    <col min="16" max="16" width="18.28515625" bestFit="1" customWidth="1"/>
    <col min="17" max="17" width="12.140625" bestFit="1" customWidth="1"/>
    <col min="18" max="18" width="18.140625" bestFit="1" customWidth="1"/>
  </cols>
  <sheetData>
    <row r="1" spans="1:15" ht="15.75">
      <c r="A1" s="2274" t="s">
        <v>362</v>
      </c>
      <c r="B1" s="2277" t="s">
        <v>100</v>
      </c>
      <c r="C1" s="2280" t="s">
        <v>363</v>
      </c>
      <c r="D1" s="2283" t="s">
        <v>364</v>
      </c>
      <c r="E1" s="2283"/>
      <c r="F1" s="2283"/>
      <c r="G1" s="2283"/>
      <c r="H1" s="2283"/>
      <c r="I1" s="2283"/>
      <c r="J1" s="2283"/>
      <c r="K1" s="2283" t="s">
        <v>365</v>
      </c>
      <c r="L1" s="2283"/>
      <c r="M1" s="2294" t="s">
        <v>106</v>
      </c>
      <c r="N1" s="2296" t="s">
        <v>107</v>
      </c>
      <c r="O1" s="2297"/>
    </row>
    <row r="2" spans="1:15">
      <c r="A2" s="2275"/>
      <c r="B2" s="2278"/>
      <c r="C2" s="2281"/>
      <c r="D2" s="2286" t="s">
        <v>366</v>
      </c>
      <c r="E2" s="2281" t="s">
        <v>367</v>
      </c>
      <c r="F2" s="2281" t="s">
        <v>368</v>
      </c>
      <c r="G2" s="2281" t="s">
        <v>104</v>
      </c>
      <c r="H2" s="2286" t="s">
        <v>369</v>
      </c>
      <c r="I2" s="2286" t="s">
        <v>370</v>
      </c>
      <c r="J2" s="2298" t="s">
        <v>371</v>
      </c>
      <c r="K2" s="2298" t="s">
        <v>365</v>
      </c>
      <c r="L2" s="2284" t="s">
        <v>372</v>
      </c>
      <c r="M2" s="2295"/>
      <c r="N2" s="128" t="s">
        <v>108</v>
      </c>
      <c r="O2" s="129" t="s">
        <v>4515</v>
      </c>
    </row>
    <row r="3" spans="1:15" ht="15.75" thickBot="1">
      <c r="A3" s="2276"/>
      <c r="B3" s="2279"/>
      <c r="C3" s="2282"/>
      <c r="D3" s="2287"/>
      <c r="E3" s="2282"/>
      <c r="F3" s="2282"/>
      <c r="G3" s="2282"/>
      <c r="H3" s="2287"/>
      <c r="I3" s="2287"/>
      <c r="J3" s="2285"/>
      <c r="K3" s="2285"/>
      <c r="L3" s="2285"/>
      <c r="M3" s="130" t="s">
        <v>112</v>
      </c>
      <c r="N3" s="130" t="s">
        <v>112</v>
      </c>
      <c r="O3" s="131" t="s">
        <v>111</v>
      </c>
    </row>
    <row r="4" spans="1:15" ht="20.100000000000001" customHeight="1">
      <c r="A4" s="132">
        <v>1</v>
      </c>
      <c r="B4" s="133" t="s">
        <v>373</v>
      </c>
      <c r="C4" s="133" t="s">
        <v>374</v>
      </c>
      <c r="D4" s="133" t="s">
        <v>342</v>
      </c>
      <c r="E4" s="132" t="s">
        <v>375</v>
      </c>
      <c r="F4" s="132">
        <v>85</v>
      </c>
      <c r="G4" s="133" t="s">
        <v>376</v>
      </c>
      <c r="H4" s="133">
        <v>12</v>
      </c>
      <c r="I4" s="133" t="s">
        <v>377</v>
      </c>
      <c r="J4" s="132" t="s">
        <v>378</v>
      </c>
      <c r="K4" s="134" t="s">
        <v>379</v>
      </c>
      <c r="L4" s="132" t="s">
        <v>380</v>
      </c>
      <c r="M4" s="135">
        <f>0.888*USD_Inflation_Factor</f>
        <v>1.2139434525767425</v>
      </c>
      <c r="N4" s="136">
        <f t="shared" ref="N4:N67" si="0">M4*H4</f>
        <v>14.567321430920909</v>
      </c>
      <c r="O4" s="137">
        <f>0.4*N4*USD_Change_IRR * per_Euro * per_Euro</f>
        <v>2880930.4011498252</v>
      </c>
    </row>
    <row r="5" spans="1:15" ht="20.100000000000001" customHeight="1">
      <c r="A5" s="132">
        <v>2</v>
      </c>
      <c r="B5" s="133" t="s">
        <v>373</v>
      </c>
      <c r="C5" s="133" t="s">
        <v>374</v>
      </c>
      <c r="D5" s="133" t="s">
        <v>342</v>
      </c>
      <c r="E5" s="132" t="s">
        <v>375</v>
      </c>
      <c r="F5" s="132">
        <v>90</v>
      </c>
      <c r="G5" s="133" t="s">
        <v>376</v>
      </c>
      <c r="H5" s="133">
        <v>100</v>
      </c>
      <c r="I5" s="133" t="s">
        <v>377</v>
      </c>
      <c r="J5" s="132" t="s">
        <v>381</v>
      </c>
      <c r="K5" s="134" t="s">
        <v>379</v>
      </c>
      <c r="L5" s="132" t="s">
        <v>380</v>
      </c>
      <c r="M5" s="135">
        <f>0.888*USD_Inflation_Factor</f>
        <v>1.2139434525767425</v>
      </c>
      <c r="N5" s="136">
        <f t="shared" si="0"/>
        <v>121.39434525767425</v>
      </c>
      <c r="O5" s="137">
        <f>0.4*N5*USD_Change_IRR * per_Euro * per_Euro</f>
        <v>24007753.342915211</v>
      </c>
    </row>
    <row r="6" spans="1:15" ht="20.100000000000001" customHeight="1">
      <c r="A6" s="132">
        <v>3</v>
      </c>
      <c r="B6" s="133" t="s">
        <v>373</v>
      </c>
      <c r="C6" s="133" t="s">
        <v>374</v>
      </c>
      <c r="D6" s="133" t="s">
        <v>342</v>
      </c>
      <c r="E6" s="132" t="s">
        <v>375</v>
      </c>
      <c r="F6" s="132">
        <v>90</v>
      </c>
      <c r="G6" s="133" t="s">
        <v>376</v>
      </c>
      <c r="H6" s="133">
        <v>256</v>
      </c>
      <c r="I6" s="133" t="s">
        <v>377</v>
      </c>
      <c r="J6" s="132" t="s">
        <v>382</v>
      </c>
      <c r="K6" s="134" t="s">
        <v>379</v>
      </c>
      <c r="L6" s="132" t="s">
        <v>380</v>
      </c>
      <c r="M6" s="135">
        <f>0.888*USD_Inflation_Factor</f>
        <v>1.2139434525767425</v>
      </c>
      <c r="N6" s="136">
        <f t="shared" si="0"/>
        <v>310.76952385964609</v>
      </c>
      <c r="O6" s="137">
        <f>0.4*N6*USD_Change_IRR * per_Euro * per_Euro</f>
        <v>61459848.557862945</v>
      </c>
    </row>
    <row r="7" spans="1:15" ht="20.100000000000001" customHeight="1">
      <c r="A7" s="132">
        <v>4</v>
      </c>
      <c r="B7" s="133" t="s">
        <v>373</v>
      </c>
      <c r="C7" s="133" t="s">
        <v>374</v>
      </c>
      <c r="D7" s="133" t="s">
        <v>342</v>
      </c>
      <c r="E7" s="132" t="s">
        <v>383</v>
      </c>
      <c r="F7" s="132">
        <v>105</v>
      </c>
      <c r="G7" s="133" t="s">
        <v>376</v>
      </c>
      <c r="H7" s="133">
        <v>320</v>
      </c>
      <c r="I7" s="133" t="s">
        <v>377</v>
      </c>
      <c r="J7" s="132" t="s">
        <v>384</v>
      </c>
      <c r="K7" s="134" t="s">
        <v>379</v>
      </c>
      <c r="L7" s="132" t="s">
        <v>380</v>
      </c>
      <c r="M7" s="135">
        <f>1.524*USD_Inflation_Factor</f>
        <v>2.0833894388817069</v>
      </c>
      <c r="N7" s="136">
        <f t="shared" si="0"/>
        <v>666.68462044214618</v>
      </c>
      <c r="O7" s="137">
        <f>0.4*N7*USD_Change_IRR * per_Euro * per_Euro</f>
        <v>131847985.92649652</v>
      </c>
    </row>
    <row r="8" spans="1:15" ht="20.100000000000001" customHeight="1">
      <c r="A8" s="132">
        <v>5</v>
      </c>
      <c r="B8" s="133" t="s">
        <v>373</v>
      </c>
      <c r="C8" s="133" t="s">
        <v>374</v>
      </c>
      <c r="D8" s="133" t="s">
        <v>342</v>
      </c>
      <c r="E8" s="132" t="s">
        <v>383</v>
      </c>
      <c r="F8" s="132">
        <v>110</v>
      </c>
      <c r="G8" s="133" t="s">
        <v>376</v>
      </c>
      <c r="H8" s="133">
        <v>64</v>
      </c>
      <c r="I8" s="133" t="s">
        <v>377</v>
      </c>
      <c r="J8" s="132" t="s">
        <v>385</v>
      </c>
      <c r="K8" s="134" t="s">
        <v>379</v>
      </c>
      <c r="L8" s="132" t="s">
        <v>380</v>
      </c>
      <c r="M8" s="135">
        <f>1.524*USD_Inflation_Factor</f>
        <v>2.0833894388817069</v>
      </c>
      <c r="N8" s="136">
        <f t="shared" si="0"/>
        <v>133.33692408842924</v>
      </c>
      <c r="O8" s="137">
        <f>0.4*N8*USD_Change_IRR * per_Euro * per_Euro</f>
        <v>26369597.185299307</v>
      </c>
    </row>
    <row r="9" spans="1:15" ht="20.100000000000001" customHeight="1">
      <c r="A9" s="132">
        <v>6</v>
      </c>
      <c r="B9" s="133" t="s">
        <v>373</v>
      </c>
      <c r="C9" s="133" t="s">
        <v>374</v>
      </c>
      <c r="D9" s="133" t="s">
        <v>342</v>
      </c>
      <c r="E9" s="132" t="s">
        <v>386</v>
      </c>
      <c r="F9" s="132">
        <v>115</v>
      </c>
      <c r="G9" s="133" t="s">
        <v>376</v>
      </c>
      <c r="H9" s="133">
        <v>912</v>
      </c>
      <c r="I9" s="133" t="s">
        <v>377</v>
      </c>
      <c r="J9" s="132" t="s">
        <v>387</v>
      </c>
      <c r="K9" s="134" t="s">
        <v>379</v>
      </c>
      <c r="L9" s="132" t="s">
        <v>380</v>
      </c>
      <c r="M9" s="135">
        <f>2.312*USD_Inflation_Factor</f>
        <v>3.1606275476998071</v>
      </c>
      <c r="N9" s="136">
        <f t="shared" si="0"/>
        <v>2882.4923235022243</v>
      </c>
      <c r="O9" s="137">
        <f>0.4*N9*USD_Change_IRR * per_Euro</f>
        <v>525411206.88491601</v>
      </c>
    </row>
    <row r="10" spans="1:15" ht="20.100000000000001" customHeight="1">
      <c r="A10" s="132">
        <v>7</v>
      </c>
      <c r="B10" s="133" t="s">
        <v>373</v>
      </c>
      <c r="C10" s="133" t="s">
        <v>374</v>
      </c>
      <c r="D10" s="133" t="s">
        <v>342</v>
      </c>
      <c r="E10" s="132" t="s">
        <v>386</v>
      </c>
      <c r="F10" s="132">
        <v>125</v>
      </c>
      <c r="G10" s="133" t="s">
        <v>376</v>
      </c>
      <c r="H10" s="133">
        <v>120</v>
      </c>
      <c r="I10" s="133" t="s">
        <v>377</v>
      </c>
      <c r="J10" s="132" t="s">
        <v>388</v>
      </c>
      <c r="K10" s="134" t="s">
        <v>379</v>
      </c>
      <c r="L10" s="132" t="s">
        <v>380</v>
      </c>
      <c r="M10" s="135">
        <f>2.416*USD_Inflation_Factor</f>
        <v>3.3028011052087951</v>
      </c>
      <c r="N10" s="136">
        <f t="shared" si="0"/>
        <v>396.33613262505543</v>
      </c>
      <c r="O10" s="137">
        <f>0.4*N10*USD_Change_IRR * per_Euro</f>
        <v>72242844.873085365</v>
      </c>
    </row>
    <row r="11" spans="1:15" ht="20.100000000000001" customHeight="1">
      <c r="A11" s="132">
        <v>8</v>
      </c>
      <c r="B11" s="133" t="s">
        <v>389</v>
      </c>
      <c r="C11" s="133" t="s">
        <v>374</v>
      </c>
      <c r="D11" s="133" t="s">
        <v>390</v>
      </c>
      <c r="E11" s="132">
        <v>10</v>
      </c>
      <c r="F11" s="132" t="s">
        <v>342</v>
      </c>
      <c r="G11" s="133" t="s">
        <v>376</v>
      </c>
      <c r="H11" s="133">
        <v>8</v>
      </c>
      <c r="I11" s="133" t="s">
        <v>377</v>
      </c>
      <c r="J11" s="132" t="s">
        <v>391</v>
      </c>
      <c r="K11" s="132" t="s">
        <v>392</v>
      </c>
      <c r="L11" s="132"/>
      <c r="M11" s="135">
        <f>308.47*USD_Inflation_Factor</f>
        <v>421.6949738922836</v>
      </c>
      <c r="N11" s="136">
        <f t="shared" si="0"/>
        <v>3373.5597911382688</v>
      </c>
      <c r="O11" s="136">
        <f t="shared" ref="O11:O42" si="1">0.25*N11*USD_Change_IRR * per_Euro</f>
        <v>384325854.68406177</v>
      </c>
    </row>
    <row r="12" spans="1:15" ht="20.100000000000001" customHeight="1">
      <c r="A12" s="132">
        <v>9</v>
      </c>
      <c r="B12" s="133" t="s">
        <v>389</v>
      </c>
      <c r="C12" s="133" t="s">
        <v>374</v>
      </c>
      <c r="D12" s="133" t="s">
        <v>393</v>
      </c>
      <c r="E12" s="132">
        <v>3</v>
      </c>
      <c r="F12" s="132" t="s">
        <v>342</v>
      </c>
      <c r="G12" s="133" t="s">
        <v>376</v>
      </c>
      <c r="H12" s="133">
        <v>5</v>
      </c>
      <c r="I12" s="133" t="s">
        <v>377</v>
      </c>
      <c r="J12" s="132" t="s">
        <v>391</v>
      </c>
      <c r="K12" s="132" t="s">
        <v>392</v>
      </c>
      <c r="L12" s="132"/>
      <c r="M12" s="135">
        <f>14.56*USD_Inflation_Factor</f>
        <v>19.904298051258301</v>
      </c>
      <c r="N12" s="136">
        <f t="shared" si="0"/>
        <v>99.521490256291514</v>
      </c>
      <c r="O12" s="136">
        <f t="shared" si="1"/>
        <v>11337780.911028503</v>
      </c>
    </row>
    <row r="13" spans="1:15" ht="20.100000000000001" customHeight="1">
      <c r="A13" s="132">
        <v>10</v>
      </c>
      <c r="B13" s="133" t="s">
        <v>389</v>
      </c>
      <c r="C13" s="133" t="s">
        <v>374</v>
      </c>
      <c r="D13" s="133" t="s">
        <v>393</v>
      </c>
      <c r="E13" s="132">
        <v>4</v>
      </c>
      <c r="F13" s="132" t="s">
        <v>342</v>
      </c>
      <c r="G13" s="133" t="s">
        <v>376</v>
      </c>
      <c r="H13" s="133">
        <v>10</v>
      </c>
      <c r="I13" s="133" t="s">
        <v>377</v>
      </c>
      <c r="J13" s="132" t="s">
        <v>391</v>
      </c>
      <c r="K13" s="132" t="s">
        <v>392</v>
      </c>
      <c r="L13" s="132"/>
      <c r="M13" s="135">
        <f>17.1*USD_Inflation_Factor</f>
        <v>23.376613782727816</v>
      </c>
      <c r="N13" s="136">
        <f t="shared" si="0"/>
        <v>233.76613782727816</v>
      </c>
      <c r="O13" s="136">
        <f t="shared" si="1"/>
        <v>26631326.04101475</v>
      </c>
    </row>
    <row r="14" spans="1:15" ht="20.100000000000001" customHeight="1">
      <c r="A14" s="132">
        <v>11</v>
      </c>
      <c r="B14" s="133" t="s">
        <v>389</v>
      </c>
      <c r="C14" s="133" t="s">
        <v>374</v>
      </c>
      <c r="D14" s="133" t="s">
        <v>393</v>
      </c>
      <c r="E14" s="132">
        <v>6</v>
      </c>
      <c r="F14" s="132" t="s">
        <v>342</v>
      </c>
      <c r="G14" s="133" t="s">
        <v>376</v>
      </c>
      <c r="H14" s="133">
        <v>8</v>
      </c>
      <c r="I14" s="133" t="s">
        <v>377</v>
      </c>
      <c r="J14" s="132" t="s">
        <v>391</v>
      </c>
      <c r="K14" s="132" t="s">
        <v>392</v>
      </c>
      <c r="L14" s="132"/>
      <c r="M14" s="135">
        <f>50.02*USD_Inflation_Factor</f>
        <v>68.380012948072832</v>
      </c>
      <c r="N14" s="136">
        <f t="shared" si="0"/>
        <v>547.04010358458265</v>
      </c>
      <c r="O14" s="136">
        <f t="shared" si="1"/>
        <v>62320417.710950084</v>
      </c>
    </row>
    <row r="15" spans="1:15" ht="20.100000000000001" customHeight="1">
      <c r="A15" s="132">
        <v>12</v>
      </c>
      <c r="B15" s="133" t="s">
        <v>389</v>
      </c>
      <c r="C15" s="133" t="s">
        <v>374</v>
      </c>
      <c r="D15" s="133" t="s">
        <v>393</v>
      </c>
      <c r="E15" s="132">
        <v>8</v>
      </c>
      <c r="F15" s="132" t="s">
        <v>342</v>
      </c>
      <c r="G15" s="133" t="s">
        <v>376</v>
      </c>
      <c r="H15" s="133">
        <v>6</v>
      </c>
      <c r="I15" s="133" t="s">
        <v>377</v>
      </c>
      <c r="J15" s="132" t="s">
        <v>391</v>
      </c>
      <c r="K15" s="132" t="s">
        <v>392</v>
      </c>
      <c r="L15" s="132"/>
      <c r="M15" s="135">
        <f>137.43*USD_Inflation_Factor</f>
        <v>187.87415392750196</v>
      </c>
      <c r="N15" s="136">
        <f t="shared" si="0"/>
        <v>1127.2449235650117</v>
      </c>
      <c r="O15" s="136">
        <f t="shared" si="1"/>
        <v>128419057.46725114</v>
      </c>
    </row>
    <row r="16" spans="1:15" ht="20.100000000000001" customHeight="1">
      <c r="A16" s="132">
        <v>13</v>
      </c>
      <c r="B16" s="133" t="s">
        <v>389</v>
      </c>
      <c r="C16" s="133" t="s">
        <v>374</v>
      </c>
      <c r="D16" s="133" t="s">
        <v>393</v>
      </c>
      <c r="E16" s="132">
        <v>10</v>
      </c>
      <c r="F16" s="132" t="s">
        <v>342</v>
      </c>
      <c r="G16" s="133" t="s">
        <v>376</v>
      </c>
      <c r="H16" s="133">
        <v>27</v>
      </c>
      <c r="I16" s="133" t="s">
        <v>377</v>
      </c>
      <c r="J16" s="132" t="s">
        <v>391</v>
      </c>
      <c r="K16" s="132" t="s">
        <v>392</v>
      </c>
      <c r="L16" s="132"/>
      <c r="M16" s="135">
        <f>308.47*USD_Inflation_Factor</f>
        <v>421.6949738922836</v>
      </c>
      <c r="N16" s="136">
        <f t="shared" si="0"/>
        <v>11385.764295091658</v>
      </c>
      <c r="O16" s="136">
        <f t="shared" si="1"/>
        <v>1297099759.5587087</v>
      </c>
    </row>
    <row r="17" spans="1:15" ht="20.100000000000001" customHeight="1">
      <c r="A17" s="132">
        <v>14</v>
      </c>
      <c r="B17" s="133" t="s">
        <v>389</v>
      </c>
      <c r="C17" s="133" t="s">
        <v>374</v>
      </c>
      <c r="D17" s="133" t="s">
        <v>393</v>
      </c>
      <c r="E17" s="132">
        <v>12</v>
      </c>
      <c r="F17" s="132" t="s">
        <v>342</v>
      </c>
      <c r="G17" s="133" t="s">
        <v>376</v>
      </c>
      <c r="H17" s="133">
        <v>8</v>
      </c>
      <c r="I17" s="133" t="s">
        <v>377</v>
      </c>
      <c r="J17" s="132" t="s">
        <v>391</v>
      </c>
      <c r="K17" s="132" t="s">
        <v>392</v>
      </c>
      <c r="L17" s="132"/>
      <c r="M17" s="135">
        <f>408.48*USD_Inflation_Factor</f>
        <v>558.4139881853016</v>
      </c>
      <c r="N17" s="136">
        <f t="shared" si="0"/>
        <v>4467.3119054824128</v>
      </c>
      <c r="O17" s="136">
        <f t="shared" si="1"/>
        <v>508929312.80625522</v>
      </c>
    </row>
    <row r="18" spans="1:15" ht="20.100000000000001" customHeight="1">
      <c r="A18" s="132">
        <v>15</v>
      </c>
      <c r="B18" s="133" t="s">
        <v>389</v>
      </c>
      <c r="C18" s="133" t="s">
        <v>374</v>
      </c>
      <c r="D18" s="133" t="s">
        <v>394</v>
      </c>
      <c r="E18" s="132">
        <v>1</v>
      </c>
      <c r="F18" s="132" t="s">
        <v>342</v>
      </c>
      <c r="G18" s="133" t="s">
        <v>376</v>
      </c>
      <c r="H18" s="133">
        <v>12</v>
      </c>
      <c r="I18" s="133" t="s">
        <v>377</v>
      </c>
      <c r="J18" s="132" t="s">
        <v>391</v>
      </c>
      <c r="K18" s="132" t="s">
        <v>392</v>
      </c>
      <c r="L18" s="132"/>
      <c r="M18" s="135">
        <f>1*USD_Inflation_Factor</f>
        <v>1.3670534375864218</v>
      </c>
      <c r="N18" s="136">
        <f t="shared" si="0"/>
        <v>16.404641251037063</v>
      </c>
      <c r="O18" s="136">
        <f t="shared" si="1"/>
        <v>1868864.9853343687</v>
      </c>
    </row>
    <row r="19" spans="1:15" ht="20.100000000000001" customHeight="1">
      <c r="A19" s="132">
        <v>16</v>
      </c>
      <c r="B19" s="133" t="s">
        <v>389</v>
      </c>
      <c r="C19" s="133" t="s">
        <v>374</v>
      </c>
      <c r="D19" s="133" t="s">
        <v>395</v>
      </c>
      <c r="E19" s="132">
        <v>4</v>
      </c>
      <c r="F19" s="132">
        <v>3</v>
      </c>
      <c r="G19" s="133" t="s">
        <v>376</v>
      </c>
      <c r="H19" s="133">
        <v>1</v>
      </c>
      <c r="I19" s="133" t="s">
        <v>377</v>
      </c>
      <c r="J19" s="132" t="s">
        <v>391</v>
      </c>
      <c r="K19" s="132" t="s">
        <v>392</v>
      </c>
      <c r="L19" s="132"/>
      <c r="M19" s="135">
        <f>13.28*USD_Inflation_Factor</f>
        <v>18.154469651147682</v>
      </c>
      <c r="N19" s="136">
        <f t="shared" si="0"/>
        <v>18.154469651147682</v>
      </c>
      <c r="O19" s="136">
        <f t="shared" si="1"/>
        <v>2068210.5837700344</v>
      </c>
    </row>
    <row r="20" spans="1:15" ht="20.100000000000001" customHeight="1">
      <c r="A20" s="132">
        <v>17</v>
      </c>
      <c r="B20" s="133" t="s">
        <v>389</v>
      </c>
      <c r="C20" s="133" t="s">
        <v>374</v>
      </c>
      <c r="D20" s="133" t="s">
        <v>395</v>
      </c>
      <c r="E20" s="132">
        <v>10</v>
      </c>
      <c r="F20" s="132">
        <v>8</v>
      </c>
      <c r="G20" s="133" t="s">
        <v>376</v>
      </c>
      <c r="H20" s="133">
        <v>6</v>
      </c>
      <c r="I20" s="133" t="s">
        <v>377</v>
      </c>
      <c r="J20" s="132" t="s">
        <v>391</v>
      </c>
      <c r="K20" s="132" t="s">
        <v>392</v>
      </c>
      <c r="L20" s="132"/>
      <c r="M20" s="135">
        <f>83.45*USD_Inflation_Factor</f>
        <v>114.08060936658691</v>
      </c>
      <c r="N20" s="136">
        <f t="shared" si="0"/>
        <v>684.48365619952142</v>
      </c>
      <c r="O20" s="136">
        <f t="shared" si="1"/>
        <v>77978391.513076514</v>
      </c>
    </row>
    <row r="21" spans="1:15" ht="20.100000000000001" customHeight="1">
      <c r="A21" s="132">
        <v>18</v>
      </c>
      <c r="B21" s="133" t="s">
        <v>389</v>
      </c>
      <c r="C21" s="133" t="s">
        <v>374</v>
      </c>
      <c r="D21" s="133" t="s">
        <v>396</v>
      </c>
      <c r="E21" s="132">
        <v>3</v>
      </c>
      <c r="F21" s="132">
        <v>1</v>
      </c>
      <c r="G21" s="133" t="s">
        <v>376</v>
      </c>
      <c r="H21" s="133">
        <v>3</v>
      </c>
      <c r="I21" s="133" t="s">
        <v>377</v>
      </c>
      <c r="J21" s="132" t="s">
        <v>391</v>
      </c>
      <c r="K21" s="132" t="s">
        <v>392</v>
      </c>
      <c r="L21" s="132"/>
      <c r="M21" s="135">
        <f>26.4*USD_Inflation_Factor</f>
        <v>36.090210752281536</v>
      </c>
      <c r="N21" s="136">
        <f t="shared" si="0"/>
        <v>108.27063225684461</v>
      </c>
      <c r="O21" s="136">
        <f t="shared" si="1"/>
        <v>12334508.903206831</v>
      </c>
    </row>
    <row r="22" spans="1:15" ht="20.100000000000001" customHeight="1">
      <c r="A22" s="132">
        <v>19</v>
      </c>
      <c r="B22" s="133" t="s">
        <v>389</v>
      </c>
      <c r="C22" s="133" t="s">
        <v>374</v>
      </c>
      <c r="D22" s="133" t="s">
        <v>396</v>
      </c>
      <c r="E22" s="132">
        <v>10</v>
      </c>
      <c r="F22" s="132">
        <v>1</v>
      </c>
      <c r="G22" s="133" t="s">
        <v>376</v>
      </c>
      <c r="H22" s="133">
        <v>3</v>
      </c>
      <c r="I22" s="133" t="s">
        <v>377</v>
      </c>
      <c r="J22" s="132" t="s">
        <v>391</v>
      </c>
      <c r="K22" s="132" t="s">
        <v>392</v>
      </c>
      <c r="L22" s="132"/>
      <c r="M22" s="135">
        <f>428*USD_Inflation_Factor</f>
        <v>585.09887128698858</v>
      </c>
      <c r="N22" s="136">
        <f t="shared" si="0"/>
        <v>1755.2966138609659</v>
      </c>
      <c r="O22" s="136">
        <f t="shared" si="1"/>
        <v>199968553.43077746</v>
      </c>
    </row>
    <row r="23" spans="1:15" ht="20.100000000000001" customHeight="1">
      <c r="A23" s="132">
        <v>20</v>
      </c>
      <c r="B23" s="133" t="s">
        <v>389</v>
      </c>
      <c r="C23" s="133" t="s">
        <v>374</v>
      </c>
      <c r="D23" s="133" t="s">
        <v>396</v>
      </c>
      <c r="E23" s="132">
        <v>12</v>
      </c>
      <c r="F23" s="132">
        <v>1</v>
      </c>
      <c r="G23" s="133" t="s">
        <v>376</v>
      </c>
      <c r="H23" s="133">
        <v>5</v>
      </c>
      <c r="I23" s="133" t="s">
        <v>377</v>
      </c>
      <c r="J23" s="132" t="s">
        <v>391</v>
      </c>
      <c r="K23" s="132" t="s">
        <v>392</v>
      </c>
      <c r="L23" s="132"/>
      <c r="M23" s="135">
        <f>616*USD_Inflation_Factor</f>
        <v>842.10491755323585</v>
      </c>
      <c r="N23" s="136">
        <f t="shared" si="0"/>
        <v>4210.5245877661791</v>
      </c>
      <c r="O23" s="136">
        <f t="shared" si="1"/>
        <v>479675346.23582119</v>
      </c>
    </row>
    <row r="24" spans="1:15" ht="20.100000000000001" customHeight="1">
      <c r="A24" s="132">
        <v>21</v>
      </c>
      <c r="B24" s="133" t="s">
        <v>389</v>
      </c>
      <c r="C24" s="133" t="s">
        <v>374</v>
      </c>
      <c r="D24" s="133" t="s">
        <v>397</v>
      </c>
      <c r="E24" s="132">
        <v>4</v>
      </c>
      <c r="F24" s="132">
        <v>1</v>
      </c>
      <c r="G24" s="133" t="s">
        <v>376</v>
      </c>
      <c r="H24" s="133">
        <v>1</v>
      </c>
      <c r="I24" s="133" t="s">
        <v>377</v>
      </c>
      <c r="J24" s="132" t="s">
        <v>391</v>
      </c>
      <c r="K24" s="132" t="s">
        <v>392</v>
      </c>
      <c r="L24" s="132"/>
      <c r="M24" s="135">
        <f>24.06*USD_Inflation_Factor</f>
        <v>32.891305708329305</v>
      </c>
      <c r="N24" s="136">
        <f t="shared" si="0"/>
        <v>32.891305708329305</v>
      </c>
      <c r="O24" s="136">
        <f t="shared" si="1"/>
        <v>3747074.295595408</v>
      </c>
    </row>
    <row r="25" spans="1:15" ht="20.100000000000001" customHeight="1">
      <c r="A25" s="132">
        <v>22</v>
      </c>
      <c r="B25" s="133" t="s">
        <v>389</v>
      </c>
      <c r="C25" s="133" t="s">
        <v>374</v>
      </c>
      <c r="D25" s="133" t="s">
        <v>397</v>
      </c>
      <c r="E25" s="132">
        <v>4</v>
      </c>
      <c r="F25" s="132">
        <v>4</v>
      </c>
      <c r="G25" s="133" t="s">
        <v>376</v>
      </c>
      <c r="H25" s="133">
        <v>5</v>
      </c>
      <c r="I25" s="133" t="s">
        <v>377</v>
      </c>
      <c r="J25" s="132" t="s">
        <v>391</v>
      </c>
      <c r="K25" s="132" t="s">
        <v>392</v>
      </c>
      <c r="L25" s="132"/>
      <c r="M25" s="135">
        <f>24.06*USD_Inflation_Factor</f>
        <v>32.891305708329305</v>
      </c>
      <c r="N25" s="136">
        <f t="shared" si="0"/>
        <v>164.45652854164652</v>
      </c>
      <c r="O25" s="136">
        <f t="shared" si="1"/>
        <v>18735371.477977037</v>
      </c>
    </row>
    <row r="26" spans="1:15" ht="20.100000000000001" customHeight="1">
      <c r="A26" s="132">
        <v>23</v>
      </c>
      <c r="B26" s="133" t="s">
        <v>389</v>
      </c>
      <c r="C26" s="133" t="s">
        <v>374</v>
      </c>
      <c r="D26" s="133" t="s">
        <v>397</v>
      </c>
      <c r="E26" s="132">
        <v>8</v>
      </c>
      <c r="F26" s="132">
        <v>4</v>
      </c>
      <c r="G26" s="133" t="s">
        <v>376</v>
      </c>
      <c r="H26" s="133">
        <v>2</v>
      </c>
      <c r="I26" s="133" t="s">
        <v>377</v>
      </c>
      <c r="J26" s="132" t="s">
        <v>391</v>
      </c>
      <c r="K26" s="132" t="s">
        <v>392</v>
      </c>
      <c r="L26" s="132"/>
      <c r="M26" s="135">
        <f>164.65*USD_Inflation_Factor</f>
        <v>225.08534849860436</v>
      </c>
      <c r="N26" s="136">
        <f t="shared" si="0"/>
        <v>450.17069699720872</v>
      </c>
      <c r="O26" s="136">
        <f t="shared" si="1"/>
        <v>51284769.972550631</v>
      </c>
    </row>
    <row r="27" spans="1:15" ht="20.100000000000001" customHeight="1">
      <c r="A27" s="132">
        <v>24</v>
      </c>
      <c r="B27" s="133" t="s">
        <v>389</v>
      </c>
      <c r="C27" s="133" t="s">
        <v>374</v>
      </c>
      <c r="D27" s="133" t="s">
        <v>397</v>
      </c>
      <c r="E27" s="132">
        <v>10</v>
      </c>
      <c r="F27" s="132">
        <v>6</v>
      </c>
      <c r="G27" s="133" t="s">
        <v>376</v>
      </c>
      <c r="H27" s="133">
        <v>32</v>
      </c>
      <c r="I27" s="133" t="s">
        <v>377</v>
      </c>
      <c r="J27" s="132" t="s">
        <v>391</v>
      </c>
      <c r="K27" s="132" t="s">
        <v>392</v>
      </c>
      <c r="L27" s="132"/>
      <c r="M27" s="135">
        <f>428.71*USD_Inflation_Factor</f>
        <v>586.06947922767483</v>
      </c>
      <c r="N27" s="136">
        <f t="shared" si="0"/>
        <v>18754.223335285595</v>
      </c>
      <c r="O27" s="136">
        <f t="shared" si="1"/>
        <v>2136536287.6338587</v>
      </c>
    </row>
    <row r="28" spans="1:15" ht="20.100000000000001" customHeight="1">
      <c r="A28" s="132">
        <v>25</v>
      </c>
      <c r="B28" s="133" t="s">
        <v>389</v>
      </c>
      <c r="C28" s="133" t="s">
        <v>374</v>
      </c>
      <c r="D28" s="133" t="s">
        <v>397</v>
      </c>
      <c r="E28" s="132">
        <v>10</v>
      </c>
      <c r="F28" s="132">
        <v>10</v>
      </c>
      <c r="G28" s="133" t="s">
        <v>376</v>
      </c>
      <c r="H28" s="133">
        <v>17</v>
      </c>
      <c r="I28" s="133" t="s">
        <v>377</v>
      </c>
      <c r="J28" s="132" t="s">
        <v>391</v>
      </c>
      <c r="K28" s="132" t="s">
        <v>392</v>
      </c>
      <c r="L28" s="132"/>
      <c r="M28" s="135">
        <f>428.71*USD_Inflation_Factor</f>
        <v>586.06947922767483</v>
      </c>
      <c r="N28" s="136">
        <f t="shared" si="0"/>
        <v>9963.1811468704727</v>
      </c>
      <c r="O28" s="136">
        <f t="shared" si="1"/>
        <v>1135034902.8054874</v>
      </c>
    </row>
    <row r="29" spans="1:15" ht="20.100000000000001" customHeight="1">
      <c r="A29" s="132">
        <v>26</v>
      </c>
      <c r="B29" s="133" t="s">
        <v>389</v>
      </c>
      <c r="C29" s="133" t="s">
        <v>374</v>
      </c>
      <c r="D29" s="133" t="s">
        <v>397</v>
      </c>
      <c r="E29" s="132">
        <v>12</v>
      </c>
      <c r="F29" s="132">
        <v>10</v>
      </c>
      <c r="G29" s="133" t="s">
        <v>376</v>
      </c>
      <c r="H29" s="133">
        <v>14</v>
      </c>
      <c r="I29" s="133" t="s">
        <v>377</v>
      </c>
      <c r="J29" s="132" t="s">
        <v>391</v>
      </c>
      <c r="K29" s="132" t="s">
        <v>392</v>
      </c>
      <c r="L29" s="132"/>
      <c r="M29" s="135">
        <f>616.17*USD_Inflation_Factor</f>
        <v>842.33731663762546</v>
      </c>
      <c r="N29" s="136">
        <f t="shared" si="0"/>
        <v>11792.722432926756</v>
      </c>
      <c r="O29" s="136">
        <f t="shared" si="1"/>
        <v>1343461627.6823905</v>
      </c>
    </row>
    <row r="30" spans="1:15" ht="20.100000000000001" customHeight="1">
      <c r="A30" s="132">
        <v>27</v>
      </c>
      <c r="B30" s="133" t="s">
        <v>389</v>
      </c>
      <c r="C30" s="133" t="s">
        <v>374</v>
      </c>
      <c r="D30" s="133" t="s">
        <v>397</v>
      </c>
      <c r="E30" s="132">
        <v>12</v>
      </c>
      <c r="F30" s="132">
        <v>12</v>
      </c>
      <c r="G30" s="133" t="s">
        <v>376</v>
      </c>
      <c r="H30" s="133">
        <v>2</v>
      </c>
      <c r="I30" s="133" t="s">
        <v>377</v>
      </c>
      <c r="J30" s="132" t="s">
        <v>391</v>
      </c>
      <c r="K30" s="132" t="s">
        <v>392</v>
      </c>
      <c r="L30" s="132"/>
      <c r="M30" s="135">
        <f>616.17*USD_Inflation_Factor</f>
        <v>842.33731663762546</v>
      </c>
      <c r="N30" s="136">
        <f t="shared" si="0"/>
        <v>1684.6746332752509</v>
      </c>
      <c r="O30" s="136">
        <f t="shared" si="1"/>
        <v>191923089.66891295</v>
      </c>
    </row>
    <row r="31" spans="1:15" ht="20.100000000000001" customHeight="1">
      <c r="A31" s="132">
        <v>28</v>
      </c>
      <c r="B31" s="133" t="s">
        <v>389</v>
      </c>
      <c r="C31" s="133" t="s">
        <v>374</v>
      </c>
      <c r="D31" s="133" t="s">
        <v>396</v>
      </c>
      <c r="E31" s="132">
        <v>3</v>
      </c>
      <c r="F31" s="132" t="s">
        <v>398</v>
      </c>
      <c r="G31" s="133" t="s">
        <v>376</v>
      </c>
      <c r="H31" s="133">
        <v>120</v>
      </c>
      <c r="I31" s="133" t="s">
        <v>377</v>
      </c>
      <c r="J31" s="132" t="s">
        <v>391</v>
      </c>
      <c r="K31" s="132" t="s">
        <v>392</v>
      </c>
      <c r="L31" s="132"/>
      <c r="M31" s="135">
        <f>26.4*USD_Inflation_Factor</f>
        <v>36.090210752281536</v>
      </c>
      <c r="N31" s="136">
        <f t="shared" si="0"/>
        <v>4330.825290273784</v>
      </c>
      <c r="O31" s="136">
        <f t="shared" si="1"/>
        <v>493380356.12827319</v>
      </c>
    </row>
    <row r="32" spans="1:15" ht="20.100000000000001" customHeight="1">
      <c r="A32" s="132">
        <v>29</v>
      </c>
      <c r="B32" s="133" t="s">
        <v>389</v>
      </c>
      <c r="C32" s="133" t="s">
        <v>374</v>
      </c>
      <c r="D32" s="133" t="s">
        <v>396</v>
      </c>
      <c r="E32" s="132">
        <v>6</v>
      </c>
      <c r="F32" s="132">
        <v>3</v>
      </c>
      <c r="G32" s="133" t="s">
        <v>376</v>
      </c>
      <c r="H32" s="133">
        <v>12</v>
      </c>
      <c r="I32" s="133" t="s">
        <v>377</v>
      </c>
      <c r="J32" s="132" t="s">
        <v>391</v>
      </c>
      <c r="K32" s="132" t="s">
        <v>392</v>
      </c>
      <c r="L32" s="132"/>
      <c r="M32" s="135">
        <f>59.51*USD_Inflation_Factor</f>
        <v>81.353350070767959</v>
      </c>
      <c r="N32" s="136">
        <f t="shared" si="0"/>
        <v>976.24020084921551</v>
      </c>
      <c r="O32" s="136">
        <f t="shared" si="1"/>
        <v>111216155.27724825</v>
      </c>
    </row>
    <row r="33" spans="1:15" ht="20.100000000000001" customHeight="1">
      <c r="A33" s="132">
        <v>30</v>
      </c>
      <c r="B33" s="133" t="s">
        <v>389</v>
      </c>
      <c r="C33" s="133" t="s">
        <v>374</v>
      </c>
      <c r="D33" s="133" t="s">
        <v>396</v>
      </c>
      <c r="E33" s="132">
        <v>10</v>
      </c>
      <c r="F33" s="132">
        <v>2</v>
      </c>
      <c r="G33" s="133" t="s">
        <v>376</v>
      </c>
      <c r="H33" s="133">
        <v>3</v>
      </c>
      <c r="I33" s="133" t="s">
        <v>377</v>
      </c>
      <c r="J33" s="132" t="s">
        <v>391</v>
      </c>
      <c r="K33" s="132" t="s">
        <v>392</v>
      </c>
      <c r="L33" s="132"/>
      <c r="M33" s="135">
        <f>428*USD_Inflation_Factor</f>
        <v>585.09887128698858</v>
      </c>
      <c r="N33" s="136">
        <f t="shared" si="0"/>
        <v>1755.2966138609659</v>
      </c>
      <c r="O33" s="136">
        <f t="shared" si="1"/>
        <v>199968553.43077746</v>
      </c>
    </row>
    <row r="34" spans="1:15" ht="20.100000000000001" customHeight="1">
      <c r="A34" s="132">
        <v>31</v>
      </c>
      <c r="B34" s="133" t="s">
        <v>389</v>
      </c>
      <c r="C34" s="133" t="s">
        <v>374</v>
      </c>
      <c r="D34" s="133" t="s">
        <v>396</v>
      </c>
      <c r="E34" s="132">
        <v>12</v>
      </c>
      <c r="F34" s="132">
        <v>2</v>
      </c>
      <c r="G34" s="133" t="s">
        <v>376</v>
      </c>
      <c r="H34" s="133">
        <v>2</v>
      </c>
      <c r="I34" s="133" t="s">
        <v>377</v>
      </c>
      <c r="J34" s="132" t="s">
        <v>391</v>
      </c>
      <c r="K34" s="132" t="s">
        <v>392</v>
      </c>
      <c r="L34" s="132"/>
      <c r="M34" s="135">
        <f>616*USD_Inflation_Factor</f>
        <v>842.10491755323585</v>
      </c>
      <c r="N34" s="136">
        <f t="shared" si="0"/>
        <v>1684.2098351064717</v>
      </c>
      <c r="O34" s="136">
        <f t="shared" si="1"/>
        <v>191870138.49432847</v>
      </c>
    </row>
    <row r="35" spans="1:15" ht="20.100000000000001" customHeight="1">
      <c r="A35" s="132">
        <v>32</v>
      </c>
      <c r="B35" s="133" t="s">
        <v>389</v>
      </c>
      <c r="C35" s="133" t="s">
        <v>374</v>
      </c>
      <c r="D35" s="133" t="s">
        <v>396</v>
      </c>
      <c r="E35" s="132">
        <v>12</v>
      </c>
      <c r="F35" s="132">
        <v>3</v>
      </c>
      <c r="G35" s="133" t="s">
        <v>376</v>
      </c>
      <c r="H35" s="133">
        <v>2</v>
      </c>
      <c r="I35" s="133" t="s">
        <v>377</v>
      </c>
      <c r="J35" s="132" t="s">
        <v>391</v>
      </c>
      <c r="K35" s="132" t="s">
        <v>392</v>
      </c>
      <c r="L35" s="132"/>
      <c r="M35" s="135">
        <f>616*USD_Inflation_Factor</f>
        <v>842.10491755323585</v>
      </c>
      <c r="N35" s="136">
        <f t="shared" si="0"/>
        <v>1684.2098351064717</v>
      </c>
      <c r="O35" s="136">
        <f t="shared" si="1"/>
        <v>191870138.49432847</v>
      </c>
    </row>
    <row r="36" spans="1:15" ht="20.100000000000001" customHeight="1">
      <c r="A36" s="132">
        <v>33</v>
      </c>
      <c r="B36" s="133" t="s">
        <v>399</v>
      </c>
      <c r="C36" s="133" t="s">
        <v>374</v>
      </c>
      <c r="D36" s="133" t="s">
        <v>399</v>
      </c>
      <c r="E36" s="132">
        <v>2</v>
      </c>
      <c r="F36" s="132" t="s">
        <v>342</v>
      </c>
      <c r="G36" s="133" t="s">
        <v>376</v>
      </c>
      <c r="H36" s="133">
        <v>3</v>
      </c>
      <c r="I36" s="133" t="s">
        <v>377</v>
      </c>
      <c r="J36" s="132" t="s">
        <v>391</v>
      </c>
      <c r="K36" s="132" t="s">
        <v>400</v>
      </c>
      <c r="L36" s="132"/>
      <c r="M36" s="135">
        <f>8.22*USD_Inflation_Factor</f>
        <v>11.237179256960388</v>
      </c>
      <c r="N36" s="136">
        <f t="shared" si="0"/>
        <v>33.711537770881165</v>
      </c>
      <c r="O36" s="136">
        <f t="shared" si="1"/>
        <v>3840517.5448621274</v>
      </c>
    </row>
    <row r="37" spans="1:15" ht="20.100000000000001" customHeight="1">
      <c r="A37" s="132">
        <v>34</v>
      </c>
      <c r="B37" s="133" t="s">
        <v>399</v>
      </c>
      <c r="C37" s="133" t="s">
        <v>374</v>
      </c>
      <c r="D37" s="133" t="s">
        <v>399</v>
      </c>
      <c r="E37" s="132">
        <v>3</v>
      </c>
      <c r="F37" s="132" t="s">
        <v>342</v>
      </c>
      <c r="G37" s="133" t="s">
        <v>376</v>
      </c>
      <c r="H37" s="133">
        <v>25</v>
      </c>
      <c r="I37" s="133" t="s">
        <v>377</v>
      </c>
      <c r="J37" s="132" t="s">
        <v>391</v>
      </c>
      <c r="K37" s="132" t="s">
        <v>400</v>
      </c>
      <c r="L37" s="132"/>
      <c r="M37" s="135">
        <f>16.78*USD_Inflation_Factor</f>
        <v>22.939156682700158</v>
      </c>
      <c r="N37" s="136">
        <f t="shared" si="0"/>
        <v>573.47891706750397</v>
      </c>
      <c r="O37" s="136">
        <f t="shared" si="1"/>
        <v>65332405.112313963</v>
      </c>
    </row>
    <row r="38" spans="1:15" ht="20.100000000000001" customHeight="1">
      <c r="A38" s="132">
        <v>35</v>
      </c>
      <c r="B38" s="133" t="s">
        <v>399</v>
      </c>
      <c r="C38" s="133" t="s">
        <v>374</v>
      </c>
      <c r="D38" s="133" t="s">
        <v>399</v>
      </c>
      <c r="E38" s="132">
        <v>4</v>
      </c>
      <c r="F38" s="132" t="s">
        <v>342</v>
      </c>
      <c r="G38" s="133" t="s">
        <v>376</v>
      </c>
      <c r="H38" s="133">
        <v>26</v>
      </c>
      <c r="I38" s="133" t="s">
        <v>377</v>
      </c>
      <c r="J38" s="132" t="s">
        <v>391</v>
      </c>
      <c r="K38" s="132" t="s">
        <v>400</v>
      </c>
      <c r="L38" s="132"/>
      <c r="M38" s="135">
        <f>22.26*USD_Inflation_Factor</f>
        <v>30.430609520673752</v>
      </c>
      <c r="N38" s="136">
        <f t="shared" si="0"/>
        <v>791.19584753751758</v>
      </c>
      <c r="O38" s="136">
        <f t="shared" si="1"/>
        <v>90135358.242676586</v>
      </c>
    </row>
    <row r="39" spans="1:15" ht="20.100000000000001" customHeight="1">
      <c r="A39" s="132">
        <v>36</v>
      </c>
      <c r="B39" s="133" t="s">
        <v>399</v>
      </c>
      <c r="C39" s="133" t="s">
        <v>374</v>
      </c>
      <c r="D39" s="133" t="s">
        <v>399</v>
      </c>
      <c r="E39" s="132">
        <v>6</v>
      </c>
      <c r="F39" s="132" t="s">
        <v>342</v>
      </c>
      <c r="G39" s="133" t="s">
        <v>376</v>
      </c>
      <c r="H39" s="133">
        <v>40</v>
      </c>
      <c r="I39" s="133" t="s">
        <v>377</v>
      </c>
      <c r="J39" s="132" t="s">
        <v>391</v>
      </c>
      <c r="K39" s="132" t="s">
        <v>400</v>
      </c>
      <c r="L39" s="132"/>
      <c r="M39" s="135">
        <f>34.19*USD_Inflation_Factor</f>
        <v>46.739557031079762</v>
      </c>
      <c r="N39" s="136">
        <f t="shared" si="0"/>
        <v>1869.5822812431904</v>
      </c>
      <c r="O39" s="136">
        <f t="shared" si="1"/>
        <v>212988312.82860681</v>
      </c>
    </row>
    <row r="40" spans="1:15" ht="20.100000000000001" customHeight="1">
      <c r="A40" s="132">
        <v>37</v>
      </c>
      <c r="B40" s="133" t="s">
        <v>399</v>
      </c>
      <c r="C40" s="133" t="s">
        <v>374</v>
      </c>
      <c r="D40" s="133" t="s">
        <v>399</v>
      </c>
      <c r="E40" s="132">
        <v>8</v>
      </c>
      <c r="F40" s="132" t="s">
        <v>342</v>
      </c>
      <c r="G40" s="133" t="s">
        <v>376</v>
      </c>
      <c r="H40" s="133">
        <v>8</v>
      </c>
      <c r="I40" s="133" t="s">
        <v>377</v>
      </c>
      <c r="J40" s="132" t="s">
        <v>391</v>
      </c>
      <c r="K40" s="132" t="s">
        <v>400</v>
      </c>
      <c r="L40" s="132"/>
      <c r="M40" s="135">
        <f>53.62*USD_Inflation_Factor</f>
        <v>73.301405323383932</v>
      </c>
      <c r="N40" s="136">
        <f>M40*H40</f>
        <v>586.41124258707146</v>
      </c>
      <c r="O40" s="136">
        <f t="shared" si="1"/>
        <v>66805693.67575255</v>
      </c>
    </row>
    <row r="41" spans="1:15" ht="20.100000000000001" customHeight="1">
      <c r="A41" s="132">
        <v>38</v>
      </c>
      <c r="B41" s="133" t="s">
        <v>399</v>
      </c>
      <c r="C41" s="133" t="s">
        <v>374</v>
      </c>
      <c r="D41" s="133" t="s">
        <v>399</v>
      </c>
      <c r="E41" s="132">
        <v>10</v>
      </c>
      <c r="F41" s="132" t="s">
        <v>342</v>
      </c>
      <c r="G41" s="133" t="s">
        <v>376</v>
      </c>
      <c r="H41" s="133">
        <v>72</v>
      </c>
      <c r="I41" s="133" t="s">
        <v>377</v>
      </c>
      <c r="J41" s="132" t="s">
        <v>391</v>
      </c>
      <c r="K41" s="132" t="s">
        <v>400</v>
      </c>
      <c r="L41" s="132"/>
      <c r="M41" s="135">
        <f>71.71*USD_Inflation_Factor</f>
        <v>98.031402009322306</v>
      </c>
      <c r="N41" s="136">
        <f t="shared" si="0"/>
        <v>7058.2609446712058</v>
      </c>
      <c r="O41" s="136">
        <f t="shared" si="1"/>
        <v>804097848.58996534</v>
      </c>
    </row>
    <row r="42" spans="1:15" ht="20.100000000000001" customHeight="1">
      <c r="A42" s="132">
        <v>39</v>
      </c>
      <c r="B42" s="133" t="s">
        <v>399</v>
      </c>
      <c r="C42" s="133" t="s">
        <v>374</v>
      </c>
      <c r="D42" s="133" t="s">
        <v>399</v>
      </c>
      <c r="E42" s="132">
        <v>12</v>
      </c>
      <c r="F42" s="132" t="s">
        <v>342</v>
      </c>
      <c r="G42" s="133" t="s">
        <v>376</v>
      </c>
      <c r="H42" s="133">
        <v>13</v>
      </c>
      <c r="I42" s="133" t="s">
        <v>377</v>
      </c>
      <c r="J42" s="132" t="s">
        <v>391</v>
      </c>
      <c r="K42" s="132" t="s">
        <v>400</v>
      </c>
      <c r="L42" s="132"/>
      <c r="M42" s="135">
        <f>100*USD_Inflation_Factor</f>
        <v>136.70534375864219</v>
      </c>
      <c r="N42" s="136">
        <f t="shared" si="0"/>
        <v>1777.1694688623484</v>
      </c>
      <c r="O42" s="136">
        <f t="shared" si="1"/>
        <v>202460373.41122323</v>
      </c>
    </row>
    <row r="43" spans="1:15" ht="20.100000000000001" customHeight="1">
      <c r="A43" s="132">
        <v>40</v>
      </c>
      <c r="B43" s="133" t="s">
        <v>401</v>
      </c>
      <c r="C43" s="133" t="s">
        <v>374</v>
      </c>
      <c r="D43" s="133" t="s">
        <v>342</v>
      </c>
      <c r="E43" s="132">
        <v>2</v>
      </c>
      <c r="F43" s="132" t="s">
        <v>342</v>
      </c>
      <c r="G43" s="133" t="s">
        <v>376</v>
      </c>
      <c r="H43" s="133">
        <v>3</v>
      </c>
      <c r="I43" s="133" t="s">
        <v>377</v>
      </c>
      <c r="J43" s="132" t="s">
        <v>391</v>
      </c>
      <c r="K43" s="132" t="s">
        <v>402</v>
      </c>
      <c r="L43" s="132"/>
      <c r="M43" s="135">
        <f>1.03*USD_Inflation_Factor</f>
        <v>1.4080650407140145</v>
      </c>
      <c r="N43" s="136">
        <f t="shared" si="0"/>
        <v>4.224195122142044</v>
      </c>
      <c r="O43" s="137">
        <f t="shared" ref="O43:O49" si="2">0.4*N43*USD_Change_IRR * per_Euro</f>
        <v>769972.37395775993</v>
      </c>
    </row>
    <row r="44" spans="1:15" ht="20.100000000000001" customHeight="1">
      <c r="A44" s="132">
        <v>41</v>
      </c>
      <c r="B44" s="133" t="s">
        <v>401</v>
      </c>
      <c r="C44" s="133" t="s">
        <v>374</v>
      </c>
      <c r="D44" s="133" t="s">
        <v>342</v>
      </c>
      <c r="E44" s="132">
        <v>3</v>
      </c>
      <c r="F44" s="132" t="s">
        <v>342</v>
      </c>
      <c r="G44" s="133" t="s">
        <v>376</v>
      </c>
      <c r="H44" s="133">
        <v>25</v>
      </c>
      <c r="I44" s="133" t="s">
        <v>377</v>
      </c>
      <c r="J44" s="132" t="s">
        <v>391</v>
      </c>
      <c r="K44" s="132" t="s">
        <v>402</v>
      </c>
      <c r="L44" s="132"/>
      <c r="M44" s="135">
        <f>1.53*USD_Inflation_Factor</f>
        <v>2.0915917595072253</v>
      </c>
      <c r="N44" s="136">
        <f t="shared" si="0"/>
        <v>52.289793987680632</v>
      </c>
      <c r="O44" s="137">
        <f t="shared" si="2"/>
        <v>9531211.4252052791</v>
      </c>
    </row>
    <row r="45" spans="1:15" ht="20.100000000000001" customHeight="1">
      <c r="A45" s="132">
        <v>42</v>
      </c>
      <c r="B45" s="133" t="s">
        <v>401</v>
      </c>
      <c r="C45" s="133" t="s">
        <v>374</v>
      </c>
      <c r="D45" s="133" t="s">
        <v>342</v>
      </c>
      <c r="E45" s="132">
        <v>4</v>
      </c>
      <c r="F45" s="132" t="s">
        <v>342</v>
      </c>
      <c r="G45" s="133" t="s">
        <v>376</v>
      </c>
      <c r="H45" s="133">
        <v>34</v>
      </c>
      <c r="I45" s="133" t="s">
        <v>377</v>
      </c>
      <c r="J45" s="132" t="s">
        <v>391</v>
      </c>
      <c r="K45" s="132" t="s">
        <v>402</v>
      </c>
      <c r="L45" s="132"/>
      <c r="M45" s="135">
        <f>2.47*USD_Inflation_Factor</f>
        <v>3.376621990838462</v>
      </c>
      <c r="N45" s="136">
        <f t="shared" si="0"/>
        <v>114.8051476885077</v>
      </c>
      <c r="O45" s="137">
        <f t="shared" si="2"/>
        <v>20926304.195784032</v>
      </c>
    </row>
    <row r="46" spans="1:15" ht="20.100000000000001" customHeight="1">
      <c r="A46" s="132">
        <v>43</v>
      </c>
      <c r="B46" s="133" t="s">
        <v>401</v>
      </c>
      <c r="C46" s="133" t="s">
        <v>374</v>
      </c>
      <c r="D46" s="133" t="s">
        <v>342</v>
      </c>
      <c r="E46" s="132">
        <v>6</v>
      </c>
      <c r="F46" s="132" t="s">
        <v>342</v>
      </c>
      <c r="G46" s="133" t="s">
        <v>376</v>
      </c>
      <c r="H46" s="133">
        <v>40</v>
      </c>
      <c r="I46" s="133" t="s">
        <v>377</v>
      </c>
      <c r="J46" s="132" t="s">
        <v>391</v>
      </c>
      <c r="K46" s="132" t="s">
        <v>402</v>
      </c>
      <c r="L46" s="132"/>
      <c r="M46" s="135">
        <f>2.95*USD_Inflation_Factor</f>
        <v>4.0328076408799447</v>
      </c>
      <c r="N46" s="136">
        <f t="shared" si="0"/>
        <v>161.31230563519779</v>
      </c>
      <c r="O46" s="137">
        <f t="shared" si="2"/>
        <v>29403475.769260734</v>
      </c>
    </row>
    <row r="47" spans="1:15" ht="20.100000000000001" customHeight="1">
      <c r="A47" s="132">
        <v>44</v>
      </c>
      <c r="B47" s="133" t="s">
        <v>401</v>
      </c>
      <c r="C47" s="133" t="s">
        <v>374</v>
      </c>
      <c r="D47" s="133" t="s">
        <v>342</v>
      </c>
      <c r="E47" s="132">
        <v>8</v>
      </c>
      <c r="F47" s="132" t="s">
        <v>342</v>
      </c>
      <c r="G47" s="133" t="s">
        <v>376</v>
      </c>
      <c r="H47" s="133">
        <v>8</v>
      </c>
      <c r="I47" s="133" t="s">
        <v>377</v>
      </c>
      <c r="J47" s="132" t="s">
        <v>391</v>
      </c>
      <c r="K47" s="132" t="s">
        <v>402</v>
      </c>
      <c r="L47" s="132"/>
      <c r="M47" s="135">
        <f>4.19*USD_Inflation_Factor</f>
        <v>5.7279539034871076</v>
      </c>
      <c r="N47" s="136">
        <f t="shared" si="0"/>
        <v>45.823631227896861</v>
      </c>
      <c r="O47" s="137">
        <f t="shared" si="2"/>
        <v>8352580.5744544035</v>
      </c>
    </row>
    <row r="48" spans="1:15" ht="20.100000000000001" customHeight="1">
      <c r="A48" s="132">
        <v>45</v>
      </c>
      <c r="B48" s="133" t="s">
        <v>401</v>
      </c>
      <c r="C48" s="133" t="s">
        <v>374</v>
      </c>
      <c r="D48" s="133" t="s">
        <v>342</v>
      </c>
      <c r="E48" s="132">
        <v>10</v>
      </c>
      <c r="F48" s="132" t="s">
        <v>342</v>
      </c>
      <c r="G48" s="133" t="s">
        <v>376</v>
      </c>
      <c r="H48" s="133">
        <v>76</v>
      </c>
      <c r="I48" s="133" t="s">
        <v>377</v>
      </c>
      <c r="J48" s="132" t="s">
        <v>391</v>
      </c>
      <c r="K48" s="132" t="s">
        <v>402</v>
      </c>
      <c r="L48" s="132"/>
      <c r="M48" s="135">
        <f>22.16*USD_Inflation_Factor</f>
        <v>30.29390417691511</v>
      </c>
      <c r="N48" s="136">
        <f t="shared" si="0"/>
        <v>2302.3367174455484</v>
      </c>
      <c r="O48" s="137">
        <f t="shared" si="2"/>
        <v>419662353.82676405</v>
      </c>
    </row>
    <row r="49" spans="1:15" ht="20.100000000000001" customHeight="1">
      <c r="A49" s="132">
        <v>46</v>
      </c>
      <c r="B49" s="133" t="s">
        <v>401</v>
      </c>
      <c r="C49" s="133" t="s">
        <v>374</v>
      </c>
      <c r="D49" s="133" t="s">
        <v>342</v>
      </c>
      <c r="E49" s="132">
        <v>12</v>
      </c>
      <c r="F49" s="132" t="s">
        <v>342</v>
      </c>
      <c r="G49" s="133" t="s">
        <v>376</v>
      </c>
      <c r="H49" s="133">
        <v>11</v>
      </c>
      <c r="I49" s="133" t="s">
        <v>377</v>
      </c>
      <c r="J49" s="132" t="s">
        <v>391</v>
      </c>
      <c r="K49" s="132" t="s">
        <v>402</v>
      </c>
      <c r="L49" s="132"/>
      <c r="M49" s="135">
        <f>30.34*USD_Inflation_Factor</f>
        <v>41.476401296372039</v>
      </c>
      <c r="N49" s="136">
        <f t="shared" si="0"/>
        <v>456.24041426009245</v>
      </c>
      <c r="O49" s="137">
        <f t="shared" si="2"/>
        <v>83162000.027398959</v>
      </c>
    </row>
    <row r="50" spans="1:15" ht="20.100000000000001" customHeight="1">
      <c r="A50" s="132">
        <v>47</v>
      </c>
      <c r="B50" s="133" t="s">
        <v>403</v>
      </c>
      <c r="C50" s="133" t="s">
        <v>374</v>
      </c>
      <c r="D50" s="133" t="s">
        <v>342</v>
      </c>
      <c r="E50" s="132">
        <v>3</v>
      </c>
      <c r="F50" s="132" t="s">
        <v>342</v>
      </c>
      <c r="G50" s="133" t="s">
        <v>404</v>
      </c>
      <c r="H50" s="133">
        <v>467</v>
      </c>
      <c r="I50" s="133" t="s">
        <v>377</v>
      </c>
      <c r="J50" s="132" t="s">
        <v>405</v>
      </c>
      <c r="K50" s="132" t="s">
        <v>392</v>
      </c>
      <c r="L50" s="132"/>
      <c r="M50" s="135">
        <f>3.40896*USD_Inflation_Factor</f>
        <v>4.6602304865946085</v>
      </c>
      <c r="N50" s="136">
        <f t="shared" si="0"/>
        <v>2176.3276372396822</v>
      </c>
      <c r="O50" s="136">
        <f t="shared" ref="O50:O55" si="3">0.15*N50*USD_Change_IRR * per_Euro</f>
        <v>148760187.6424672</v>
      </c>
    </row>
    <row r="51" spans="1:15" ht="20.100000000000001" customHeight="1">
      <c r="A51" s="132">
        <v>48</v>
      </c>
      <c r="B51" s="133" t="s">
        <v>403</v>
      </c>
      <c r="C51" s="133" t="s">
        <v>374</v>
      </c>
      <c r="D51" s="133" t="s">
        <v>342</v>
      </c>
      <c r="E51" s="132">
        <v>4</v>
      </c>
      <c r="F51" s="132" t="s">
        <v>342</v>
      </c>
      <c r="G51" s="133" t="s">
        <v>404</v>
      </c>
      <c r="H51" s="133">
        <v>147</v>
      </c>
      <c r="I51" s="133" t="s">
        <v>377</v>
      </c>
      <c r="J51" s="132" t="s">
        <v>405</v>
      </c>
      <c r="K51" s="132" t="s">
        <v>392</v>
      </c>
      <c r="L51" s="132"/>
      <c r="M51" s="135">
        <f>5.04912*USD_Inflation_Factor</f>
        <v>6.902416852786355</v>
      </c>
      <c r="N51" s="136">
        <f t="shared" si="0"/>
        <v>1014.6552773595942</v>
      </c>
      <c r="O51" s="136">
        <f t="shared" si="3"/>
        <v>69355508.274423271</v>
      </c>
    </row>
    <row r="52" spans="1:15" ht="20.100000000000001" customHeight="1">
      <c r="A52" s="132">
        <v>49</v>
      </c>
      <c r="B52" s="133" t="s">
        <v>403</v>
      </c>
      <c r="C52" s="133" t="s">
        <v>374</v>
      </c>
      <c r="D52" s="133" t="s">
        <v>342</v>
      </c>
      <c r="E52" s="132">
        <v>6</v>
      </c>
      <c r="F52" s="132" t="s">
        <v>342</v>
      </c>
      <c r="G52" s="133" t="s">
        <v>404</v>
      </c>
      <c r="H52" s="133">
        <v>80</v>
      </c>
      <c r="I52" s="133" t="s">
        <v>377</v>
      </c>
      <c r="J52" s="132" t="s">
        <v>405</v>
      </c>
      <c r="K52" s="132" t="s">
        <v>392</v>
      </c>
      <c r="L52" s="132"/>
      <c r="M52" s="135">
        <f>10.72536*USD_Inflation_Factor</f>
        <v>14.662140257351906</v>
      </c>
      <c r="N52" s="136">
        <f t="shared" si="0"/>
        <v>1172.9712205881524</v>
      </c>
      <c r="O52" s="136">
        <f t="shared" si="3"/>
        <v>80176999.036423281</v>
      </c>
    </row>
    <row r="53" spans="1:15" ht="20.100000000000001" customHeight="1">
      <c r="A53" s="132">
        <v>50</v>
      </c>
      <c r="B53" s="133" t="s">
        <v>403</v>
      </c>
      <c r="C53" s="133" t="s">
        <v>374</v>
      </c>
      <c r="D53" s="133" t="s">
        <v>342</v>
      </c>
      <c r="E53" s="132">
        <v>8</v>
      </c>
      <c r="F53" s="132" t="s">
        <v>342</v>
      </c>
      <c r="G53" s="133" t="s">
        <v>404</v>
      </c>
      <c r="H53" s="133">
        <v>40</v>
      </c>
      <c r="I53" s="133" t="s">
        <v>377</v>
      </c>
      <c r="J53" s="132" t="s">
        <v>405</v>
      </c>
      <c r="K53" s="132" t="s">
        <v>392</v>
      </c>
      <c r="L53" s="132"/>
      <c r="M53" s="135">
        <f>16.7232*USD_Inflation_Factor</f>
        <v>22.861508047445248</v>
      </c>
      <c r="N53" s="136">
        <f t="shared" si="0"/>
        <v>914.46032189780999</v>
      </c>
      <c r="O53" s="136">
        <f t="shared" si="3"/>
        <v>62506805.845487423</v>
      </c>
    </row>
    <row r="54" spans="1:15" ht="20.100000000000001" customHeight="1">
      <c r="A54" s="132">
        <v>51</v>
      </c>
      <c r="B54" s="133" t="s">
        <v>403</v>
      </c>
      <c r="C54" s="133" t="s">
        <v>374</v>
      </c>
      <c r="D54" s="133" t="s">
        <v>342</v>
      </c>
      <c r="E54" s="132">
        <v>10</v>
      </c>
      <c r="F54" s="132" t="s">
        <v>342</v>
      </c>
      <c r="G54" s="133" t="s">
        <v>404</v>
      </c>
      <c r="H54" s="133">
        <v>1734</v>
      </c>
      <c r="I54" s="133" t="s">
        <v>377</v>
      </c>
      <c r="J54" s="132" t="s">
        <v>405</v>
      </c>
      <c r="K54" s="132" t="s">
        <v>392</v>
      </c>
      <c r="L54" s="132"/>
      <c r="M54" s="135">
        <f>26.0496*USD_Inflation_Factor</f>
        <v>35.61119522775126</v>
      </c>
      <c r="N54" s="136">
        <f t="shared" si="0"/>
        <v>61749.812524920686</v>
      </c>
      <c r="O54" s="136">
        <f t="shared" si="3"/>
        <v>4220832167.4144669</v>
      </c>
    </row>
    <row r="55" spans="1:15" ht="20.100000000000001" customHeight="1">
      <c r="A55" s="132">
        <v>52</v>
      </c>
      <c r="B55" s="133" t="s">
        <v>403</v>
      </c>
      <c r="C55" s="133" t="s">
        <v>374</v>
      </c>
      <c r="D55" s="133" t="s">
        <v>342</v>
      </c>
      <c r="E55" s="132">
        <v>12</v>
      </c>
      <c r="F55" s="132" t="s">
        <v>342</v>
      </c>
      <c r="G55" s="133" t="s">
        <v>404</v>
      </c>
      <c r="H55" s="133">
        <v>130</v>
      </c>
      <c r="I55" s="133" t="s">
        <v>377</v>
      </c>
      <c r="J55" s="132" t="s">
        <v>405</v>
      </c>
      <c r="K55" s="132" t="s">
        <v>392</v>
      </c>
      <c r="L55" s="132"/>
      <c r="M55" s="135">
        <f>41.1648*USD_Inflation_Factor</f>
        <v>56.27448134755754</v>
      </c>
      <c r="N55" s="136">
        <f t="shared" si="0"/>
        <v>7315.6825751824799</v>
      </c>
      <c r="O55" s="136">
        <f t="shared" si="3"/>
        <v>500054446.76389939</v>
      </c>
    </row>
    <row r="56" spans="1:15" ht="20.100000000000001" customHeight="1">
      <c r="A56" s="132">
        <v>53</v>
      </c>
      <c r="B56" s="133" t="s">
        <v>406</v>
      </c>
      <c r="C56" s="133" t="s">
        <v>374</v>
      </c>
      <c r="D56" s="133" t="s">
        <v>407</v>
      </c>
      <c r="E56" s="132">
        <v>4</v>
      </c>
      <c r="F56" s="132" t="s">
        <v>342</v>
      </c>
      <c r="G56" s="133" t="s">
        <v>376</v>
      </c>
      <c r="H56" s="133">
        <v>1</v>
      </c>
      <c r="I56" s="133" t="s">
        <v>377</v>
      </c>
      <c r="J56" s="132" t="s">
        <v>342</v>
      </c>
      <c r="K56" s="132" t="s">
        <v>408</v>
      </c>
      <c r="L56" s="132"/>
      <c r="M56" s="135">
        <f>386*USD_Inflation_Factor</f>
        <v>527.68262690835888</v>
      </c>
      <c r="N56" s="136">
        <f t="shared" si="0"/>
        <v>527.68262690835888</v>
      </c>
      <c r="O56" s="136">
        <f t="shared" ref="O56:O61" si="4">0.25*N56*USD_Change_IRR * per_Euro</f>
        <v>60115157.028255522</v>
      </c>
    </row>
    <row r="57" spans="1:15" ht="20.100000000000001" customHeight="1">
      <c r="A57" s="132">
        <v>54</v>
      </c>
      <c r="B57" s="133" t="s">
        <v>406</v>
      </c>
      <c r="C57" s="133" t="s">
        <v>374</v>
      </c>
      <c r="D57" s="133" t="s">
        <v>407</v>
      </c>
      <c r="E57" s="132">
        <v>10</v>
      </c>
      <c r="F57" s="132" t="s">
        <v>342</v>
      </c>
      <c r="G57" s="133" t="s">
        <v>376</v>
      </c>
      <c r="H57" s="133">
        <v>3</v>
      </c>
      <c r="I57" s="133" t="s">
        <v>377</v>
      </c>
      <c r="J57" s="132" t="s">
        <v>342</v>
      </c>
      <c r="K57" s="132" t="s">
        <v>408</v>
      </c>
      <c r="L57" s="132"/>
      <c r="M57" s="135">
        <f>680*USD_Inflation_Factor</f>
        <v>929.59633755876689</v>
      </c>
      <c r="N57" s="136">
        <f t="shared" si="0"/>
        <v>2788.7890126763004</v>
      </c>
      <c r="O57" s="136">
        <f t="shared" si="4"/>
        <v>317707047.50684261</v>
      </c>
    </row>
    <row r="58" spans="1:15" ht="20.100000000000001" customHeight="1">
      <c r="A58" s="132">
        <v>55</v>
      </c>
      <c r="B58" s="133" t="s">
        <v>406</v>
      </c>
      <c r="C58" s="133" t="s">
        <v>374</v>
      </c>
      <c r="D58" s="133" t="s">
        <v>409</v>
      </c>
      <c r="E58" s="132">
        <v>4</v>
      </c>
      <c r="F58" s="132" t="s">
        <v>342</v>
      </c>
      <c r="G58" s="133" t="s">
        <v>376</v>
      </c>
      <c r="H58" s="133">
        <v>4</v>
      </c>
      <c r="I58" s="133" t="s">
        <v>377</v>
      </c>
      <c r="J58" s="132" t="s">
        <v>391</v>
      </c>
      <c r="K58" s="132" t="s">
        <v>400</v>
      </c>
      <c r="L58" s="132"/>
      <c r="M58" s="135">
        <f>22.26*USD_Inflation_Factor</f>
        <v>30.430609520673752</v>
      </c>
      <c r="N58" s="136">
        <f t="shared" si="0"/>
        <v>121.72243808269501</v>
      </c>
      <c r="O58" s="136">
        <f t="shared" si="4"/>
        <v>13866978.191181013</v>
      </c>
    </row>
    <row r="59" spans="1:15" ht="20.100000000000001" customHeight="1">
      <c r="A59" s="132">
        <v>56</v>
      </c>
      <c r="B59" s="133" t="s">
        <v>406</v>
      </c>
      <c r="C59" s="133" t="s">
        <v>374</v>
      </c>
      <c r="D59" s="133" t="s">
        <v>409</v>
      </c>
      <c r="E59" s="132">
        <v>12</v>
      </c>
      <c r="F59" s="132" t="s">
        <v>342</v>
      </c>
      <c r="G59" s="133" t="s">
        <v>376</v>
      </c>
      <c r="H59" s="133">
        <v>2</v>
      </c>
      <c r="I59" s="133" t="s">
        <v>377</v>
      </c>
      <c r="J59" s="132" t="s">
        <v>391</v>
      </c>
      <c r="K59" s="132" t="s">
        <v>400</v>
      </c>
      <c r="L59" s="132"/>
      <c r="M59" s="135">
        <f>140*USD_Inflation_Factor</f>
        <v>191.38748126209904</v>
      </c>
      <c r="N59" s="136">
        <f t="shared" si="0"/>
        <v>382.77496252419809</v>
      </c>
      <c r="O59" s="136">
        <f t="shared" si="4"/>
        <v>43606849.657801926</v>
      </c>
    </row>
    <row r="60" spans="1:15" ht="20.100000000000001" customHeight="1">
      <c r="A60" s="132">
        <v>57</v>
      </c>
      <c r="B60" s="133" t="s">
        <v>406</v>
      </c>
      <c r="C60" s="133" t="s">
        <v>374</v>
      </c>
      <c r="D60" s="133" t="s">
        <v>410</v>
      </c>
      <c r="E60" s="132">
        <v>3</v>
      </c>
      <c r="F60" s="132" t="s">
        <v>342</v>
      </c>
      <c r="G60" s="133" t="s">
        <v>376</v>
      </c>
      <c r="H60" s="133">
        <v>6</v>
      </c>
      <c r="I60" s="133" t="s">
        <v>377</v>
      </c>
      <c r="J60" s="132" t="s">
        <v>391</v>
      </c>
      <c r="K60" s="132" t="s">
        <v>400</v>
      </c>
      <c r="L60" s="132"/>
      <c r="M60" s="135">
        <f>110*USD_Inflation_Factor</f>
        <v>150.37587813450639</v>
      </c>
      <c r="N60" s="136">
        <f t="shared" si="0"/>
        <v>902.25526880703842</v>
      </c>
      <c r="O60" s="136">
        <f t="shared" si="4"/>
        <v>102787574.19339025</v>
      </c>
    </row>
    <row r="61" spans="1:15" ht="20.100000000000001" customHeight="1">
      <c r="A61" s="132">
        <v>58</v>
      </c>
      <c r="B61" s="133" t="s">
        <v>406</v>
      </c>
      <c r="C61" s="133" t="s">
        <v>374</v>
      </c>
      <c r="D61" s="133" t="s">
        <v>410</v>
      </c>
      <c r="E61" s="132">
        <v>4</v>
      </c>
      <c r="F61" s="132" t="s">
        <v>342</v>
      </c>
      <c r="G61" s="133" t="s">
        <v>376</v>
      </c>
      <c r="H61" s="133">
        <v>1</v>
      </c>
      <c r="I61" s="133" t="s">
        <v>377</v>
      </c>
      <c r="J61" s="132" t="s">
        <v>391</v>
      </c>
      <c r="K61" s="132" t="s">
        <v>400</v>
      </c>
      <c r="L61" s="132"/>
      <c r="M61" s="135">
        <f>150*USD_Inflation_Factor</f>
        <v>205.05801563796328</v>
      </c>
      <c r="N61" s="136">
        <f t="shared" si="0"/>
        <v>205.05801563796328</v>
      </c>
      <c r="O61" s="136">
        <f t="shared" si="4"/>
        <v>23360812.316679604</v>
      </c>
    </row>
    <row r="62" spans="1:15" ht="20.100000000000001" customHeight="1">
      <c r="A62" s="132">
        <v>59</v>
      </c>
      <c r="B62" s="133" t="s">
        <v>411</v>
      </c>
      <c r="C62" s="133" t="s">
        <v>374</v>
      </c>
      <c r="D62" s="133" t="s">
        <v>412</v>
      </c>
      <c r="E62" s="132">
        <v>4</v>
      </c>
      <c r="F62" s="132" t="s">
        <v>342</v>
      </c>
      <c r="G62" s="133" t="s">
        <v>376</v>
      </c>
      <c r="H62" s="133">
        <v>4</v>
      </c>
      <c r="I62" s="133" t="s">
        <v>377</v>
      </c>
      <c r="J62" s="132" t="s">
        <v>342</v>
      </c>
      <c r="K62" s="132" t="s">
        <v>413</v>
      </c>
      <c r="L62" s="132"/>
      <c r="M62" s="135">
        <f>1068.1*USD_Inflation_Factor</f>
        <v>1460.1497766860571</v>
      </c>
      <c r="N62" s="136">
        <f t="shared" si="0"/>
        <v>5840.5991067442283</v>
      </c>
      <c r="O62" s="136">
        <f t="shared" ref="O62:O72" si="5">0.15*N62*USD_Change_IRR * per_Euro</f>
        <v>399226938.16712773</v>
      </c>
    </row>
    <row r="63" spans="1:15" ht="20.100000000000001" customHeight="1">
      <c r="A63" s="132">
        <v>60</v>
      </c>
      <c r="B63" s="133" t="s">
        <v>411</v>
      </c>
      <c r="C63" s="133" t="s">
        <v>374</v>
      </c>
      <c r="D63" s="133" t="s">
        <v>412</v>
      </c>
      <c r="E63" s="132">
        <v>6</v>
      </c>
      <c r="F63" s="132" t="s">
        <v>342</v>
      </c>
      <c r="G63" s="133" t="s">
        <v>376</v>
      </c>
      <c r="H63" s="133">
        <v>2</v>
      </c>
      <c r="I63" s="133" t="s">
        <v>377</v>
      </c>
      <c r="J63" s="132" t="s">
        <v>342</v>
      </c>
      <c r="K63" s="132" t="s">
        <v>413</v>
      </c>
      <c r="L63" s="132"/>
      <c r="M63" s="135">
        <f>1959.1*USD_Inflation_Factor</f>
        <v>2678.1943895755589</v>
      </c>
      <c r="N63" s="136">
        <f t="shared" si="0"/>
        <v>5356.3887791511179</v>
      </c>
      <c r="O63" s="136">
        <f t="shared" si="5"/>
        <v>366129339.27685612</v>
      </c>
    </row>
    <row r="64" spans="1:15" ht="20.100000000000001" customHeight="1">
      <c r="A64" s="132">
        <v>61</v>
      </c>
      <c r="B64" s="133" t="s">
        <v>411</v>
      </c>
      <c r="C64" s="133" t="s">
        <v>374</v>
      </c>
      <c r="D64" s="133" t="s">
        <v>412</v>
      </c>
      <c r="E64" s="132">
        <v>10</v>
      </c>
      <c r="F64" s="132" t="s">
        <v>342</v>
      </c>
      <c r="G64" s="133" t="s">
        <v>376</v>
      </c>
      <c r="H64" s="133">
        <v>3</v>
      </c>
      <c r="I64" s="133" t="s">
        <v>377</v>
      </c>
      <c r="J64" s="132" t="s">
        <v>342</v>
      </c>
      <c r="K64" s="132" t="s">
        <v>413</v>
      </c>
      <c r="L64" s="138"/>
      <c r="M64" s="135">
        <f>3000*USD_Inflation_Factor</f>
        <v>4101.1603127592653</v>
      </c>
      <c r="N64" s="136">
        <f t="shared" si="0"/>
        <v>12303.480938277797</v>
      </c>
      <c r="O64" s="136">
        <f t="shared" si="5"/>
        <v>840989243.40046573</v>
      </c>
    </row>
    <row r="65" spans="1:15" ht="20.100000000000001" customHeight="1">
      <c r="A65" s="132">
        <v>62</v>
      </c>
      <c r="B65" s="133" t="s">
        <v>411</v>
      </c>
      <c r="C65" s="133" t="s">
        <v>374</v>
      </c>
      <c r="D65" s="133" t="s">
        <v>414</v>
      </c>
      <c r="E65" s="132">
        <v>1</v>
      </c>
      <c r="F65" s="132" t="s">
        <v>342</v>
      </c>
      <c r="G65" s="133" t="s">
        <v>376</v>
      </c>
      <c r="H65" s="133">
        <v>12</v>
      </c>
      <c r="I65" s="133" t="s">
        <v>377</v>
      </c>
      <c r="J65" s="132" t="s">
        <v>342</v>
      </c>
      <c r="K65" s="132" t="s">
        <v>413</v>
      </c>
      <c r="L65" s="132"/>
      <c r="M65" s="135">
        <f>260*USD_Inflation_Factor</f>
        <v>355.43389377246967</v>
      </c>
      <c r="N65" s="136">
        <f t="shared" si="0"/>
        <v>4265.2067252696361</v>
      </c>
      <c r="O65" s="136">
        <f t="shared" si="5"/>
        <v>291542937.71216148</v>
      </c>
    </row>
    <row r="66" spans="1:15" ht="20.100000000000001" customHeight="1">
      <c r="A66" s="132">
        <v>63</v>
      </c>
      <c r="B66" s="133" t="s">
        <v>411</v>
      </c>
      <c r="C66" s="133" t="s">
        <v>374</v>
      </c>
      <c r="D66" s="133" t="s">
        <v>414</v>
      </c>
      <c r="E66" s="132">
        <v>2</v>
      </c>
      <c r="F66" s="132" t="s">
        <v>342</v>
      </c>
      <c r="G66" s="133" t="s">
        <v>376</v>
      </c>
      <c r="H66" s="133">
        <v>3</v>
      </c>
      <c r="I66" s="133" t="s">
        <v>377</v>
      </c>
      <c r="J66" s="132" t="s">
        <v>342</v>
      </c>
      <c r="K66" s="132" t="s">
        <v>413</v>
      </c>
      <c r="L66" s="132"/>
      <c r="M66" s="135">
        <f>510*USD_Inflation_Factor</f>
        <v>697.19725316907511</v>
      </c>
      <c r="N66" s="136">
        <f t="shared" si="0"/>
        <v>2091.5917595072251</v>
      </c>
      <c r="O66" s="136">
        <f t="shared" si="5"/>
        <v>142968171.37807918</v>
      </c>
    </row>
    <row r="67" spans="1:15" ht="20.100000000000001" customHeight="1">
      <c r="A67" s="132">
        <v>64</v>
      </c>
      <c r="B67" s="133" t="s">
        <v>411</v>
      </c>
      <c r="C67" s="133" t="s">
        <v>374</v>
      </c>
      <c r="D67" s="133" t="s">
        <v>414</v>
      </c>
      <c r="E67" s="132">
        <v>3</v>
      </c>
      <c r="F67" s="132" t="s">
        <v>342</v>
      </c>
      <c r="G67" s="133" t="s">
        <v>376</v>
      </c>
      <c r="H67" s="133">
        <v>6</v>
      </c>
      <c r="I67" s="133" t="s">
        <v>377</v>
      </c>
      <c r="J67" s="132" t="s">
        <v>342</v>
      </c>
      <c r="K67" s="132" t="s">
        <v>413</v>
      </c>
      <c r="L67" s="132"/>
      <c r="M67" s="135">
        <f>810*USD_Inflation_Factor</f>
        <v>1107.3132844450017</v>
      </c>
      <c r="N67" s="136">
        <f t="shared" si="0"/>
        <v>6643.8797066700099</v>
      </c>
      <c r="O67" s="136">
        <f t="shared" si="5"/>
        <v>454134191.43625152</v>
      </c>
    </row>
    <row r="68" spans="1:15" ht="20.100000000000001" customHeight="1">
      <c r="A68" s="132">
        <v>65</v>
      </c>
      <c r="B68" s="133" t="s">
        <v>411</v>
      </c>
      <c r="C68" s="133" t="s">
        <v>374</v>
      </c>
      <c r="D68" s="133" t="s">
        <v>414</v>
      </c>
      <c r="E68" s="132">
        <v>4</v>
      </c>
      <c r="F68" s="132" t="s">
        <v>342</v>
      </c>
      <c r="G68" s="133" t="s">
        <v>376</v>
      </c>
      <c r="H68" s="133">
        <v>7</v>
      </c>
      <c r="I68" s="133" t="s">
        <v>377</v>
      </c>
      <c r="J68" s="132" t="s">
        <v>342</v>
      </c>
      <c r="K68" s="132" t="s">
        <v>413</v>
      </c>
      <c r="L68" s="132"/>
      <c r="M68" s="135">
        <f>1050*USD_Inflation_Factor</f>
        <v>1435.4061094657429</v>
      </c>
      <c r="N68" s="136">
        <f t="shared" ref="N68:N131" si="6">M68*H68</f>
        <v>10047.842766260201</v>
      </c>
      <c r="O68" s="136">
        <f t="shared" si="5"/>
        <v>686807882.11038029</v>
      </c>
    </row>
    <row r="69" spans="1:15" ht="20.100000000000001" customHeight="1">
      <c r="A69" s="132">
        <v>66</v>
      </c>
      <c r="B69" s="133" t="s">
        <v>411</v>
      </c>
      <c r="C69" s="133" t="s">
        <v>374</v>
      </c>
      <c r="D69" s="133" t="s">
        <v>414</v>
      </c>
      <c r="E69" s="132">
        <v>6</v>
      </c>
      <c r="F69" s="132" t="s">
        <v>342</v>
      </c>
      <c r="G69" s="133" t="s">
        <v>376</v>
      </c>
      <c r="H69" s="133">
        <v>2</v>
      </c>
      <c r="I69" s="133" t="s">
        <v>377</v>
      </c>
      <c r="J69" s="132" t="s">
        <v>342</v>
      </c>
      <c r="K69" s="132" t="s">
        <v>413</v>
      </c>
      <c r="L69" s="132"/>
      <c r="M69" s="135">
        <f>1500*USD_Inflation_Factor</f>
        <v>2050.5801563796326</v>
      </c>
      <c r="N69" s="136">
        <f t="shared" si="6"/>
        <v>4101.1603127592653</v>
      </c>
      <c r="O69" s="136">
        <f t="shared" si="5"/>
        <v>280329747.80015528</v>
      </c>
    </row>
    <row r="70" spans="1:15" ht="20.100000000000001" customHeight="1">
      <c r="A70" s="132">
        <v>67</v>
      </c>
      <c r="B70" s="133" t="s">
        <v>411</v>
      </c>
      <c r="C70" s="133" t="s">
        <v>374</v>
      </c>
      <c r="D70" s="133" t="s">
        <v>414</v>
      </c>
      <c r="E70" s="132">
        <v>10</v>
      </c>
      <c r="F70" s="132" t="s">
        <v>342</v>
      </c>
      <c r="G70" s="133" t="s">
        <v>376</v>
      </c>
      <c r="H70" s="133">
        <v>32</v>
      </c>
      <c r="I70" s="133" t="s">
        <v>377</v>
      </c>
      <c r="J70" s="132" t="s">
        <v>342</v>
      </c>
      <c r="K70" s="132" t="s">
        <v>413</v>
      </c>
      <c r="L70" s="132"/>
      <c r="M70" s="135">
        <f>2850*USD_Inflation_Factor</f>
        <v>3896.1022971213024</v>
      </c>
      <c r="N70" s="136">
        <f t="shared" si="6"/>
        <v>124675.27350788168</v>
      </c>
      <c r="O70" s="136">
        <f t="shared" si="5"/>
        <v>8522024333.1247206</v>
      </c>
    </row>
    <row r="71" spans="1:15" ht="20.100000000000001" customHeight="1">
      <c r="A71" s="132">
        <v>68</v>
      </c>
      <c r="B71" s="133" t="s">
        <v>411</v>
      </c>
      <c r="C71" s="133" t="s">
        <v>374</v>
      </c>
      <c r="D71" s="133" t="s">
        <v>414</v>
      </c>
      <c r="E71" s="132">
        <v>12</v>
      </c>
      <c r="F71" s="132" t="s">
        <v>342</v>
      </c>
      <c r="G71" s="133" t="s">
        <v>376</v>
      </c>
      <c r="H71" s="133">
        <v>2</v>
      </c>
      <c r="I71" s="133" t="s">
        <v>377</v>
      </c>
      <c r="J71" s="132" t="s">
        <v>342</v>
      </c>
      <c r="K71" s="132" t="s">
        <v>413</v>
      </c>
      <c r="L71" s="132"/>
      <c r="M71" s="135">
        <f>3860*USD_Inflation_Factor</f>
        <v>5276.8262690835882</v>
      </c>
      <c r="N71" s="136">
        <f t="shared" si="6"/>
        <v>10553.652538167176</v>
      </c>
      <c r="O71" s="136">
        <f t="shared" si="5"/>
        <v>721381884.33906615</v>
      </c>
    </row>
    <row r="72" spans="1:15" ht="20.100000000000001" customHeight="1">
      <c r="A72" s="132">
        <v>69</v>
      </c>
      <c r="B72" s="133" t="s">
        <v>411</v>
      </c>
      <c r="C72" s="133" t="s">
        <v>374</v>
      </c>
      <c r="D72" s="133" t="s">
        <v>415</v>
      </c>
      <c r="E72" s="132">
        <v>4</v>
      </c>
      <c r="F72" s="132" t="s">
        <v>342</v>
      </c>
      <c r="G72" s="133" t="s">
        <v>376</v>
      </c>
      <c r="H72" s="133">
        <v>2</v>
      </c>
      <c r="I72" s="133" t="s">
        <v>377</v>
      </c>
      <c r="J72" s="132" t="s">
        <v>342</v>
      </c>
      <c r="K72" s="132" t="s">
        <v>413</v>
      </c>
      <c r="L72" s="132"/>
      <c r="M72" s="135">
        <f>984.5*USD_Inflation_Factor</f>
        <v>1345.8641093038323</v>
      </c>
      <c r="N72" s="136">
        <f t="shared" si="6"/>
        <v>2691.7282186076645</v>
      </c>
      <c r="O72" s="136">
        <f t="shared" si="5"/>
        <v>183989757.80616856</v>
      </c>
    </row>
    <row r="73" spans="1:15" ht="20.100000000000001" customHeight="1">
      <c r="A73" s="132">
        <v>70</v>
      </c>
      <c r="B73" s="133" t="s">
        <v>373</v>
      </c>
      <c r="C73" s="133" t="s">
        <v>416</v>
      </c>
      <c r="D73" s="133" t="s">
        <v>342</v>
      </c>
      <c r="E73" s="132" t="s">
        <v>375</v>
      </c>
      <c r="F73" s="132">
        <v>85</v>
      </c>
      <c r="G73" s="133" t="s">
        <v>376</v>
      </c>
      <c r="H73" s="133">
        <v>4</v>
      </c>
      <c r="I73" s="133" t="s">
        <v>417</v>
      </c>
      <c r="J73" s="132" t="s">
        <v>378</v>
      </c>
      <c r="K73" s="134" t="s">
        <v>379</v>
      </c>
      <c r="L73" s="132"/>
      <c r="M73" s="135">
        <f>0.666*USD_Inflation_Factor</f>
        <v>0.91045758943255695</v>
      </c>
      <c r="N73" s="136">
        <f t="shared" si="6"/>
        <v>3.6418303577302278</v>
      </c>
      <c r="O73" s="136">
        <f t="shared" ref="O73:O85" si="7">0.4*N73*USD_Change_IRR * per_Euro</f>
        <v>663820.84279076767</v>
      </c>
    </row>
    <row r="74" spans="1:15" ht="20.100000000000001" customHeight="1">
      <c r="A74" s="132">
        <v>71</v>
      </c>
      <c r="B74" s="133" t="s">
        <v>373</v>
      </c>
      <c r="C74" s="133" t="s">
        <v>416</v>
      </c>
      <c r="D74" s="133" t="s">
        <v>342</v>
      </c>
      <c r="E74" s="132" t="s">
        <v>375</v>
      </c>
      <c r="F74" s="132">
        <v>85</v>
      </c>
      <c r="G74" s="133" t="s">
        <v>376</v>
      </c>
      <c r="H74" s="133">
        <v>20</v>
      </c>
      <c r="I74" s="133" t="s">
        <v>418</v>
      </c>
      <c r="J74" s="132" t="s">
        <v>378</v>
      </c>
      <c r="K74" s="134" t="s">
        <v>379</v>
      </c>
      <c r="L74" s="132"/>
      <c r="M74" s="135">
        <f>0.666*USD_Inflation_Factor</f>
        <v>0.91045758943255695</v>
      </c>
      <c r="N74" s="136">
        <f t="shared" si="6"/>
        <v>18.209151788651138</v>
      </c>
      <c r="O74" s="136">
        <f t="shared" si="7"/>
        <v>3319104.2139538382</v>
      </c>
    </row>
    <row r="75" spans="1:15" ht="20.100000000000001" customHeight="1">
      <c r="A75" s="132">
        <v>72</v>
      </c>
      <c r="B75" s="133" t="s">
        <v>373</v>
      </c>
      <c r="C75" s="133" t="s">
        <v>416</v>
      </c>
      <c r="D75" s="133" t="s">
        <v>342</v>
      </c>
      <c r="E75" s="132" t="s">
        <v>375</v>
      </c>
      <c r="F75" s="132">
        <v>85</v>
      </c>
      <c r="G75" s="133" t="s">
        <v>376</v>
      </c>
      <c r="H75" s="133">
        <v>4</v>
      </c>
      <c r="I75" s="133" t="s">
        <v>419</v>
      </c>
      <c r="J75" s="132" t="s">
        <v>378</v>
      </c>
      <c r="K75" s="134" t="s">
        <v>379</v>
      </c>
      <c r="L75" s="132"/>
      <c r="M75" s="135">
        <f>0.666*USD_Inflation_Factor</f>
        <v>0.91045758943255695</v>
      </c>
      <c r="N75" s="136">
        <f t="shared" si="6"/>
        <v>3.6418303577302278</v>
      </c>
      <c r="O75" s="136">
        <f t="shared" si="7"/>
        <v>663820.84279076767</v>
      </c>
    </row>
    <row r="76" spans="1:15" ht="20.100000000000001" customHeight="1">
      <c r="A76" s="132">
        <v>73</v>
      </c>
      <c r="B76" s="133" t="s">
        <v>373</v>
      </c>
      <c r="C76" s="133" t="s">
        <v>416</v>
      </c>
      <c r="D76" s="133" t="s">
        <v>342</v>
      </c>
      <c r="E76" s="132" t="s">
        <v>386</v>
      </c>
      <c r="F76" s="132">
        <v>115</v>
      </c>
      <c r="G76" s="133" t="s">
        <v>376</v>
      </c>
      <c r="H76" s="133">
        <v>24</v>
      </c>
      <c r="I76" s="133" t="s">
        <v>419</v>
      </c>
      <c r="J76" s="132" t="s">
        <v>387</v>
      </c>
      <c r="K76" s="134" t="s">
        <v>379</v>
      </c>
      <c r="L76" s="132"/>
      <c r="M76" s="135">
        <f>1.734*USD_Inflation_Factor</f>
        <v>2.3704706607748554</v>
      </c>
      <c r="N76" s="136">
        <f t="shared" si="6"/>
        <v>56.891295858596528</v>
      </c>
      <c r="O76" s="136">
        <f t="shared" si="7"/>
        <v>10369958.030623345</v>
      </c>
    </row>
    <row r="77" spans="1:15" ht="20.100000000000001" customHeight="1">
      <c r="A77" s="132">
        <v>74</v>
      </c>
      <c r="B77" s="133" t="s">
        <v>373</v>
      </c>
      <c r="C77" s="133" t="s">
        <v>416</v>
      </c>
      <c r="D77" s="133" t="s">
        <v>342</v>
      </c>
      <c r="E77" s="132" t="s">
        <v>386</v>
      </c>
      <c r="F77" s="132">
        <v>125</v>
      </c>
      <c r="G77" s="133" t="s">
        <v>376</v>
      </c>
      <c r="H77" s="133">
        <v>120</v>
      </c>
      <c r="I77" s="133" t="s">
        <v>419</v>
      </c>
      <c r="J77" s="132" t="s">
        <v>388</v>
      </c>
      <c r="K77" s="134" t="s">
        <v>379</v>
      </c>
      <c r="L77" s="132"/>
      <c r="M77" s="135">
        <f>1.812*USD_Inflation_Factor</f>
        <v>2.4771008289065963</v>
      </c>
      <c r="N77" s="136">
        <f t="shared" si="6"/>
        <v>297.25209946879158</v>
      </c>
      <c r="O77" s="136">
        <f t="shared" si="7"/>
        <v>54182133.654814012</v>
      </c>
    </row>
    <row r="78" spans="1:15" ht="20.100000000000001" customHeight="1">
      <c r="A78" s="132">
        <v>75</v>
      </c>
      <c r="B78" s="133" t="s">
        <v>373</v>
      </c>
      <c r="C78" s="133" t="s">
        <v>416</v>
      </c>
      <c r="D78" s="133" t="s">
        <v>342</v>
      </c>
      <c r="E78" s="132" t="s">
        <v>420</v>
      </c>
      <c r="F78" s="132">
        <v>135</v>
      </c>
      <c r="G78" s="133" t="s">
        <v>376</v>
      </c>
      <c r="H78" s="133">
        <v>128</v>
      </c>
      <c r="I78" s="133" t="s">
        <v>419</v>
      </c>
      <c r="J78" s="132" t="s">
        <v>421</v>
      </c>
      <c r="K78" s="134" t="s">
        <v>379</v>
      </c>
      <c r="L78" s="132"/>
      <c r="M78" s="135">
        <f>2.562*USD_Inflation_Factor</f>
        <v>3.5023909070964123</v>
      </c>
      <c r="N78" s="136">
        <f t="shared" si="6"/>
        <v>448.30603610834078</v>
      </c>
      <c r="O78" s="136">
        <f t="shared" si="7"/>
        <v>81715747.710748181</v>
      </c>
    </row>
    <row r="79" spans="1:15" ht="20.100000000000001" customHeight="1">
      <c r="A79" s="132">
        <v>76</v>
      </c>
      <c r="B79" s="133" t="s">
        <v>373</v>
      </c>
      <c r="C79" s="133" t="s">
        <v>416</v>
      </c>
      <c r="D79" s="133" t="s">
        <v>342</v>
      </c>
      <c r="E79" s="132" t="s">
        <v>422</v>
      </c>
      <c r="F79" s="132">
        <v>160</v>
      </c>
      <c r="G79" s="133" t="s">
        <v>376</v>
      </c>
      <c r="H79" s="133">
        <v>120</v>
      </c>
      <c r="I79" s="133" t="s">
        <v>419</v>
      </c>
      <c r="J79" s="132" t="s">
        <v>423</v>
      </c>
      <c r="K79" s="134" t="s">
        <v>379</v>
      </c>
      <c r="L79" s="132"/>
      <c r="M79" s="135">
        <f>3.69*USD_Inflation_Factor</f>
        <v>5.0444271846938964</v>
      </c>
      <c r="N79" s="136">
        <f t="shared" si="6"/>
        <v>605.33126216326752</v>
      </c>
      <c r="O79" s="136">
        <f t="shared" si="7"/>
        <v>110337788.73414111</v>
      </c>
    </row>
    <row r="80" spans="1:15" ht="20.100000000000001" customHeight="1">
      <c r="A80" s="132">
        <v>77</v>
      </c>
      <c r="B80" s="133" t="s">
        <v>373</v>
      </c>
      <c r="C80" s="133" t="s">
        <v>416</v>
      </c>
      <c r="D80" s="133" t="s">
        <v>342</v>
      </c>
      <c r="E80" s="132" t="s">
        <v>383</v>
      </c>
      <c r="F80" s="132">
        <v>125</v>
      </c>
      <c r="G80" s="133" t="s">
        <v>376</v>
      </c>
      <c r="H80" s="133">
        <v>48</v>
      </c>
      <c r="I80" s="133" t="s">
        <v>424</v>
      </c>
      <c r="J80" s="132" t="s">
        <v>425</v>
      </c>
      <c r="K80" s="134" t="s">
        <v>379</v>
      </c>
      <c r="L80" s="132"/>
      <c r="M80" s="135">
        <f>1.257*USD_Inflation_Factor</f>
        <v>1.7183861710461321</v>
      </c>
      <c r="N80" s="136">
        <f t="shared" si="6"/>
        <v>82.482536210214334</v>
      </c>
      <c r="O80" s="136">
        <f t="shared" si="7"/>
        <v>15034645.034017924</v>
      </c>
    </row>
    <row r="81" spans="1:15" ht="20.100000000000001" customHeight="1">
      <c r="A81" s="132">
        <v>78</v>
      </c>
      <c r="B81" s="133" t="s">
        <v>373</v>
      </c>
      <c r="C81" s="133" t="s">
        <v>416</v>
      </c>
      <c r="D81" s="133" t="s">
        <v>342</v>
      </c>
      <c r="E81" s="132" t="s">
        <v>386</v>
      </c>
      <c r="F81" s="132">
        <v>140</v>
      </c>
      <c r="G81" s="133" t="s">
        <v>376</v>
      </c>
      <c r="H81" s="133">
        <v>96</v>
      </c>
      <c r="I81" s="133" t="s">
        <v>424</v>
      </c>
      <c r="J81" s="132" t="s">
        <v>426</v>
      </c>
      <c r="K81" s="134" t="s">
        <v>379</v>
      </c>
      <c r="L81" s="132"/>
      <c r="M81" s="135">
        <f>1.89*USD_Inflation_Factor</f>
        <v>2.5837309970383373</v>
      </c>
      <c r="N81" s="136">
        <f t="shared" si="6"/>
        <v>248.03817571568038</v>
      </c>
      <c r="O81" s="136">
        <f t="shared" si="7"/>
        <v>45211581.725209042</v>
      </c>
    </row>
    <row r="82" spans="1:15" ht="20.100000000000001" customHeight="1">
      <c r="A82" s="132">
        <v>79</v>
      </c>
      <c r="B82" s="133" t="s">
        <v>373</v>
      </c>
      <c r="C82" s="133" t="s">
        <v>416</v>
      </c>
      <c r="D82" s="133" t="s">
        <v>342</v>
      </c>
      <c r="E82" s="132" t="s">
        <v>420</v>
      </c>
      <c r="F82" s="132">
        <v>160</v>
      </c>
      <c r="G82" s="133" t="s">
        <v>376</v>
      </c>
      <c r="H82" s="133">
        <v>256</v>
      </c>
      <c r="I82" s="133" t="s">
        <v>424</v>
      </c>
      <c r="J82" s="132" t="s">
        <v>427</v>
      </c>
      <c r="K82" s="134" t="s">
        <v>379</v>
      </c>
      <c r="L82" s="132"/>
      <c r="M82" s="135">
        <f>2.766*USD_Inflation_Factor</f>
        <v>3.7812698083640428</v>
      </c>
      <c r="N82" s="136">
        <f t="shared" si="6"/>
        <v>968.00507094119496</v>
      </c>
      <c r="O82" s="136">
        <f t="shared" si="7"/>
        <v>176444776.08737665</v>
      </c>
    </row>
    <row r="83" spans="1:15" ht="20.100000000000001" customHeight="1">
      <c r="A83" s="132">
        <v>80</v>
      </c>
      <c r="B83" s="133" t="s">
        <v>373</v>
      </c>
      <c r="C83" s="133" t="s">
        <v>416</v>
      </c>
      <c r="D83" s="133" t="s">
        <v>342</v>
      </c>
      <c r="E83" s="132" t="s">
        <v>422</v>
      </c>
      <c r="F83" s="132">
        <v>175</v>
      </c>
      <c r="G83" s="133" t="s">
        <v>376</v>
      </c>
      <c r="H83" s="133">
        <v>160</v>
      </c>
      <c r="I83" s="133" t="s">
        <v>424</v>
      </c>
      <c r="J83" s="132" t="s">
        <v>428</v>
      </c>
      <c r="K83" s="134" t="s">
        <v>379</v>
      </c>
      <c r="L83" s="132"/>
      <c r="M83" s="135">
        <f>3.96*USD_Inflation_Factor</f>
        <v>5.4135316128422302</v>
      </c>
      <c r="N83" s="136">
        <f t="shared" si="6"/>
        <v>866.16505805475686</v>
      </c>
      <c r="O83" s="136">
        <f t="shared" si="7"/>
        <v>157881713.96104744</v>
      </c>
    </row>
    <row r="84" spans="1:15" ht="20.100000000000001" customHeight="1">
      <c r="A84" s="132">
        <v>81</v>
      </c>
      <c r="B84" s="133" t="s">
        <v>373</v>
      </c>
      <c r="C84" s="133" t="s">
        <v>416</v>
      </c>
      <c r="D84" s="133" t="s">
        <v>342</v>
      </c>
      <c r="E84" s="132" t="s">
        <v>422</v>
      </c>
      <c r="F84" s="132">
        <v>180</v>
      </c>
      <c r="G84" s="133" t="s">
        <v>376</v>
      </c>
      <c r="H84" s="133">
        <v>80</v>
      </c>
      <c r="I84" s="133" t="s">
        <v>424</v>
      </c>
      <c r="J84" s="132" t="s">
        <v>429</v>
      </c>
      <c r="K84" s="134" t="s">
        <v>379</v>
      </c>
      <c r="L84" s="132"/>
      <c r="M84" s="135">
        <f>3.96*USD_Inflation_Factor</f>
        <v>5.4135316128422302</v>
      </c>
      <c r="N84" s="136">
        <f t="shared" si="6"/>
        <v>433.08252902737843</v>
      </c>
      <c r="O84" s="136">
        <f t="shared" si="7"/>
        <v>78940856.98052372</v>
      </c>
    </row>
    <row r="85" spans="1:15" ht="20.100000000000001" customHeight="1">
      <c r="A85" s="132">
        <v>82</v>
      </c>
      <c r="B85" s="133" t="s">
        <v>373</v>
      </c>
      <c r="C85" s="133" t="s">
        <v>416</v>
      </c>
      <c r="D85" s="133" t="s">
        <v>342</v>
      </c>
      <c r="E85" s="132" t="s">
        <v>430</v>
      </c>
      <c r="F85" s="132">
        <v>205</v>
      </c>
      <c r="G85" s="133" t="s">
        <v>376</v>
      </c>
      <c r="H85" s="133">
        <v>264</v>
      </c>
      <c r="I85" s="133" t="s">
        <v>424</v>
      </c>
      <c r="J85" s="132" t="s">
        <v>431</v>
      </c>
      <c r="K85" s="134" t="s">
        <v>379</v>
      </c>
      <c r="L85" s="132"/>
      <c r="M85" s="135">
        <f>5.55*USD_Inflation_Factor</f>
        <v>7.5871465786046413</v>
      </c>
      <c r="N85" s="136">
        <f t="shared" si="6"/>
        <v>2003.0066967516252</v>
      </c>
      <c r="O85" s="136">
        <f t="shared" si="7"/>
        <v>365101463.53492224</v>
      </c>
    </row>
    <row r="86" spans="1:15" ht="20.100000000000001" customHeight="1">
      <c r="A86" s="132">
        <v>83</v>
      </c>
      <c r="B86" s="133" t="s">
        <v>389</v>
      </c>
      <c r="C86" s="133" t="s">
        <v>416</v>
      </c>
      <c r="D86" s="133" t="s">
        <v>393</v>
      </c>
      <c r="E86" s="132">
        <v>2</v>
      </c>
      <c r="F86" s="132" t="s">
        <v>342</v>
      </c>
      <c r="G86" s="133" t="s">
        <v>376</v>
      </c>
      <c r="H86" s="133">
        <v>4</v>
      </c>
      <c r="I86" s="133" t="s">
        <v>417</v>
      </c>
      <c r="J86" s="132" t="s">
        <v>432</v>
      </c>
      <c r="K86" s="132" t="s">
        <v>433</v>
      </c>
      <c r="L86" s="132"/>
      <c r="M86" s="135">
        <f>2.06*USD_Inflation_Factor</f>
        <v>2.816130081428029</v>
      </c>
      <c r="N86" s="136">
        <f t="shared" si="6"/>
        <v>11.264520325712116</v>
      </c>
      <c r="O86" s="136">
        <f t="shared" ref="O86:O117" si="8">0.25*N86*USD_Change_IRR * per_Euro</f>
        <v>1283287.2899295997</v>
      </c>
    </row>
    <row r="87" spans="1:15" ht="20.100000000000001" customHeight="1">
      <c r="A87" s="132">
        <v>84</v>
      </c>
      <c r="B87" s="133" t="s">
        <v>389</v>
      </c>
      <c r="C87" s="133" t="s">
        <v>416</v>
      </c>
      <c r="D87" s="133" t="s">
        <v>393</v>
      </c>
      <c r="E87" s="132">
        <v>2</v>
      </c>
      <c r="F87" s="132" t="s">
        <v>342</v>
      </c>
      <c r="G87" s="133" t="s">
        <v>376</v>
      </c>
      <c r="H87" s="133">
        <v>2</v>
      </c>
      <c r="I87" s="133" t="s">
        <v>418</v>
      </c>
      <c r="J87" s="132" t="s">
        <v>434</v>
      </c>
      <c r="K87" s="132" t="s">
        <v>433</v>
      </c>
      <c r="L87" s="132"/>
      <c r="M87" s="135">
        <f>2.06*USD_Inflation_Factor</f>
        <v>2.816130081428029</v>
      </c>
      <c r="N87" s="136">
        <f t="shared" si="6"/>
        <v>5.632260162856058</v>
      </c>
      <c r="O87" s="136">
        <f t="shared" si="8"/>
        <v>641643.64496479987</v>
      </c>
    </row>
    <row r="88" spans="1:15" ht="20.100000000000001" customHeight="1">
      <c r="A88" s="132">
        <v>85</v>
      </c>
      <c r="B88" s="133" t="s">
        <v>389</v>
      </c>
      <c r="C88" s="133" t="s">
        <v>416</v>
      </c>
      <c r="D88" s="133" t="s">
        <v>393</v>
      </c>
      <c r="E88" s="132">
        <v>6</v>
      </c>
      <c r="F88" s="132" t="s">
        <v>342</v>
      </c>
      <c r="G88" s="133" t="s">
        <v>376</v>
      </c>
      <c r="H88" s="133">
        <v>4</v>
      </c>
      <c r="I88" s="133" t="s">
        <v>418</v>
      </c>
      <c r="J88" s="132" t="s">
        <v>435</v>
      </c>
      <c r="K88" s="132" t="s">
        <v>433</v>
      </c>
      <c r="L88" s="132"/>
      <c r="M88" s="135">
        <f>25.4*USD_Inflation_Factor</f>
        <v>34.723157314695115</v>
      </c>
      <c r="N88" s="136">
        <f t="shared" si="6"/>
        <v>138.89262925878046</v>
      </c>
      <c r="O88" s="136">
        <f t="shared" si="8"/>
        <v>15823056.875830986</v>
      </c>
    </row>
    <row r="89" spans="1:15" ht="20.100000000000001" customHeight="1">
      <c r="A89" s="132">
        <v>86</v>
      </c>
      <c r="B89" s="133" t="s">
        <v>389</v>
      </c>
      <c r="C89" s="133" t="s">
        <v>416</v>
      </c>
      <c r="D89" s="133" t="s">
        <v>393</v>
      </c>
      <c r="E89" s="132">
        <v>12</v>
      </c>
      <c r="F89" s="132" t="s">
        <v>342</v>
      </c>
      <c r="G89" s="133" t="s">
        <v>376</v>
      </c>
      <c r="H89" s="133">
        <v>2</v>
      </c>
      <c r="I89" s="133" t="s">
        <v>419</v>
      </c>
      <c r="J89" s="132" t="s">
        <v>432</v>
      </c>
      <c r="K89" s="132" t="s">
        <v>433</v>
      </c>
      <c r="L89" s="132" t="s">
        <v>436</v>
      </c>
      <c r="M89" s="135">
        <f>98.66*USD_Inflation_Factor</f>
        <v>134.87349215227638</v>
      </c>
      <c r="N89" s="136">
        <f t="shared" si="6"/>
        <v>269.74698430455277</v>
      </c>
      <c r="O89" s="136">
        <f t="shared" si="8"/>
        <v>30730369.908848133</v>
      </c>
    </row>
    <row r="90" spans="1:15" ht="20.100000000000001" customHeight="1">
      <c r="A90" s="132">
        <v>87</v>
      </c>
      <c r="B90" s="133" t="s">
        <v>389</v>
      </c>
      <c r="C90" s="133" t="s">
        <v>416</v>
      </c>
      <c r="D90" s="133" t="s">
        <v>393</v>
      </c>
      <c r="E90" s="132">
        <v>16</v>
      </c>
      <c r="F90" s="132" t="s">
        <v>342</v>
      </c>
      <c r="G90" s="133" t="s">
        <v>376</v>
      </c>
      <c r="H90" s="133">
        <v>2</v>
      </c>
      <c r="I90" s="133" t="s">
        <v>419</v>
      </c>
      <c r="J90" s="132" t="s">
        <v>437</v>
      </c>
      <c r="K90" s="132" t="s">
        <v>433</v>
      </c>
      <c r="L90" s="132" t="s">
        <v>436</v>
      </c>
      <c r="M90" s="135">
        <f>150.9*USD_Inflation_Factor</f>
        <v>206.28836373179107</v>
      </c>
      <c r="N90" s="136">
        <f t="shared" si="6"/>
        <v>412.57672746358213</v>
      </c>
      <c r="O90" s="136">
        <f t="shared" si="8"/>
        <v>47001954.381159373</v>
      </c>
    </row>
    <row r="91" spans="1:15" ht="20.100000000000001" customHeight="1">
      <c r="A91" s="132">
        <v>88</v>
      </c>
      <c r="B91" s="133" t="s">
        <v>389</v>
      </c>
      <c r="C91" s="133" t="s">
        <v>416</v>
      </c>
      <c r="D91" s="133" t="s">
        <v>393</v>
      </c>
      <c r="E91" s="132">
        <v>20</v>
      </c>
      <c r="F91" s="132" t="s">
        <v>342</v>
      </c>
      <c r="G91" s="133" t="s">
        <v>376</v>
      </c>
      <c r="H91" s="133">
        <v>3</v>
      </c>
      <c r="I91" s="133" t="s">
        <v>419</v>
      </c>
      <c r="J91" s="132" t="s">
        <v>438</v>
      </c>
      <c r="K91" s="132" t="s">
        <v>433</v>
      </c>
      <c r="L91" s="132" t="s">
        <v>436</v>
      </c>
      <c r="M91" s="135">
        <f>190.5*USD_Inflation_Factor</f>
        <v>260.42367986021338</v>
      </c>
      <c r="N91" s="136">
        <f t="shared" si="6"/>
        <v>781.27103958064015</v>
      </c>
      <c r="O91" s="136">
        <f t="shared" si="8"/>
        <v>89004694.926549301</v>
      </c>
    </row>
    <row r="92" spans="1:15" ht="20.100000000000001" customHeight="1">
      <c r="A92" s="132">
        <v>89</v>
      </c>
      <c r="B92" s="133" t="s">
        <v>389</v>
      </c>
      <c r="C92" s="133" t="s">
        <v>416</v>
      </c>
      <c r="D92" s="133" t="s">
        <v>393</v>
      </c>
      <c r="E92" s="132">
        <v>6</v>
      </c>
      <c r="F92" s="132" t="s">
        <v>342</v>
      </c>
      <c r="G92" s="133" t="s">
        <v>376</v>
      </c>
      <c r="H92" s="133">
        <v>2</v>
      </c>
      <c r="I92" s="133" t="s">
        <v>424</v>
      </c>
      <c r="J92" s="132" t="s">
        <v>435</v>
      </c>
      <c r="K92" s="132" t="s">
        <v>433</v>
      </c>
      <c r="L92" s="132" t="s">
        <v>436</v>
      </c>
      <c r="M92" s="135">
        <f>25.4*USD_Inflation_Factor</f>
        <v>34.723157314695115</v>
      </c>
      <c r="N92" s="136">
        <f t="shared" si="6"/>
        <v>69.44631462939023</v>
      </c>
      <c r="O92" s="136">
        <f t="shared" si="8"/>
        <v>7911528.4379154928</v>
      </c>
    </row>
    <row r="93" spans="1:15" ht="20.100000000000001" customHeight="1">
      <c r="A93" s="132">
        <v>90</v>
      </c>
      <c r="B93" s="133" t="s">
        <v>389</v>
      </c>
      <c r="C93" s="133" t="s">
        <v>416</v>
      </c>
      <c r="D93" s="133" t="s">
        <v>393</v>
      </c>
      <c r="E93" s="132">
        <v>8</v>
      </c>
      <c r="F93" s="132" t="s">
        <v>342</v>
      </c>
      <c r="G93" s="133" t="s">
        <v>376</v>
      </c>
      <c r="H93" s="133">
        <v>4</v>
      </c>
      <c r="I93" s="133" t="s">
        <v>424</v>
      </c>
      <c r="J93" s="132" t="s">
        <v>435</v>
      </c>
      <c r="K93" s="132" t="s">
        <v>433</v>
      </c>
      <c r="L93" s="132" t="s">
        <v>436</v>
      </c>
      <c r="M93" s="135">
        <f>39.99*USD_Inflation_Factor</f>
        <v>54.66846696908101</v>
      </c>
      <c r="N93" s="136">
        <f t="shared" si="6"/>
        <v>218.67386787632404</v>
      </c>
      <c r="O93" s="136">
        <f t="shared" si="8"/>
        <v>24911970.254507128</v>
      </c>
    </row>
    <row r="94" spans="1:15" ht="20.100000000000001" customHeight="1">
      <c r="A94" s="132">
        <v>91</v>
      </c>
      <c r="B94" s="133" t="s">
        <v>389</v>
      </c>
      <c r="C94" s="133" t="s">
        <v>416</v>
      </c>
      <c r="D94" s="133" t="s">
        <v>393</v>
      </c>
      <c r="E94" s="132">
        <v>10</v>
      </c>
      <c r="F94" s="132" t="s">
        <v>342</v>
      </c>
      <c r="G94" s="133" t="s">
        <v>376</v>
      </c>
      <c r="H94" s="133">
        <v>2</v>
      </c>
      <c r="I94" s="133" t="s">
        <v>424</v>
      </c>
      <c r="J94" s="132" t="s">
        <v>439</v>
      </c>
      <c r="K94" s="132" t="s">
        <v>433</v>
      </c>
      <c r="L94" s="132" t="s">
        <v>436</v>
      </c>
      <c r="M94" s="135">
        <f>62.87*USD_Inflation_Factor</f>
        <v>85.946649621058341</v>
      </c>
      <c r="N94" s="136">
        <f t="shared" si="6"/>
        <v>171.89329924211668</v>
      </c>
      <c r="O94" s="136">
        <f t="shared" si="8"/>
        <v>19582590.271328624</v>
      </c>
    </row>
    <row r="95" spans="1:15" ht="20.100000000000001" customHeight="1">
      <c r="A95" s="132">
        <v>92</v>
      </c>
      <c r="B95" s="133" t="s">
        <v>389</v>
      </c>
      <c r="C95" s="133" t="s">
        <v>416</v>
      </c>
      <c r="D95" s="133" t="s">
        <v>393</v>
      </c>
      <c r="E95" s="132">
        <v>12</v>
      </c>
      <c r="F95" s="132" t="s">
        <v>342</v>
      </c>
      <c r="G95" s="133" t="s">
        <v>376</v>
      </c>
      <c r="H95" s="133">
        <v>2</v>
      </c>
      <c r="I95" s="133" t="s">
        <v>424</v>
      </c>
      <c r="J95" s="132" t="s">
        <v>439</v>
      </c>
      <c r="K95" s="132" t="s">
        <v>433</v>
      </c>
      <c r="L95" s="132" t="s">
        <v>436</v>
      </c>
      <c r="M95" s="135">
        <f>114.25*USD_Inflation_Factor</f>
        <v>156.1858552442487</v>
      </c>
      <c r="N95" s="136">
        <f t="shared" si="6"/>
        <v>312.3717104884974</v>
      </c>
      <c r="O95" s="136">
        <f t="shared" si="8"/>
        <v>35586304.095741935</v>
      </c>
    </row>
    <row r="96" spans="1:15" ht="20.100000000000001" customHeight="1">
      <c r="A96" s="132">
        <v>93</v>
      </c>
      <c r="B96" s="133" t="s">
        <v>389</v>
      </c>
      <c r="C96" s="133" t="s">
        <v>416</v>
      </c>
      <c r="D96" s="133" t="s">
        <v>393</v>
      </c>
      <c r="E96" s="132">
        <v>14</v>
      </c>
      <c r="F96" s="132" t="s">
        <v>342</v>
      </c>
      <c r="G96" s="133" t="s">
        <v>376</v>
      </c>
      <c r="H96" s="133">
        <v>2</v>
      </c>
      <c r="I96" s="133" t="s">
        <v>424</v>
      </c>
      <c r="J96" s="132" t="s">
        <v>439</v>
      </c>
      <c r="K96" s="132" t="s">
        <v>433</v>
      </c>
      <c r="L96" s="132" t="s">
        <v>436</v>
      </c>
      <c r="M96" s="135">
        <f>132*USD_Inflation_Factor</f>
        <v>180.45105376140768</v>
      </c>
      <c r="N96" s="136">
        <f t="shared" si="6"/>
        <v>360.90210752281536</v>
      </c>
      <c r="O96" s="136">
        <f t="shared" si="8"/>
        <v>41115029.677356102</v>
      </c>
    </row>
    <row r="97" spans="1:15" ht="20.100000000000001" customHeight="1">
      <c r="A97" s="132">
        <v>94</v>
      </c>
      <c r="B97" s="133" t="s">
        <v>389</v>
      </c>
      <c r="C97" s="133" t="s">
        <v>416</v>
      </c>
      <c r="D97" s="133" t="s">
        <v>393</v>
      </c>
      <c r="E97" s="132">
        <v>20</v>
      </c>
      <c r="F97" s="132" t="s">
        <v>342</v>
      </c>
      <c r="G97" s="133" t="s">
        <v>376</v>
      </c>
      <c r="H97" s="133">
        <v>3</v>
      </c>
      <c r="I97" s="133" t="s">
        <v>424</v>
      </c>
      <c r="J97" s="132" t="s">
        <v>440</v>
      </c>
      <c r="K97" s="132" t="s">
        <v>433</v>
      </c>
      <c r="L97" s="132" t="s">
        <v>436</v>
      </c>
      <c r="M97" s="135">
        <f>206*USD_Inflation_Factor</f>
        <v>281.61300814280293</v>
      </c>
      <c r="N97" s="136">
        <f t="shared" si="6"/>
        <v>844.83902442840872</v>
      </c>
      <c r="O97" s="136">
        <f t="shared" si="8"/>
        <v>96246546.744719982</v>
      </c>
    </row>
    <row r="98" spans="1:15" ht="20.100000000000001" customHeight="1">
      <c r="A98" s="132">
        <v>95</v>
      </c>
      <c r="B98" s="133" t="s">
        <v>389</v>
      </c>
      <c r="C98" s="133" t="s">
        <v>416</v>
      </c>
      <c r="D98" s="133" t="s">
        <v>441</v>
      </c>
      <c r="E98" s="132">
        <v>6</v>
      </c>
      <c r="F98" s="132" t="s">
        <v>342</v>
      </c>
      <c r="G98" s="133" t="s">
        <v>376</v>
      </c>
      <c r="H98" s="133">
        <v>1</v>
      </c>
      <c r="I98" s="133" t="s">
        <v>418</v>
      </c>
      <c r="J98" s="132" t="s">
        <v>435</v>
      </c>
      <c r="K98" s="132"/>
      <c r="L98" s="132"/>
      <c r="M98" s="135">
        <f>7.84*USD_Inflation_Factor</f>
        <v>10.717698950677548</v>
      </c>
      <c r="N98" s="136">
        <f t="shared" si="6"/>
        <v>10.717698950677548</v>
      </c>
      <c r="O98" s="136">
        <f t="shared" si="8"/>
        <v>1220991.790418454</v>
      </c>
    </row>
    <row r="99" spans="1:15" ht="20.100000000000001" customHeight="1">
      <c r="A99" s="132">
        <v>96</v>
      </c>
      <c r="B99" s="133" t="s">
        <v>389</v>
      </c>
      <c r="C99" s="133" t="s">
        <v>416</v>
      </c>
      <c r="D99" s="133" t="s">
        <v>394</v>
      </c>
      <c r="E99" s="132">
        <v>1</v>
      </c>
      <c r="F99" s="132" t="s">
        <v>342</v>
      </c>
      <c r="G99" s="133" t="s">
        <v>376</v>
      </c>
      <c r="H99" s="133">
        <v>16</v>
      </c>
      <c r="I99" s="133" t="s">
        <v>418</v>
      </c>
      <c r="J99" s="132" t="s">
        <v>442</v>
      </c>
      <c r="K99" s="132" t="s">
        <v>443</v>
      </c>
      <c r="L99" s="132"/>
      <c r="M99" s="135">
        <f>1*USD_Inflation_Factor</f>
        <v>1.3670534375864218</v>
      </c>
      <c r="N99" s="136">
        <f t="shared" si="6"/>
        <v>21.872855001382749</v>
      </c>
      <c r="O99" s="136">
        <f t="shared" si="8"/>
        <v>2491819.9804458246</v>
      </c>
    </row>
    <row r="100" spans="1:15" ht="20.100000000000001" customHeight="1">
      <c r="A100" s="132">
        <v>97</v>
      </c>
      <c r="B100" s="133" t="s">
        <v>389</v>
      </c>
      <c r="C100" s="133" t="s">
        <v>416</v>
      </c>
      <c r="D100" s="133" t="s">
        <v>394</v>
      </c>
      <c r="E100" s="132">
        <v>1</v>
      </c>
      <c r="F100" s="132" t="s">
        <v>342</v>
      </c>
      <c r="G100" s="133" t="s">
        <v>376</v>
      </c>
      <c r="H100" s="133">
        <v>25</v>
      </c>
      <c r="I100" s="133" t="s">
        <v>419</v>
      </c>
      <c r="J100" s="132" t="s">
        <v>442</v>
      </c>
      <c r="K100" s="132" t="s">
        <v>443</v>
      </c>
      <c r="L100" s="132" t="s">
        <v>436</v>
      </c>
      <c r="M100" s="135">
        <f>1*USD_Inflation_Factor</f>
        <v>1.3670534375864218</v>
      </c>
      <c r="N100" s="136">
        <f t="shared" si="6"/>
        <v>34.176335939660547</v>
      </c>
      <c r="O100" s="136">
        <f t="shared" si="8"/>
        <v>3893468.7194466009</v>
      </c>
    </row>
    <row r="101" spans="1:15" ht="20.100000000000001" customHeight="1">
      <c r="A101" s="132">
        <v>98</v>
      </c>
      <c r="B101" s="133" t="s">
        <v>389</v>
      </c>
      <c r="C101" s="133" t="s">
        <v>416</v>
      </c>
      <c r="D101" s="133" t="s">
        <v>394</v>
      </c>
      <c r="E101" s="132">
        <v>1</v>
      </c>
      <c r="F101" s="132" t="s">
        <v>342</v>
      </c>
      <c r="G101" s="133" t="s">
        <v>376</v>
      </c>
      <c r="H101" s="133">
        <v>17</v>
      </c>
      <c r="I101" s="133" t="s">
        <v>424</v>
      </c>
      <c r="J101" s="132" t="s">
        <v>442</v>
      </c>
      <c r="K101" s="132" t="s">
        <v>443</v>
      </c>
      <c r="L101" s="132" t="s">
        <v>436</v>
      </c>
      <c r="M101" s="135">
        <f>1*USD_Inflation_Factor</f>
        <v>1.3670534375864218</v>
      </c>
      <c r="N101" s="136">
        <f t="shared" si="6"/>
        <v>23.23990843896917</v>
      </c>
      <c r="O101" s="136">
        <f t="shared" si="8"/>
        <v>2647558.7292236881</v>
      </c>
    </row>
    <row r="102" spans="1:15" ht="20.100000000000001" customHeight="1">
      <c r="A102" s="132">
        <v>99</v>
      </c>
      <c r="B102" s="133" t="s">
        <v>389</v>
      </c>
      <c r="C102" s="133" t="s">
        <v>416</v>
      </c>
      <c r="D102" s="133" t="s">
        <v>395</v>
      </c>
      <c r="E102" s="132">
        <v>12</v>
      </c>
      <c r="F102" s="132">
        <v>10</v>
      </c>
      <c r="G102" s="133" t="s">
        <v>376</v>
      </c>
      <c r="H102" s="133">
        <v>2</v>
      </c>
      <c r="I102" s="133" t="s">
        <v>419</v>
      </c>
      <c r="J102" s="132" t="s">
        <v>432</v>
      </c>
      <c r="K102" s="132" t="s">
        <v>433</v>
      </c>
      <c r="L102" s="132" t="s">
        <v>436</v>
      </c>
      <c r="M102" s="135">
        <f>33.12*USD_Inflation_Factor</f>
        <v>45.276809852862286</v>
      </c>
      <c r="N102" s="136">
        <f t="shared" si="6"/>
        <v>90.553619705724572</v>
      </c>
      <c r="O102" s="136">
        <f t="shared" si="8"/>
        <v>10316134.719045712</v>
      </c>
    </row>
    <row r="103" spans="1:15" ht="20.100000000000001" customHeight="1">
      <c r="A103" s="132">
        <v>100</v>
      </c>
      <c r="B103" s="133" t="s">
        <v>389</v>
      </c>
      <c r="C103" s="133" t="s">
        <v>416</v>
      </c>
      <c r="D103" s="133" t="s">
        <v>395</v>
      </c>
      <c r="E103" s="132">
        <v>16</v>
      </c>
      <c r="F103" s="132">
        <v>12</v>
      </c>
      <c r="G103" s="133" t="s">
        <v>376</v>
      </c>
      <c r="H103" s="133">
        <v>2</v>
      </c>
      <c r="I103" s="133" t="s">
        <v>419</v>
      </c>
      <c r="J103" s="132" t="s">
        <v>437</v>
      </c>
      <c r="K103" s="132" t="s">
        <v>433</v>
      </c>
      <c r="L103" s="132" t="s">
        <v>436</v>
      </c>
      <c r="M103" s="135">
        <f>44.16*USD_Inflation_Factor</f>
        <v>60.369079803816383</v>
      </c>
      <c r="N103" s="136">
        <f t="shared" si="6"/>
        <v>120.73815960763277</v>
      </c>
      <c r="O103" s="136">
        <f t="shared" si="8"/>
        <v>13754846.292060949</v>
      </c>
    </row>
    <row r="104" spans="1:15" ht="20.100000000000001" customHeight="1">
      <c r="A104" s="132">
        <v>101</v>
      </c>
      <c r="B104" s="133" t="s">
        <v>389</v>
      </c>
      <c r="C104" s="133" t="s">
        <v>416</v>
      </c>
      <c r="D104" s="133" t="s">
        <v>395</v>
      </c>
      <c r="E104" s="132">
        <v>8</v>
      </c>
      <c r="F104" s="132">
        <v>6</v>
      </c>
      <c r="G104" s="133" t="s">
        <v>376</v>
      </c>
      <c r="H104" s="133">
        <v>2</v>
      </c>
      <c r="I104" s="133" t="s">
        <v>424</v>
      </c>
      <c r="J104" s="132" t="s">
        <v>435</v>
      </c>
      <c r="K104" s="132" t="s">
        <v>433</v>
      </c>
      <c r="L104" s="132" t="s">
        <v>436</v>
      </c>
      <c r="M104" s="135">
        <f>15.87*USD_Inflation_Factor</f>
        <v>21.695138054496514</v>
      </c>
      <c r="N104" s="136">
        <f t="shared" si="6"/>
        <v>43.390276108993028</v>
      </c>
      <c r="O104" s="136">
        <f t="shared" si="8"/>
        <v>4943147.8862094041</v>
      </c>
    </row>
    <row r="105" spans="1:15" ht="20.100000000000001" customHeight="1">
      <c r="A105" s="132">
        <v>102</v>
      </c>
      <c r="B105" s="133" t="s">
        <v>389</v>
      </c>
      <c r="C105" s="133" t="s">
        <v>416</v>
      </c>
      <c r="D105" s="133" t="s">
        <v>395</v>
      </c>
      <c r="E105" s="132">
        <v>10</v>
      </c>
      <c r="F105" s="132">
        <v>8</v>
      </c>
      <c r="G105" s="133" t="s">
        <v>376</v>
      </c>
      <c r="H105" s="133">
        <v>2</v>
      </c>
      <c r="I105" s="133" t="s">
        <v>424</v>
      </c>
      <c r="J105" s="132" t="s">
        <v>439</v>
      </c>
      <c r="K105" s="132" t="s">
        <v>433</v>
      </c>
      <c r="L105" s="132" t="s">
        <v>436</v>
      </c>
      <c r="M105" s="135">
        <f>27.61*USD_Inflation_Factor</f>
        <v>37.74434541176111</v>
      </c>
      <c r="N105" s="136">
        <f t="shared" si="6"/>
        <v>75.488690823522219</v>
      </c>
      <c r="O105" s="136">
        <f t="shared" si="8"/>
        <v>8599893.7075136527</v>
      </c>
    </row>
    <row r="106" spans="1:15" ht="20.100000000000001" customHeight="1">
      <c r="A106" s="132">
        <v>103</v>
      </c>
      <c r="B106" s="133" t="s">
        <v>389</v>
      </c>
      <c r="C106" s="133" t="s">
        <v>416</v>
      </c>
      <c r="D106" s="133" t="s">
        <v>395</v>
      </c>
      <c r="E106" s="132">
        <v>12</v>
      </c>
      <c r="F106" s="132">
        <v>10</v>
      </c>
      <c r="G106" s="133" t="s">
        <v>376</v>
      </c>
      <c r="H106" s="133">
        <v>6</v>
      </c>
      <c r="I106" s="133" t="s">
        <v>424</v>
      </c>
      <c r="J106" s="132" t="s">
        <v>439</v>
      </c>
      <c r="K106" s="132" t="s">
        <v>433</v>
      </c>
      <c r="L106" s="132" t="s">
        <v>436</v>
      </c>
      <c r="M106" s="135">
        <f>33.12*USD_Inflation_Factor</f>
        <v>45.276809852862286</v>
      </c>
      <c r="N106" s="136">
        <f t="shared" si="6"/>
        <v>271.66085911717369</v>
      </c>
      <c r="O106" s="136">
        <f t="shared" si="8"/>
        <v>30948404.157137133</v>
      </c>
    </row>
    <row r="107" spans="1:15" ht="20.100000000000001" customHeight="1">
      <c r="A107" s="132">
        <v>104</v>
      </c>
      <c r="B107" s="133" t="s">
        <v>389</v>
      </c>
      <c r="C107" s="133" t="s">
        <v>416</v>
      </c>
      <c r="D107" s="133" t="s">
        <v>395</v>
      </c>
      <c r="E107" s="132">
        <v>20</v>
      </c>
      <c r="F107" s="132">
        <v>14</v>
      </c>
      <c r="G107" s="133" t="s">
        <v>376</v>
      </c>
      <c r="H107" s="133">
        <v>2</v>
      </c>
      <c r="I107" s="133" t="s">
        <v>424</v>
      </c>
      <c r="J107" s="132" t="s">
        <v>440</v>
      </c>
      <c r="K107" s="132" t="s">
        <v>433</v>
      </c>
      <c r="L107" s="132" t="s">
        <v>436</v>
      </c>
      <c r="M107" s="135">
        <f>55.2*USD_Inflation_Factor</f>
        <v>75.461349754770495</v>
      </c>
      <c r="N107" s="136">
        <f t="shared" si="6"/>
        <v>150.92269950954099</v>
      </c>
      <c r="O107" s="136">
        <f t="shared" si="8"/>
        <v>17193557.865076192</v>
      </c>
    </row>
    <row r="108" spans="1:15" ht="20.100000000000001" customHeight="1">
      <c r="A108" s="132">
        <v>105</v>
      </c>
      <c r="B108" s="133" t="s">
        <v>389</v>
      </c>
      <c r="C108" s="133" t="s">
        <v>416</v>
      </c>
      <c r="D108" s="133" t="s">
        <v>444</v>
      </c>
      <c r="E108" s="132">
        <v>2</v>
      </c>
      <c r="F108" s="132">
        <v>1</v>
      </c>
      <c r="G108" s="133" t="s">
        <v>376</v>
      </c>
      <c r="H108" s="133">
        <v>8</v>
      </c>
      <c r="I108" s="133" t="s">
        <v>418</v>
      </c>
      <c r="J108" s="132"/>
      <c r="K108" s="132" t="s">
        <v>400</v>
      </c>
      <c r="L108" s="132"/>
      <c r="M108" s="135">
        <f>6.71*USD_Inflation_Factor</f>
        <v>9.1729285662048898</v>
      </c>
      <c r="N108" s="136">
        <f t="shared" si="6"/>
        <v>73.383428529639119</v>
      </c>
      <c r="O108" s="136">
        <f t="shared" si="8"/>
        <v>8360056.0343957404</v>
      </c>
    </row>
    <row r="109" spans="1:15" ht="20.100000000000001" customHeight="1">
      <c r="A109" s="132">
        <v>106</v>
      </c>
      <c r="B109" s="133" t="s">
        <v>389</v>
      </c>
      <c r="C109" s="133" t="s">
        <v>416</v>
      </c>
      <c r="D109" s="133" t="s">
        <v>444</v>
      </c>
      <c r="E109" s="132">
        <v>6</v>
      </c>
      <c r="F109" s="132">
        <v>1</v>
      </c>
      <c r="G109" s="133" t="s">
        <v>376</v>
      </c>
      <c r="H109" s="133">
        <v>8</v>
      </c>
      <c r="I109" s="133" t="s">
        <v>418</v>
      </c>
      <c r="J109" s="132"/>
      <c r="K109" s="132" t="s">
        <v>400</v>
      </c>
      <c r="L109" s="132"/>
      <c r="M109" s="135">
        <f>7.14*USD_Inflation_Factor</f>
        <v>9.7607615443670515</v>
      </c>
      <c r="N109" s="136">
        <f t="shared" si="6"/>
        <v>78.086092354936412</v>
      </c>
      <c r="O109" s="136">
        <f t="shared" si="8"/>
        <v>8895797.3301915936</v>
      </c>
    </row>
    <row r="110" spans="1:15" ht="20.100000000000001" customHeight="1">
      <c r="A110" s="132">
        <v>107</v>
      </c>
      <c r="B110" s="133" t="s">
        <v>389</v>
      </c>
      <c r="C110" s="133" t="s">
        <v>416</v>
      </c>
      <c r="D110" s="133" t="s">
        <v>444</v>
      </c>
      <c r="E110" s="132">
        <v>12</v>
      </c>
      <c r="F110" s="132">
        <v>1</v>
      </c>
      <c r="G110" s="133" t="s">
        <v>376</v>
      </c>
      <c r="H110" s="133">
        <v>12</v>
      </c>
      <c r="I110" s="133" t="s">
        <v>419</v>
      </c>
      <c r="J110" s="132"/>
      <c r="K110" s="132" t="s">
        <v>400</v>
      </c>
      <c r="L110" s="132" t="s">
        <v>436</v>
      </c>
      <c r="M110" s="135">
        <f>3.74*USD_Inflation_Factor</f>
        <v>5.1127798565732183</v>
      </c>
      <c r="N110" s="136">
        <f t="shared" si="6"/>
        <v>61.353358278878616</v>
      </c>
      <c r="O110" s="136">
        <f t="shared" si="8"/>
        <v>6989555.045150538</v>
      </c>
    </row>
    <row r="111" spans="1:15" ht="20.100000000000001" customHeight="1">
      <c r="A111" s="132">
        <v>108</v>
      </c>
      <c r="B111" s="133" t="s">
        <v>389</v>
      </c>
      <c r="C111" s="133" t="s">
        <v>416</v>
      </c>
      <c r="D111" s="133" t="s">
        <v>444</v>
      </c>
      <c r="E111" s="132">
        <v>16</v>
      </c>
      <c r="F111" s="132">
        <v>1</v>
      </c>
      <c r="G111" s="133" t="s">
        <v>376</v>
      </c>
      <c r="H111" s="133">
        <v>12</v>
      </c>
      <c r="I111" s="133" t="s">
        <v>419</v>
      </c>
      <c r="J111" s="132"/>
      <c r="K111" s="132" t="s">
        <v>400</v>
      </c>
      <c r="L111" s="132" t="s">
        <v>436</v>
      </c>
      <c r="M111" s="135">
        <f>5.17*USD_Inflation_Factor</f>
        <v>7.0676662723218007</v>
      </c>
      <c r="N111" s="136">
        <f t="shared" si="6"/>
        <v>84.811995267861604</v>
      </c>
      <c r="O111" s="136">
        <f t="shared" si="8"/>
        <v>9662031.974178683</v>
      </c>
    </row>
    <row r="112" spans="1:15" ht="20.100000000000001" customHeight="1">
      <c r="A112" s="132">
        <v>109</v>
      </c>
      <c r="B112" s="133" t="s">
        <v>389</v>
      </c>
      <c r="C112" s="133" t="s">
        <v>416</v>
      </c>
      <c r="D112" s="133" t="s">
        <v>444</v>
      </c>
      <c r="E112" s="132">
        <v>20</v>
      </c>
      <c r="F112" s="132">
        <v>1</v>
      </c>
      <c r="G112" s="133" t="s">
        <v>376</v>
      </c>
      <c r="H112" s="133">
        <v>1</v>
      </c>
      <c r="I112" s="133" t="s">
        <v>419</v>
      </c>
      <c r="J112" s="132"/>
      <c r="K112" s="132" t="s">
        <v>400</v>
      </c>
      <c r="L112" s="132" t="s">
        <v>436</v>
      </c>
      <c r="M112" s="135">
        <f>5.17*USD_Inflation_Factor</f>
        <v>7.0676662723218007</v>
      </c>
      <c r="N112" s="136">
        <f t="shared" si="6"/>
        <v>7.0676662723218007</v>
      </c>
      <c r="O112" s="136">
        <f t="shared" si="8"/>
        <v>805169.33118155692</v>
      </c>
    </row>
    <row r="113" spans="1:15" ht="20.100000000000001" customHeight="1">
      <c r="A113" s="132">
        <v>110</v>
      </c>
      <c r="B113" s="133" t="s">
        <v>389</v>
      </c>
      <c r="C113" s="133" t="s">
        <v>416</v>
      </c>
      <c r="D113" s="133" t="s">
        <v>444</v>
      </c>
      <c r="E113" s="132">
        <v>10</v>
      </c>
      <c r="F113" s="132">
        <v>1</v>
      </c>
      <c r="G113" s="133" t="s">
        <v>376</v>
      </c>
      <c r="H113" s="133">
        <v>8</v>
      </c>
      <c r="I113" s="133" t="s">
        <v>424</v>
      </c>
      <c r="J113" s="132"/>
      <c r="K113" s="132" t="s">
        <v>400</v>
      </c>
      <c r="L113" s="132" t="s">
        <v>436</v>
      </c>
      <c r="M113" s="135">
        <f>2.91*USD_Inflation_Factor</f>
        <v>3.978125503376488</v>
      </c>
      <c r="N113" s="136">
        <f t="shared" si="6"/>
        <v>31.825004027011904</v>
      </c>
      <c r="O113" s="136">
        <f t="shared" si="8"/>
        <v>3625598.0715486747</v>
      </c>
    </row>
    <row r="114" spans="1:15" ht="20.100000000000001" customHeight="1">
      <c r="A114" s="132">
        <v>111</v>
      </c>
      <c r="B114" s="133" t="s">
        <v>389</v>
      </c>
      <c r="C114" s="133" t="s">
        <v>416</v>
      </c>
      <c r="D114" s="133" t="s">
        <v>444</v>
      </c>
      <c r="E114" s="132">
        <v>12</v>
      </c>
      <c r="F114" s="132">
        <v>1</v>
      </c>
      <c r="G114" s="133" t="s">
        <v>376</v>
      </c>
      <c r="H114" s="133">
        <v>8</v>
      </c>
      <c r="I114" s="133" t="s">
        <v>424</v>
      </c>
      <c r="J114" s="132"/>
      <c r="K114" s="132" t="s">
        <v>400</v>
      </c>
      <c r="L114" s="132" t="s">
        <v>436</v>
      </c>
      <c r="M114" s="135">
        <f>3.74*USD_Inflation_Factor</f>
        <v>5.1127798565732183</v>
      </c>
      <c r="N114" s="136">
        <f t="shared" si="6"/>
        <v>40.902238852585747</v>
      </c>
      <c r="O114" s="136">
        <f t="shared" si="8"/>
        <v>4659703.3634336926</v>
      </c>
    </row>
    <row r="115" spans="1:15" ht="20.100000000000001" customHeight="1">
      <c r="A115" s="132">
        <v>112</v>
      </c>
      <c r="B115" s="133" t="s">
        <v>389</v>
      </c>
      <c r="C115" s="133" t="s">
        <v>416</v>
      </c>
      <c r="D115" s="133" t="s">
        <v>444</v>
      </c>
      <c r="E115" s="132">
        <v>20</v>
      </c>
      <c r="F115" s="132">
        <v>1</v>
      </c>
      <c r="G115" s="133" t="s">
        <v>376</v>
      </c>
      <c r="H115" s="133">
        <v>1</v>
      </c>
      <c r="I115" s="133" t="s">
        <v>424</v>
      </c>
      <c r="J115" s="132"/>
      <c r="K115" s="132" t="s">
        <v>400</v>
      </c>
      <c r="L115" s="132" t="s">
        <v>436</v>
      </c>
      <c r="M115" s="135">
        <f>5.17*USD_Inflation_Factor</f>
        <v>7.0676662723218007</v>
      </c>
      <c r="N115" s="136">
        <f t="shared" si="6"/>
        <v>7.0676662723218007</v>
      </c>
      <c r="O115" s="136">
        <f t="shared" si="8"/>
        <v>805169.33118155692</v>
      </c>
    </row>
    <row r="116" spans="1:15" ht="20.100000000000001" customHeight="1">
      <c r="A116" s="132">
        <v>113</v>
      </c>
      <c r="B116" s="133" t="s">
        <v>389</v>
      </c>
      <c r="C116" s="133" t="s">
        <v>416</v>
      </c>
      <c r="D116" s="133" t="s">
        <v>397</v>
      </c>
      <c r="E116" s="132">
        <v>2</v>
      </c>
      <c r="F116" s="132">
        <v>2</v>
      </c>
      <c r="G116" s="133" t="s">
        <v>376</v>
      </c>
      <c r="H116" s="133">
        <v>1</v>
      </c>
      <c r="I116" s="133" t="s">
        <v>417</v>
      </c>
      <c r="J116" s="132" t="s">
        <v>432</v>
      </c>
      <c r="K116" s="132" t="s">
        <v>433</v>
      </c>
      <c r="L116" s="132"/>
      <c r="M116" s="135">
        <f>2.79*USD_Inflation_Factor</f>
        <v>3.8140790908661169</v>
      </c>
      <c r="N116" s="136">
        <f t="shared" si="6"/>
        <v>3.8140790908661169</v>
      </c>
      <c r="O116" s="136">
        <f t="shared" si="8"/>
        <v>434511.10909024061</v>
      </c>
    </row>
    <row r="117" spans="1:15" ht="20.100000000000001" customHeight="1">
      <c r="A117" s="132">
        <v>114</v>
      </c>
      <c r="B117" s="133" t="s">
        <v>389</v>
      </c>
      <c r="C117" s="133" t="s">
        <v>416</v>
      </c>
      <c r="D117" s="133" t="s">
        <v>397</v>
      </c>
      <c r="E117" s="132">
        <v>6</v>
      </c>
      <c r="F117" s="132">
        <v>2</v>
      </c>
      <c r="G117" s="133" t="s">
        <v>376</v>
      </c>
      <c r="H117" s="133">
        <v>1</v>
      </c>
      <c r="I117" s="133" t="s">
        <v>418</v>
      </c>
      <c r="J117" s="132" t="s">
        <v>435</v>
      </c>
      <c r="K117" s="132" t="s">
        <v>433</v>
      </c>
      <c r="L117" s="132"/>
      <c r="M117" s="135">
        <f>94.5*USD_Inflation_Factor</f>
        <v>129.18654985191685</v>
      </c>
      <c r="N117" s="136">
        <f t="shared" si="6"/>
        <v>129.18654985191685</v>
      </c>
      <c r="O117" s="136">
        <f t="shared" si="8"/>
        <v>14717311.75950815</v>
      </c>
    </row>
    <row r="118" spans="1:15" ht="20.100000000000001" customHeight="1">
      <c r="A118" s="132">
        <v>115</v>
      </c>
      <c r="B118" s="133" t="s">
        <v>389</v>
      </c>
      <c r="C118" s="133" t="s">
        <v>416</v>
      </c>
      <c r="D118" s="133" t="s">
        <v>397</v>
      </c>
      <c r="E118" s="132">
        <v>6</v>
      </c>
      <c r="F118" s="132">
        <v>6</v>
      </c>
      <c r="G118" s="133" t="s">
        <v>376</v>
      </c>
      <c r="H118" s="133">
        <v>1</v>
      </c>
      <c r="I118" s="133" t="s">
        <v>418</v>
      </c>
      <c r="J118" s="132" t="s">
        <v>435</v>
      </c>
      <c r="K118" s="132" t="s">
        <v>433</v>
      </c>
      <c r="L118" s="132"/>
      <c r="M118" s="135">
        <f>94.5*USD_Inflation_Factor</f>
        <v>129.18654985191685</v>
      </c>
      <c r="N118" s="136">
        <f t="shared" si="6"/>
        <v>129.18654985191685</v>
      </c>
      <c r="O118" s="136">
        <f t="shared" ref="O118:O149" si="9">0.25*N118*USD_Change_IRR * per_Euro</f>
        <v>14717311.75950815</v>
      </c>
    </row>
    <row r="119" spans="1:15" ht="20.100000000000001" customHeight="1">
      <c r="A119" s="132">
        <v>116</v>
      </c>
      <c r="B119" s="133" t="s">
        <v>389</v>
      </c>
      <c r="C119" s="133" t="s">
        <v>416</v>
      </c>
      <c r="D119" s="133" t="s">
        <v>397</v>
      </c>
      <c r="E119" s="132">
        <v>20</v>
      </c>
      <c r="F119" s="132">
        <v>10</v>
      </c>
      <c r="G119" s="133" t="s">
        <v>376</v>
      </c>
      <c r="H119" s="133">
        <v>2</v>
      </c>
      <c r="I119" s="133" t="s">
        <v>419</v>
      </c>
      <c r="J119" s="132" t="s">
        <v>438</v>
      </c>
      <c r="K119" s="132" t="s">
        <v>433</v>
      </c>
      <c r="L119" s="132" t="s">
        <v>436</v>
      </c>
      <c r="M119" s="135">
        <f>414.96*USD_Inflation_Factor</f>
        <v>567.27249446086159</v>
      </c>
      <c r="N119" s="136">
        <f t="shared" si="6"/>
        <v>1134.5449889217232</v>
      </c>
      <c r="O119" s="136">
        <f t="shared" si="9"/>
        <v>129250702.38572492</v>
      </c>
    </row>
    <row r="120" spans="1:15" ht="20.100000000000001" customHeight="1">
      <c r="A120" s="132">
        <v>117</v>
      </c>
      <c r="B120" s="133" t="s">
        <v>389</v>
      </c>
      <c r="C120" s="133" t="s">
        <v>416</v>
      </c>
      <c r="D120" s="133" t="s">
        <v>397</v>
      </c>
      <c r="E120" s="132">
        <v>20</v>
      </c>
      <c r="F120" s="132">
        <v>16</v>
      </c>
      <c r="G120" s="133" t="s">
        <v>376</v>
      </c>
      <c r="H120" s="133">
        <v>2</v>
      </c>
      <c r="I120" s="133" t="s">
        <v>419</v>
      </c>
      <c r="J120" s="132" t="s">
        <v>438</v>
      </c>
      <c r="K120" s="132" t="s">
        <v>433</v>
      </c>
      <c r="L120" s="132" t="s">
        <v>436</v>
      </c>
      <c r="M120" s="135">
        <f>414.96*USD_Inflation_Factor</f>
        <v>567.27249446086159</v>
      </c>
      <c r="N120" s="136">
        <f t="shared" si="6"/>
        <v>1134.5449889217232</v>
      </c>
      <c r="O120" s="136">
        <f t="shared" si="9"/>
        <v>129250702.38572492</v>
      </c>
    </row>
    <row r="121" spans="1:15" ht="20.100000000000001" customHeight="1">
      <c r="A121" s="132">
        <v>118</v>
      </c>
      <c r="B121" s="133" t="s">
        <v>389</v>
      </c>
      <c r="C121" s="133" t="s">
        <v>416</v>
      </c>
      <c r="D121" s="133" t="s">
        <v>397</v>
      </c>
      <c r="E121" s="132">
        <v>20</v>
      </c>
      <c r="F121" s="132">
        <v>20</v>
      </c>
      <c r="G121" s="133" t="s">
        <v>376</v>
      </c>
      <c r="H121" s="133">
        <v>1</v>
      </c>
      <c r="I121" s="133" t="s">
        <v>419</v>
      </c>
      <c r="J121" s="132" t="s">
        <v>438</v>
      </c>
      <c r="K121" s="132" t="s">
        <v>433</v>
      </c>
      <c r="L121" s="132" t="s">
        <v>436</v>
      </c>
      <c r="M121" s="135">
        <f>414.96*USD_Inflation_Factor</f>
        <v>567.27249446086159</v>
      </c>
      <c r="N121" s="136">
        <f t="shared" si="6"/>
        <v>567.27249446086159</v>
      </c>
      <c r="O121" s="136">
        <f t="shared" si="9"/>
        <v>64625351.192862459</v>
      </c>
    </row>
    <row r="122" spans="1:15" ht="20.100000000000001" customHeight="1">
      <c r="A122" s="132">
        <v>119</v>
      </c>
      <c r="B122" s="133" t="s">
        <v>389</v>
      </c>
      <c r="C122" s="133" t="s">
        <v>416</v>
      </c>
      <c r="D122" s="133" t="s">
        <v>397</v>
      </c>
      <c r="E122" s="132">
        <v>8</v>
      </c>
      <c r="F122" s="132">
        <v>6</v>
      </c>
      <c r="G122" s="133" t="s">
        <v>376</v>
      </c>
      <c r="H122" s="133">
        <v>2</v>
      </c>
      <c r="I122" s="133" t="s">
        <v>424</v>
      </c>
      <c r="J122" s="132" t="s">
        <v>435</v>
      </c>
      <c r="K122" s="132" t="s">
        <v>433</v>
      </c>
      <c r="L122" s="132" t="s">
        <v>436</v>
      </c>
      <c r="M122" s="135">
        <f>54.02*USD_Inflation_Factor</f>
        <v>73.848226698418515</v>
      </c>
      <c r="N122" s="136">
        <f t="shared" si="6"/>
        <v>147.69645339683703</v>
      </c>
      <c r="O122" s="136">
        <f t="shared" si="9"/>
        <v>16826014.417960431</v>
      </c>
    </row>
    <row r="123" spans="1:15" ht="20.100000000000001" customHeight="1">
      <c r="A123" s="132">
        <v>120</v>
      </c>
      <c r="B123" s="133" t="s">
        <v>389</v>
      </c>
      <c r="C123" s="133" t="s">
        <v>416</v>
      </c>
      <c r="D123" s="133" t="s">
        <v>397</v>
      </c>
      <c r="E123" s="132">
        <v>20</v>
      </c>
      <c r="F123" s="132">
        <v>10</v>
      </c>
      <c r="G123" s="133" t="s">
        <v>376</v>
      </c>
      <c r="H123" s="133">
        <v>2</v>
      </c>
      <c r="I123" s="133" t="s">
        <v>424</v>
      </c>
      <c r="J123" s="132" t="s">
        <v>440</v>
      </c>
      <c r="K123" s="132" t="s">
        <v>433</v>
      </c>
      <c r="L123" s="132" t="s">
        <v>436</v>
      </c>
      <c r="M123" s="135">
        <f>414.96*USD_Inflation_Factor</f>
        <v>567.27249446086159</v>
      </c>
      <c r="N123" s="136">
        <f t="shared" si="6"/>
        <v>1134.5449889217232</v>
      </c>
      <c r="O123" s="136">
        <f t="shared" si="9"/>
        <v>129250702.38572492</v>
      </c>
    </row>
    <row r="124" spans="1:15" ht="20.100000000000001" customHeight="1">
      <c r="A124" s="132">
        <v>121</v>
      </c>
      <c r="B124" s="133" t="s">
        <v>389</v>
      </c>
      <c r="C124" s="133" t="s">
        <v>416</v>
      </c>
      <c r="D124" s="133" t="s">
        <v>397</v>
      </c>
      <c r="E124" s="132">
        <v>20</v>
      </c>
      <c r="F124" s="132">
        <v>12</v>
      </c>
      <c r="G124" s="133" t="s">
        <v>376</v>
      </c>
      <c r="H124" s="133">
        <v>2</v>
      </c>
      <c r="I124" s="133" t="s">
        <v>424</v>
      </c>
      <c r="J124" s="132" t="s">
        <v>440</v>
      </c>
      <c r="K124" s="132" t="s">
        <v>433</v>
      </c>
      <c r="L124" s="132" t="s">
        <v>436</v>
      </c>
      <c r="M124" s="135">
        <f>414.96*USD_Inflation_Factor</f>
        <v>567.27249446086159</v>
      </c>
      <c r="N124" s="136">
        <f t="shared" si="6"/>
        <v>1134.5449889217232</v>
      </c>
      <c r="O124" s="136">
        <f t="shared" si="9"/>
        <v>129250702.38572492</v>
      </c>
    </row>
    <row r="125" spans="1:15" ht="20.100000000000001" customHeight="1">
      <c r="A125" s="132">
        <v>122</v>
      </c>
      <c r="B125" s="133" t="s">
        <v>389</v>
      </c>
      <c r="C125" s="133" t="s">
        <v>416</v>
      </c>
      <c r="D125" s="133" t="s">
        <v>397</v>
      </c>
      <c r="E125" s="132">
        <v>20</v>
      </c>
      <c r="F125" s="132">
        <v>14</v>
      </c>
      <c r="G125" s="133" t="s">
        <v>376</v>
      </c>
      <c r="H125" s="133">
        <v>2</v>
      </c>
      <c r="I125" s="133" t="s">
        <v>424</v>
      </c>
      <c r="J125" s="132" t="s">
        <v>440</v>
      </c>
      <c r="K125" s="132" t="s">
        <v>433</v>
      </c>
      <c r="L125" s="132" t="s">
        <v>436</v>
      </c>
      <c r="M125" s="135">
        <f>414.96*USD_Inflation_Factor</f>
        <v>567.27249446086159</v>
      </c>
      <c r="N125" s="136">
        <f t="shared" si="6"/>
        <v>1134.5449889217232</v>
      </c>
      <c r="O125" s="136">
        <f t="shared" si="9"/>
        <v>129250702.38572492</v>
      </c>
    </row>
    <row r="126" spans="1:15" ht="20.100000000000001" customHeight="1">
      <c r="A126" s="132">
        <v>123</v>
      </c>
      <c r="B126" s="133" t="s">
        <v>389</v>
      </c>
      <c r="C126" s="133" t="s">
        <v>416</v>
      </c>
      <c r="D126" s="133" t="s">
        <v>445</v>
      </c>
      <c r="E126" s="132">
        <v>12</v>
      </c>
      <c r="F126" s="132" t="s">
        <v>446</v>
      </c>
      <c r="G126" s="133" t="s">
        <v>376</v>
      </c>
      <c r="H126" s="133">
        <v>2</v>
      </c>
      <c r="I126" s="133" t="s">
        <v>419</v>
      </c>
      <c r="J126" s="132" t="s">
        <v>432</v>
      </c>
      <c r="K126" s="132"/>
      <c r="L126" s="132" t="s">
        <v>436</v>
      </c>
      <c r="M126" s="135">
        <f>10.02*USD_Inflation_Factor</f>
        <v>13.697875444615946</v>
      </c>
      <c r="N126" s="136">
        <f t="shared" si="6"/>
        <v>27.395750889231891</v>
      </c>
      <c r="O126" s="136">
        <f t="shared" si="9"/>
        <v>3121004.5255083949</v>
      </c>
    </row>
    <row r="127" spans="1:15" ht="20.100000000000001" customHeight="1">
      <c r="A127" s="132">
        <v>124</v>
      </c>
      <c r="B127" s="133" t="s">
        <v>389</v>
      </c>
      <c r="C127" s="133" t="s">
        <v>416</v>
      </c>
      <c r="D127" s="133" t="s">
        <v>445</v>
      </c>
      <c r="E127" s="132">
        <v>16</v>
      </c>
      <c r="F127" s="132" t="s">
        <v>446</v>
      </c>
      <c r="G127" s="133" t="s">
        <v>376</v>
      </c>
      <c r="H127" s="133">
        <v>2</v>
      </c>
      <c r="I127" s="133" t="s">
        <v>419</v>
      </c>
      <c r="J127" s="132" t="s">
        <v>437</v>
      </c>
      <c r="K127" s="132"/>
      <c r="L127" s="132" t="s">
        <v>436</v>
      </c>
      <c r="M127" s="135">
        <f>10.02*USD_Inflation_Factor</f>
        <v>13.697875444615946</v>
      </c>
      <c r="N127" s="136">
        <f t="shared" si="6"/>
        <v>27.395750889231891</v>
      </c>
      <c r="O127" s="136">
        <f t="shared" si="9"/>
        <v>3121004.5255083949</v>
      </c>
    </row>
    <row r="128" spans="1:15" ht="20.100000000000001" customHeight="1">
      <c r="A128" s="132">
        <v>125</v>
      </c>
      <c r="B128" s="133" t="s">
        <v>389</v>
      </c>
      <c r="C128" s="133" t="s">
        <v>416</v>
      </c>
      <c r="D128" s="133" t="s">
        <v>445</v>
      </c>
      <c r="E128" s="132">
        <v>20</v>
      </c>
      <c r="F128" s="132">
        <v>2</v>
      </c>
      <c r="G128" s="133" t="s">
        <v>376</v>
      </c>
      <c r="H128" s="133">
        <v>1</v>
      </c>
      <c r="I128" s="133" t="s">
        <v>419</v>
      </c>
      <c r="J128" s="132" t="s">
        <v>438</v>
      </c>
      <c r="K128" s="132"/>
      <c r="L128" s="132" t="s">
        <v>436</v>
      </c>
      <c r="M128" s="135">
        <f>14.55*USD_Inflation_Factor</f>
        <v>19.890627516882439</v>
      </c>
      <c r="N128" s="136">
        <f t="shared" si="6"/>
        <v>19.890627516882439</v>
      </c>
      <c r="O128" s="136">
        <f t="shared" si="9"/>
        <v>2265998.7947179219</v>
      </c>
    </row>
    <row r="129" spans="1:15" ht="20.100000000000001" customHeight="1">
      <c r="A129" s="132">
        <v>126</v>
      </c>
      <c r="B129" s="133" t="s">
        <v>389</v>
      </c>
      <c r="C129" s="133" t="s">
        <v>416</v>
      </c>
      <c r="D129" s="133" t="s">
        <v>445</v>
      </c>
      <c r="E129" s="132">
        <v>20</v>
      </c>
      <c r="F129" s="132" t="s">
        <v>446</v>
      </c>
      <c r="G129" s="133" t="s">
        <v>376</v>
      </c>
      <c r="H129" s="133">
        <v>1</v>
      </c>
      <c r="I129" s="133" t="s">
        <v>419</v>
      </c>
      <c r="J129" s="132" t="s">
        <v>438</v>
      </c>
      <c r="K129" s="132"/>
      <c r="L129" s="132" t="s">
        <v>436</v>
      </c>
      <c r="M129" s="135">
        <f>10.02*USD_Inflation_Factor</f>
        <v>13.697875444615946</v>
      </c>
      <c r="N129" s="136">
        <f t="shared" si="6"/>
        <v>13.697875444615946</v>
      </c>
      <c r="O129" s="136">
        <f t="shared" si="9"/>
        <v>1560502.2627541975</v>
      </c>
    </row>
    <row r="130" spans="1:15" ht="20.100000000000001" customHeight="1">
      <c r="A130" s="132">
        <v>127</v>
      </c>
      <c r="B130" s="133" t="s">
        <v>389</v>
      </c>
      <c r="C130" s="133" t="s">
        <v>416</v>
      </c>
      <c r="D130" s="133" t="s">
        <v>445</v>
      </c>
      <c r="E130" s="132">
        <v>10</v>
      </c>
      <c r="F130" s="132" t="s">
        <v>446</v>
      </c>
      <c r="G130" s="133" t="s">
        <v>376</v>
      </c>
      <c r="H130" s="133">
        <v>4</v>
      </c>
      <c r="I130" s="133" t="s">
        <v>424</v>
      </c>
      <c r="J130" s="132" t="s">
        <v>439</v>
      </c>
      <c r="K130" s="132"/>
      <c r="L130" s="132" t="s">
        <v>436</v>
      </c>
      <c r="M130" s="135">
        <f>10.02*USD_Inflation_Factor</f>
        <v>13.697875444615946</v>
      </c>
      <c r="N130" s="136">
        <f t="shared" si="6"/>
        <v>54.791501778463783</v>
      </c>
      <c r="O130" s="136">
        <f t="shared" si="9"/>
        <v>6242009.0510167899</v>
      </c>
    </row>
    <row r="131" spans="1:15" ht="20.100000000000001" customHeight="1">
      <c r="A131" s="132">
        <v>128</v>
      </c>
      <c r="B131" s="133" t="s">
        <v>389</v>
      </c>
      <c r="C131" s="133" t="s">
        <v>416</v>
      </c>
      <c r="D131" s="133" t="s">
        <v>445</v>
      </c>
      <c r="E131" s="132">
        <v>12</v>
      </c>
      <c r="F131" s="132" t="s">
        <v>446</v>
      </c>
      <c r="G131" s="133" t="s">
        <v>376</v>
      </c>
      <c r="H131" s="133">
        <v>4</v>
      </c>
      <c r="I131" s="133" t="s">
        <v>424</v>
      </c>
      <c r="J131" s="132" t="s">
        <v>439</v>
      </c>
      <c r="K131" s="132"/>
      <c r="L131" s="132" t="s">
        <v>436</v>
      </c>
      <c r="M131" s="135">
        <f>10.02*USD_Inflation_Factor</f>
        <v>13.697875444615946</v>
      </c>
      <c r="N131" s="136">
        <f t="shared" si="6"/>
        <v>54.791501778463783</v>
      </c>
      <c r="O131" s="136">
        <f t="shared" si="9"/>
        <v>6242009.0510167899</v>
      </c>
    </row>
    <row r="132" spans="1:15" ht="20.100000000000001" customHeight="1">
      <c r="A132" s="132">
        <v>129</v>
      </c>
      <c r="B132" s="133" t="s">
        <v>389</v>
      </c>
      <c r="C132" s="133" t="s">
        <v>416</v>
      </c>
      <c r="D132" s="133" t="s">
        <v>445</v>
      </c>
      <c r="E132" s="132">
        <v>20</v>
      </c>
      <c r="F132" s="132">
        <v>8</v>
      </c>
      <c r="G132" s="133" t="s">
        <v>376</v>
      </c>
      <c r="H132" s="133">
        <v>1</v>
      </c>
      <c r="I132" s="133" t="s">
        <v>424</v>
      </c>
      <c r="J132" s="132" t="s">
        <v>440</v>
      </c>
      <c r="K132" s="132"/>
      <c r="L132" s="132" t="s">
        <v>436</v>
      </c>
      <c r="M132" s="135">
        <f>45.5*USD_Inflation_Factor</f>
        <v>62.200931410182193</v>
      </c>
      <c r="N132" s="136">
        <f t="shared" ref="N132:N195" si="10">M132*H132</f>
        <v>62.200931410182193</v>
      </c>
      <c r="O132" s="136">
        <f t="shared" si="9"/>
        <v>7086113.0693928134</v>
      </c>
    </row>
    <row r="133" spans="1:15" ht="20.100000000000001" customHeight="1">
      <c r="A133" s="132">
        <v>130</v>
      </c>
      <c r="B133" s="133" t="s">
        <v>399</v>
      </c>
      <c r="C133" s="133" t="s">
        <v>416</v>
      </c>
      <c r="D133" s="133" t="s">
        <v>399</v>
      </c>
      <c r="E133" s="132">
        <v>2</v>
      </c>
      <c r="F133" s="132" t="s">
        <v>342</v>
      </c>
      <c r="G133" s="133" t="s">
        <v>376</v>
      </c>
      <c r="H133" s="133">
        <v>1</v>
      </c>
      <c r="I133" s="133" t="s">
        <v>417</v>
      </c>
      <c r="J133" s="132" t="s">
        <v>432</v>
      </c>
      <c r="K133" s="132" t="s">
        <v>400</v>
      </c>
      <c r="L133" s="132"/>
      <c r="M133" s="135">
        <f>9.34*USD_Inflation_Factor</f>
        <v>12.768279107057181</v>
      </c>
      <c r="N133" s="136">
        <f t="shared" si="10"/>
        <v>12.768279107057181</v>
      </c>
      <c r="O133" s="136">
        <f t="shared" si="9"/>
        <v>1454599.9135852503</v>
      </c>
    </row>
    <row r="134" spans="1:15" ht="20.100000000000001" customHeight="1">
      <c r="A134" s="132">
        <v>131</v>
      </c>
      <c r="B134" s="133" t="s">
        <v>399</v>
      </c>
      <c r="C134" s="133" t="s">
        <v>416</v>
      </c>
      <c r="D134" s="133" t="s">
        <v>399</v>
      </c>
      <c r="E134" s="132">
        <v>2</v>
      </c>
      <c r="F134" s="132" t="s">
        <v>342</v>
      </c>
      <c r="G134" s="133" t="s">
        <v>376</v>
      </c>
      <c r="H134" s="133">
        <v>6</v>
      </c>
      <c r="I134" s="133" t="s">
        <v>418</v>
      </c>
      <c r="J134" s="132" t="s">
        <v>434</v>
      </c>
      <c r="K134" s="132" t="s">
        <v>400</v>
      </c>
      <c r="L134" s="132"/>
      <c r="M134" s="135">
        <f>12.24*USD_Inflation_Factor</f>
        <v>16.732734076057802</v>
      </c>
      <c r="N134" s="136">
        <f t="shared" si="10"/>
        <v>100.39640445634681</v>
      </c>
      <c r="O134" s="136">
        <f t="shared" si="9"/>
        <v>11437453.710246334</v>
      </c>
    </row>
    <row r="135" spans="1:15" ht="20.100000000000001" customHeight="1">
      <c r="A135" s="132">
        <v>132</v>
      </c>
      <c r="B135" s="133" t="s">
        <v>399</v>
      </c>
      <c r="C135" s="133" t="s">
        <v>416</v>
      </c>
      <c r="D135" s="133" t="s">
        <v>399</v>
      </c>
      <c r="E135" s="132">
        <v>2</v>
      </c>
      <c r="F135" s="132" t="s">
        <v>342</v>
      </c>
      <c r="G135" s="133" t="s">
        <v>376</v>
      </c>
      <c r="H135" s="133">
        <v>1</v>
      </c>
      <c r="I135" s="133" t="s">
        <v>419</v>
      </c>
      <c r="J135" s="132" t="s">
        <v>434</v>
      </c>
      <c r="K135" s="132" t="s">
        <v>400</v>
      </c>
      <c r="L135" s="132" t="s">
        <v>436</v>
      </c>
      <c r="M135" s="135">
        <f>18.36*USD_Inflation_Factor</f>
        <v>25.099101114086704</v>
      </c>
      <c r="N135" s="136">
        <f t="shared" si="10"/>
        <v>25.099101114086704</v>
      </c>
      <c r="O135" s="136">
        <f t="shared" si="9"/>
        <v>2859363.4275615835</v>
      </c>
    </row>
    <row r="136" spans="1:15" ht="20.100000000000001" customHeight="1">
      <c r="A136" s="132">
        <v>133</v>
      </c>
      <c r="B136" s="133" t="s">
        <v>399</v>
      </c>
      <c r="C136" s="133" t="s">
        <v>416</v>
      </c>
      <c r="D136" s="133" t="s">
        <v>399</v>
      </c>
      <c r="E136" s="132">
        <v>10</v>
      </c>
      <c r="F136" s="132" t="s">
        <v>342</v>
      </c>
      <c r="G136" s="133" t="s">
        <v>376</v>
      </c>
      <c r="H136" s="133">
        <v>2</v>
      </c>
      <c r="I136" s="133" t="s">
        <v>419</v>
      </c>
      <c r="J136" s="132" t="s">
        <v>432</v>
      </c>
      <c r="K136" s="132" t="s">
        <v>400</v>
      </c>
      <c r="L136" s="132" t="s">
        <v>436</v>
      </c>
      <c r="M136" s="135">
        <f>133.89*USD_Inflation_Factor</f>
        <v>183.03478475844599</v>
      </c>
      <c r="N136" s="136">
        <f t="shared" si="10"/>
        <v>366.06956951689199</v>
      </c>
      <c r="O136" s="136">
        <f t="shared" si="9"/>
        <v>41703722.14773643</v>
      </c>
    </row>
    <row r="137" spans="1:15" ht="20.100000000000001" customHeight="1">
      <c r="A137" s="132">
        <v>134</v>
      </c>
      <c r="B137" s="133" t="s">
        <v>399</v>
      </c>
      <c r="C137" s="133" t="s">
        <v>416</v>
      </c>
      <c r="D137" s="133" t="s">
        <v>399</v>
      </c>
      <c r="E137" s="132">
        <v>12</v>
      </c>
      <c r="F137" s="132" t="s">
        <v>342</v>
      </c>
      <c r="G137" s="133" t="s">
        <v>376</v>
      </c>
      <c r="H137" s="133">
        <v>10</v>
      </c>
      <c r="I137" s="133" t="s">
        <v>419</v>
      </c>
      <c r="J137" s="132" t="s">
        <v>432</v>
      </c>
      <c r="K137" s="132" t="s">
        <v>400</v>
      </c>
      <c r="L137" s="132" t="s">
        <v>436</v>
      </c>
      <c r="M137" s="135">
        <f>147*USD_Inflation_Factor</f>
        <v>200.956855325204</v>
      </c>
      <c r="N137" s="136">
        <f t="shared" si="10"/>
        <v>2009.5685532520401</v>
      </c>
      <c r="O137" s="136">
        <f t="shared" si="9"/>
        <v>228935960.70346013</v>
      </c>
    </row>
    <row r="138" spans="1:15" ht="20.100000000000001" customHeight="1">
      <c r="A138" s="132">
        <v>135</v>
      </c>
      <c r="B138" s="133" t="s">
        <v>399</v>
      </c>
      <c r="C138" s="133" t="s">
        <v>416</v>
      </c>
      <c r="D138" s="133" t="s">
        <v>399</v>
      </c>
      <c r="E138" s="132">
        <v>16</v>
      </c>
      <c r="F138" s="132" t="s">
        <v>342</v>
      </c>
      <c r="G138" s="133" t="s">
        <v>376</v>
      </c>
      <c r="H138" s="133">
        <v>8</v>
      </c>
      <c r="I138" s="133" t="s">
        <v>419</v>
      </c>
      <c r="J138" s="132" t="s">
        <v>437</v>
      </c>
      <c r="K138" s="132" t="s">
        <v>400</v>
      </c>
      <c r="L138" s="132" t="s">
        <v>436</v>
      </c>
      <c r="M138" s="135">
        <f>221*USD_Inflation_Factor</f>
        <v>302.11880970659922</v>
      </c>
      <c r="N138" s="136">
        <f t="shared" si="10"/>
        <v>2416.9504776527938</v>
      </c>
      <c r="O138" s="136">
        <f t="shared" si="9"/>
        <v>275346107.83926362</v>
      </c>
    </row>
    <row r="139" spans="1:15" ht="20.100000000000001" customHeight="1">
      <c r="A139" s="132">
        <v>136</v>
      </c>
      <c r="B139" s="133" t="s">
        <v>399</v>
      </c>
      <c r="C139" s="133" t="s">
        <v>416</v>
      </c>
      <c r="D139" s="133" t="s">
        <v>399</v>
      </c>
      <c r="E139" s="132">
        <v>20</v>
      </c>
      <c r="F139" s="132" t="s">
        <v>342</v>
      </c>
      <c r="G139" s="133" t="s">
        <v>376</v>
      </c>
      <c r="H139" s="133">
        <v>6</v>
      </c>
      <c r="I139" s="133" t="s">
        <v>419</v>
      </c>
      <c r="J139" s="132" t="s">
        <v>438</v>
      </c>
      <c r="K139" s="132" t="s">
        <v>400</v>
      </c>
      <c r="L139" s="132" t="s">
        <v>436</v>
      </c>
      <c r="M139" s="135">
        <f>372*USD_Inflation_Factor</f>
        <v>508.54387878214891</v>
      </c>
      <c r="N139" s="136">
        <f t="shared" si="10"/>
        <v>3051.2632726928932</v>
      </c>
      <c r="O139" s="136">
        <f t="shared" si="9"/>
        <v>347608887.27219248</v>
      </c>
    </row>
    <row r="140" spans="1:15" ht="20.100000000000001" customHeight="1">
      <c r="A140" s="132">
        <v>137</v>
      </c>
      <c r="B140" s="133" t="s">
        <v>399</v>
      </c>
      <c r="C140" s="133" t="s">
        <v>416</v>
      </c>
      <c r="D140" s="133" t="s">
        <v>399</v>
      </c>
      <c r="E140" s="132" t="s">
        <v>446</v>
      </c>
      <c r="F140" s="132" t="s">
        <v>342</v>
      </c>
      <c r="G140" s="133" t="s">
        <v>376</v>
      </c>
      <c r="H140" s="133">
        <v>5</v>
      </c>
      <c r="I140" s="133" t="s">
        <v>419</v>
      </c>
      <c r="J140" s="132" t="s">
        <v>434</v>
      </c>
      <c r="K140" s="132" t="s">
        <v>400</v>
      </c>
      <c r="L140" s="132" t="s">
        <v>436</v>
      </c>
      <c r="M140" s="135">
        <f>12.19*USD_Inflation_Factor</f>
        <v>16.664381404178481</v>
      </c>
      <c r="N140" s="136">
        <f t="shared" si="10"/>
        <v>83.321907020892411</v>
      </c>
      <c r="O140" s="136">
        <f t="shared" si="9"/>
        <v>9492276.7380108126</v>
      </c>
    </row>
    <row r="141" spans="1:15" ht="20.100000000000001" customHeight="1">
      <c r="A141" s="132">
        <v>138</v>
      </c>
      <c r="B141" s="133" t="s">
        <v>399</v>
      </c>
      <c r="C141" s="133" t="s">
        <v>416</v>
      </c>
      <c r="D141" s="133" t="s">
        <v>399</v>
      </c>
      <c r="E141" s="132">
        <v>6</v>
      </c>
      <c r="F141" s="132" t="s">
        <v>342</v>
      </c>
      <c r="G141" s="133" t="s">
        <v>376</v>
      </c>
      <c r="H141" s="133">
        <v>4</v>
      </c>
      <c r="I141" s="133" t="s">
        <v>424</v>
      </c>
      <c r="J141" s="132" t="s">
        <v>435</v>
      </c>
      <c r="K141" s="132" t="s">
        <v>400</v>
      </c>
      <c r="L141" s="132" t="s">
        <v>436</v>
      </c>
      <c r="M141" s="135">
        <f>38.17*USD_Inflation_Factor</f>
        <v>52.180429712673721</v>
      </c>
      <c r="N141" s="136">
        <f t="shared" si="10"/>
        <v>208.72171885069488</v>
      </c>
      <c r="O141" s="136">
        <f t="shared" si="9"/>
        <v>23778192.163404278</v>
      </c>
    </row>
    <row r="142" spans="1:15" ht="20.100000000000001" customHeight="1">
      <c r="A142" s="132">
        <v>139</v>
      </c>
      <c r="B142" s="133" t="s">
        <v>399</v>
      </c>
      <c r="C142" s="133" t="s">
        <v>416</v>
      </c>
      <c r="D142" s="133" t="s">
        <v>399</v>
      </c>
      <c r="E142" s="132">
        <v>8</v>
      </c>
      <c r="F142" s="132" t="s">
        <v>342</v>
      </c>
      <c r="G142" s="133" t="s">
        <v>376</v>
      </c>
      <c r="H142" s="133">
        <v>8</v>
      </c>
      <c r="I142" s="133" t="s">
        <v>424</v>
      </c>
      <c r="J142" s="132" t="s">
        <v>435</v>
      </c>
      <c r="K142" s="132" t="s">
        <v>400</v>
      </c>
      <c r="L142" s="132" t="s">
        <v>436</v>
      </c>
      <c r="M142" s="135">
        <f>136.22*USD_Inflation_Factor</f>
        <v>186.22001926802238</v>
      </c>
      <c r="N142" s="136">
        <f t="shared" si="10"/>
        <v>1489.7601541441791</v>
      </c>
      <c r="O142" s="136">
        <f t="shared" si="9"/>
        <v>169717858.86816511</v>
      </c>
    </row>
    <row r="143" spans="1:15" ht="20.100000000000001" customHeight="1">
      <c r="A143" s="132">
        <v>140</v>
      </c>
      <c r="B143" s="133" t="s">
        <v>399</v>
      </c>
      <c r="C143" s="133" t="s">
        <v>416</v>
      </c>
      <c r="D143" s="133" t="s">
        <v>399</v>
      </c>
      <c r="E143" s="132">
        <v>10</v>
      </c>
      <c r="F143" s="132" t="s">
        <v>342</v>
      </c>
      <c r="G143" s="133" t="s">
        <v>376</v>
      </c>
      <c r="H143" s="133">
        <v>14</v>
      </c>
      <c r="I143" s="133" t="s">
        <v>424</v>
      </c>
      <c r="J143" s="132" t="s">
        <v>439</v>
      </c>
      <c r="K143" s="132" t="s">
        <v>400</v>
      </c>
      <c r="L143" s="132" t="s">
        <v>436</v>
      </c>
      <c r="M143" s="135">
        <f>133.89*USD_Inflation_Factor</f>
        <v>183.03478475844599</v>
      </c>
      <c r="N143" s="136">
        <f t="shared" si="10"/>
        <v>2562.4869866182439</v>
      </c>
      <c r="O143" s="136">
        <f t="shared" si="9"/>
        <v>291926055.03415501</v>
      </c>
    </row>
    <row r="144" spans="1:15" ht="20.100000000000001" customHeight="1">
      <c r="A144" s="132">
        <v>141</v>
      </c>
      <c r="B144" s="133" t="s">
        <v>399</v>
      </c>
      <c r="C144" s="133" t="s">
        <v>416</v>
      </c>
      <c r="D144" s="133" t="s">
        <v>399</v>
      </c>
      <c r="E144" s="132">
        <v>12</v>
      </c>
      <c r="F144" s="132" t="s">
        <v>342</v>
      </c>
      <c r="G144" s="133" t="s">
        <v>376</v>
      </c>
      <c r="H144" s="133">
        <v>8</v>
      </c>
      <c r="I144" s="133" t="s">
        <v>424</v>
      </c>
      <c r="J144" s="132" t="s">
        <v>439</v>
      </c>
      <c r="K144" s="132" t="s">
        <v>400</v>
      </c>
      <c r="L144" s="132" t="s">
        <v>436</v>
      </c>
      <c r="M144" s="135">
        <f>240*USD_Inflation_Factor</f>
        <v>328.09282502074126</v>
      </c>
      <c r="N144" s="136">
        <f t="shared" si="10"/>
        <v>2624.7426001659301</v>
      </c>
      <c r="O144" s="136">
        <f t="shared" si="9"/>
        <v>299018397.65349895</v>
      </c>
    </row>
    <row r="145" spans="1:15" ht="20.100000000000001" customHeight="1">
      <c r="A145" s="132">
        <v>142</v>
      </c>
      <c r="B145" s="133" t="s">
        <v>399</v>
      </c>
      <c r="C145" s="133" t="s">
        <v>416</v>
      </c>
      <c r="D145" s="133" t="s">
        <v>399</v>
      </c>
      <c r="E145" s="132">
        <v>14</v>
      </c>
      <c r="F145" s="132" t="s">
        <v>342</v>
      </c>
      <c r="G145" s="133" t="s">
        <v>376</v>
      </c>
      <c r="H145" s="133">
        <v>4</v>
      </c>
      <c r="I145" s="133" t="s">
        <v>424</v>
      </c>
      <c r="J145" s="132" t="s">
        <v>439</v>
      </c>
      <c r="K145" s="132" t="s">
        <v>400</v>
      </c>
      <c r="L145" s="132" t="s">
        <v>436</v>
      </c>
      <c r="M145" s="135">
        <f>160*USD_Inflation_Factor</f>
        <v>218.72855001382749</v>
      </c>
      <c r="N145" s="136">
        <f t="shared" si="10"/>
        <v>874.91420005530995</v>
      </c>
      <c r="O145" s="136">
        <f t="shared" si="9"/>
        <v>99672799.217832983</v>
      </c>
    </row>
    <row r="146" spans="1:15" ht="20.100000000000001" customHeight="1">
      <c r="A146" s="132">
        <v>143</v>
      </c>
      <c r="B146" s="133" t="s">
        <v>399</v>
      </c>
      <c r="C146" s="133" t="s">
        <v>416</v>
      </c>
      <c r="D146" s="133" t="s">
        <v>399</v>
      </c>
      <c r="E146" s="132">
        <v>20</v>
      </c>
      <c r="F146" s="132" t="s">
        <v>342</v>
      </c>
      <c r="G146" s="133" t="s">
        <v>376</v>
      </c>
      <c r="H146" s="133">
        <v>9</v>
      </c>
      <c r="I146" s="133" t="s">
        <v>424</v>
      </c>
      <c r="J146" s="132" t="s">
        <v>440</v>
      </c>
      <c r="K146" s="132" t="s">
        <v>400</v>
      </c>
      <c r="L146" s="132" t="s">
        <v>436</v>
      </c>
      <c r="M146" s="135">
        <f>270*USD_Inflation_Factor</f>
        <v>369.10442814833391</v>
      </c>
      <c r="N146" s="136">
        <f t="shared" si="10"/>
        <v>3321.939853335005</v>
      </c>
      <c r="O146" s="136">
        <f t="shared" si="9"/>
        <v>378445159.53020954</v>
      </c>
    </row>
    <row r="147" spans="1:15" ht="20.100000000000001" customHeight="1">
      <c r="A147" s="132">
        <v>144</v>
      </c>
      <c r="B147" s="133" t="s">
        <v>399</v>
      </c>
      <c r="C147" s="133" t="s">
        <v>416</v>
      </c>
      <c r="D147" s="133" t="s">
        <v>399</v>
      </c>
      <c r="E147" s="132" t="s">
        <v>446</v>
      </c>
      <c r="F147" s="132" t="s">
        <v>342</v>
      </c>
      <c r="G147" s="133" t="s">
        <v>376</v>
      </c>
      <c r="H147" s="133">
        <v>8</v>
      </c>
      <c r="I147" s="133" t="s">
        <v>424</v>
      </c>
      <c r="J147" s="132" t="s">
        <v>442</v>
      </c>
      <c r="K147" s="132" t="s">
        <v>400</v>
      </c>
      <c r="L147" s="132" t="s">
        <v>436</v>
      </c>
      <c r="M147" s="135">
        <f>8.13*USD_Inflation_Factor</f>
        <v>11.11414444757761</v>
      </c>
      <c r="N147" s="136">
        <f t="shared" si="10"/>
        <v>88.913155580620881</v>
      </c>
      <c r="O147" s="136">
        <f t="shared" si="9"/>
        <v>10129248.220512277</v>
      </c>
    </row>
    <row r="148" spans="1:15" ht="20.100000000000001" customHeight="1">
      <c r="A148" s="132">
        <v>145</v>
      </c>
      <c r="B148" s="133" t="s">
        <v>399</v>
      </c>
      <c r="C148" s="133" t="s">
        <v>416</v>
      </c>
      <c r="D148" s="133" t="s">
        <v>447</v>
      </c>
      <c r="E148" s="132">
        <v>2</v>
      </c>
      <c r="F148" s="132" t="s">
        <v>342</v>
      </c>
      <c r="G148" s="133" t="s">
        <v>376</v>
      </c>
      <c r="H148" s="133">
        <v>1</v>
      </c>
      <c r="I148" s="133" t="s">
        <v>418</v>
      </c>
      <c r="J148" s="132"/>
      <c r="K148" s="132" t="s">
        <v>448</v>
      </c>
      <c r="L148" s="132"/>
      <c r="M148" s="135">
        <f>16.77*USD_Inflation_Factor</f>
        <v>22.925486148324293</v>
      </c>
      <c r="N148" s="136">
        <f t="shared" si="10"/>
        <v>22.925486148324293</v>
      </c>
      <c r="O148" s="136">
        <f t="shared" si="9"/>
        <v>2611738.8170047798</v>
      </c>
    </row>
    <row r="149" spans="1:15" ht="20.100000000000001" customHeight="1">
      <c r="A149" s="132">
        <v>146</v>
      </c>
      <c r="B149" s="133" t="s">
        <v>399</v>
      </c>
      <c r="C149" s="133" t="s">
        <v>416</v>
      </c>
      <c r="D149" s="133" t="s">
        <v>447</v>
      </c>
      <c r="E149" s="132">
        <v>12</v>
      </c>
      <c r="F149" s="132" t="s">
        <v>342</v>
      </c>
      <c r="G149" s="133" t="s">
        <v>376</v>
      </c>
      <c r="H149" s="133">
        <v>2</v>
      </c>
      <c r="I149" s="133" t="s">
        <v>419</v>
      </c>
      <c r="J149" s="132"/>
      <c r="K149" s="132" t="s">
        <v>448</v>
      </c>
      <c r="L149" s="132" t="s">
        <v>436</v>
      </c>
      <c r="M149" s="135">
        <f>671.34*USD_Inflation_Factor</f>
        <v>917.75765478926849</v>
      </c>
      <c r="N149" s="136">
        <f t="shared" si="10"/>
        <v>1835.515309578537</v>
      </c>
      <c r="O149" s="136">
        <f t="shared" si="9"/>
        <v>209107303.20906249</v>
      </c>
    </row>
    <row r="150" spans="1:15" ht="20.100000000000001" customHeight="1">
      <c r="A150" s="132">
        <v>147</v>
      </c>
      <c r="B150" s="133" t="s">
        <v>399</v>
      </c>
      <c r="C150" s="133" t="s">
        <v>416</v>
      </c>
      <c r="D150" s="133" t="s">
        <v>447</v>
      </c>
      <c r="E150" s="132">
        <v>16</v>
      </c>
      <c r="F150" s="132" t="s">
        <v>342</v>
      </c>
      <c r="G150" s="133" t="s">
        <v>376</v>
      </c>
      <c r="H150" s="133">
        <v>2</v>
      </c>
      <c r="I150" s="133" t="s">
        <v>419</v>
      </c>
      <c r="J150" s="132"/>
      <c r="K150" s="132" t="s">
        <v>448</v>
      </c>
      <c r="L150" s="132" t="s">
        <v>436</v>
      </c>
      <c r="M150" s="135">
        <f>1064.65*USD_Inflation_Factor</f>
        <v>1455.4334423263842</v>
      </c>
      <c r="N150" s="136">
        <f t="shared" si="10"/>
        <v>2910.8668846527685</v>
      </c>
      <c r="O150" s="136">
        <f t="shared" ref="O150:O154" si="11">0.25*N150*USD_Change_IRR * per_Euro</f>
        <v>331614517.77270591</v>
      </c>
    </row>
    <row r="151" spans="1:15" ht="20.100000000000001" customHeight="1">
      <c r="A151" s="132">
        <v>148</v>
      </c>
      <c r="B151" s="133" t="s">
        <v>399</v>
      </c>
      <c r="C151" s="133" t="s">
        <v>416</v>
      </c>
      <c r="D151" s="133" t="s">
        <v>447</v>
      </c>
      <c r="E151" s="132">
        <v>20</v>
      </c>
      <c r="F151" s="132" t="s">
        <v>342</v>
      </c>
      <c r="G151" s="133" t="s">
        <v>376</v>
      </c>
      <c r="H151" s="133">
        <v>1</v>
      </c>
      <c r="I151" s="133" t="s">
        <v>419</v>
      </c>
      <c r="J151" s="132"/>
      <c r="K151" s="132" t="s">
        <v>448</v>
      </c>
      <c r="L151" s="132" t="s">
        <v>436</v>
      </c>
      <c r="M151" s="135">
        <f>1600*USD_Inflation_Factor</f>
        <v>2187.285500138275</v>
      </c>
      <c r="N151" s="136">
        <f t="shared" si="10"/>
        <v>2187.285500138275</v>
      </c>
      <c r="O151" s="136">
        <f t="shared" si="11"/>
        <v>249181998.04458246</v>
      </c>
    </row>
    <row r="152" spans="1:15" ht="20.100000000000001" customHeight="1">
      <c r="A152" s="132">
        <v>149</v>
      </c>
      <c r="B152" s="133" t="s">
        <v>399</v>
      </c>
      <c r="C152" s="133" t="s">
        <v>416</v>
      </c>
      <c r="D152" s="133" t="s">
        <v>447</v>
      </c>
      <c r="E152" s="132">
        <v>10</v>
      </c>
      <c r="F152" s="132" t="s">
        <v>342</v>
      </c>
      <c r="G152" s="133" t="s">
        <v>376</v>
      </c>
      <c r="H152" s="133">
        <v>2</v>
      </c>
      <c r="I152" s="133" t="s">
        <v>424</v>
      </c>
      <c r="J152" s="132"/>
      <c r="K152" s="132" t="s">
        <v>448</v>
      </c>
      <c r="L152" s="132" t="s">
        <v>436</v>
      </c>
      <c r="M152" s="135">
        <f>260.9*USD_Inflation_Factor</f>
        <v>356.6642418662974</v>
      </c>
      <c r="N152" s="136">
        <f t="shared" si="10"/>
        <v>713.3284837325948</v>
      </c>
      <c r="O152" s="136">
        <f t="shared" si="11"/>
        <v>81264479.112289429</v>
      </c>
    </row>
    <row r="153" spans="1:15" ht="20.100000000000001" customHeight="1">
      <c r="A153" s="132">
        <v>150</v>
      </c>
      <c r="B153" s="133" t="s">
        <v>399</v>
      </c>
      <c r="C153" s="133" t="s">
        <v>416</v>
      </c>
      <c r="D153" s="133" t="s">
        <v>447</v>
      </c>
      <c r="E153" s="132">
        <v>12</v>
      </c>
      <c r="F153" s="132" t="s">
        <v>342</v>
      </c>
      <c r="G153" s="133" t="s">
        <v>376</v>
      </c>
      <c r="H153" s="133">
        <v>2</v>
      </c>
      <c r="I153" s="133" t="s">
        <v>424</v>
      </c>
      <c r="J153" s="132"/>
      <c r="K153" s="132" t="s">
        <v>448</v>
      </c>
      <c r="L153" s="132" t="s">
        <v>436</v>
      </c>
      <c r="M153" s="135">
        <f>671.34*USD_Inflation_Factor</f>
        <v>917.75765478926849</v>
      </c>
      <c r="N153" s="136">
        <f t="shared" si="10"/>
        <v>1835.515309578537</v>
      </c>
      <c r="O153" s="136">
        <f t="shared" si="11"/>
        <v>209107303.20906249</v>
      </c>
    </row>
    <row r="154" spans="1:15" ht="20.100000000000001" customHeight="1">
      <c r="A154" s="132">
        <v>151</v>
      </c>
      <c r="B154" s="133" t="s">
        <v>399</v>
      </c>
      <c r="C154" s="133" t="s">
        <v>416</v>
      </c>
      <c r="D154" s="133" t="s">
        <v>447</v>
      </c>
      <c r="E154" s="132">
        <v>20</v>
      </c>
      <c r="F154" s="132" t="s">
        <v>342</v>
      </c>
      <c r="G154" s="133" t="s">
        <v>376</v>
      </c>
      <c r="H154" s="133">
        <v>1</v>
      </c>
      <c r="I154" s="133" t="s">
        <v>424</v>
      </c>
      <c r="J154" s="132"/>
      <c r="K154" s="132" t="s">
        <v>448</v>
      </c>
      <c r="L154" s="132" t="s">
        <v>436</v>
      </c>
      <c r="M154" s="135">
        <f>2500*USD_Inflation_Factor</f>
        <v>3417.6335939660544</v>
      </c>
      <c r="N154" s="136">
        <f t="shared" si="10"/>
        <v>3417.6335939660544</v>
      </c>
      <c r="O154" s="136">
        <f t="shared" si="11"/>
        <v>389346871.94466007</v>
      </c>
    </row>
    <row r="155" spans="1:15" ht="20.100000000000001" customHeight="1">
      <c r="A155" s="132">
        <v>152</v>
      </c>
      <c r="B155" s="133" t="s">
        <v>401</v>
      </c>
      <c r="C155" s="133" t="s">
        <v>416</v>
      </c>
      <c r="D155" s="133" t="s">
        <v>342</v>
      </c>
      <c r="E155" s="132">
        <v>2</v>
      </c>
      <c r="F155" s="132" t="s">
        <v>342</v>
      </c>
      <c r="G155" s="133" t="s">
        <v>376</v>
      </c>
      <c r="H155" s="133">
        <v>1</v>
      </c>
      <c r="I155" s="133" t="s">
        <v>417</v>
      </c>
      <c r="J155" s="132"/>
      <c r="K155" s="132" t="s">
        <v>402</v>
      </c>
      <c r="L155" s="132"/>
      <c r="M155" s="135">
        <f>1.03*USD_Inflation_Factor</f>
        <v>1.4080650407140145</v>
      </c>
      <c r="N155" s="136">
        <f t="shared" si="10"/>
        <v>1.4080650407140145</v>
      </c>
      <c r="O155" s="136">
        <f t="shared" ref="O155:O167" si="12">0.4*N155*USD_Change_IRR * per_Euro</f>
        <v>256657.45798591993</v>
      </c>
    </row>
    <row r="156" spans="1:15" ht="20.100000000000001" customHeight="1">
      <c r="A156" s="132">
        <v>153</v>
      </c>
      <c r="B156" s="133" t="s">
        <v>401</v>
      </c>
      <c r="C156" s="133" t="s">
        <v>416</v>
      </c>
      <c r="D156" s="133" t="s">
        <v>342</v>
      </c>
      <c r="E156" s="132">
        <v>2</v>
      </c>
      <c r="F156" s="132" t="s">
        <v>342</v>
      </c>
      <c r="G156" s="133" t="s">
        <v>376</v>
      </c>
      <c r="H156" s="133">
        <v>5</v>
      </c>
      <c r="I156" s="133" t="s">
        <v>418</v>
      </c>
      <c r="J156" s="132"/>
      <c r="K156" s="132" t="s">
        <v>402</v>
      </c>
      <c r="L156" s="132"/>
      <c r="M156" s="135">
        <f>1.03*USD_Inflation_Factor</f>
        <v>1.4080650407140145</v>
      </c>
      <c r="N156" s="136">
        <f t="shared" si="10"/>
        <v>7.0403252035700721</v>
      </c>
      <c r="O156" s="136">
        <f t="shared" si="12"/>
        <v>1283287.2899295997</v>
      </c>
    </row>
    <row r="157" spans="1:15" ht="20.100000000000001" customHeight="1">
      <c r="A157" s="132">
        <v>154</v>
      </c>
      <c r="B157" s="133" t="s">
        <v>401</v>
      </c>
      <c r="C157" s="133" t="s">
        <v>416</v>
      </c>
      <c r="D157" s="133" t="s">
        <v>342</v>
      </c>
      <c r="E157" s="132">
        <v>2</v>
      </c>
      <c r="F157" s="132" t="s">
        <v>342</v>
      </c>
      <c r="G157" s="133" t="s">
        <v>376</v>
      </c>
      <c r="H157" s="133">
        <v>1</v>
      </c>
      <c r="I157" s="133" t="s">
        <v>419</v>
      </c>
      <c r="J157" s="132"/>
      <c r="K157" s="132" t="s">
        <v>402</v>
      </c>
      <c r="L157" s="132" t="s">
        <v>436</v>
      </c>
      <c r="M157" s="135">
        <f>1.03*USD_Inflation_Factor</f>
        <v>1.4080650407140145</v>
      </c>
      <c r="N157" s="136">
        <f t="shared" si="10"/>
        <v>1.4080650407140145</v>
      </c>
      <c r="O157" s="136">
        <f t="shared" si="12"/>
        <v>256657.45798591993</v>
      </c>
    </row>
    <row r="158" spans="1:15" ht="20.100000000000001" customHeight="1">
      <c r="A158" s="132">
        <v>155</v>
      </c>
      <c r="B158" s="133" t="s">
        <v>401</v>
      </c>
      <c r="C158" s="133" t="s">
        <v>416</v>
      </c>
      <c r="D158" s="133" t="s">
        <v>342</v>
      </c>
      <c r="E158" s="132">
        <v>10</v>
      </c>
      <c r="F158" s="132" t="s">
        <v>342</v>
      </c>
      <c r="G158" s="133" t="s">
        <v>376</v>
      </c>
      <c r="H158" s="133">
        <v>2</v>
      </c>
      <c r="I158" s="133" t="s">
        <v>419</v>
      </c>
      <c r="J158" s="132"/>
      <c r="K158" s="132" t="s">
        <v>402</v>
      </c>
      <c r="L158" s="132" t="s">
        <v>436</v>
      </c>
      <c r="M158" s="135">
        <f>22.16*USD_Inflation_Factor</f>
        <v>30.29390417691511</v>
      </c>
      <c r="N158" s="136">
        <f t="shared" si="10"/>
        <v>60.587808353830219</v>
      </c>
      <c r="O158" s="136">
        <f t="shared" si="12"/>
        <v>11043746.153335894</v>
      </c>
    </row>
    <row r="159" spans="1:15" ht="20.100000000000001" customHeight="1">
      <c r="A159" s="132">
        <v>156</v>
      </c>
      <c r="B159" s="133" t="s">
        <v>401</v>
      </c>
      <c r="C159" s="133" t="s">
        <v>416</v>
      </c>
      <c r="D159" s="133" t="s">
        <v>342</v>
      </c>
      <c r="E159" s="132">
        <v>12</v>
      </c>
      <c r="F159" s="132" t="s">
        <v>342</v>
      </c>
      <c r="G159" s="133" t="s">
        <v>376</v>
      </c>
      <c r="H159" s="133">
        <v>12</v>
      </c>
      <c r="I159" s="133" t="s">
        <v>419</v>
      </c>
      <c r="J159" s="132"/>
      <c r="K159" s="132" t="s">
        <v>402</v>
      </c>
      <c r="L159" s="132" t="s">
        <v>436</v>
      </c>
      <c r="M159" s="135">
        <f>30.34*USD_Inflation_Factor</f>
        <v>41.476401296372039</v>
      </c>
      <c r="N159" s="136">
        <f t="shared" si="10"/>
        <v>497.71681555646444</v>
      </c>
      <c r="O159" s="136">
        <f t="shared" si="12"/>
        <v>90722181.848071575</v>
      </c>
    </row>
    <row r="160" spans="1:15" ht="20.100000000000001" customHeight="1">
      <c r="A160" s="132">
        <v>157</v>
      </c>
      <c r="B160" s="133" t="s">
        <v>401</v>
      </c>
      <c r="C160" s="133" t="s">
        <v>416</v>
      </c>
      <c r="D160" s="133" t="s">
        <v>342</v>
      </c>
      <c r="E160" s="132">
        <v>16</v>
      </c>
      <c r="F160" s="132" t="s">
        <v>342</v>
      </c>
      <c r="G160" s="133" t="s">
        <v>376</v>
      </c>
      <c r="H160" s="133">
        <v>10</v>
      </c>
      <c r="I160" s="133" t="s">
        <v>419</v>
      </c>
      <c r="J160" s="132"/>
      <c r="K160" s="132" t="s">
        <v>402</v>
      </c>
      <c r="L160" s="132" t="s">
        <v>436</v>
      </c>
      <c r="M160" s="135">
        <f>49.9*USD_Inflation_Factor</f>
        <v>68.215966535562444</v>
      </c>
      <c r="N160" s="136">
        <f t="shared" si="10"/>
        <v>682.15966535562438</v>
      </c>
      <c r="O160" s="136">
        <f t="shared" si="12"/>
        <v>124341817.02424663</v>
      </c>
    </row>
    <row r="161" spans="1:15" ht="20.100000000000001" customHeight="1">
      <c r="A161" s="132">
        <v>158</v>
      </c>
      <c r="B161" s="133" t="s">
        <v>401</v>
      </c>
      <c r="C161" s="133" t="s">
        <v>416</v>
      </c>
      <c r="D161" s="133" t="s">
        <v>342</v>
      </c>
      <c r="E161" s="132">
        <v>20</v>
      </c>
      <c r="F161" s="132" t="s">
        <v>342</v>
      </c>
      <c r="G161" s="133" t="s">
        <v>376</v>
      </c>
      <c r="H161" s="133">
        <v>7</v>
      </c>
      <c r="I161" s="133" t="s">
        <v>419</v>
      </c>
      <c r="J161" s="132"/>
      <c r="K161" s="132" t="s">
        <v>402</v>
      </c>
      <c r="L161" s="132" t="s">
        <v>436</v>
      </c>
      <c r="M161" s="135">
        <f>196*USD_Inflation_Factor</f>
        <v>267.94247376693869</v>
      </c>
      <c r="N161" s="136">
        <f t="shared" si="10"/>
        <v>1875.5973163685708</v>
      </c>
      <c r="O161" s="136">
        <f t="shared" si="12"/>
        <v>341877701.31716716</v>
      </c>
    </row>
    <row r="162" spans="1:15" ht="20.100000000000001" customHeight="1">
      <c r="A162" s="132">
        <v>159</v>
      </c>
      <c r="B162" s="133" t="s">
        <v>401</v>
      </c>
      <c r="C162" s="133" t="s">
        <v>416</v>
      </c>
      <c r="D162" s="133" t="s">
        <v>342</v>
      </c>
      <c r="E162" s="132">
        <v>6</v>
      </c>
      <c r="F162" s="132" t="s">
        <v>342</v>
      </c>
      <c r="G162" s="133" t="s">
        <v>376</v>
      </c>
      <c r="H162" s="133">
        <v>4</v>
      </c>
      <c r="I162" s="133" t="s">
        <v>424</v>
      </c>
      <c r="J162" s="132"/>
      <c r="K162" s="132" t="s">
        <v>449</v>
      </c>
      <c r="L162" s="132" t="s">
        <v>436</v>
      </c>
      <c r="M162" s="135">
        <f>9.75*USD_Inflation_Factor</f>
        <v>13.328771016467613</v>
      </c>
      <c r="N162" s="136">
        <f t="shared" si="10"/>
        <v>53.315084065870451</v>
      </c>
      <c r="O162" s="136">
        <f t="shared" si="12"/>
        <v>9718097.9237387143</v>
      </c>
    </row>
    <row r="163" spans="1:15" ht="20.100000000000001" customHeight="1">
      <c r="A163" s="132">
        <v>160</v>
      </c>
      <c r="B163" s="133" t="s">
        <v>401</v>
      </c>
      <c r="C163" s="133" t="s">
        <v>416</v>
      </c>
      <c r="D163" s="133" t="s">
        <v>342</v>
      </c>
      <c r="E163" s="132">
        <v>8</v>
      </c>
      <c r="F163" s="132" t="s">
        <v>342</v>
      </c>
      <c r="G163" s="133" t="s">
        <v>376</v>
      </c>
      <c r="H163" s="133">
        <v>8</v>
      </c>
      <c r="I163" s="133" t="s">
        <v>424</v>
      </c>
      <c r="J163" s="132"/>
      <c r="K163" s="132" t="s">
        <v>449</v>
      </c>
      <c r="L163" s="132" t="s">
        <v>436</v>
      </c>
      <c r="M163" s="135">
        <f>13.01*USD_Inflation_Factor</f>
        <v>17.785365222999349</v>
      </c>
      <c r="N163" s="136">
        <f t="shared" si="10"/>
        <v>142.28292178399479</v>
      </c>
      <c r="O163" s="136">
        <f t="shared" si="12"/>
        <v>25934862.356480144</v>
      </c>
    </row>
    <row r="164" spans="1:15" ht="20.100000000000001" customHeight="1">
      <c r="A164" s="132">
        <v>161</v>
      </c>
      <c r="B164" s="133" t="s">
        <v>401</v>
      </c>
      <c r="C164" s="133" t="s">
        <v>416</v>
      </c>
      <c r="D164" s="133" t="s">
        <v>342</v>
      </c>
      <c r="E164" s="132">
        <v>10</v>
      </c>
      <c r="F164" s="132" t="s">
        <v>342</v>
      </c>
      <c r="G164" s="133" t="s">
        <v>376</v>
      </c>
      <c r="H164" s="133">
        <v>20</v>
      </c>
      <c r="I164" s="133" t="s">
        <v>424</v>
      </c>
      <c r="J164" s="132"/>
      <c r="K164" s="132" t="s">
        <v>449</v>
      </c>
      <c r="L164" s="132" t="s">
        <v>436</v>
      </c>
      <c r="M164" s="135">
        <f>15.93*USD_Inflation_Factor</f>
        <v>21.777161260751701</v>
      </c>
      <c r="N164" s="136">
        <f t="shared" si="10"/>
        <v>435.543225215034</v>
      </c>
      <c r="O164" s="136">
        <f t="shared" si="12"/>
        <v>79389384.577003971</v>
      </c>
    </row>
    <row r="165" spans="1:15" ht="20.100000000000001" customHeight="1">
      <c r="A165" s="132">
        <v>162</v>
      </c>
      <c r="B165" s="133" t="s">
        <v>401</v>
      </c>
      <c r="C165" s="133" t="s">
        <v>416</v>
      </c>
      <c r="D165" s="133" t="s">
        <v>342</v>
      </c>
      <c r="E165" s="132">
        <v>12</v>
      </c>
      <c r="F165" s="132" t="s">
        <v>342</v>
      </c>
      <c r="G165" s="133" t="s">
        <v>376</v>
      </c>
      <c r="H165" s="133">
        <v>14</v>
      </c>
      <c r="I165" s="133" t="s">
        <v>424</v>
      </c>
      <c r="J165" s="132"/>
      <c r="K165" s="132" t="s">
        <v>449</v>
      </c>
      <c r="L165" s="132" t="s">
        <v>436</v>
      </c>
      <c r="M165" s="135">
        <f>25*USD_Inflation_Factor</f>
        <v>34.176335939660547</v>
      </c>
      <c r="N165" s="136">
        <f t="shared" si="10"/>
        <v>478.46870315524768</v>
      </c>
      <c r="O165" s="136">
        <f t="shared" si="12"/>
        <v>87213699.315603867</v>
      </c>
    </row>
    <row r="166" spans="1:15" ht="20.100000000000001" customHeight="1">
      <c r="A166" s="132">
        <v>163</v>
      </c>
      <c r="B166" s="133" t="s">
        <v>401</v>
      </c>
      <c r="C166" s="133" t="s">
        <v>416</v>
      </c>
      <c r="D166" s="133" t="s">
        <v>342</v>
      </c>
      <c r="E166" s="132">
        <v>14</v>
      </c>
      <c r="F166" s="132" t="s">
        <v>342</v>
      </c>
      <c r="G166" s="133" t="s">
        <v>376</v>
      </c>
      <c r="H166" s="133">
        <v>4</v>
      </c>
      <c r="I166" s="133" t="s">
        <v>424</v>
      </c>
      <c r="J166" s="132"/>
      <c r="K166" s="132" t="s">
        <v>449</v>
      </c>
      <c r="L166" s="132" t="s">
        <v>436</v>
      </c>
      <c r="M166" s="135">
        <f>30*USD_Inflation_Factor</f>
        <v>41.011603127592657</v>
      </c>
      <c r="N166" s="136">
        <f t="shared" si="10"/>
        <v>164.04641251037063</v>
      </c>
      <c r="O166" s="136">
        <f t="shared" si="12"/>
        <v>29901839.765349898</v>
      </c>
    </row>
    <row r="167" spans="1:15" ht="20.100000000000001" customHeight="1">
      <c r="A167" s="132">
        <v>164</v>
      </c>
      <c r="B167" s="133" t="s">
        <v>401</v>
      </c>
      <c r="C167" s="133" t="s">
        <v>416</v>
      </c>
      <c r="D167" s="133" t="s">
        <v>342</v>
      </c>
      <c r="E167" s="132">
        <v>20</v>
      </c>
      <c r="F167" s="132" t="s">
        <v>342</v>
      </c>
      <c r="G167" s="133" t="s">
        <v>376</v>
      </c>
      <c r="H167" s="133">
        <v>13</v>
      </c>
      <c r="I167" s="133" t="s">
        <v>424</v>
      </c>
      <c r="J167" s="132"/>
      <c r="K167" s="132" t="s">
        <v>449</v>
      </c>
      <c r="L167" s="132" t="s">
        <v>436</v>
      </c>
      <c r="M167" s="135">
        <f>60*USD_Inflation_Factor</f>
        <v>82.023206255185315</v>
      </c>
      <c r="N167" s="136">
        <f t="shared" si="10"/>
        <v>1066.301681317409</v>
      </c>
      <c r="O167" s="136">
        <f t="shared" si="12"/>
        <v>194361958.4747743</v>
      </c>
    </row>
    <row r="168" spans="1:15" ht="20.100000000000001" customHeight="1">
      <c r="A168" s="132">
        <v>165</v>
      </c>
      <c r="B168" s="133" t="s">
        <v>403</v>
      </c>
      <c r="C168" s="133" t="s">
        <v>416</v>
      </c>
      <c r="D168" s="133" t="s">
        <v>342</v>
      </c>
      <c r="E168" s="132">
        <v>2</v>
      </c>
      <c r="F168" s="132" t="s">
        <v>342</v>
      </c>
      <c r="G168" s="133" t="s">
        <v>404</v>
      </c>
      <c r="H168" s="133">
        <v>22</v>
      </c>
      <c r="I168" s="133" t="s">
        <v>417</v>
      </c>
      <c r="J168" s="132" t="s">
        <v>432</v>
      </c>
      <c r="K168" s="132" t="s">
        <v>443</v>
      </c>
      <c r="L168" s="132"/>
      <c r="M168" s="135">
        <f>7.56*USD_Inflation_Factor</f>
        <v>10.334923988153349</v>
      </c>
      <c r="N168" s="136">
        <f t="shared" si="10"/>
        <v>227.36832773937368</v>
      </c>
      <c r="O168" s="136">
        <f t="shared" ref="O168:O176" si="13">0.15*N168*USD_Change_IRR * per_Euro</f>
        <v>15541481.218040606</v>
      </c>
    </row>
    <row r="169" spans="1:15" ht="20.100000000000001" customHeight="1">
      <c r="A169" s="132">
        <v>166</v>
      </c>
      <c r="B169" s="133" t="s">
        <v>403</v>
      </c>
      <c r="C169" s="133" t="s">
        <v>416</v>
      </c>
      <c r="D169" s="133" t="s">
        <v>342</v>
      </c>
      <c r="E169" s="132">
        <v>2</v>
      </c>
      <c r="F169" s="132" t="s">
        <v>342</v>
      </c>
      <c r="G169" s="133" t="s">
        <v>404</v>
      </c>
      <c r="H169" s="133">
        <v>48</v>
      </c>
      <c r="I169" s="133" t="s">
        <v>418</v>
      </c>
      <c r="J169" s="132" t="s">
        <v>434</v>
      </c>
      <c r="K169" s="132" t="s">
        <v>443</v>
      </c>
      <c r="L169" s="132"/>
      <c r="M169" s="135">
        <f>7.56*USD_Inflation_Factor</f>
        <v>10.334923988153349</v>
      </c>
      <c r="N169" s="136">
        <f t="shared" si="10"/>
        <v>496.07635143136076</v>
      </c>
      <c r="O169" s="136">
        <f t="shared" si="13"/>
        <v>33908686.293906778</v>
      </c>
    </row>
    <row r="170" spans="1:15" ht="20.100000000000001" customHeight="1">
      <c r="A170" s="132">
        <v>167</v>
      </c>
      <c r="B170" s="133" t="s">
        <v>403</v>
      </c>
      <c r="C170" s="133" t="s">
        <v>416</v>
      </c>
      <c r="D170" s="133" t="s">
        <v>342</v>
      </c>
      <c r="E170" s="132">
        <v>6</v>
      </c>
      <c r="F170" s="132" t="s">
        <v>342</v>
      </c>
      <c r="G170" s="133" t="s">
        <v>404</v>
      </c>
      <c r="H170" s="133">
        <v>50</v>
      </c>
      <c r="I170" s="133" t="s">
        <v>418</v>
      </c>
      <c r="J170" s="132" t="s">
        <v>435</v>
      </c>
      <c r="K170" s="132" t="s">
        <v>443</v>
      </c>
      <c r="L170" s="132"/>
      <c r="M170" s="135">
        <f>81.22*USD_Inflation_Factor</f>
        <v>111.03208020076919</v>
      </c>
      <c r="N170" s="136">
        <f t="shared" si="10"/>
        <v>5551.6040100384589</v>
      </c>
      <c r="O170" s="136">
        <f t="shared" si="13"/>
        <v>379473035.27214348</v>
      </c>
    </row>
    <row r="171" spans="1:15" ht="20.100000000000001" customHeight="1">
      <c r="A171" s="132">
        <v>168</v>
      </c>
      <c r="B171" s="133" t="s">
        <v>403</v>
      </c>
      <c r="C171" s="133" t="s">
        <v>416</v>
      </c>
      <c r="D171" s="133" t="s">
        <v>342</v>
      </c>
      <c r="E171" s="132">
        <v>12</v>
      </c>
      <c r="F171" s="132" t="s">
        <v>342</v>
      </c>
      <c r="G171" s="133" t="s">
        <v>404</v>
      </c>
      <c r="H171" s="133">
        <v>10</v>
      </c>
      <c r="I171" s="133" t="s">
        <v>419</v>
      </c>
      <c r="J171" s="132" t="s">
        <v>432</v>
      </c>
      <c r="K171" s="132" t="s">
        <v>443</v>
      </c>
      <c r="L171" s="132" t="s">
        <v>436</v>
      </c>
      <c r="M171" s="135">
        <f>178.67*USD_Inflation_Factor</f>
        <v>244.25143769356598</v>
      </c>
      <c r="N171" s="136">
        <f t="shared" si="10"/>
        <v>2442.5143769356596</v>
      </c>
      <c r="O171" s="136">
        <f t="shared" si="13"/>
        <v>166955053.46484581</v>
      </c>
    </row>
    <row r="172" spans="1:15" ht="20.100000000000001" customHeight="1">
      <c r="A172" s="132">
        <v>169</v>
      </c>
      <c r="B172" s="133" t="s">
        <v>403</v>
      </c>
      <c r="C172" s="133" t="s">
        <v>416</v>
      </c>
      <c r="D172" s="133" t="s">
        <v>342</v>
      </c>
      <c r="E172" s="132">
        <v>16</v>
      </c>
      <c r="F172" s="132" t="s">
        <v>342</v>
      </c>
      <c r="G172" s="133" t="s">
        <v>404</v>
      </c>
      <c r="H172" s="133">
        <v>10</v>
      </c>
      <c r="I172" s="133" t="s">
        <v>419</v>
      </c>
      <c r="J172" s="132" t="s">
        <v>437</v>
      </c>
      <c r="K172" s="132" t="s">
        <v>443</v>
      </c>
      <c r="L172" s="132" t="s">
        <v>436</v>
      </c>
      <c r="M172" s="135">
        <f>186.46*USD_Inflation_Factor</f>
        <v>254.90078397236422</v>
      </c>
      <c r="N172" s="136">
        <f t="shared" si="10"/>
        <v>2549.0078397236421</v>
      </c>
      <c r="O172" s="136">
        <f t="shared" si="13"/>
        <v>174234282.58272314</v>
      </c>
    </row>
    <row r="173" spans="1:15" ht="20.100000000000001" customHeight="1">
      <c r="A173" s="132">
        <v>170</v>
      </c>
      <c r="B173" s="133" t="s">
        <v>403</v>
      </c>
      <c r="C173" s="133" t="s">
        <v>416</v>
      </c>
      <c r="D173" s="133" t="s">
        <v>342</v>
      </c>
      <c r="E173" s="132">
        <v>20</v>
      </c>
      <c r="F173" s="132" t="s">
        <v>342</v>
      </c>
      <c r="G173" s="133" t="s">
        <v>404</v>
      </c>
      <c r="H173" s="133">
        <v>32</v>
      </c>
      <c r="I173" s="133" t="s">
        <v>419</v>
      </c>
      <c r="J173" s="132" t="s">
        <v>438</v>
      </c>
      <c r="K173" s="132" t="s">
        <v>443</v>
      </c>
      <c r="L173" s="132" t="s">
        <v>436</v>
      </c>
      <c r="M173" s="135">
        <f>220*USD_Inflation_Factor</f>
        <v>300.75175626901279</v>
      </c>
      <c r="N173" s="136">
        <f t="shared" si="10"/>
        <v>9624.0562006084092</v>
      </c>
      <c r="O173" s="136">
        <f t="shared" si="13"/>
        <v>657840474.83769763</v>
      </c>
    </row>
    <row r="174" spans="1:15" ht="20.100000000000001" customHeight="1">
      <c r="A174" s="132">
        <v>171</v>
      </c>
      <c r="B174" s="133" t="s">
        <v>403</v>
      </c>
      <c r="C174" s="133" t="s">
        <v>416</v>
      </c>
      <c r="D174" s="133" t="s">
        <v>342</v>
      </c>
      <c r="E174" s="132">
        <v>8</v>
      </c>
      <c r="F174" s="132" t="s">
        <v>342</v>
      </c>
      <c r="G174" s="133" t="s">
        <v>404</v>
      </c>
      <c r="H174" s="133">
        <v>250</v>
      </c>
      <c r="I174" s="133" t="s">
        <v>424</v>
      </c>
      <c r="J174" s="132" t="s">
        <v>435</v>
      </c>
      <c r="K174" s="132" t="s">
        <v>443</v>
      </c>
      <c r="L174" s="132" t="s">
        <v>436</v>
      </c>
      <c r="M174" s="135">
        <f>128.3*USD_Inflation_Factor</f>
        <v>175.39295604233794</v>
      </c>
      <c r="N174" s="136">
        <f t="shared" si="10"/>
        <v>43848.239010584482</v>
      </c>
      <c r="O174" s="136">
        <f t="shared" si="13"/>
        <v>2997192220.2299933</v>
      </c>
    </row>
    <row r="175" spans="1:15" ht="20.100000000000001" customHeight="1">
      <c r="A175" s="132">
        <v>172</v>
      </c>
      <c r="B175" s="133" t="s">
        <v>403</v>
      </c>
      <c r="C175" s="133" t="s">
        <v>416</v>
      </c>
      <c r="D175" s="133" t="s">
        <v>342</v>
      </c>
      <c r="E175" s="132">
        <v>10</v>
      </c>
      <c r="F175" s="132" t="s">
        <v>342</v>
      </c>
      <c r="G175" s="133" t="s">
        <v>404</v>
      </c>
      <c r="H175" s="133">
        <v>10</v>
      </c>
      <c r="I175" s="133" t="s">
        <v>424</v>
      </c>
      <c r="J175" s="132" t="s">
        <v>439</v>
      </c>
      <c r="K175" s="132" t="s">
        <v>443</v>
      </c>
      <c r="L175" s="132" t="s">
        <v>436</v>
      </c>
      <c r="M175" s="135">
        <f>101.25*USD_Inflation_Factor</f>
        <v>138.41416055562522</v>
      </c>
      <c r="N175" s="136">
        <f t="shared" si="10"/>
        <v>1384.1416055562522</v>
      </c>
      <c r="O175" s="136">
        <f t="shared" si="13"/>
        <v>94611289.8825524</v>
      </c>
    </row>
    <row r="176" spans="1:15" ht="20.100000000000001" customHeight="1">
      <c r="A176" s="132">
        <v>173</v>
      </c>
      <c r="B176" s="133" t="s">
        <v>403</v>
      </c>
      <c r="C176" s="133" t="s">
        <v>416</v>
      </c>
      <c r="D176" s="133" t="s">
        <v>342</v>
      </c>
      <c r="E176" s="132">
        <v>12</v>
      </c>
      <c r="F176" s="132" t="s">
        <v>342</v>
      </c>
      <c r="G176" s="133" t="s">
        <v>404</v>
      </c>
      <c r="H176" s="133">
        <v>10</v>
      </c>
      <c r="I176" s="133" t="s">
        <v>424</v>
      </c>
      <c r="J176" s="132" t="s">
        <v>439</v>
      </c>
      <c r="K176" s="132" t="s">
        <v>443</v>
      </c>
      <c r="L176" s="132" t="s">
        <v>436</v>
      </c>
      <c r="M176" s="135">
        <f>178.67*USD_Inflation_Factor</f>
        <v>244.25143769356598</v>
      </c>
      <c r="N176" s="136">
        <f t="shared" si="10"/>
        <v>2442.5143769356596</v>
      </c>
      <c r="O176" s="136">
        <f t="shared" si="13"/>
        <v>166955053.46484581</v>
      </c>
    </row>
    <row r="177" spans="1:15" ht="20.100000000000001" customHeight="1">
      <c r="A177" s="132">
        <v>174</v>
      </c>
      <c r="B177" s="133" t="s">
        <v>403</v>
      </c>
      <c r="C177" s="133" t="s">
        <v>416</v>
      </c>
      <c r="D177" s="133" t="s">
        <v>342</v>
      </c>
      <c r="E177" s="132">
        <v>20</v>
      </c>
      <c r="F177" s="132" t="s">
        <v>342</v>
      </c>
      <c r="G177" s="133" t="s">
        <v>404</v>
      </c>
      <c r="H177" s="133">
        <v>105</v>
      </c>
      <c r="I177" s="133" t="s">
        <v>424</v>
      </c>
      <c r="J177" s="132" t="s">
        <v>440</v>
      </c>
      <c r="K177" s="132" t="s">
        <v>443</v>
      </c>
      <c r="L177" s="132" t="s">
        <v>436</v>
      </c>
      <c r="M177" s="135">
        <f>250*USD_Inflation_Factor</f>
        <v>341.76335939660544</v>
      </c>
      <c r="N177" s="136">
        <f t="shared" si="10"/>
        <v>35885.152736643569</v>
      </c>
      <c r="O177" s="136">
        <f>0.3*N177*USD_Change_IRR * per_Euro</f>
        <v>4905770586.502717</v>
      </c>
    </row>
    <row r="178" spans="1:15" ht="20.100000000000001" customHeight="1">
      <c r="A178" s="132">
        <v>175</v>
      </c>
      <c r="B178" s="133" t="s">
        <v>406</v>
      </c>
      <c r="C178" s="133" t="s">
        <v>416</v>
      </c>
      <c r="D178" s="133" t="s">
        <v>407</v>
      </c>
      <c r="E178" s="132">
        <v>12</v>
      </c>
      <c r="F178" s="132" t="s">
        <v>342</v>
      </c>
      <c r="G178" s="133" t="s">
        <v>376</v>
      </c>
      <c r="H178" s="133">
        <v>2</v>
      </c>
      <c r="I178" s="133" t="s">
        <v>419</v>
      </c>
      <c r="J178" s="132"/>
      <c r="K178" s="132" t="s">
        <v>408</v>
      </c>
      <c r="L178" s="132" t="s">
        <v>436</v>
      </c>
      <c r="M178" s="135">
        <f>910*USD_Inflation_Factor</f>
        <v>1244.0186282036439</v>
      </c>
      <c r="N178" s="136">
        <f t="shared" si="10"/>
        <v>2488.0372564072877</v>
      </c>
      <c r="O178" s="136">
        <f>0.25*N178*USD_Change_IRR * per_Euro</f>
        <v>283444522.77571249</v>
      </c>
    </row>
    <row r="179" spans="1:15" ht="20.100000000000001" customHeight="1">
      <c r="A179" s="132">
        <v>176</v>
      </c>
      <c r="B179" s="133" t="s">
        <v>406</v>
      </c>
      <c r="C179" s="133" t="s">
        <v>416</v>
      </c>
      <c r="D179" s="133" t="s">
        <v>407</v>
      </c>
      <c r="E179" s="132">
        <v>16</v>
      </c>
      <c r="F179" s="132" t="s">
        <v>342</v>
      </c>
      <c r="G179" s="133" t="s">
        <v>376</v>
      </c>
      <c r="H179" s="133">
        <v>2</v>
      </c>
      <c r="I179" s="133" t="s">
        <v>419</v>
      </c>
      <c r="J179" s="132"/>
      <c r="K179" s="132" t="s">
        <v>408</v>
      </c>
      <c r="L179" s="132" t="s">
        <v>436</v>
      </c>
      <c r="M179" s="135">
        <f>1320*USD_Inflation_Factor</f>
        <v>1804.5105376140768</v>
      </c>
      <c r="N179" s="136">
        <f t="shared" si="10"/>
        <v>3609.0210752281537</v>
      </c>
      <c r="O179" s="136">
        <f>0.25*N179*USD_Change_IRR * per_Euro</f>
        <v>411150296.773561</v>
      </c>
    </row>
    <row r="180" spans="1:15" ht="20.100000000000001" customHeight="1">
      <c r="A180" s="132">
        <v>177</v>
      </c>
      <c r="B180" s="133" t="s">
        <v>406</v>
      </c>
      <c r="C180" s="133" t="s">
        <v>416</v>
      </c>
      <c r="D180" s="133" t="s">
        <v>409</v>
      </c>
      <c r="E180" s="132">
        <v>10</v>
      </c>
      <c r="F180" s="132" t="s">
        <v>342</v>
      </c>
      <c r="G180" s="133" t="s">
        <v>376</v>
      </c>
      <c r="H180" s="133">
        <v>4</v>
      </c>
      <c r="I180" s="133" t="s">
        <v>424</v>
      </c>
      <c r="J180" s="132" t="s">
        <v>439</v>
      </c>
      <c r="K180" s="132" t="s">
        <v>400</v>
      </c>
      <c r="L180" s="132" t="s">
        <v>436</v>
      </c>
      <c r="M180" s="135">
        <f>133.89*USD_Inflation_Factor</f>
        <v>183.03478475844599</v>
      </c>
      <c r="N180" s="136">
        <f t="shared" si="10"/>
        <v>732.13913903378398</v>
      </c>
      <c r="O180" s="136">
        <f>0.25*N180*USD_Change_IRR * per_Euro</f>
        <v>83407444.29547286</v>
      </c>
    </row>
    <row r="181" spans="1:15" ht="20.100000000000001" customHeight="1">
      <c r="A181" s="132">
        <v>178</v>
      </c>
      <c r="B181" s="133" t="s">
        <v>406</v>
      </c>
      <c r="C181" s="133" t="s">
        <v>416</v>
      </c>
      <c r="D181" s="133" t="s">
        <v>409</v>
      </c>
      <c r="E181" s="132">
        <v>12</v>
      </c>
      <c r="F181" s="132" t="s">
        <v>342</v>
      </c>
      <c r="G181" s="133" t="s">
        <v>376</v>
      </c>
      <c r="H181" s="133">
        <v>4</v>
      </c>
      <c r="I181" s="133" t="s">
        <v>424</v>
      </c>
      <c r="J181" s="132" t="s">
        <v>439</v>
      </c>
      <c r="K181" s="132" t="s">
        <v>400</v>
      </c>
      <c r="L181" s="132" t="s">
        <v>436</v>
      </c>
      <c r="M181" s="135">
        <f>240*USD_Inflation_Factor</f>
        <v>328.09282502074126</v>
      </c>
      <c r="N181" s="136">
        <f t="shared" si="10"/>
        <v>1312.371300082965</v>
      </c>
      <c r="O181" s="136">
        <f>0.25*N181*USD_Change_IRR * per_Euro</f>
        <v>149509198.82674947</v>
      </c>
    </row>
    <row r="182" spans="1:15" ht="20.100000000000001" customHeight="1">
      <c r="A182" s="132">
        <v>179</v>
      </c>
      <c r="B182" s="133" t="s">
        <v>406</v>
      </c>
      <c r="C182" s="133" t="s">
        <v>416</v>
      </c>
      <c r="D182" s="133" t="s">
        <v>409</v>
      </c>
      <c r="E182" s="132">
        <v>20</v>
      </c>
      <c r="F182" s="132" t="s">
        <v>342</v>
      </c>
      <c r="G182" s="133" t="s">
        <v>376</v>
      </c>
      <c r="H182" s="133">
        <v>2</v>
      </c>
      <c r="I182" s="133" t="s">
        <v>424</v>
      </c>
      <c r="J182" s="132" t="s">
        <v>440</v>
      </c>
      <c r="K182" s="132" t="s">
        <v>400</v>
      </c>
      <c r="L182" s="132" t="s">
        <v>436</v>
      </c>
      <c r="M182" s="135">
        <f>270*USD_Inflation_Factor</f>
        <v>369.10442814833391</v>
      </c>
      <c r="N182" s="136">
        <f t="shared" si="10"/>
        <v>738.20885629666782</v>
      </c>
      <c r="O182" s="136">
        <f>0.25*N182*USD_Change_IRR * per_Euro</f>
        <v>84098924.340046585</v>
      </c>
    </row>
    <row r="183" spans="1:15" ht="20.100000000000001" customHeight="1">
      <c r="A183" s="132">
        <v>180</v>
      </c>
      <c r="B183" s="133" t="s">
        <v>411</v>
      </c>
      <c r="C183" s="133" t="s">
        <v>416</v>
      </c>
      <c r="D183" s="133" t="s">
        <v>412</v>
      </c>
      <c r="E183" s="132">
        <v>2</v>
      </c>
      <c r="F183" s="132" t="s">
        <v>342</v>
      </c>
      <c r="G183" s="133" t="s">
        <v>376</v>
      </c>
      <c r="H183" s="133">
        <v>1</v>
      </c>
      <c r="I183" s="133" t="s">
        <v>418</v>
      </c>
      <c r="J183" s="132" t="s">
        <v>342</v>
      </c>
      <c r="K183" s="132" t="s">
        <v>408</v>
      </c>
      <c r="L183" s="132"/>
      <c r="M183" s="135">
        <f>75*USD_Inflation_Factor</f>
        <v>102.52900781898164</v>
      </c>
      <c r="N183" s="136">
        <f t="shared" si="10"/>
        <v>102.52900781898164</v>
      </c>
      <c r="O183" s="136">
        <f t="shared" ref="O183:O198" si="14">0.15*N183*USD_Change_IRR * per_Euro</f>
        <v>7008243.6950038811</v>
      </c>
    </row>
    <row r="184" spans="1:15" ht="20.100000000000001" customHeight="1">
      <c r="A184" s="132">
        <v>181</v>
      </c>
      <c r="B184" s="133" t="s">
        <v>411</v>
      </c>
      <c r="C184" s="133" t="s">
        <v>416</v>
      </c>
      <c r="D184" s="133" t="s">
        <v>412</v>
      </c>
      <c r="E184" s="132">
        <v>10</v>
      </c>
      <c r="F184" s="132" t="s">
        <v>342</v>
      </c>
      <c r="G184" s="133" t="s">
        <v>376</v>
      </c>
      <c r="H184" s="133">
        <v>2</v>
      </c>
      <c r="I184" s="133" t="s">
        <v>424</v>
      </c>
      <c r="J184" s="132" t="s">
        <v>342</v>
      </c>
      <c r="K184" s="132" t="s">
        <v>408</v>
      </c>
      <c r="L184" s="132" t="s">
        <v>436</v>
      </c>
      <c r="M184" s="135">
        <f>1200*USD_Inflation_Factor</f>
        <v>1640.4641251037062</v>
      </c>
      <c r="N184" s="136">
        <f t="shared" si="10"/>
        <v>3280.9282502074125</v>
      </c>
      <c r="O184" s="136">
        <f t="shared" si="14"/>
        <v>224263798.2401242</v>
      </c>
    </row>
    <row r="185" spans="1:15" ht="20.100000000000001" customHeight="1">
      <c r="A185" s="132">
        <v>182</v>
      </c>
      <c r="B185" s="133" t="s">
        <v>411</v>
      </c>
      <c r="C185" s="133" t="s">
        <v>416</v>
      </c>
      <c r="D185" s="133" t="s">
        <v>412</v>
      </c>
      <c r="E185" s="132">
        <v>12</v>
      </c>
      <c r="F185" s="132" t="s">
        <v>342</v>
      </c>
      <c r="G185" s="133" t="s">
        <v>376</v>
      </c>
      <c r="H185" s="133">
        <v>2</v>
      </c>
      <c r="I185" s="133" t="s">
        <v>424</v>
      </c>
      <c r="J185" s="132" t="s">
        <v>342</v>
      </c>
      <c r="K185" s="132" t="s">
        <v>408</v>
      </c>
      <c r="L185" s="132" t="s">
        <v>436</v>
      </c>
      <c r="M185" s="135">
        <f>1800*USD_Inflation_Factor</f>
        <v>2460.6961876555592</v>
      </c>
      <c r="N185" s="136">
        <f t="shared" si="10"/>
        <v>4921.3923753111185</v>
      </c>
      <c r="O185" s="136">
        <f t="shared" si="14"/>
        <v>336395697.36018628</v>
      </c>
    </row>
    <row r="186" spans="1:15" ht="20.100000000000001" customHeight="1">
      <c r="A186" s="132">
        <v>183</v>
      </c>
      <c r="B186" s="133" t="s">
        <v>411</v>
      </c>
      <c r="C186" s="133" t="s">
        <v>416</v>
      </c>
      <c r="D186" s="133" t="s">
        <v>414</v>
      </c>
      <c r="E186" s="132">
        <v>1</v>
      </c>
      <c r="F186" s="132" t="s">
        <v>342</v>
      </c>
      <c r="G186" s="133" t="s">
        <v>376</v>
      </c>
      <c r="H186" s="133">
        <v>16</v>
      </c>
      <c r="I186" s="133" t="s">
        <v>418</v>
      </c>
      <c r="J186" s="132"/>
      <c r="K186" s="132" t="s">
        <v>400</v>
      </c>
      <c r="L186" s="132"/>
      <c r="M186" s="135">
        <f>40*USD_Inflation_Factor</f>
        <v>54.682137503456872</v>
      </c>
      <c r="N186" s="136">
        <f t="shared" si="10"/>
        <v>874.91420005530995</v>
      </c>
      <c r="O186" s="136">
        <f t="shared" si="14"/>
        <v>59803679.530699775</v>
      </c>
    </row>
    <row r="187" spans="1:15" ht="20.100000000000001" customHeight="1">
      <c r="A187" s="132">
        <v>184</v>
      </c>
      <c r="B187" s="133" t="s">
        <v>411</v>
      </c>
      <c r="C187" s="133" t="s">
        <v>416</v>
      </c>
      <c r="D187" s="133" t="s">
        <v>414</v>
      </c>
      <c r="E187" s="132">
        <v>2</v>
      </c>
      <c r="F187" s="132" t="s">
        <v>342</v>
      </c>
      <c r="G187" s="133" t="s">
        <v>376</v>
      </c>
      <c r="H187" s="133">
        <v>1</v>
      </c>
      <c r="I187" s="133" t="s">
        <v>418</v>
      </c>
      <c r="J187" s="132" t="s">
        <v>342</v>
      </c>
      <c r="K187" s="132" t="s">
        <v>408</v>
      </c>
      <c r="L187" s="132"/>
      <c r="M187" s="135">
        <f>116.5*USD_Inflation_Factor</f>
        <v>159.26172547881814</v>
      </c>
      <c r="N187" s="136">
        <f t="shared" si="10"/>
        <v>159.26172547881814</v>
      </c>
      <c r="O187" s="136">
        <f t="shared" si="14"/>
        <v>10886138.539572693</v>
      </c>
    </row>
    <row r="188" spans="1:15" ht="20.100000000000001" customHeight="1">
      <c r="A188" s="132">
        <v>185</v>
      </c>
      <c r="B188" s="133" t="s">
        <v>411</v>
      </c>
      <c r="C188" s="133" t="s">
        <v>416</v>
      </c>
      <c r="D188" s="133" t="s">
        <v>414</v>
      </c>
      <c r="E188" s="132">
        <v>1</v>
      </c>
      <c r="F188" s="132" t="s">
        <v>342</v>
      </c>
      <c r="G188" s="133" t="s">
        <v>376</v>
      </c>
      <c r="H188" s="133">
        <v>25</v>
      </c>
      <c r="I188" s="133" t="s">
        <v>419</v>
      </c>
      <c r="J188" s="132"/>
      <c r="K188" s="132" t="s">
        <v>400</v>
      </c>
      <c r="L188" s="132" t="s">
        <v>436</v>
      </c>
      <c r="M188" s="135">
        <f>40*USD_Inflation_Factor</f>
        <v>54.682137503456872</v>
      </c>
      <c r="N188" s="136">
        <f t="shared" si="10"/>
        <v>1367.0534375864218</v>
      </c>
      <c r="O188" s="136">
        <f t="shared" si="14"/>
        <v>93443249.266718417</v>
      </c>
    </row>
    <row r="189" spans="1:15" ht="20.100000000000001" customHeight="1">
      <c r="A189" s="132">
        <v>186</v>
      </c>
      <c r="B189" s="133" t="s">
        <v>411</v>
      </c>
      <c r="C189" s="133" t="s">
        <v>416</v>
      </c>
      <c r="D189" s="133" t="s">
        <v>414</v>
      </c>
      <c r="E189" s="132">
        <v>2</v>
      </c>
      <c r="F189" s="132" t="s">
        <v>342</v>
      </c>
      <c r="G189" s="133" t="s">
        <v>376</v>
      </c>
      <c r="H189" s="133">
        <v>1</v>
      </c>
      <c r="I189" s="133" t="s">
        <v>419</v>
      </c>
      <c r="J189" s="132" t="s">
        <v>342</v>
      </c>
      <c r="K189" s="132" t="s">
        <v>408</v>
      </c>
      <c r="L189" s="132" t="s">
        <v>436</v>
      </c>
      <c r="M189" s="135">
        <f>143*USD_Inflation_Factor</f>
        <v>195.48864157485832</v>
      </c>
      <c r="N189" s="136">
        <f t="shared" si="10"/>
        <v>195.48864157485832</v>
      </c>
      <c r="O189" s="136">
        <f t="shared" si="14"/>
        <v>13362384.645140734</v>
      </c>
    </row>
    <row r="190" spans="1:15" ht="20.100000000000001" customHeight="1">
      <c r="A190" s="132">
        <v>187</v>
      </c>
      <c r="B190" s="133" t="s">
        <v>411</v>
      </c>
      <c r="C190" s="133" t="s">
        <v>416</v>
      </c>
      <c r="D190" s="133" t="s">
        <v>414</v>
      </c>
      <c r="E190" s="132">
        <v>12</v>
      </c>
      <c r="F190" s="132" t="s">
        <v>342</v>
      </c>
      <c r="G190" s="133" t="s">
        <v>376</v>
      </c>
      <c r="H190" s="133">
        <v>2</v>
      </c>
      <c r="I190" s="133" t="s">
        <v>419</v>
      </c>
      <c r="J190" s="132" t="s">
        <v>342</v>
      </c>
      <c r="K190" s="132" t="s">
        <v>408</v>
      </c>
      <c r="L190" s="132" t="s">
        <v>436</v>
      </c>
      <c r="M190" s="135">
        <f>1364*USD_Inflation_Factor</f>
        <v>1864.6608888678793</v>
      </c>
      <c r="N190" s="136">
        <f t="shared" si="10"/>
        <v>3729.3217777357586</v>
      </c>
      <c r="O190" s="136">
        <f t="shared" si="14"/>
        <v>254913183.99960783</v>
      </c>
    </row>
    <row r="191" spans="1:15" ht="20.100000000000001" customHeight="1">
      <c r="A191" s="132">
        <v>188</v>
      </c>
      <c r="B191" s="133" t="s">
        <v>411</v>
      </c>
      <c r="C191" s="133" t="s">
        <v>416</v>
      </c>
      <c r="D191" s="133" t="s">
        <v>414</v>
      </c>
      <c r="E191" s="132">
        <v>16</v>
      </c>
      <c r="F191" s="132" t="s">
        <v>342</v>
      </c>
      <c r="G191" s="133" t="s">
        <v>376</v>
      </c>
      <c r="H191" s="133">
        <v>2</v>
      </c>
      <c r="I191" s="133" t="s">
        <v>419</v>
      </c>
      <c r="J191" s="132" t="s">
        <v>342</v>
      </c>
      <c r="K191" s="132" t="s">
        <v>408</v>
      </c>
      <c r="L191" s="132" t="s">
        <v>436</v>
      </c>
      <c r="M191" s="135">
        <f>5500*USD_Inflation_Factor</f>
        <v>7518.7939067253201</v>
      </c>
      <c r="N191" s="136">
        <f t="shared" si="10"/>
        <v>15037.58781345064</v>
      </c>
      <c r="O191" s="136">
        <f t="shared" si="14"/>
        <v>1027875741.9339025</v>
      </c>
    </row>
    <row r="192" spans="1:15" ht="20.100000000000001" customHeight="1">
      <c r="A192" s="132">
        <v>189</v>
      </c>
      <c r="B192" s="133" t="s">
        <v>411</v>
      </c>
      <c r="C192" s="133" t="s">
        <v>416</v>
      </c>
      <c r="D192" s="133" t="s">
        <v>414</v>
      </c>
      <c r="E192" s="132">
        <v>20</v>
      </c>
      <c r="F192" s="132" t="s">
        <v>342</v>
      </c>
      <c r="G192" s="133" t="s">
        <v>376</v>
      </c>
      <c r="H192" s="133">
        <v>3</v>
      </c>
      <c r="I192" s="133" t="s">
        <v>419</v>
      </c>
      <c r="J192" s="132" t="s">
        <v>342</v>
      </c>
      <c r="K192" s="132" t="s">
        <v>408</v>
      </c>
      <c r="L192" s="132" t="s">
        <v>436</v>
      </c>
      <c r="M192" s="135">
        <f>9000*USD_Inflation_Factor</f>
        <v>12303.480938277797</v>
      </c>
      <c r="N192" s="136">
        <f t="shared" si="10"/>
        <v>36910.44281483339</v>
      </c>
      <c r="O192" s="136">
        <f t="shared" si="14"/>
        <v>2522967730.2013969</v>
      </c>
    </row>
    <row r="193" spans="1:15" ht="20.100000000000001" customHeight="1">
      <c r="A193" s="132">
        <v>190</v>
      </c>
      <c r="B193" s="133" t="s">
        <v>411</v>
      </c>
      <c r="C193" s="133" t="s">
        <v>416</v>
      </c>
      <c r="D193" s="133" t="s">
        <v>414</v>
      </c>
      <c r="E193" s="132">
        <v>1</v>
      </c>
      <c r="F193" s="132" t="s">
        <v>342</v>
      </c>
      <c r="G193" s="133" t="s">
        <v>376</v>
      </c>
      <c r="H193" s="133">
        <v>17</v>
      </c>
      <c r="I193" s="133" t="s">
        <v>424</v>
      </c>
      <c r="J193" s="132"/>
      <c r="K193" s="132" t="s">
        <v>400</v>
      </c>
      <c r="L193" s="132" t="s">
        <v>436</v>
      </c>
      <c r="M193" s="135">
        <f>40*USD_Inflation_Factor</f>
        <v>54.682137503456872</v>
      </c>
      <c r="N193" s="136">
        <f t="shared" si="10"/>
        <v>929.59633755876678</v>
      </c>
      <c r="O193" s="136">
        <f t="shared" si="14"/>
        <v>63541409.501368515</v>
      </c>
    </row>
    <row r="194" spans="1:15" ht="20.100000000000001" customHeight="1">
      <c r="A194" s="132">
        <v>191</v>
      </c>
      <c r="B194" s="133" t="s">
        <v>411</v>
      </c>
      <c r="C194" s="133" t="s">
        <v>416</v>
      </c>
      <c r="D194" s="133" t="s">
        <v>414</v>
      </c>
      <c r="E194" s="132">
        <v>10</v>
      </c>
      <c r="F194" s="132" t="s">
        <v>342</v>
      </c>
      <c r="G194" s="133" t="s">
        <v>376</v>
      </c>
      <c r="H194" s="133">
        <v>2</v>
      </c>
      <c r="I194" s="133" t="s">
        <v>424</v>
      </c>
      <c r="J194" s="132" t="s">
        <v>342</v>
      </c>
      <c r="K194" s="132" t="s">
        <v>408</v>
      </c>
      <c r="L194" s="132" t="s">
        <v>436</v>
      </c>
      <c r="M194" s="135">
        <f>1500*USD_Inflation_Factor</f>
        <v>2050.5801563796326</v>
      </c>
      <c r="N194" s="136">
        <f t="shared" si="10"/>
        <v>4101.1603127592653</v>
      </c>
      <c r="O194" s="136">
        <f t="shared" si="14"/>
        <v>280329747.80015528</v>
      </c>
    </row>
    <row r="195" spans="1:15" ht="20.100000000000001" customHeight="1">
      <c r="A195" s="132">
        <v>192</v>
      </c>
      <c r="B195" s="133" t="s">
        <v>411</v>
      </c>
      <c r="C195" s="133" t="s">
        <v>416</v>
      </c>
      <c r="D195" s="133" t="s">
        <v>414</v>
      </c>
      <c r="E195" s="132">
        <v>12</v>
      </c>
      <c r="F195" s="132" t="s">
        <v>342</v>
      </c>
      <c r="G195" s="133" t="s">
        <v>376</v>
      </c>
      <c r="H195" s="133">
        <v>2</v>
      </c>
      <c r="I195" s="133" t="s">
        <v>424</v>
      </c>
      <c r="J195" s="132" t="s">
        <v>342</v>
      </c>
      <c r="K195" s="132" t="s">
        <v>408</v>
      </c>
      <c r="L195" s="132" t="s">
        <v>436</v>
      </c>
      <c r="M195" s="135">
        <f>1800*USD_Inflation_Factor</f>
        <v>2460.6961876555592</v>
      </c>
      <c r="N195" s="136">
        <f t="shared" si="10"/>
        <v>4921.3923753111185</v>
      </c>
      <c r="O195" s="136">
        <f t="shared" si="14"/>
        <v>336395697.36018628</v>
      </c>
    </row>
    <row r="196" spans="1:15" ht="20.100000000000001" customHeight="1">
      <c r="A196" s="132">
        <v>193</v>
      </c>
      <c r="B196" s="133" t="s">
        <v>411</v>
      </c>
      <c r="C196" s="133" t="s">
        <v>416</v>
      </c>
      <c r="D196" s="133" t="s">
        <v>414</v>
      </c>
      <c r="E196" s="132">
        <v>14</v>
      </c>
      <c r="F196" s="132" t="s">
        <v>342</v>
      </c>
      <c r="G196" s="133" t="s">
        <v>376</v>
      </c>
      <c r="H196" s="133">
        <v>1</v>
      </c>
      <c r="I196" s="133" t="s">
        <v>424</v>
      </c>
      <c r="J196" s="132" t="s">
        <v>342</v>
      </c>
      <c r="K196" s="132" t="s">
        <v>408</v>
      </c>
      <c r="L196" s="132" t="s">
        <v>436</v>
      </c>
      <c r="M196" s="135">
        <f>4500*USD_Inflation_Factor</f>
        <v>6151.7404691388983</v>
      </c>
      <c r="N196" s="136">
        <f t="shared" ref="N196:N259" si="15">M196*H196</f>
        <v>6151.7404691388983</v>
      </c>
      <c r="O196" s="136">
        <f t="shared" si="14"/>
        <v>420494621.70023286</v>
      </c>
    </row>
    <row r="197" spans="1:15" ht="20.100000000000001" customHeight="1">
      <c r="A197" s="132">
        <v>194</v>
      </c>
      <c r="B197" s="133" t="s">
        <v>411</v>
      </c>
      <c r="C197" s="133" t="s">
        <v>416</v>
      </c>
      <c r="D197" s="133" t="s">
        <v>414</v>
      </c>
      <c r="E197" s="132">
        <v>20</v>
      </c>
      <c r="F197" s="132" t="s">
        <v>342</v>
      </c>
      <c r="G197" s="133" t="s">
        <v>376</v>
      </c>
      <c r="H197" s="133">
        <v>4</v>
      </c>
      <c r="I197" s="133" t="s">
        <v>424</v>
      </c>
      <c r="J197" s="132" t="s">
        <v>342</v>
      </c>
      <c r="K197" s="132" t="s">
        <v>408</v>
      </c>
      <c r="L197" s="132" t="s">
        <v>436</v>
      </c>
      <c r="M197" s="135">
        <f>13000*USD_Inflation_Factor</f>
        <v>17771.694688623484</v>
      </c>
      <c r="N197" s="136">
        <f t="shared" si="15"/>
        <v>71086.778754493935</v>
      </c>
      <c r="O197" s="136">
        <f t="shared" si="14"/>
        <v>4859048961.8693581</v>
      </c>
    </row>
    <row r="198" spans="1:15" ht="20.100000000000001" customHeight="1">
      <c r="A198" s="132">
        <v>195</v>
      </c>
      <c r="B198" s="133" t="s">
        <v>411</v>
      </c>
      <c r="C198" s="133" t="s">
        <v>416</v>
      </c>
      <c r="D198" s="133" t="s">
        <v>415</v>
      </c>
      <c r="E198" s="132">
        <v>6</v>
      </c>
      <c r="F198" s="132" t="s">
        <v>342</v>
      </c>
      <c r="G198" s="133" t="s">
        <v>376</v>
      </c>
      <c r="H198" s="133">
        <v>1</v>
      </c>
      <c r="I198" s="133" t="s">
        <v>424</v>
      </c>
      <c r="J198" s="132" t="s">
        <v>342</v>
      </c>
      <c r="K198" s="132" t="s">
        <v>408</v>
      </c>
      <c r="L198" s="132" t="s">
        <v>436</v>
      </c>
      <c r="M198" s="135">
        <f>2000*USD_Inflation_Factor</f>
        <v>2734.1068751728435</v>
      </c>
      <c r="N198" s="136">
        <f t="shared" si="15"/>
        <v>2734.1068751728435</v>
      </c>
      <c r="O198" s="136">
        <f t="shared" si="14"/>
        <v>186886498.53343683</v>
      </c>
    </row>
    <row r="199" spans="1:15" ht="20.100000000000001" customHeight="1">
      <c r="A199" s="132">
        <v>196</v>
      </c>
      <c r="B199" s="133" t="s">
        <v>373</v>
      </c>
      <c r="C199" s="133" t="s">
        <v>450</v>
      </c>
      <c r="D199" s="133" t="s">
        <v>342</v>
      </c>
      <c r="E199" s="132" t="s">
        <v>398</v>
      </c>
      <c r="F199" s="132">
        <v>65</v>
      </c>
      <c r="G199" s="133" t="s">
        <v>376</v>
      </c>
      <c r="H199" s="133">
        <v>8</v>
      </c>
      <c r="I199" s="133" t="s">
        <v>417</v>
      </c>
      <c r="J199" s="132" t="s">
        <v>451</v>
      </c>
      <c r="K199" s="134" t="s">
        <v>379</v>
      </c>
      <c r="L199" s="132"/>
      <c r="M199" s="135">
        <f>0.348*USD_Inflation_Factor</f>
        <v>0.47573459628007475</v>
      </c>
      <c r="N199" s="136">
        <f t="shared" si="15"/>
        <v>3.805876770240598</v>
      </c>
      <c r="O199" s="136">
        <f t="shared" ref="O199:O226" si="16">0.4*N199*USD_Change_IRR * per_Euro</f>
        <v>693722.68255611754</v>
      </c>
    </row>
    <row r="200" spans="1:15" ht="20.100000000000001" customHeight="1">
      <c r="A200" s="132">
        <v>197</v>
      </c>
      <c r="B200" s="133" t="s">
        <v>373</v>
      </c>
      <c r="C200" s="133" t="s">
        <v>450</v>
      </c>
      <c r="D200" s="133" t="s">
        <v>342</v>
      </c>
      <c r="E200" s="132" t="s">
        <v>375</v>
      </c>
      <c r="F200" s="132">
        <v>85</v>
      </c>
      <c r="G200" s="133" t="s">
        <v>376</v>
      </c>
      <c r="H200" s="133">
        <v>224</v>
      </c>
      <c r="I200" s="133" t="s">
        <v>417</v>
      </c>
      <c r="J200" s="132" t="s">
        <v>378</v>
      </c>
      <c r="K200" s="134" t="s">
        <v>379</v>
      </c>
      <c r="L200" s="132"/>
      <c r="M200" s="135">
        <f>0.666*USD_Inflation_Factor</f>
        <v>0.91045758943255695</v>
      </c>
      <c r="N200" s="136">
        <f t="shared" si="15"/>
        <v>203.94250003289275</v>
      </c>
      <c r="O200" s="136">
        <f t="shared" si="16"/>
        <v>37173967.19628299</v>
      </c>
    </row>
    <row r="201" spans="1:15" ht="20.100000000000001" customHeight="1">
      <c r="A201" s="132">
        <v>198</v>
      </c>
      <c r="B201" s="133" t="s">
        <v>373</v>
      </c>
      <c r="C201" s="133" t="s">
        <v>450</v>
      </c>
      <c r="D201" s="133" t="s">
        <v>342</v>
      </c>
      <c r="E201" s="132" t="s">
        <v>375</v>
      </c>
      <c r="F201" s="132">
        <v>90</v>
      </c>
      <c r="G201" s="133" t="s">
        <v>376</v>
      </c>
      <c r="H201" s="133">
        <v>360</v>
      </c>
      <c r="I201" s="133" t="s">
        <v>417</v>
      </c>
      <c r="J201" s="132" t="s">
        <v>381</v>
      </c>
      <c r="K201" s="134" t="s">
        <v>379</v>
      </c>
      <c r="L201" s="132"/>
      <c r="M201" s="135">
        <f>0.666*USD_Inflation_Factor</f>
        <v>0.91045758943255695</v>
      </c>
      <c r="N201" s="136">
        <f t="shared" si="15"/>
        <v>327.76473219572051</v>
      </c>
      <c r="O201" s="136">
        <f t="shared" si="16"/>
        <v>59743875.851169094</v>
      </c>
    </row>
    <row r="202" spans="1:15" ht="20.100000000000001" customHeight="1">
      <c r="A202" s="132">
        <v>199</v>
      </c>
      <c r="B202" s="133" t="s">
        <v>373</v>
      </c>
      <c r="C202" s="133" t="s">
        <v>450</v>
      </c>
      <c r="D202" s="133" t="s">
        <v>342</v>
      </c>
      <c r="E202" s="132" t="s">
        <v>375</v>
      </c>
      <c r="F202" s="132">
        <v>90</v>
      </c>
      <c r="G202" s="133" t="s">
        <v>376</v>
      </c>
      <c r="H202" s="133">
        <v>496</v>
      </c>
      <c r="I202" s="133" t="s">
        <v>417</v>
      </c>
      <c r="J202" s="132" t="s">
        <v>382</v>
      </c>
      <c r="K202" s="134" t="s">
        <v>379</v>
      </c>
      <c r="L202" s="132"/>
      <c r="M202" s="135">
        <f>0.666*USD_Inflation_Factor</f>
        <v>0.91045758943255695</v>
      </c>
      <c r="N202" s="136">
        <f t="shared" si="15"/>
        <v>451.58696435854824</v>
      </c>
      <c r="O202" s="136">
        <f t="shared" si="16"/>
        <v>82313784.506055206</v>
      </c>
    </row>
    <row r="203" spans="1:15" ht="20.100000000000001" customHeight="1">
      <c r="A203" s="132">
        <v>200</v>
      </c>
      <c r="B203" s="133" t="s">
        <v>373</v>
      </c>
      <c r="C203" s="133" t="s">
        <v>450</v>
      </c>
      <c r="D203" s="133" t="s">
        <v>342</v>
      </c>
      <c r="E203" s="132" t="s">
        <v>383</v>
      </c>
      <c r="F203" s="132">
        <v>105</v>
      </c>
      <c r="G203" s="133" t="s">
        <v>376</v>
      </c>
      <c r="H203" s="133">
        <v>96</v>
      </c>
      <c r="I203" s="133" t="s">
        <v>417</v>
      </c>
      <c r="J203" s="132" t="s">
        <v>384</v>
      </c>
      <c r="K203" s="134" t="s">
        <v>379</v>
      </c>
      <c r="L203" s="132"/>
      <c r="M203" s="135">
        <f>1.143*USD_Inflation_Factor</f>
        <v>1.5625420791612801</v>
      </c>
      <c r="N203" s="136">
        <f t="shared" si="15"/>
        <v>150.00403959948289</v>
      </c>
      <c r="O203" s="136">
        <f t="shared" si="16"/>
        <v>27342242.281435944</v>
      </c>
    </row>
    <row r="204" spans="1:15" ht="20.100000000000001" customHeight="1">
      <c r="A204" s="132">
        <v>201</v>
      </c>
      <c r="B204" s="133" t="s">
        <v>373</v>
      </c>
      <c r="C204" s="133" t="s">
        <v>450</v>
      </c>
      <c r="D204" s="133" t="s">
        <v>342</v>
      </c>
      <c r="E204" s="132" t="s">
        <v>398</v>
      </c>
      <c r="F204" s="132">
        <v>70</v>
      </c>
      <c r="G204" s="133" t="s">
        <v>376</v>
      </c>
      <c r="H204" s="133">
        <v>32</v>
      </c>
      <c r="I204" s="133" t="s">
        <v>417</v>
      </c>
      <c r="J204" s="132" t="s">
        <v>452</v>
      </c>
      <c r="K204" s="134" t="s">
        <v>379</v>
      </c>
      <c r="L204" s="132"/>
      <c r="M204" s="135">
        <f>0.348*USD_Inflation_Factor</f>
        <v>0.47573459628007475</v>
      </c>
      <c r="N204" s="136">
        <f t="shared" si="15"/>
        <v>15.223507080962392</v>
      </c>
      <c r="O204" s="136">
        <f t="shared" si="16"/>
        <v>2774890.7302244701</v>
      </c>
    </row>
    <row r="205" spans="1:15" ht="20.100000000000001" customHeight="1">
      <c r="A205" s="132">
        <v>202</v>
      </c>
      <c r="B205" s="133" t="s">
        <v>373</v>
      </c>
      <c r="C205" s="133" t="s">
        <v>450</v>
      </c>
      <c r="D205" s="133" t="s">
        <v>342</v>
      </c>
      <c r="E205" s="132" t="s">
        <v>375</v>
      </c>
      <c r="F205" s="132">
        <v>90</v>
      </c>
      <c r="G205" s="133" t="s">
        <v>376</v>
      </c>
      <c r="H205" s="133">
        <v>8</v>
      </c>
      <c r="I205" s="133" t="s">
        <v>417</v>
      </c>
      <c r="J205" s="132" t="s">
        <v>453</v>
      </c>
      <c r="K205" s="134" t="s">
        <v>379</v>
      </c>
      <c r="L205" s="132"/>
      <c r="M205" s="135">
        <f>0.666*USD_Inflation_Factor</f>
        <v>0.91045758943255695</v>
      </c>
      <c r="N205" s="136">
        <f t="shared" si="15"/>
        <v>7.2836607154604556</v>
      </c>
      <c r="O205" s="136">
        <f t="shared" si="16"/>
        <v>1327641.6855815353</v>
      </c>
    </row>
    <row r="206" spans="1:15" ht="20.100000000000001" customHeight="1">
      <c r="A206" s="132">
        <v>203</v>
      </c>
      <c r="B206" s="133" t="s">
        <v>373</v>
      </c>
      <c r="C206" s="133" t="s">
        <v>450</v>
      </c>
      <c r="D206" s="133" t="s">
        <v>342</v>
      </c>
      <c r="E206" s="132" t="s">
        <v>375</v>
      </c>
      <c r="F206" s="132">
        <v>85</v>
      </c>
      <c r="G206" s="133" t="s">
        <v>376</v>
      </c>
      <c r="H206" s="133">
        <v>408</v>
      </c>
      <c r="I206" s="133" t="s">
        <v>418</v>
      </c>
      <c r="J206" s="132" t="s">
        <v>378</v>
      </c>
      <c r="K206" s="134" t="s">
        <v>379</v>
      </c>
      <c r="L206" s="132"/>
      <c r="M206" s="135">
        <f>0.666*USD_Inflation_Factor</f>
        <v>0.91045758943255695</v>
      </c>
      <c r="N206" s="136">
        <f t="shared" si="15"/>
        <v>371.46669648848325</v>
      </c>
      <c r="O206" s="136">
        <f t="shared" si="16"/>
        <v>67709725.964658305</v>
      </c>
    </row>
    <row r="207" spans="1:15" ht="20.100000000000001" customHeight="1">
      <c r="A207" s="132">
        <v>204</v>
      </c>
      <c r="B207" s="133" t="s">
        <v>373</v>
      </c>
      <c r="C207" s="133" t="s">
        <v>450</v>
      </c>
      <c r="D207" s="133" t="s">
        <v>342</v>
      </c>
      <c r="E207" s="132" t="s">
        <v>375</v>
      </c>
      <c r="F207" s="132">
        <v>90</v>
      </c>
      <c r="G207" s="133" t="s">
        <v>376</v>
      </c>
      <c r="H207" s="133">
        <v>336</v>
      </c>
      <c r="I207" s="133" t="s">
        <v>418</v>
      </c>
      <c r="J207" s="132" t="s">
        <v>381</v>
      </c>
      <c r="K207" s="134" t="s">
        <v>379</v>
      </c>
      <c r="L207" s="132"/>
      <c r="M207" s="135">
        <f>0.666*USD_Inflation_Factor</f>
        <v>0.91045758943255695</v>
      </c>
      <c r="N207" s="136">
        <f t="shared" si="15"/>
        <v>305.91375004933911</v>
      </c>
      <c r="O207" s="136">
        <f t="shared" si="16"/>
        <v>55760950.794424482</v>
      </c>
    </row>
    <row r="208" spans="1:15" ht="20.100000000000001" customHeight="1">
      <c r="A208" s="132">
        <v>205</v>
      </c>
      <c r="B208" s="133" t="s">
        <v>373</v>
      </c>
      <c r="C208" s="133" t="s">
        <v>450</v>
      </c>
      <c r="D208" s="133" t="s">
        <v>342</v>
      </c>
      <c r="E208" s="132" t="s">
        <v>375</v>
      </c>
      <c r="F208" s="132">
        <v>90</v>
      </c>
      <c r="G208" s="133" t="s">
        <v>376</v>
      </c>
      <c r="H208" s="133">
        <v>368</v>
      </c>
      <c r="I208" s="133" t="s">
        <v>418</v>
      </c>
      <c r="J208" s="132" t="s">
        <v>382</v>
      </c>
      <c r="K208" s="134" t="s">
        <v>379</v>
      </c>
      <c r="L208" s="132"/>
      <c r="M208" s="135">
        <f>0.666*USD_Inflation_Factor</f>
        <v>0.91045758943255695</v>
      </c>
      <c r="N208" s="136">
        <f t="shared" si="15"/>
        <v>335.04839291118094</v>
      </c>
      <c r="O208" s="136">
        <f t="shared" si="16"/>
        <v>61071517.536750622</v>
      </c>
    </row>
    <row r="209" spans="1:15" ht="20.100000000000001" customHeight="1">
      <c r="A209" s="132">
        <v>206</v>
      </c>
      <c r="B209" s="133" t="s">
        <v>373</v>
      </c>
      <c r="C209" s="133" t="s">
        <v>450</v>
      </c>
      <c r="D209" s="133" t="s">
        <v>342</v>
      </c>
      <c r="E209" s="132" t="s">
        <v>383</v>
      </c>
      <c r="F209" s="132">
        <v>105</v>
      </c>
      <c r="G209" s="133" t="s">
        <v>376</v>
      </c>
      <c r="H209" s="133">
        <v>168</v>
      </c>
      <c r="I209" s="133" t="s">
        <v>418</v>
      </c>
      <c r="J209" s="132" t="s">
        <v>384</v>
      </c>
      <c r="K209" s="134" t="s">
        <v>379</v>
      </c>
      <c r="L209" s="132"/>
      <c r="M209" s="135">
        <f>1.143*USD_Inflation_Factor</f>
        <v>1.5625420791612801</v>
      </c>
      <c r="N209" s="136">
        <f t="shared" si="15"/>
        <v>262.50706929909506</v>
      </c>
      <c r="O209" s="136">
        <f t="shared" si="16"/>
        <v>47848923.992512904</v>
      </c>
    </row>
    <row r="210" spans="1:15" ht="20.100000000000001" customHeight="1">
      <c r="A210" s="132">
        <v>207</v>
      </c>
      <c r="B210" s="133" t="s">
        <v>373</v>
      </c>
      <c r="C210" s="133" t="s">
        <v>450</v>
      </c>
      <c r="D210" s="133" t="s">
        <v>342</v>
      </c>
      <c r="E210" s="132" t="s">
        <v>383</v>
      </c>
      <c r="F210" s="132">
        <v>110</v>
      </c>
      <c r="G210" s="133" t="s">
        <v>376</v>
      </c>
      <c r="H210" s="133">
        <v>80</v>
      </c>
      <c r="I210" s="133" t="s">
        <v>418</v>
      </c>
      <c r="J210" s="132" t="s">
        <v>385</v>
      </c>
      <c r="K210" s="134" t="s">
        <v>379</v>
      </c>
      <c r="L210" s="132"/>
      <c r="M210" s="135">
        <f>1.143*USD_Inflation_Factor</f>
        <v>1.5625420791612801</v>
      </c>
      <c r="N210" s="136">
        <f t="shared" si="15"/>
        <v>125.0033663329024</v>
      </c>
      <c r="O210" s="136">
        <f t="shared" si="16"/>
        <v>22785201.901196618</v>
      </c>
    </row>
    <row r="211" spans="1:15" ht="20.100000000000001" customHeight="1">
      <c r="A211" s="132">
        <v>208</v>
      </c>
      <c r="B211" s="133" t="s">
        <v>373</v>
      </c>
      <c r="C211" s="133" t="s">
        <v>450</v>
      </c>
      <c r="D211" s="133" t="s">
        <v>342</v>
      </c>
      <c r="E211" s="132" t="s">
        <v>375</v>
      </c>
      <c r="F211" s="132">
        <v>85</v>
      </c>
      <c r="G211" s="133" t="s">
        <v>376</v>
      </c>
      <c r="H211" s="133">
        <v>372</v>
      </c>
      <c r="I211" s="133" t="s">
        <v>419</v>
      </c>
      <c r="J211" s="132" t="s">
        <v>378</v>
      </c>
      <c r="K211" s="134" t="s">
        <v>379</v>
      </c>
      <c r="L211" s="132"/>
      <c r="M211" s="135">
        <f>0.666*USD_Inflation_Factor</f>
        <v>0.91045758943255695</v>
      </c>
      <c r="N211" s="136">
        <f t="shared" si="15"/>
        <v>338.69022326891121</v>
      </c>
      <c r="O211" s="136">
        <f t="shared" si="16"/>
        <v>61735338.379541397</v>
      </c>
    </row>
    <row r="212" spans="1:15" ht="20.100000000000001" customHeight="1">
      <c r="A212" s="132">
        <v>209</v>
      </c>
      <c r="B212" s="133" t="s">
        <v>373</v>
      </c>
      <c r="C212" s="133" t="s">
        <v>450</v>
      </c>
      <c r="D212" s="133" t="s">
        <v>342</v>
      </c>
      <c r="E212" s="132" t="s">
        <v>375</v>
      </c>
      <c r="F212" s="132">
        <v>90</v>
      </c>
      <c r="G212" s="133" t="s">
        <v>376</v>
      </c>
      <c r="H212" s="133">
        <v>352</v>
      </c>
      <c r="I212" s="133" t="s">
        <v>419</v>
      </c>
      <c r="J212" s="132" t="s">
        <v>381</v>
      </c>
      <c r="K212" s="134" t="s">
        <v>379</v>
      </c>
      <c r="L212" s="132"/>
      <c r="M212" s="135">
        <f>0.666*USD_Inflation_Factor</f>
        <v>0.91045758943255695</v>
      </c>
      <c r="N212" s="136">
        <f t="shared" si="15"/>
        <v>320.48107148026003</v>
      </c>
      <c r="O212" s="136">
        <f t="shared" si="16"/>
        <v>58416234.165587552</v>
      </c>
    </row>
    <row r="213" spans="1:15" ht="20.100000000000001" customHeight="1">
      <c r="A213" s="132">
        <v>210</v>
      </c>
      <c r="B213" s="133" t="s">
        <v>373</v>
      </c>
      <c r="C213" s="133" t="s">
        <v>450</v>
      </c>
      <c r="D213" s="133" t="s">
        <v>342</v>
      </c>
      <c r="E213" s="132" t="s">
        <v>375</v>
      </c>
      <c r="F213" s="132">
        <v>90</v>
      </c>
      <c r="G213" s="133" t="s">
        <v>376</v>
      </c>
      <c r="H213" s="133">
        <v>272</v>
      </c>
      <c r="I213" s="133" t="s">
        <v>419</v>
      </c>
      <c r="J213" s="132" t="s">
        <v>382</v>
      </c>
      <c r="K213" s="134" t="s">
        <v>379</v>
      </c>
      <c r="L213" s="132"/>
      <c r="M213" s="135">
        <f>0.666*USD_Inflation_Factor</f>
        <v>0.91045758943255695</v>
      </c>
      <c r="N213" s="136">
        <f t="shared" si="15"/>
        <v>247.64446432565549</v>
      </c>
      <c r="O213" s="136">
        <f t="shared" si="16"/>
        <v>45139817.309772193</v>
      </c>
    </row>
    <row r="214" spans="1:15" ht="20.100000000000001" customHeight="1">
      <c r="A214" s="132">
        <v>211</v>
      </c>
      <c r="B214" s="133" t="s">
        <v>373</v>
      </c>
      <c r="C214" s="133" t="s">
        <v>450</v>
      </c>
      <c r="D214" s="133" t="s">
        <v>342</v>
      </c>
      <c r="E214" s="132" t="s">
        <v>383</v>
      </c>
      <c r="F214" s="132">
        <v>105</v>
      </c>
      <c r="G214" s="133" t="s">
        <v>376</v>
      </c>
      <c r="H214" s="133">
        <v>392</v>
      </c>
      <c r="I214" s="133" t="s">
        <v>419</v>
      </c>
      <c r="J214" s="132" t="s">
        <v>384</v>
      </c>
      <c r="K214" s="134" t="s">
        <v>379</v>
      </c>
      <c r="L214" s="132"/>
      <c r="M214" s="135">
        <f>1.143*USD_Inflation_Factor</f>
        <v>1.5625420791612801</v>
      </c>
      <c r="N214" s="136">
        <f t="shared" si="15"/>
        <v>612.51649503122178</v>
      </c>
      <c r="O214" s="136">
        <f t="shared" si="16"/>
        <v>111647489.31586343</v>
      </c>
    </row>
    <row r="215" spans="1:15" ht="20.100000000000001" customHeight="1">
      <c r="A215" s="132">
        <v>212</v>
      </c>
      <c r="B215" s="133" t="s">
        <v>373</v>
      </c>
      <c r="C215" s="133" t="s">
        <v>450</v>
      </c>
      <c r="D215" s="133" t="s">
        <v>342</v>
      </c>
      <c r="E215" s="132" t="s">
        <v>383</v>
      </c>
      <c r="F215" s="132">
        <v>110</v>
      </c>
      <c r="G215" s="133" t="s">
        <v>376</v>
      </c>
      <c r="H215" s="133">
        <v>528</v>
      </c>
      <c r="I215" s="133" t="s">
        <v>419</v>
      </c>
      <c r="J215" s="132" t="s">
        <v>385</v>
      </c>
      <c r="K215" s="134" t="s">
        <v>379</v>
      </c>
      <c r="L215" s="132"/>
      <c r="M215" s="135">
        <f>1.143*USD_Inflation_Factor</f>
        <v>1.5625420791612801</v>
      </c>
      <c r="N215" s="136">
        <f t="shared" si="15"/>
        <v>825.02221779715592</v>
      </c>
      <c r="O215" s="136">
        <f t="shared" si="16"/>
        <v>150382332.54789767</v>
      </c>
    </row>
    <row r="216" spans="1:15" ht="20.100000000000001" customHeight="1">
      <c r="A216" s="132">
        <v>213</v>
      </c>
      <c r="B216" s="133" t="s">
        <v>373</v>
      </c>
      <c r="C216" s="133" t="s">
        <v>450</v>
      </c>
      <c r="D216" s="133" t="s">
        <v>342</v>
      </c>
      <c r="E216" s="132" t="s">
        <v>386</v>
      </c>
      <c r="F216" s="132">
        <v>115</v>
      </c>
      <c r="G216" s="133" t="s">
        <v>376</v>
      </c>
      <c r="H216" s="133">
        <v>1428</v>
      </c>
      <c r="I216" s="133" t="s">
        <v>419</v>
      </c>
      <c r="J216" s="132" t="s">
        <v>387</v>
      </c>
      <c r="K216" s="134" t="s">
        <v>379</v>
      </c>
      <c r="L216" s="132"/>
      <c r="M216" s="135">
        <f>1.734*USD_Inflation_Factor</f>
        <v>2.3704706607748554</v>
      </c>
      <c r="N216" s="136">
        <f t="shared" si="15"/>
        <v>3385.0321035864936</v>
      </c>
      <c r="O216" s="136">
        <f t="shared" si="16"/>
        <v>617012502.82208896</v>
      </c>
    </row>
    <row r="217" spans="1:15" ht="20.100000000000001" customHeight="1">
      <c r="A217" s="132">
        <v>214</v>
      </c>
      <c r="B217" s="133" t="s">
        <v>373</v>
      </c>
      <c r="C217" s="133" t="s">
        <v>450</v>
      </c>
      <c r="D217" s="133" t="s">
        <v>342</v>
      </c>
      <c r="E217" s="132" t="s">
        <v>386</v>
      </c>
      <c r="F217" s="132">
        <v>125</v>
      </c>
      <c r="G217" s="133" t="s">
        <v>376</v>
      </c>
      <c r="H217" s="133">
        <v>96</v>
      </c>
      <c r="I217" s="133" t="s">
        <v>419</v>
      </c>
      <c r="J217" s="132" t="s">
        <v>388</v>
      </c>
      <c r="K217" s="134" t="s">
        <v>379</v>
      </c>
      <c r="L217" s="132"/>
      <c r="M217" s="135">
        <f>1.812*USD_Inflation_Factor</f>
        <v>2.4771008289065963</v>
      </c>
      <c r="N217" s="136">
        <f t="shared" si="15"/>
        <v>237.80167957503323</v>
      </c>
      <c r="O217" s="136">
        <f t="shared" si="16"/>
        <v>43345706.923851199</v>
      </c>
    </row>
    <row r="218" spans="1:15" ht="20.100000000000001" customHeight="1">
      <c r="A218" s="132">
        <v>215</v>
      </c>
      <c r="B218" s="133" t="s">
        <v>373</v>
      </c>
      <c r="C218" s="133" t="s">
        <v>450</v>
      </c>
      <c r="D218" s="133" t="s">
        <v>342</v>
      </c>
      <c r="E218" s="132" t="s">
        <v>386</v>
      </c>
      <c r="F218" s="132">
        <v>125</v>
      </c>
      <c r="G218" s="133" t="s">
        <v>376</v>
      </c>
      <c r="H218" s="133">
        <v>1224</v>
      </c>
      <c r="I218" s="133" t="s">
        <v>419</v>
      </c>
      <c r="J218" s="132" t="s">
        <v>388</v>
      </c>
      <c r="K218" s="134" t="s">
        <v>379</v>
      </c>
      <c r="L218" s="132"/>
      <c r="M218" s="135">
        <f>1.812*USD_Inflation_Factor</f>
        <v>2.4771008289065963</v>
      </c>
      <c r="N218" s="136">
        <f t="shared" si="15"/>
        <v>3031.9714145816738</v>
      </c>
      <c r="O218" s="136">
        <f t="shared" si="16"/>
        <v>552657763.2791028</v>
      </c>
    </row>
    <row r="219" spans="1:15" ht="20.100000000000001" customHeight="1">
      <c r="A219" s="132">
        <v>216</v>
      </c>
      <c r="B219" s="133" t="s">
        <v>373</v>
      </c>
      <c r="C219" s="133" t="s">
        <v>450</v>
      </c>
      <c r="D219" s="133" t="s">
        <v>342</v>
      </c>
      <c r="E219" s="132" t="s">
        <v>420</v>
      </c>
      <c r="F219" s="132">
        <v>135</v>
      </c>
      <c r="G219" s="133" t="s">
        <v>376</v>
      </c>
      <c r="H219" s="133">
        <v>192</v>
      </c>
      <c r="I219" s="133" t="s">
        <v>419</v>
      </c>
      <c r="J219" s="132" t="s">
        <v>421</v>
      </c>
      <c r="K219" s="134" t="s">
        <v>379</v>
      </c>
      <c r="L219" s="132"/>
      <c r="M219" s="135">
        <f>2.562*USD_Inflation_Factor</f>
        <v>3.5023909070964123</v>
      </c>
      <c r="N219" s="136">
        <f t="shared" si="15"/>
        <v>672.45905416251117</v>
      </c>
      <c r="O219" s="136">
        <f t="shared" si="16"/>
        <v>122573621.56612226</v>
      </c>
    </row>
    <row r="220" spans="1:15" ht="20.100000000000001" customHeight="1">
      <c r="A220" s="132">
        <v>217</v>
      </c>
      <c r="B220" s="133" t="s">
        <v>373</v>
      </c>
      <c r="C220" s="133" t="s">
        <v>450</v>
      </c>
      <c r="D220" s="133" t="s">
        <v>342</v>
      </c>
      <c r="E220" s="132" t="s">
        <v>422</v>
      </c>
      <c r="F220" s="132">
        <v>150</v>
      </c>
      <c r="G220" s="133" t="s">
        <v>376</v>
      </c>
      <c r="H220" s="133">
        <v>64</v>
      </c>
      <c r="I220" s="133" t="s">
        <v>419</v>
      </c>
      <c r="J220" s="132" t="s">
        <v>454</v>
      </c>
      <c r="K220" s="134" t="s">
        <v>379</v>
      </c>
      <c r="L220" s="132"/>
      <c r="M220" s="135">
        <f>3.57*USD_Inflation_Factor</f>
        <v>4.8803807721835257</v>
      </c>
      <c r="N220" s="136">
        <f t="shared" si="15"/>
        <v>312.34436941974565</v>
      </c>
      <c r="O220" s="136">
        <f t="shared" si="16"/>
        <v>56933102.913226195</v>
      </c>
    </row>
    <row r="221" spans="1:15" ht="20.100000000000001" customHeight="1">
      <c r="A221" s="132">
        <v>218</v>
      </c>
      <c r="B221" s="133" t="s">
        <v>373</v>
      </c>
      <c r="C221" s="133" t="s">
        <v>450</v>
      </c>
      <c r="D221" s="133" t="s">
        <v>342</v>
      </c>
      <c r="E221" s="132" t="s">
        <v>422</v>
      </c>
      <c r="F221" s="132">
        <v>160</v>
      </c>
      <c r="G221" s="133" t="s">
        <v>376</v>
      </c>
      <c r="H221" s="133">
        <v>340</v>
      </c>
      <c r="I221" s="133" t="s">
        <v>419</v>
      </c>
      <c r="J221" s="132" t="s">
        <v>423</v>
      </c>
      <c r="K221" s="134" t="s">
        <v>379</v>
      </c>
      <c r="L221" s="132"/>
      <c r="M221" s="135">
        <f>3.69*USD_Inflation_Factor</f>
        <v>5.0444271846938964</v>
      </c>
      <c r="N221" s="136">
        <f t="shared" si="15"/>
        <v>1715.1052427959248</v>
      </c>
      <c r="O221" s="136">
        <f t="shared" si="16"/>
        <v>312623734.74673319</v>
      </c>
    </row>
    <row r="222" spans="1:15" ht="20.100000000000001" customHeight="1">
      <c r="A222" s="132">
        <v>219</v>
      </c>
      <c r="B222" s="133" t="s">
        <v>373</v>
      </c>
      <c r="C222" s="133" t="s">
        <v>450</v>
      </c>
      <c r="D222" s="133" t="s">
        <v>342</v>
      </c>
      <c r="E222" s="132" t="s">
        <v>430</v>
      </c>
      <c r="F222" s="132">
        <v>230</v>
      </c>
      <c r="G222" s="133" t="s">
        <v>376</v>
      </c>
      <c r="H222" s="133">
        <v>24</v>
      </c>
      <c r="I222" s="133" t="s">
        <v>419</v>
      </c>
      <c r="J222" s="132" t="s">
        <v>455</v>
      </c>
      <c r="K222" s="134" t="s">
        <v>379</v>
      </c>
      <c r="L222" s="132"/>
      <c r="M222" s="135">
        <f>5.88*USD_Inflation_Factor</f>
        <v>8.0382742130081599</v>
      </c>
      <c r="N222" s="136">
        <f t="shared" si="15"/>
        <v>192.91858111219585</v>
      </c>
      <c r="O222" s="136">
        <f t="shared" si="16"/>
        <v>35164563.564051472</v>
      </c>
    </row>
    <row r="223" spans="1:15" ht="20.100000000000001" customHeight="1">
      <c r="A223" s="132">
        <v>220</v>
      </c>
      <c r="B223" s="133" t="s">
        <v>373</v>
      </c>
      <c r="C223" s="133" t="s">
        <v>450</v>
      </c>
      <c r="D223" s="133" t="s">
        <v>342</v>
      </c>
      <c r="E223" s="132" t="s">
        <v>398</v>
      </c>
      <c r="F223" s="132">
        <v>70</v>
      </c>
      <c r="G223" s="133" t="s">
        <v>376</v>
      </c>
      <c r="H223" s="133">
        <v>72</v>
      </c>
      <c r="I223" s="133" t="s">
        <v>419</v>
      </c>
      <c r="J223" s="132" t="s">
        <v>452</v>
      </c>
      <c r="K223" s="134" t="s">
        <v>379</v>
      </c>
      <c r="L223" s="132"/>
      <c r="M223" s="135">
        <f>0.348*USD_Inflation_Factor</f>
        <v>0.47573459628007475</v>
      </c>
      <c r="N223" s="136">
        <f t="shared" si="15"/>
        <v>34.252890932165386</v>
      </c>
      <c r="O223" s="136">
        <f t="shared" si="16"/>
        <v>6243504.1430050582</v>
      </c>
    </row>
    <row r="224" spans="1:15" ht="20.100000000000001" customHeight="1">
      <c r="A224" s="132">
        <v>221</v>
      </c>
      <c r="B224" s="133" t="s">
        <v>373</v>
      </c>
      <c r="C224" s="133" t="s">
        <v>450</v>
      </c>
      <c r="D224" s="133" t="s">
        <v>342</v>
      </c>
      <c r="E224" s="132" t="s">
        <v>375</v>
      </c>
      <c r="F224" s="132">
        <v>90</v>
      </c>
      <c r="G224" s="133" t="s">
        <v>376</v>
      </c>
      <c r="H224" s="133">
        <v>16</v>
      </c>
      <c r="I224" s="133" t="s">
        <v>419</v>
      </c>
      <c r="J224" s="132" t="s">
        <v>453</v>
      </c>
      <c r="K224" s="134" t="s">
        <v>379</v>
      </c>
      <c r="L224" s="132"/>
      <c r="M224" s="135">
        <f>0.666*USD_Inflation_Factor</f>
        <v>0.91045758943255695</v>
      </c>
      <c r="N224" s="136">
        <f t="shared" si="15"/>
        <v>14.567321430920911</v>
      </c>
      <c r="O224" s="136">
        <f t="shared" si="16"/>
        <v>2655283.3711630707</v>
      </c>
    </row>
    <row r="225" spans="1:15" ht="20.100000000000001" customHeight="1">
      <c r="A225" s="132">
        <v>222</v>
      </c>
      <c r="B225" s="133" t="s">
        <v>373</v>
      </c>
      <c r="C225" s="133" t="s">
        <v>450</v>
      </c>
      <c r="D225" s="133" t="s">
        <v>342</v>
      </c>
      <c r="E225" s="132" t="s">
        <v>375</v>
      </c>
      <c r="F225" s="132">
        <v>85</v>
      </c>
      <c r="G225" s="133" t="s">
        <v>376</v>
      </c>
      <c r="H225" s="133">
        <v>56</v>
      </c>
      <c r="I225" s="133" t="s">
        <v>456</v>
      </c>
      <c r="J225" s="132" t="s">
        <v>378</v>
      </c>
      <c r="K225" s="134" t="s">
        <v>379</v>
      </c>
      <c r="L225" s="132" t="s">
        <v>380</v>
      </c>
      <c r="M225" s="135">
        <f>0.888*USD_Inflation_Factor</f>
        <v>1.2139434525767425</v>
      </c>
      <c r="N225" s="136">
        <f t="shared" si="15"/>
        <v>67.980833344297579</v>
      </c>
      <c r="O225" s="136">
        <f t="shared" si="16"/>
        <v>12391322.398760995</v>
      </c>
    </row>
    <row r="226" spans="1:15" ht="20.100000000000001" customHeight="1">
      <c r="A226" s="132">
        <v>223</v>
      </c>
      <c r="B226" s="133" t="s">
        <v>373</v>
      </c>
      <c r="C226" s="133" t="s">
        <v>450</v>
      </c>
      <c r="D226" s="133" t="s">
        <v>342</v>
      </c>
      <c r="E226" s="132" t="s">
        <v>375</v>
      </c>
      <c r="F226" s="132">
        <v>90</v>
      </c>
      <c r="G226" s="133" t="s">
        <v>376</v>
      </c>
      <c r="H226" s="133">
        <v>40</v>
      </c>
      <c r="I226" s="133" t="s">
        <v>456</v>
      </c>
      <c r="J226" s="132" t="s">
        <v>381</v>
      </c>
      <c r="K226" s="134" t="s">
        <v>379</v>
      </c>
      <c r="L226" s="132" t="s">
        <v>380</v>
      </c>
      <c r="M226" s="135">
        <f>0.888*USD_Inflation_Factor</f>
        <v>1.2139434525767425</v>
      </c>
      <c r="N226" s="136">
        <f t="shared" si="15"/>
        <v>48.557738103069703</v>
      </c>
      <c r="O226" s="136">
        <f t="shared" si="16"/>
        <v>8850944.5705435686</v>
      </c>
    </row>
    <row r="227" spans="1:15" ht="20.100000000000001" customHeight="1">
      <c r="A227" s="132">
        <v>224</v>
      </c>
      <c r="B227" s="133" t="s">
        <v>389</v>
      </c>
      <c r="C227" s="133" t="s">
        <v>450</v>
      </c>
      <c r="D227" s="133" t="s">
        <v>393</v>
      </c>
      <c r="E227" s="132">
        <v>1</v>
      </c>
      <c r="F227" s="132" t="s">
        <v>342</v>
      </c>
      <c r="G227" s="133" t="s">
        <v>376</v>
      </c>
      <c r="H227" s="133">
        <v>2</v>
      </c>
      <c r="I227" s="133" t="s">
        <v>417</v>
      </c>
      <c r="J227" s="132" t="s">
        <v>435</v>
      </c>
      <c r="K227" s="132" t="s">
        <v>433</v>
      </c>
      <c r="L227" s="132"/>
      <c r="M227" s="135">
        <f>4.3*USD_Inflation_Factor</f>
        <v>5.8783297816216136</v>
      </c>
      <c r="N227" s="136">
        <f t="shared" si="15"/>
        <v>11.756659563243227</v>
      </c>
      <c r="O227" s="136">
        <f t="shared" ref="O227:O290" si="17">0.25*N227*USD_Change_IRR * per_Euro</f>
        <v>1339353.2394896306</v>
      </c>
    </row>
    <row r="228" spans="1:15" ht="20.100000000000001" customHeight="1">
      <c r="A228" s="132">
        <v>225</v>
      </c>
      <c r="B228" s="133" t="s">
        <v>389</v>
      </c>
      <c r="C228" s="133" t="s">
        <v>450</v>
      </c>
      <c r="D228" s="133" t="s">
        <v>393</v>
      </c>
      <c r="E228" s="132">
        <v>2</v>
      </c>
      <c r="F228" s="132" t="s">
        <v>342</v>
      </c>
      <c r="G228" s="133" t="s">
        <v>376</v>
      </c>
      <c r="H228" s="133">
        <v>62</v>
      </c>
      <c r="I228" s="133" t="s">
        <v>417</v>
      </c>
      <c r="J228" s="132" t="s">
        <v>432</v>
      </c>
      <c r="K228" s="132" t="s">
        <v>433</v>
      </c>
      <c r="L228" s="132"/>
      <c r="M228" s="135">
        <f>2.06*USD_Inflation_Factor</f>
        <v>2.816130081428029</v>
      </c>
      <c r="N228" s="136">
        <f t="shared" si="15"/>
        <v>174.6000650485378</v>
      </c>
      <c r="O228" s="136">
        <f t="shared" si="17"/>
        <v>19890952.993908793</v>
      </c>
    </row>
    <row r="229" spans="1:15" ht="20.100000000000001" customHeight="1">
      <c r="A229" s="132">
        <v>226</v>
      </c>
      <c r="B229" s="133" t="s">
        <v>389</v>
      </c>
      <c r="C229" s="133" t="s">
        <v>450</v>
      </c>
      <c r="D229" s="133" t="s">
        <v>393</v>
      </c>
      <c r="E229" s="132">
        <v>3</v>
      </c>
      <c r="F229" s="132" t="s">
        <v>342</v>
      </c>
      <c r="G229" s="133" t="s">
        <v>376</v>
      </c>
      <c r="H229" s="133">
        <v>59</v>
      </c>
      <c r="I229" s="133" t="s">
        <v>417</v>
      </c>
      <c r="J229" s="132" t="s">
        <v>432</v>
      </c>
      <c r="K229" s="132" t="s">
        <v>433</v>
      </c>
      <c r="L229" s="132"/>
      <c r="M229" s="135">
        <f>5.13*USD_Inflation_Factor</f>
        <v>7.0129841348183435</v>
      </c>
      <c r="N229" s="136">
        <f t="shared" si="15"/>
        <v>413.76606395428229</v>
      </c>
      <c r="O229" s="136">
        <f t="shared" si="17"/>
        <v>47137447.092596106</v>
      </c>
    </row>
    <row r="230" spans="1:15" ht="20.100000000000001" customHeight="1">
      <c r="A230" s="132">
        <v>227</v>
      </c>
      <c r="B230" s="133" t="s">
        <v>389</v>
      </c>
      <c r="C230" s="133" t="s">
        <v>450</v>
      </c>
      <c r="D230" s="133" t="s">
        <v>393</v>
      </c>
      <c r="E230" s="132">
        <v>4</v>
      </c>
      <c r="F230" s="132" t="s">
        <v>342</v>
      </c>
      <c r="G230" s="133" t="s">
        <v>376</v>
      </c>
      <c r="H230" s="133">
        <v>42</v>
      </c>
      <c r="I230" s="133" t="s">
        <v>417</v>
      </c>
      <c r="J230" s="132" t="s">
        <v>432</v>
      </c>
      <c r="K230" s="132" t="s">
        <v>433</v>
      </c>
      <c r="L230" s="132"/>
      <c r="M230" s="135">
        <f>9.68*USD_Inflation_Factor</f>
        <v>13.233077275836562</v>
      </c>
      <c r="N230" s="136">
        <f t="shared" si="15"/>
        <v>555.78924558513563</v>
      </c>
      <c r="O230" s="136">
        <f t="shared" si="17"/>
        <v>63317145.703128397</v>
      </c>
    </row>
    <row r="231" spans="1:15" ht="20.100000000000001" customHeight="1">
      <c r="A231" s="132">
        <v>228</v>
      </c>
      <c r="B231" s="133" t="s">
        <v>389</v>
      </c>
      <c r="C231" s="133" t="s">
        <v>450</v>
      </c>
      <c r="D231" s="133" t="s">
        <v>393</v>
      </c>
      <c r="E231" s="132">
        <v>6</v>
      </c>
      <c r="F231" s="132" t="s">
        <v>342</v>
      </c>
      <c r="G231" s="133" t="s">
        <v>376</v>
      </c>
      <c r="H231" s="133">
        <v>9</v>
      </c>
      <c r="I231" s="133" t="s">
        <v>417</v>
      </c>
      <c r="J231" s="132" t="s">
        <v>432</v>
      </c>
      <c r="K231" s="132" t="s">
        <v>433</v>
      </c>
      <c r="L231" s="132"/>
      <c r="M231" s="135">
        <f>25.4*USD_Inflation_Factor</f>
        <v>34.723157314695115</v>
      </c>
      <c r="N231" s="136">
        <f t="shared" si="15"/>
        <v>312.50841583225605</v>
      </c>
      <c r="O231" s="136">
        <f t="shared" si="17"/>
        <v>35601877.970619723</v>
      </c>
    </row>
    <row r="232" spans="1:15" ht="20.100000000000001" customHeight="1">
      <c r="A232" s="132">
        <v>229</v>
      </c>
      <c r="B232" s="133" t="s">
        <v>389</v>
      </c>
      <c r="C232" s="133" t="s">
        <v>450</v>
      </c>
      <c r="D232" s="133" t="s">
        <v>393</v>
      </c>
      <c r="E232" s="132">
        <v>2</v>
      </c>
      <c r="F232" s="132">
        <v>3</v>
      </c>
      <c r="G232" s="133" t="s">
        <v>376</v>
      </c>
      <c r="H232" s="133">
        <v>2</v>
      </c>
      <c r="I232" s="133" t="s">
        <v>418</v>
      </c>
      <c r="J232" s="132" t="s">
        <v>434</v>
      </c>
      <c r="K232" s="132" t="s">
        <v>433</v>
      </c>
      <c r="L232" s="132"/>
      <c r="M232" s="135">
        <f>2.06*USD_Inflation_Factor</f>
        <v>2.816130081428029</v>
      </c>
      <c r="N232" s="136">
        <f t="shared" si="15"/>
        <v>5.632260162856058</v>
      </c>
      <c r="O232" s="136">
        <f t="shared" si="17"/>
        <v>641643.64496479987</v>
      </c>
    </row>
    <row r="233" spans="1:15" ht="20.100000000000001" customHeight="1">
      <c r="A233" s="132">
        <v>230</v>
      </c>
      <c r="B233" s="133" t="s">
        <v>389</v>
      </c>
      <c r="C233" s="133" t="s">
        <v>450</v>
      </c>
      <c r="D233" s="133" t="s">
        <v>393</v>
      </c>
      <c r="E233" s="132">
        <v>2</v>
      </c>
      <c r="F233" s="132" t="s">
        <v>342</v>
      </c>
      <c r="G233" s="133" t="s">
        <v>376</v>
      </c>
      <c r="H233" s="133">
        <v>89</v>
      </c>
      <c r="I233" s="133" t="s">
        <v>418</v>
      </c>
      <c r="J233" s="132" t="s">
        <v>434</v>
      </c>
      <c r="K233" s="132" t="s">
        <v>433</v>
      </c>
      <c r="L233" s="132"/>
      <c r="M233" s="135">
        <f>2.06*USD_Inflation_Factor</f>
        <v>2.816130081428029</v>
      </c>
      <c r="N233" s="136">
        <f t="shared" si="15"/>
        <v>250.63557724709457</v>
      </c>
      <c r="O233" s="136">
        <f t="shared" si="17"/>
        <v>28553142.200933591</v>
      </c>
    </row>
    <row r="234" spans="1:15" ht="20.100000000000001" customHeight="1">
      <c r="A234" s="132">
        <v>231</v>
      </c>
      <c r="B234" s="133" t="s">
        <v>389</v>
      </c>
      <c r="C234" s="133" t="s">
        <v>450</v>
      </c>
      <c r="D234" s="133" t="s">
        <v>393</v>
      </c>
      <c r="E234" s="132">
        <v>3</v>
      </c>
      <c r="F234" s="132" t="s">
        <v>342</v>
      </c>
      <c r="G234" s="133" t="s">
        <v>376</v>
      </c>
      <c r="H234" s="133">
        <v>77</v>
      </c>
      <c r="I234" s="133" t="s">
        <v>418</v>
      </c>
      <c r="J234" s="132" t="s">
        <v>435</v>
      </c>
      <c r="K234" s="132" t="s">
        <v>433</v>
      </c>
      <c r="L234" s="132"/>
      <c r="M234" s="135">
        <f>5.13*USD_Inflation_Factor</f>
        <v>7.0129841348183435</v>
      </c>
      <c r="N234" s="136">
        <f t="shared" si="15"/>
        <v>539.99977838101245</v>
      </c>
      <c r="O234" s="136">
        <f t="shared" si="17"/>
        <v>61518363.154744066</v>
      </c>
    </row>
    <row r="235" spans="1:15" ht="20.100000000000001" customHeight="1">
      <c r="A235" s="132">
        <v>232</v>
      </c>
      <c r="B235" s="133" t="s">
        <v>389</v>
      </c>
      <c r="C235" s="133" t="s">
        <v>450</v>
      </c>
      <c r="D235" s="133" t="s">
        <v>393</v>
      </c>
      <c r="E235" s="132">
        <v>4</v>
      </c>
      <c r="F235" s="132" t="s">
        <v>342</v>
      </c>
      <c r="G235" s="133" t="s">
        <v>376</v>
      </c>
      <c r="H235" s="133">
        <v>43</v>
      </c>
      <c r="I235" s="133" t="s">
        <v>418</v>
      </c>
      <c r="J235" s="132" t="s">
        <v>435</v>
      </c>
      <c r="K235" s="132" t="s">
        <v>433</v>
      </c>
      <c r="L235" s="132"/>
      <c r="M235" s="135">
        <f>9.68*USD_Inflation_Factor</f>
        <v>13.233077275836562</v>
      </c>
      <c r="N235" s="136">
        <f t="shared" si="15"/>
        <v>569.02232286097217</v>
      </c>
      <c r="O235" s="136">
        <f t="shared" si="17"/>
        <v>64824696.791298114</v>
      </c>
    </row>
    <row r="236" spans="1:15" ht="20.100000000000001" customHeight="1">
      <c r="A236" s="132">
        <v>233</v>
      </c>
      <c r="B236" s="133" t="s">
        <v>389</v>
      </c>
      <c r="C236" s="133" t="s">
        <v>450</v>
      </c>
      <c r="D236" s="133" t="s">
        <v>393</v>
      </c>
      <c r="E236" s="132">
        <v>6</v>
      </c>
      <c r="F236" s="132" t="s">
        <v>342</v>
      </c>
      <c r="G236" s="133" t="s">
        <v>376</v>
      </c>
      <c r="H236" s="133">
        <v>40</v>
      </c>
      <c r="I236" s="133" t="s">
        <v>418</v>
      </c>
      <c r="J236" s="132" t="s">
        <v>435</v>
      </c>
      <c r="K236" s="132" t="s">
        <v>433</v>
      </c>
      <c r="L236" s="132"/>
      <c r="M236" s="135">
        <f>25.4*USD_Inflation_Factor</f>
        <v>34.723157314695115</v>
      </c>
      <c r="N236" s="136">
        <f t="shared" si="15"/>
        <v>1388.9262925878047</v>
      </c>
      <c r="O236" s="136">
        <f t="shared" si="17"/>
        <v>158230568.75830987</v>
      </c>
    </row>
    <row r="237" spans="1:15" ht="20.100000000000001" customHeight="1">
      <c r="A237" s="132">
        <v>234</v>
      </c>
      <c r="B237" s="133" t="s">
        <v>389</v>
      </c>
      <c r="C237" s="133" t="s">
        <v>450</v>
      </c>
      <c r="D237" s="133" t="s">
        <v>393</v>
      </c>
      <c r="E237" s="132">
        <v>8</v>
      </c>
      <c r="F237" s="132" t="s">
        <v>342</v>
      </c>
      <c r="G237" s="133" t="s">
        <v>376</v>
      </c>
      <c r="H237" s="133">
        <v>13</v>
      </c>
      <c r="I237" s="133" t="s">
        <v>418</v>
      </c>
      <c r="J237" s="132" t="s">
        <v>439</v>
      </c>
      <c r="K237" s="132" t="s">
        <v>433</v>
      </c>
      <c r="L237" s="132"/>
      <c r="M237" s="135">
        <f>39.99*USD_Inflation_Factor</f>
        <v>54.66846696908101</v>
      </c>
      <c r="N237" s="136">
        <f t="shared" si="15"/>
        <v>710.69007059805313</v>
      </c>
      <c r="O237" s="136">
        <f t="shared" si="17"/>
        <v>80963903.327148169</v>
      </c>
    </row>
    <row r="238" spans="1:15" ht="20.100000000000001" customHeight="1">
      <c r="A238" s="132">
        <v>235</v>
      </c>
      <c r="B238" s="133" t="s">
        <v>389</v>
      </c>
      <c r="C238" s="133" t="s">
        <v>450</v>
      </c>
      <c r="D238" s="133" t="s">
        <v>393</v>
      </c>
      <c r="E238" s="132">
        <v>2</v>
      </c>
      <c r="F238" s="132" t="s">
        <v>342</v>
      </c>
      <c r="G238" s="133" t="s">
        <v>376</v>
      </c>
      <c r="H238" s="133">
        <v>118</v>
      </c>
      <c r="I238" s="133" t="s">
        <v>419</v>
      </c>
      <c r="J238" s="132" t="s">
        <v>434</v>
      </c>
      <c r="K238" s="132" t="s">
        <v>433</v>
      </c>
      <c r="L238" s="132" t="s">
        <v>436</v>
      </c>
      <c r="M238" s="135">
        <f>2.06*USD_Inflation_Factor</f>
        <v>2.816130081428029</v>
      </c>
      <c r="N238" s="136">
        <f t="shared" si="15"/>
        <v>332.3033496085074</v>
      </c>
      <c r="O238" s="136">
        <f t="shared" si="17"/>
        <v>37856975.052923188</v>
      </c>
    </row>
    <row r="239" spans="1:15" ht="20.100000000000001" customHeight="1">
      <c r="A239" s="132">
        <v>236</v>
      </c>
      <c r="B239" s="133" t="s">
        <v>389</v>
      </c>
      <c r="C239" s="133" t="s">
        <v>450</v>
      </c>
      <c r="D239" s="133" t="s">
        <v>393</v>
      </c>
      <c r="E239" s="132">
        <v>3</v>
      </c>
      <c r="F239" s="132" t="s">
        <v>342</v>
      </c>
      <c r="G239" s="133" t="s">
        <v>376</v>
      </c>
      <c r="H239" s="133">
        <v>52</v>
      </c>
      <c r="I239" s="133" t="s">
        <v>419</v>
      </c>
      <c r="J239" s="132" t="s">
        <v>435</v>
      </c>
      <c r="K239" s="132" t="s">
        <v>433</v>
      </c>
      <c r="L239" s="132" t="s">
        <v>436</v>
      </c>
      <c r="M239" s="135">
        <f>5.13*USD_Inflation_Factor</f>
        <v>7.0129841348183435</v>
      </c>
      <c r="N239" s="136">
        <f t="shared" si="15"/>
        <v>364.67517501055386</v>
      </c>
      <c r="O239" s="136">
        <f t="shared" si="17"/>
        <v>41544868.623983003</v>
      </c>
    </row>
    <row r="240" spans="1:15" ht="20.100000000000001" customHeight="1">
      <c r="A240" s="132">
        <v>237</v>
      </c>
      <c r="B240" s="133" t="s">
        <v>389</v>
      </c>
      <c r="C240" s="133" t="s">
        <v>450</v>
      </c>
      <c r="D240" s="133" t="s">
        <v>393</v>
      </c>
      <c r="E240" s="132">
        <v>4</v>
      </c>
      <c r="F240" s="132" t="s">
        <v>342</v>
      </c>
      <c r="G240" s="133" t="s">
        <v>376</v>
      </c>
      <c r="H240" s="133">
        <v>19</v>
      </c>
      <c r="I240" s="133" t="s">
        <v>419</v>
      </c>
      <c r="J240" s="132" t="s">
        <v>435</v>
      </c>
      <c r="K240" s="132" t="s">
        <v>433</v>
      </c>
      <c r="L240" s="132" t="s">
        <v>436</v>
      </c>
      <c r="M240" s="135">
        <f>9.68*USD_Inflation_Factor</f>
        <v>13.233077275836562</v>
      </c>
      <c r="N240" s="136">
        <f t="shared" si="15"/>
        <v>251.42846824089469</v>
      </c>
      <c r="O240" s="136">
        <f t="shared" si="17"/>
        <v>28643470.675224751</v>
      </c>
    </row>
    <row r="241" spans="1:15" ht="20.100000000000001" customHeight="1">
      <c r="A241" s="132">
        <v>238</v>
      </c>
      <c r="B241" s="133" t="s">
        <v>389</v>
      </c>
      <c r="C241" s="133" t="s">
        <v>450</v>
      </c>
      <c r="D241" s="133" t="s">
        <v>393</v>
      </c>
      <c r="E241" s="132">
        <v>6</v>
      </c>
      <c r="F241" s="132" t="s">
        <v>342</v>
      </c>
      <c r="G241" s="133" t="s">
        <v>376</v>
      </c>
      <c r="H241" s="133">
        <v>51</v>
      </c>
      <c r="I241" s="133" t="s">
        <v>419</v>
      </c>
      <c r="J241" s="132" t="s">
        <v>435</v>
      </c>
      <c r="K241" s="132" t="s">
        <v>433</v>
      </c>
      <c r="L241" s="132" t="s">
        <v>436</v>
      </c>
      <c r="M241" s="135">
        <f>25.4*USD_Inflation_Factor</f>
        <v>34.723157314695115</v>
      </c>
      <c r="N241" s="136">
        <f t="shared" si="15"/>
        <v>1770.881023049451</v>
      </c>
      <c r="O241" s="136">
        <f t="shared" si="17"/>
        <v>201743975.16684508</v>
      </c>
    </row>
    <row r="242" spans="1:15" ht="20.100000000000001" customHeight="1">
      <c r="A242" s="132">
        <v>239</v>
      </c>
      <c r="B242" s="133" t="s">
        <v>389</v>
      </c>
      <c r="C242" s="133" t="s">
        <v>450</v>
      </c>
      <c r="D242" s="133" t="s">
        <v>393</v>
      </c>
      <c r="E242" s="132">
        <v>8</v>
      </c>
      <c r="F242" s="132" t="s">
        <v>342</v>
      </c>
      <c r="G242" s="133" t="s">
        <v>376</v>
      </c>
      <c r="H242" s="133">
        <v>23</v>
      </c>
      <c r="I242" s="133" t="s">
        <v>419</v>
      </c>
      <c r="J242" s="132" t="s">
        <v>439</v>
      </c>
      <c r="K242" s="132" t="s">
        <v>433</v>
      </c>
      <c r="L242" s="132" t="s">
        <v>436</v>
      </c>
      <c r="M242" s="135">
        <f>39.99*USD_Inflation_Factor</f>
        <v>54.66846696908101</v>
      </c>
      <c r="N242" s="136">
        <f t="shared" si="15"/>
        <v>1257.3747402888632</v>
      </c>
      <c r="O242" s="136">
        <f t="shared" si="17"/>
        <v>143243828.96341598</v>
      </c>
    </row>
    <row r="243" spans="1:15" ht="20.100000000000001" customHeight="1">
      <c r="A243" s="132">
        <v>240</v>
      </c>
      <c r="B243" s="133" t="s">
        <v>389</v>
      </c>
      <c r="C243" s="133" t="s">
        <v>450</v>
      </c>
      <c r="D243" s="133" t="s">
        <v>393</v>
      </c>
      <c r="E243" s="132">
        <v>10</v>
      </c>
      <c r="F243" s="132" t="s">
        <v>342</v>
      </c>
      <c r="G243" s="133" t="s">
        <v>376</v>
      </c>
      <c r="H243" s="133">
        <v>41</v>
      </c>
      <c r="I243" s="133" t="s">
        <v>419</v>
      </c>
      <c r="J243" s="132" t="s">
        <v>432</v>
      </c>
      <c r="K243" s="132" t="s">
        <v>433</v>
      </c>
      <c r="L243" s="132" t="s">
        <v>436</v>
      </c>
      <c r="M243" s="135">
        <f>62.87*USD_Inflation_Factor</f>
        <v>85.946649621058341</v>
      </c>
      <c r="N243" s="136">
        <f t="shared" si="15"/>
        <v>3523.812634463392</v>
      </c>
      <c r="O243" s="136">
        <f t="shared" si="17"/>
        <v>401443100.56223679</v>
      </c>
    </row>
    <row r="244" spans="1:15" ht="20.100000000000001" customHeight="1">
      <c r="A244" s="132">
        <v>241</v>
      </c>
      <c r="B244" s="133" t="s">
        <v>389</v>
      </c>
      <c r="C244" s="133" t="s">
        <v>450</v>
      </c>
      <c r="D244" s="133" t="s">
        <v>393</v>
      </c>
      <c r="E244" s="132">
        <v>12</v>
      </c>
      <c r="F244" s="132" t="s">
        <v>342</v>
      </c>
      <c r="G244" s="133" t="s">
        <v>376</v>
      </c>
      <c r="H244" s="133">
        <v>76</v>
      </c>
      <c r="I244" s="133" t="s">
        <v>419</v>
      </c>
      <c r="J244" s="132" t="s">
        <v>432</v>
      </c>
      <c r="K244" s="132" t="s">
        <v>433</v>
      </c>
      <c r="L244" s="132" t="s">
        <v>436</v>
      </c>
      <c r="M244" s="135">
        <f>98.66*USD_Inflation_Factor</f>
        <v>134.87349215227638</v>
      </c>
      <c r="N244" s="136">
        <f t="shared" si="15"/>
        <v>10250.385403573006</v>
      </c>
      <c r="O244" s="136">
        <f t="shared" si="17"/>
        <v>1167754056.5362289</v>
      </c>
    </row>
    <row r="245" spans="1:15" ht="20.100000000000001" customHeight="1">
      <c r="A245" s="132">
        <v>242</v>
      </c>
      <c r="B245" s="133" t="s">
        <v>389</v>
      </c>
      <c r="C245" s="133" t="s">
        <v>450</v>
      </c>
      <c r="D245" s="133" t="s">
        <v>393</v>
      </c>
      <c r="E245" s="132">
        <v>16</v>
      </c>
      <c r="F245" s="132" t="s">
        <v>342</v>
      </c>
      <c r="G245" s="133" t="s">
        <v>376</v>
      </c>
      <c r="H245" s="133">
        <v>11</v>
      </c>
      <c r="I245" s="133" t="s">
        <v>419</v>
      </c>
      <c r="J245" s="132" t="s">
        <v>437</v>
      </c>
      <c r="K245" s="132" t="s">
        <v>433</v>
      </c>
      <c r="L245" s="132" t="s">
        <v>436</v>
      </c>
      <c r="M245" s="135">
        <f>150.9*USD_Inflation_Factor</f>
        <v>206.28836373179107</v>
      </c>
      <c r="N245" s="136">
        <f t="shared" si="15"/>
        <v>2269.1720010497015</v>
      </c>
      <c r="O245" s="136">
        <f t="shared" si="17"/>
        <v>258510749.09637651</v>
      </c>
    </row>
    <row r="246" spans="1:15" ht="20.100000000000001" customHeight="1">
      <c r="A246" s="132">
        <v>243</v>
      </c>
      <c r="B246" s="133" t="s">
        <v>389</v>
      </c>
      <c r="C246" s="133" t="s">
        <v>450</v>
      </c>
      <c r="D246" s="133" t="s">
        <v>393</v>
      </c>
      <c r="E246" s="132">
        <v>18</v>
      </c>
      <c r="F246" s="132" t="s">
        <v>342</v>
      </c>
      <c r="G246" s="133" t="s">
        <v>376</v>
      </c>
      <c r="H246" s="133">
        <v>2</v>
      </c>
      <c r="I246" s="133" t="s">
        <v>419</v>
      </c>
      <c r="J246" s="132" t="s">
        <v>438</v>
      </c>
      <c r="K246" s="132" t="s">
        <v>433</v>
      </c>
      <c r="L246" s="132" t="s">
        <v>436</v>
      </c>
      <c r="M246" s="135">
        <f>180.6*USD_Inflation_Factor</f>
        <v>246.88985082810777</v>
      </c>
      <c r="N246" s="136">
        <f t="shared" si="15"/>
        <v>493.77970165621554</v>
      </c>
      <c r="O246" s="136">
        <f t="shared" si="17"/>
        <v>56252836.058564484</v>
      </c>
    </row>
    <row r="247" spans="1:15" ht="20.100000000000001" customHeight="1">
      <c r="A247" s="132">
        <v>244</v>
      </c>
      <c r="B247" s="133" t="s">
        <v>389</v>
      </c>
      <c r="C247" s="133" t="s">
        <v>450</v>
      </c>
      <c r="D247" s="133" t="s">
        <v>393</v>
      </c>
      <c r="E247" s="132">
        <v>20</v>
      </c>
      <c r="F247" s="132" t="s">
        <v>342</v>
      </c>
      <c r="G247" s="133" t="s">
        <v>376</v>
      </c>
      <c r="H247" s="133">
        <v>5</v>
      </c>
      <c r="I247" s="133" t="s">
        <v>419</v>
      </c>
      <c r="J247" s="132" t="s">
        <v>438</v>
      </c>
      <c r="K247" s="132" t="s">
        <v>433</v>
      </c>
      <c r="L247" s="132" t="s">
        <v>436</v>
      </c>
      <c r="M247" s="135">
        <f>190.5*USD_Inflation_Factor</f>
        <v>260.42367986021338</v>
      </c>
      <c r="N247" s="136">
        <f t="shared" si="15"/>
        <v>1302.1183993010668</v>
      </c>
      <c r="O247" s="136">
        <f t="shared" si="17"/>
        <v>148341158.21091551</v>
      </c>
    </row>
    <row r="248" spans="1:15" ht="20.100000000000001" customHeight="1">
      <c r="A248" s="132">
        <v>245</v>
      </c>
      <c r="B248" s="133" t="s">
        <v>389</v>
      </c>
      <c r="C248" s="133" t="s">
        <v>450</v>
      </c>
      <c r="D248" s="133" t="s">
        <v>393</v>
      </c>
      <c r="E248" s="132">
        <v>2</v>
      </c>
      <c r="F248" s="132" t="s">
        <v>342</v>
      </c>
      <c r="G248" s="133" t="s">
        <v>376</v>
      </c>
      <c r="H248" s="133">
        <v>18</v>
      </c>
      <c r="I248" s="133" t="s">
        <v>456</v>
      </c>
      <c r="J248" s="132" t="s">
        <v>437</v>
      </c>
      <c r="K248" s="132" t="s">
        <v>433</v>
      </c>
      <c r="L248" s="132" t="s">
        <v>380</v>
      </c>
      <c r="M248" s="135">
        <f>2.06*USD_Inflation_Factor</f>
        <v>2.816130081428029</v>
      </c>
      <c r="N248" s="136">
        <f t="shared" si="15"/>
        <v>50.69034146570452</v>
      </c>
      <c r="O248" s="136">
        <f t="shared" si="17"/>
        <v>5774792.8046831982</v>
      </c>
    </row>
    <row r="249" spans="1:15" ht="20.100000000000001" customHeight="1">
      <c r="A249" s="132">
        <v>246</v>
      </c>
      <c r="B249" s="133" t="s">
        <v>389</v>
      </c>
      <c r="C249" s="133" t="s">
        <v>450</v>
      </c>
      <c r="D249" s="133" t="s">
        <v>441</v>
      </c>
      <c r="E249" s="132">
        <v>2</v>
      </c>
      <c r="F249" s="132" t="s">
        <v>342</v>
      </c>
      <c r="G249" s="133" t="s">
        <v>376</v>
      </c>
      <c r="H249" s="133">
        <v>5</v>
      </c>
      <c r="I249" s="133" t="s">
        <v>418</v>
      </c>
      <c r="J249" s="132" t="s">
        <v>434</v>
      </c>
      <c r="K249" s="132"/>
      <c r="L249" s="132"/>
      <c r="M249" s="135">
        <f>2.02*USD_Inflation_Factor</f>
        <v>2.7614479439245723</v>
      </c>
      <c r="N249" s="136">
        <f t="shared" si="15"/>
        <v>13.807239719622862</v>
      </c>
      <c r="O249" s="136">
        <f t="shared" si="17"/>
        <v>1572961.3626564268</v>
      </c>
    </row>
    <row r="250" spans="1:15" ht="20.100000000000001" customHeight="1">
      <c r="A250" s="132">
        <v>247</v>
      </c>
      <c r="B250" s="133" t="s">
        <v>389</v>
      </c>
      <c r="C250" s="133" t="s">
        <v>450</v>
      </c>
      <c r="D250" s="133" t="s">
        <v>441</v>
      </c>
      <c r="E250" s="132">
        <v>3</v>
      </c>
      <c r="F250" s="132" t="s">
        <v>342</v>
      </c>
      <c r="G250" s="133" t="s">
        <v>376</v>
      </c>
      <c r="H250" s="133">
        <v>1</v>
      </c>
      <c r="I250" s="133" t="s">
        <v>418</v>
      </c>
      <c r="J250" s="132" t="s">
        <v>435</v>
      </c>
      <c r="K250" s="132"/>
      <c r="L250" s="132"/>
      <c r="M250" s="135">
        <f>2.62*USD_Inflation_Factor</f>
        <v>3.5816800064764251</v>
      </c>
      <c r="N250" s="136">
        <f t="shared" si="15"/>
        <v>3.5816800064764251</v>
      </c>
      <c r="O250" s="136">
        <f t="shared" si="17"/>
        <v>408035.52179800376</v>
      </c>
    </row>
    <row r="251" spans="1:15" ht="20.100000000000001" customHeight="1">
      <c r="A251" s="132">
        <v>248</v>
      </c>
      <c r="B251" s="133" t="s">
        <v>389</v>
      </c>
      <c r="C251" s="133" t="s">
        <v>450</v>
      </c>
      <c r="D251" s="133" t="s">
        <v>441</v>
      </c>
      <c r="E251" s="132">
        <v>2</v>
      </c>
      <c r="F251" s="132" t="s">
        <v>342</v>
      </c>
      <c r="G251" s="133" t="s">
        <v>376</v>
      </c>
      <c r="H251" s="133">
        <v>1</v>
      </c>
      <c r="I251" s="133" t="s">
        <v>419</v>
      </c>
      <c r="J251" s="132" t="s">
        <v>434</v>
      </c>
      <c r="K251" s="132"/>
      <c r="L251" s="132" t="s">
        <v>436</v>
      </c>
      <c r="M251" s="135">
        <f>2.02*USD_Inflation_Factor</f>
        <v>2.7614479439245723</v>
      </c>
      <c r="N251" s="136">
        <f t="shared" si="15"/>
        <v>2.7614479439245723</v>
      </c>
      <c r="O251" s="136">
        <f t="shared" si="17"/>
        <v>314592.27253128542</v>
      </c>
    </row>
    <row r="252" spans="1:15" ht="20.100000000000001" customHeight="1">
      <c r="A252" s="132">
        <v>249</v>
      </c>
      <c r="B252" s="133" t="s">
        <v>389</v>
      </c>
      <c r="C252" s="133" t="s">
        <v>450</v>
      </c>
      <c r="D252" s="133" t="s">
        <v>441</v>
      </c>
      <c r="E252" s="132">
        <v>8</v>
      </c>
      <c r="F252" s="132" t="s">
        <v>342</v>
      </c>
      <c r="G252" s="133" t="s">
        <v>376</v>
      </c>
      <c r="H252" s="133">
        <v>1</v>
      </c>
      <c r="I252" s="133" t="s">
        <v>419</v>
      </c>
      <c r="J252" s="132" t="s">
        <v>439</v>
      </c>
      <c r="K252" s="132"/>
      <c r="L252" s="132" t="s">
        <v>436</v>
      </c>
      <c r="M252" s="135">
        <f>8.84*USD_Inflation_Factor</f>
        <v>12.084752388263968</v>
      </c>
      <c r="N252" s="136">
        <f t="shared" si="15"/>
        <v>12.084752388263968</v>
      </c>
      <c r="O252" s="136">
        <f t="shared" si="17"/>
        <v>1376730.539196318</v>
      </c>
    </row>
    <row r="253" spans="1:15" ht="20.100000000000001" customHeight="1">
      <c r="A253" s="132">
        <v>250</v>
      </c>
      <c r="B253" s="133" t="s">
        <v>389</v>
      </c>
      <c r="C253" s="133" t="s">
        <v>450</v>
      </c>
      <c r="D253" s="133" t="s">
        <v>441</v>
      </c>
      <c r="E253" s="132">
        <v>12</v>
      </c>
      <c r="F253" s="132" t="s">
        <v>342</v>
      </c>
      <c r="G253" s="133" t="s">
        <v>376</v>
      </c>
      <c r="H253" s="133">
        <v>2</v>
      </c>
      <c r="I253" s="133" t="s">
        <v>419</v>
      </c>
      <c r="J253" s="132" t="s">
        <v>432</v>
      </c>
      <c r="K253" s="132"/>
      <c r="L253" s="132" t="s">
        <v>436</v>
      </c>
      <c r="M253" s="135">
        <f>10.38*USD_Inflation_Factor</f>
        <v>14.19001468214706</v>
      </c>
      <c r="N253" s="136">
        <f t="shared" si="15"/>
        <v>28.380029364294121</v>
      </c>
      <c r="O253" s="136">
        <f t="shared" si="17"/>
        <v>3233136.4246284575</v>
      </c>
    </row>
    <row r="254" spans="1:15" ht="20.100000000000001" customHeight="1">
      <c r="A254" s="132">
        <v>251</v>
      </c>
      <c r="B254" s="133" t="s">
        <v>389</v>
      </c>
      <c r="C254" s="133" t="s">
        <v>450</v>
      </c>
      <c r="D254" s="133" t="s">
        <v>441</v>
      </c>
      <c r="E254" s="132">
        <v>16</v>
      </c>
      <c r="F254" s="132" t="s">
        <v>342</v>
      </c>
      <c r="G254" s="133" t="s">
        <v>376</v>
      </c>
      <c r="H254" s="133">
        <v>1</v>
      </c>
      <c r="I254" s="133" t="s">
        <v>419</v>
      </c>
      <c r="J254" s="132" t="s">
        <v>437</v>
      </c>
      <c r="K254" s="132"/>
      <c r="L254" s="132" t="s">
        <v>436</v>
      </c>
      <c r="M254" s="135">
        <f>16.4*USD_Inflation_Factor</f>
        <v>22.419676376417318</v>
      </c>
      <c r="N254" s="136">
        <f t="shared" si="15"/>
        <v>22.419676376417318</v>
      </c>
      <c r="O254" s="136">
        <f t="shared" si="17"/>
        <v>2554115.4799569701</v>
      </c>
    </row>
    <row r="255" spans="1:15" ht="20.100000000000001" customHeight="1">
      <c r="A255" s="132">
        <v>252</v>
      </c>
      <c r="B255" s="133" t="s">
        <v>389</v>
      </c>
      <c r="C255" s="133" t="s">
        <v>450</v>
      </c>
      <c r="D255" s="133" t="s">
        <v>441</v>
      </c>
      <c r="E255" s="132">
        <v>3</v>
      </c>
      <c r="F255" s="132" t="s">
        <v>342</v>
      </c>
      <c r="G255" s="133" t="s">
        <v>376</v>
      </c>
      <c r="H255" s="133">
        <v>1</v>
      </c>
      <c r="I255" s="133" t="s">
        <v>456</v>
      </c>
      <c r="J255" s="132" t="s">
        <v>437</v>
      </c>
      <c r="K255" s="132"/>
      <c r="L255" s="132" t="s">
        <v>380</v>
      </c>
      <c r="M255" s="135">
        <f>2.62*USD_Inflation_Factor</f>
        <v>3.5816800064764251</v>
      </c>
      <c r="N255" s="136">
        <f t="shared" si="15"/>
        <v>3.5816800064764251</v>
      </c>
      <c r="O255" s="136">
        <f t="shared" si="17"/>
        <v>408035.52179800376</v>
      </c>
    </row>
    <row r="256" spans="1:15" ht="20.100000000000001" customHeight="1">
      <c r="A256" s="132">
        <v>253</v>
      </c>
      <c r="B256" s="133" t="s">
        <v>389</v>
      </c>
      <c r="C256" s="133" t="s">
        <v>450</v>
      </c>
      <c r="D256" s="133" t="s">
        <v>394</v>
      </c>
      <c r="E256" s="132">
        <v>1</v>
      </c>
      <c r="F256" s="132" t="s">
        <v>342</v>
      </c>
      <c r="G256" s="133" t="s">
        <v>376</v>
      </c>
      <c r="H256" s="133">
        <v>66</v>
      </c>
      <c r="I256" s="133" t="s">
        <v>417</v>
      </c>
      <c r="J256" s="132" t="s">
        <v>435</v>
      </c>
      <c r="K256" s="132" t="s">
        <v>443</v>
      </c>
      <c r="L256" s="132"/>
      <c r="M256" s="135">
        <f t="shared" ref="M256:M262" si="18">1*USD_Inflation_Factor</f>
        <v>1.3670534375864218</v>
      </c>
      <c r="N256" s="136">
        <f t="shared" si="15"/>
        <v>90.225526880703839</v>
      </c>
      <c r="O256" s="136">
        <f t="shared" si="17"/>
        <v>10278757.419339025</v>
      </c>
    </row>
    <row r="257" spans="1:15" ht="20.100000000000001" customHeight="1">
      <c r="A257" s="132">
        <v>254</v>
      </c>
      <c r="B257" s="133" t="s">
        <v>389</v>
      </c>
      <c r="C257" s="133" t="s">
        <v>450</v>
      </c>
      <c r="D257" s="133" t="s">
        <v>394</v>
      </c>
      <c r="E257" s="132" t="s">
        <v>383</v>
      </c>
      <c r="F257" s="132" t="s">
        <v>342</v>
      </c>
      <c r="G257" s="133" t="s">
        <v>376</v>
      </c>
      <c r="H257" s="133">
        <v>11</v>
      </c>
      <c r="I257" s="133" t="s">
        <v>417</v>
      </c>
      <c r="J257" s="132" t="s">
        <v>435</v>
      </c>
      <c r="K257" s="132" t="s">
        <v>443</v>
      </c>
      <c r="L257" s="132"/>
      <c r="M257" s="135">
        <f t="shared" si="18"/>
        <v>1.3670534375864218</v>
      </c>
      <c r="N257" s="136">
        <f t="shared" si="15"/>
        <v>15.03758781345064</v>
      </c>
      <c r="O257" s="136">
        <f t="shared" si="17"/>
        <v>1713126.2365565044</v>
      </c>
    </row>
    <row r="258" spans="1:15" ht="20.100000000000001" customHeight="1">
      <c r="A258" s="132">
        <v>255</v>
      </c>
      <c r="B258" s="133" t="s">
        <v>389</v>
      </c>
      <c r="C258" s="133" t="s">
        <v>450</v>
      </c>
      <c r="D258" s="133" t="s">
        <v>394</v>
      </c>
      <c r="E258" s="132">
        <v>1</v>
      </c>
      <c r="F258" s="132" t="s">
        <v>342</v>
      </c>
      <c r="G258" s="133" t="s">
        <v>376</v>
      </c>
      <c r="H258" s="133">
        <v>42</v>
      </c>
      <c r="I258" s="133" t="s">
        <v>418</v>
      </c>
      <c r="J258" s="132" t="s">
        <v>442</v>
      </c>
      <c r="K258" s="132" t="s">
        <v>443</v>
      </c>
      <c r="L258" s="132"/>
      <c r="M258" s="135">
        <f t="shared" si="18"/>
        <v>1.3670534375864218</v>
      </c>
      <c r="N258" s="136">
        <f t="shared" si="15"/>
        <v>57.41624437862972</v>
      </c>
      <c r="O258" s="136">
        <f t="shared" si="17"/>
        <v>6541027.4486702895</v>
      </c>
    </row>
    <row r="259" spans="1:15" ht="20.100000000000001" customHeight="1">
      <c r="A259" s="132">
        <v>256</v>
      </c>
      <c r="B259" s="133" t="s">
        <v>389</v>
      </c>
      <c r="C259" s="133" t="s">
        <v>450</v>
      </c>
      <c r="D259" s="133" t="s">
        <v>394</v>
      </c>
      <c r="E259" s="132" t="s">
        <v>383</v>
      </c>
      <c r="F259" s="132" t="s">
        <v>342</v>
      </c>
      <c r="G259" s="133" t="s">
        <v>376</v>
      </c>
      <c r="H259" s="133">
        <v>16</v>
      </c>
      <c r="I259" s="133" t="s">
        <v>418</v>
      </c>
      <c r="J259" s="132" t="s">
        <v>442</v>
      </c>
      <c r="K259" s="132" t="s">
        <v>443</v>
      </c>
      <c r="L259" s="132"/>
      <c r="M259" s="135">
        <f t="shared" si="18"/>
        <v>1.3670534375864218</v>
      </c>
      <c r="N259" s="136">
        <f t="shared" si="15"/>
        <v>21.872855001382749</v>
      </c>
      <c r="O259" s="136">
        <f t="shared" si="17"/>
        <v>2491819.9804458246</v>
      </c>
    </row>
    <row r="260" spans="1:15" ht="20.100000000000001" customHeight="1">
      <c r="A260" s="132">
        <v>257</v>
      </c>
      <c r="B260" s="133" t="s">
        <v>389</v>
      </c>
      <c r="C260" s="133" t="s">
        <v>450</v>
      </c>
      <c r="D260" s="133" t="s">
        <v>394</v>
      </c>
      <c r="E260" s="132">
        <v>1</v>
      </c>
      <c r="F260" s="132" t="s">
        <v>342</v>
      </c>
      <c r="G260" s="133" t="s">
        <v>376</v>
      </c>
      <c r="H260" s="133">
        <v>140</v>
      </c>
      <c r="I260" s="133" t="s">
        <v>419</v>
      </c>
      <c r="J260" s="132" t="s">
        <v>442</v>
      </c>
      <c r="K260" s="132" t="s">
        <v>443</v>
      </c>
      <c r="L260" s="132" t="s">
        <v>436</v>
      </c>
      <c r="M260" s="135">
        <f t="shared" si="18"/>
        <v>1.3670534375864218</v>
      </c>
      <c r="N260" s="136">
        <f t="shared" ref="N260:N323" si="19">M260*H260</f>
        <v>191.38748126209904</v>
      </c>
      <c r="O260" s="136">
        <f t="shared" si="17"/>
        <v>21803424.828900963</v>
      </c>
    </row>
    <row r="261" spans="1:15" ht="20.100000000000001" customHeight="1">
      <c r="A261" s="132">
        <v>258</v>
      </c>
      <c r="B261" s="133" t="s">
        <v>389</v>
      </c>
      <c r="C261" s="133" t="s">
        <v>450</v>
      </c>
      <c r="D261" s="133" t="s">
        <v>394</v>
      </c>
      <c r="E261" s="132">
        <v>1</v>
      </c>
      <c r="F261" s="132" t="s">
        <v>342</v>
      </c>
      <c r="G261" s="133" t="s">
        <v>376</v>
      </c>
      <c r="H261" s="133">
        <v>2</v>
      </c>
      <c r="I261" s="133" t="s">
        <v>456</v>
      </c>
      <c r="J261" s="132" t="s">
        <v>435</v>
      </c>
      <c r="K261" s="132" t="s">
        <v>443</v>
      </c>
      <c r="L261" s="132" t="s">
        <v>380</v>
      </c>
      <c r="M261" s="135">
        <f t="shared" si="18"/>
        <v>1.3670534375864218</v>
      </c>
      <c r="N261" s="136">
        <f t="shared" si="19"/>
        <v>2.7341068751728437</v>
      </c>
      <c r="O261" s="136">
        <f t="shared" si="17"/>
        <v>311477.49755572807</v>
      </c>
    </row>
    <row r="262" spans="1:15" ht="20.100000000000001" customHeight="1">
      <c r="A262" s="132">
        <v>259</v>
      </c>
      <c r="B262" s="133" t="s">
        <v>389</v>
      </c>
      <c r="C262" s="133" t="s">
        <v>450</v>
      </c>
      <c r="D262" s="133" t="s">
        <v>394</v>
      </c>
      <c r="E262" s="132" t="s">
        <v>446</v>
      </c>
      <c r="F262" s="132" t="s">
        <v>342</v>
      </c>
      <c r="G262" s="133" t="s">
        <v>376</v>
      </c>
      <c r="H262" s="133">
        <v>1</v>
      </c>
      <c r="I262" s="133" t="s">
        <v>456</v>
      </c>
      <c r="J262" s="132" t="s">
        <v>435</v>
      </c>
      <c r="K262" s="132" t="s">
        <v>443</v>
      </c>
      <c r="L262" s="132" t="s">
        <v>380</v>
      </c>
      <c r="M262" s="135">
        <f t="shared" si="18"/>
        <v>1.3670534375864218</v>
      </c>
      <c r="N262" s="136">
        <f t="shared" si="19"/>
        <v>1.3670534375864218</v>
      </c>
      <c r="O262" s="136">
        <f t="shared" si="17"/>
        <v>155738.74877786404</v>
      </c>
    </row>
    <row r="263" spans="1:15" ht="20.100000000000001" customHeight="1">
      <c r="A263" s="132">
        <v>260</v>
      </c>
      <c r="B263" s="133" t="s">
        <v>389</v>
      </c>
      <c r="C263" s="133" t="s">
        <v>450</v>
      </c>
      <c r="D263" s="133" t="s">
        <v>457</v>
      </c>
      <c r="E263" s="132" t="s">
        <v>383</v>
      </c>
      <c r="F263" s="132" t="s">
        <v>342</v>
      </c>
      <c r="G263" s="133" t="s">
        <v>376</v>
      </c>
      <c r="H263" s="133">
        <v>3</v>
      </c>
      <c r="I263" s="133" t="s">
        <v>417</v>
      </c>
      <c r="J263" s="132"/>
      <c r="K263" s="132" t="s">
        <v>400</v>
      </c>
      <c r="L263" s="132"/>
      <c r="M263" s="135">
        <f>1.55*USD_Inflation_Factor</f>
        <v>2.1189328282589539</v>
      </c>
      <c r="N263" s="136">
        <f t="shared" si="19"/>
        <v>6.3567984847768617</v>
      </c>
      <c r="O263" s="136">
        <f t="shared" si="17"/>
        <v>724185.18181706779</v>
      </c>
    </row>
    <row r="264" spans="1:15" ht="20.100000000000001" customHeight="1">
      <c r="A264" s="132">
        <v>261</v>
      </c>
      <c r="B264" s="133" t="s">
        <v>389</v>
      </c>
      <c r="C264" s="133" t="s">
        <v>450</v>
      </c>
      <c r="D264" s="133" t="s">
        <v>457</v>
      </c>
      <c r="E264" s="132" t="s">
        <v>383</v>
      </c>
      <c r="F264" s="132" t="s">
        <v>342</v>
      </c>
      <c r="G264" s="133" t="s">
        <v>376</v>
      </c>
      <c r="H264" s="133">
        <v>16</v>
      </c>
      <c r="I264" s="133" t="s">
        <v>418</v>
      </c>
      <c r="J264" s="132"/>
      <c r="K264" s="132" t="s">
        <v>400</v>
      </c>
      <c r="L264" s="132"/>
      <c r="M264" s="135">
        <f>1.55*USD_Inflation_Factor</f>
        <v>2.1189328282589539</v>
      </c>
      <c r="N264" s="136">
        <f t="shared" si="19"/>
        <v>33.902925252143262</v>
      </c>
      <c r="O264" s="136">
        <f t="shared" si="17"/>
        <v>3862320.9696910279</v>
      </c>
    </row>
    <row r="265" spans="1:15" ht="20.100000000000001" customHeight="1">
      <c r="A265" s="132">
        <v>262</v>
      </c>
      <c r="B265" s="133" t="s">
        <v>389</v>
      </c>
      <c r="C265" s="133" t="s">
        <v>450</v>
      </c>
      <c r="D265" s="133" t="s">
        <v>457</v>
      </c>
      <c r="E265" s="132">
        <v>1</v>
      </c>
      <c r="F265" s="132" t="s">
        <v>342</v>
      </c>
      <c r="G265" s="133" t="s">
        <v>376</v>
      </c>
      <c r="H265" s="133">
        <v>10</v>
      </c>
      <c r="I265" s="133" t="s">
        <v>419</v>
      </c>
      <c r="J265" s="132"/>
      <c r="K265" s="132" t="s">
        <v>400</v>
      </c>
      <c r="L265" s="132" t="s">
        <v>436</v>
      </c>
      <c r="M265" s="135">
        <f>1.55*USD_Inflation_Factor</f>
        <v>2.1189328282589539</v>
      </c>
      <c r="N265" s="136">
        <f t="shared" si="19"/>
        <v>21.189328282589539</v>
      </c>
      <c r="O265" s="136">
        <f t="shared" si="17"/>
        <v>2413950.6060568928</v>
      </c>
    </row>
    <row r="266" spans="1:15" ht="20.100000000000001" customHeight="1">
      <c r="A266" s="132">
        <v>263</v>
      </c>
      <c r="B266" s="133" t="s">
        <v>389</v>
      </c>
      <c r="C266" s="133" t="s">
        <v>450</v>
      </c>
      <c r="D266" s="133" t="s">
        <v>395</v>
      </c>
      <c r="E266" s="132">
        <v>2</v>
      </c>
      <c r="F266" s="132" t="s">
        <v>446</v>
      </c>
      <c r="G266" s="133" t="s">
        <v>376</v>
      </c>
      <c r="H266" s="133">
        <v>8</v>
      </c>
      <c r="I266" s="133" t="s">
        <v>417</v>
      </c>
      <c r="J266" s="132" t="s">
        <v>432</v>
      </c>
      <c r="K266" s="132" t="s">
        <v>433</v>
      </c>
      <c r="L266" s="132"/>
      <c r="M266" s="135">
        <f>18.59*USD_Inflation_Factor</f>
        <v>25.413523404731581</v>
      </c>
      <c r="N266" s="136">
        <f t="shared" si="19"/>
        <v>203.30818723785265</v>
      </c>
      <c r="O266" s="136">
        <f t="shared" si="17"/>
        <v>23161466.718243938</v>
      </c>
    </row>
    <row r="267" spans="1:15" ht="20.100000000000001" customHeight="1">
      <c r="A267" s="132">
        <v>264</v>
      </c>
      <c r="B267" s="133" t="s">
        <v>389</v>
      </c>
      <c r="C267" s="133" t="s">
        <v>450</v>
      </c>
      <c r="D267" s="133" t="s">
        <v>395</v>
      </c>
      <c r="E267" s="132">
        <v>3</v>
      </c>
      <c r="F267" s="132">
        <v>2</v>
      </c>
      <c r="G267" s="133" t="s">
        <v>376</v>
      </c>
      <c r="H267" s="133">
        <v>3</v>
      </c>
      <c r="I267" s="133" t="s">
        <v>417</v>
      </c>
      <c r="J267" s="132" t="s">
        <v>432</v>
      </c>
      <c r="K267" s="132" t="s">
        <v>433</v>
      </c>
      <c r="L267" s="132"/>
      <c r="M267" s="135">
        <f>38.8*USD_Inflation_Factor</f>
        <v>53.041673378353167</v>
      </c>
      <c r="N267" s="136">
        <f t="shared" si="19"/>
        <v>159.12502013505951</v>
      </c>
      <c r="O267" s="136">
        <f t="shared" si="17"/>
        <v>18127990.357743375</v>
      </c>
    </row>
    <row r="268" spans="1:15" ht="20.100000000000001" customHeight="1">
      <c r="A268" s="132">
        <v>265</v>
      </c>
      <c r="B268" s="133" t="s">
        <v>389</v>
      </c>
      <c r="C268" s="133" t="s">
        <v>450</v>
      </c>
      <c r="D268" s="133" t="s">
        <v>395</v>
      </c>
      <c r="E268" s="132">
        <v>3</v>
      </c>
      <c r="F268" s="132">
        <v>4</v>
      </c>
      <c r="G268" s="133" t="s">
        <v>376</v>
      </c>
      <c r="H268" s="133">
        <v>4</v>
      </c>
      <c r="I268" s="133" t="s">
        <v>417</v>
      </c>
      <c r="J268" s="132" t="s">
        <v>432</v>
      </c>
      <c r="K268" s="132" t="s">
        <v>433</v>
      </c>
      <c r="L268" s="132"/>
      <c r="M268" s="135">
        <f>38.8*USD_Inflation_Factor</f>
        <v>53.041673378353167</v>
      </c>
      <c r="N268" s="136">
        <f t="shared" si="19"/>
        <v>212.16669351341267</v>
      </c>
      <c r="O268" s="136">
        <f t="shared" si="17"/>
        <v>24170653.810324498</v>
      </c>
    </row>
    <row r="269" spans="1:15" ht="20.100000000000001" customHeight="1">
      <c r="A269" s="132">
        <v>266</v>
      </c>
      <c r="B269" s="133" t="s">
        <v>389</v>
      </c>
      <c r="C269" s="133" t="s">
        <v>450</v>
      </c>
      <c r="D269" s="133" t="s">
        <v>395</v>
      </c>
      <c r="E269" s="132">
        <v>3</v>
      </c>
      <c r="F269" s="132" t="s">
        <v>458</v>
      </c>
      <c r="G269" s="133" t="s">
        <v>376</v>
      </c>
      <c r="H269" s="133">
        <v>2</v>
      </c>
      <c r="I269" s="133" t="s">
        <v>417</v>
      </c>
      <c r="J269" s="132" t="s">
        <v>432</v>
      </c>
      <c r="K269" s="132" t="s">
        <v>433</v>
      </c>
      <c r="L269" s="132"/>
      <c r="M269" s="135">
        <f>38.8*USD_Inflation_Factor</f>
        <v>53.041673378353167</v>
      </c>
      <c r="N269" s="136">
        <f t="shared" si="19"/>
        <v>106.08334675670633</v>
      </c>
      <c r="O269" s="136">
        <f t="shared" si="17"/>
        <v>12085326.905162249</v>
      </c>
    </row>
    <row r="270" spans="1:15" ht="20.100000000000001" customHeight="1">
      <c r="A270" s="132">
        <v>267</v>
      </c>
      <c r="B270" s="133" t="s">
        <v>389</v>
      </c>
      <c r="C270" s="133" t="s">
        <v>450</v>
      </c>
      <c r="D270" s="133" t="s">
        <v>395</v>
      </c>
      <c r="E270" s="132">
        <v>4</v>
      </c>
      <c r="F270" s="132">
        <v>3</v>
      </c>
      <c r="G270" s="133" t="s">
        <v>376</v>
      </c>
      <c r="H270" s="133">
        <v>13</v>
      </c>
      <c r="I270" s="133" t="s">
        <v>417</v>
      </c>
      <c r="J270" s="132" t="s">
        <v>432</v>
      </c>
      <c r="K270" s="132" t="s">
        <v>433</v>
      </c>
      <c r="L270" s="132"/>
      <c r="M270" s="135">
        <f>4.18*USD_Inflation_Factor</f>
        <v>5.7142833691112429</v>
      </c>
      <c r="N270" s="136">
        <f t="shared" si="19"/>
        <v>74.285683798446158</v>
      </c>
      <c r="O270" s="136">
        <f t="shared" si="17"/>
        <v>8462843.6085891314</v>
      </c>
    </row>
    <row r="271" spans="1:15" ht="20.100000000000001" customHeight="1">
      <c r="A271" s="132">
        <v>268</v>
      </c>
      <c r="B271" s="133" t="s">
        <v>389</v>
      </c>
      <c r="C271" s="133" t="s">
        <v>450</v>
      </c>
      <c r="D271" s="133" t="s">
        <v>395</v>
      </c>
      <c r="E271" s="132">
        <v>6</v>
      </c>
      <c r="F271" s="132">
        <v>4</v>
      </c>
      <c r="G271" s="133" t="s">
        <v>376</v>
      </c>
      <c r="H271" s="133">
        <v>3</v>
      </c>
      <c r="I271" s="133" t="s">
        <v>417</v>
      </c>
      <c r="J271" s="132" t="s">
        <v>432</v>
      </c>
      <c r="K271" s="132" t="s">
        <v>433</v>
      </c>
      <c r="L271" s="132"/>
      <c r="M271" s="135">
        <f>9.13*USD_Inflation_Factor</f>
        <v>12.481197885164033</v>
      </c>
      <c r="N271" s="136">
        <f t="shared" si="19"/>
        <v>37.443593655492094</v>
      </c>
      <c r="O271" s="136">
        <f t="shared" si="17"/>
        <v>4265684.329025696</v>
      </c>
    </row>
    <row r="272" spans="1:15" ht="20.100000000000001" customHeight="1">
      <c r="A272" s="132">
        <v>269</v>
      </c>
      <c r="B272" s="133" t="s">
        <v>389</v>
      </c>
      <c r="C272" s="133" t="s">
        <v>450</v>
      </c>
      <c r="D272" s="133" t="s">
        <v>395</v>
      </c>
      <c r="E272" s="132">
        <v>3</v>
      </c>
      <c r="F272" s="132">
        <v>2</v>
      </c>
      <c r="G272" s="133" t="s">
        <v>376</v>
      </c>
      <c r="H272" s="133">
        <v>6</v>
      </c>
      <c r="I272" s="133" t="s">
        <v>418</v>
      </c>
      <c r="J272" s="132" t="s">
        <v>435</v>
      </c>
      <c r="K272" s="132" t="s">
        <v>433</v>
      </c>
      <c r="L272" s="132"/>
      <c r="M272" s="135">
        <f>38.8*USD_Inflation_Factor</f>
        <v>53.041673378353167</v>
      </c>
      <c r="N272" s="136">
        <f t="shared" si="19"/>
        <v>318.25004027011903</v>
      </c>
      <c r="O272" s="136">
        <f t="shared" si="17"/>
        <v>36255980.71548675</v>
      </c>
    </row>
    <row r="273" spans="1:15" ht="20.100000000000001" customHeight="1">
      <c r="A273" s="132">
        <v>270</v>
      </c>
      <c r="B273" s="133" t="s">
        <v>389</v>
      </c>
      <c r="C273" s="133" t="s">
        <v>450</v>
      </c>
      <c r="D273" s="133" t="s">
        <v>395</v>
      </c>
      <c r="E273" s="132">
        <v>4</v>
      </c>
      <c r="F273" s="132">
        <v>3</v>
      </c>
      <c r="G273" s="133" t="s">
        <v>376</v>
      </c>
      <c r="H273" s="133">
        <v>6</v>
      </c>
      <c r="I273" s="133" t="s">
        <v>418</v>
      </c>
      <c r="J273" s="132" t="s">
        <v>435</v>
      </c>
      <c r="K273" s="132" t="s">
        <v>433</v>
      </c>
      <c r="L273" s="132"/>
      <c r="M273" s="135">
        <f>4.18*USD_Inflation_Factor</f>
        <v>5.7142833691112429</v>
      </c>
      <c r="N273" s="136">
        <f t="shared" si="19"/>
        <v>34.285700214667457</v>
      </c>
      <c r="O273" s="136">
        <f t="shared" si="17"/>
        <v>3905927.8193488298</v>
      </c>
    </row>
    <row r="274" spans="1:15" ht="20.100000000000001" customHeight="1">
      <c r="A274" s="132">
        <v>271</v>
      </c>
      <c r="B274" s="133" t="s">
        <v>389</v>
      </c>
      <c r="C274" s="133" t="s">
        <v>450</v>
      </c>
      <c r="D274" s="133" t="s">
        <v>395</v>
      </c>
      <c r="E274" s="132">
        <v>6</v>
      </c>
      <c r="F274" s="132">
        <v>4</v>
      </c>
      <c r="G274" s="133" t="s">
        <v>376</v>
      </c>
      <c r="H274" s="133">
        <v>1</v>
      </c>
      <c r="I274" s="133" t="s">
        <v>418</v>
      </c>
      <c r="J274" s="132" t="s">
        <v>435</v>
      </c>
      <c r="K274" s="132" t="s">
        <v>433</v>
      </c>
      <c r="L274" s="132"/>
      <c r="M274" s="135">
        <f>9.13*USD_Inflation_Factor</f>
        <v>12.481197885164033</v>
      </c>
      <c r="N274" s="136">
        <f t="shared" si="19"/>
        <v>12.481197885164033</v>
      </c>
      <c r="O274" s="136">
        <f t="shared" si="17"/>
        <v>1421894.7763418988</v>
      </c>
    </row>
    <row r="275" spans="1:15" ht="20.100000000000001" customHeight="1">
      <c r="A275" s="132">
        <v>272</v>
      </c>
      <c r="B275" s="133" t="s">
        <v>389</v>
      </c>
      <c r="C275" s="133" t="s">
        <v>450</v>
      </c>
      <c r="D275" s="133" t="s">
        <v>395</v>
      </c>
      <c r="E275" s="132">
        <v>2</v>
      </c>
      <c r="F275" s="132" t="s">
        <v>446</v>
      </c>
      <c r="G275" s="133" t="s">
        <v>376</v>
      </c>
      <c r="H275" s="133">
        <v>10</v>
      </c>
      <c r="I275" s="133" t="s">
        <v>419</v>
      </c>
      <c r="J275" s="132" t="s">
        <v>434</v>
      </c>
      <c r="K275" s="132" t="s">
        <v>433</v>
      </c>
      <c r="L275" s="132" t="s">
        <v>436</v>
      </c>
      <c r="M275" s="135">
        <f>18.59*USD_Inflation_Factor</f>
        <v>25.413523404731581</v>
      </c>
      <c r="N275" s="136">
        <f t="shared" si="19"/>
        <v>254.13523404731581</v>
      </c>
      <c r="O275" s="136">
        <f t="shared" si="17"/>
        <v>28951833.39780492</v>
      </c>
    </row>
    <row r="276" spans="1:15" ht="20.100000000000001" customHeight="1">
      <c r="A276" s="132">
        <v>273</v>
      </c>
      <c r="B276" s="133" t="s">
        <v>389</v>
      </c>
      <c r="C276" s="133" t="s">
        <v>450</v>
      </c>
      <c r="D276" s="133" t="s">
        <v>395</v>
      </c>
      <c r="E276" s="132">
        <v>3</v>
      </c>
      <c r="F276" s="132">
        <v>2</v>
      </c>
      <c r="G276" s="133" t="s">
        <v>376</v>
      </c>
      <c r="H276" s="133">
        <v>18</v>
      </c>
      <c r="I276" s="133" t="s">
        <v>419</v>
      </c>
      <c r="J276" s="132" t="s">
        <v>435</v>
      </c>
      <c r="K276" s="132" t="s">
        <v>433</v>
      </c>
      <c r="L276" s="132" t="s">
        <v>436</v>
      </c>
      <c r="M276" s="135">
        <f>38.8*USD_Inflation_Factor</f>
        <v>53.041673378353167</v>
      </c>
      <c r="N276" s="136">
        <f t="shared" si="19"/>
        <v>954.75012081035698</v>
      </c>
      <c r="O276" s="136">
        <f t="shared" si="17"/>
        <v>108767942.14646024</v>
      </c>
    </row>
    <row r="277" spans="1:15" ht="20.100000000000001" customHeight="1">
      <c r="A277" s="132">
        <v>274</v>
      </c>
      <c r="B277" s="133" t="s">
        <v>389</v>
      </c>
      <c r="C277" s="133" t="s">
        <v>450</v>
      </c>
      <c r="D277" s="133" t="s">
        <v>395</v>
      </c>
      <c r="E277" s="132">
        <v>3</v>
      </c>
      <c r="F277" s="132" t="s">
        <v>458</v>
      </c>
      <c r="G277" s="133" t="s">
        <v>376</v>
      </c>
      <c r="H277" s="133">
        <v>4</v>
      </c>
      <c r="I277" s="133" t="s">
        <v>419</v>
      </c>
      <c r="J277" s="132" t="s">
        <v>435</v>
      </c>
      <c r="K277" s="132" t="s">
        <v>433</v>
      </c>
      <c r="L277" s="132" t="s">
        <v>436</v>
      </c>
      <c r="M277" s="135">
        <f>38.8*USD_Inflation_Factor</f>
        <v>53.041673378353167</v>
      </c>
      <c r="N277" s="136">
        <f t="shared" si="19"/>
        <v>212.16669351341267</v>
      </c>
      <c r="O277" s="136">
        <f t="shared" si="17"/>
        <v>24170653.810324498</v>
      </c>
    </row>
    <row r="278" spans="1:15" ht="20.100000000000001" customHeight="1">
      <c r="A278" s="132">
        <v>275</v>
      </c>
      <c r="B278" s="133" t="s">
        <v>389</v>
      </c>
      <c r="C278" s="133" t="s">
        <v>450</v>
      </c>
      <c r="D278" s="133" t="s">
        <v>395</v>
      </c>
      <c r="E278" s="132">
        <v>4</v>
      </c>
      <c r="F278" s="132">
        <v>3</v>
      </c>
      <c r="G278" s="133" t="s">
        <v>376</v>
      </c>
      <c r="H278" s="133">
        <v>2</v>
      </c>
      <c r="I278" s="133" t="s">
        <v>419</v>
      </c>
      <c r="J278" s="132" t="s">
        <v>435</v>
      </c>
      <c r="K278" s="132" t="s">
        <v>433</v>
      </c>
      <c r="L278" s="132" t="s">
        <v>436</v>
      </c>
      <c r="M278" s="135">
        <f>4.18*USD_Inflation_Factor</f>
        <v>5.7142833691112429</v>
      </c>
      <c r="N278" s="136">
        <f t="shared" si="19"/>
        <v>11.428566738222486</v>
      </c>
      <c r="O278" s="136">
        <f t="shared" si="17"/>
        <v>1301975.9397829433</v>
      </c>
    </row>
    <row r="279" spans="1:15" ht="20.100000000000001" customHeight="1">
      <c r="A279" s="132">
        <v>276</v>
      </c>
      <c r="B279" s="133" t="s">
        <v>389</v>
      </c>
      <c r="C279" s="133" t="s">
        <v>450</v>
      </c>
      <c r="D279" s="133" t="s">
        <v>395</v>
      </c>
      <c r="E279" s="132">
        <v>6</v>
      </c>
      <c r="F279" s="132">
        <v>3</v>
      </c>
      <c r="G279" s="133" t="s">
        <v>376</v>
      </c>
      <c r="H279" s="133">
        <v>2</v>
      </c>
      <c r="I279" s="133" t="s">
        <v>419</v>
      </c>
      <c r="J279" s="132" t="s">
        <v>435</v>
      </c>
      <c r="K279" s="132" t="s">
        <v>433</v>
      </c>
      <c r="L279" s="132" t="s">
        <v>436</v>
      </c>
      <c r="M279" s="135">
        <f>9.13*USD_Inflation_Factor</f>
        <v>12.481197885164033</v>
      </c>
      <c r="N279" s="136">
        <f t="shared" si="19"/>
        <v>24.962395770328065</v>
      </c>
      <c r="O279" s="136">
        <f t="shared" si="17"/>
        <v>2843789.5526837977</v>
      </c>
    </row>
    <row r="280" spans="1:15" ht="20.100000000000001" customHeight="1">
      <c r="A280" s="132">
        <v>277</v>
      </c>
      <c r="B280" s="133" t="s">
        <v>389</v>
      </c>
      <c r="C280" s="133" t="s">
        <v>450</v>
      </c>
      <c r="D280" s="133" t="s">
        <v>395</v>
      </c>
      <c r="E280" s="132">
        <v>6</v>
      </c>
      <c r="F280" s="132">
        <v>4</v>
      </c>
      <c r="G280" s="133" t="s">
        <v>376</v>
      </c>
      <c r="H280" s="133">
        <v>4</v>
      </c>
      <c r="I280" s="133" t="s">
        <v>419</v>
      </c>
      <c r="J280" s="132" t="s">
        <v>435</v>
      </c>
      <c r="K280" s="132" t="s">
        <v>433</v>
      </c>
      <c r="L280" s="132" t="s">
        <v>436</v>
      </c>
      <c r="M280" s="135">
        <f>9.13*USD_Inflation_Factor</f>
        <v>12.481197885164033</v>
      </c>
      <c r="N280" s="136">
        <f t="shared" si="19"/>
        <v>49.92479154065613</v>
      </c>
      <c r="O280" s="136">
        <f t="shared" si="17"/>
        <v>5687579.1053675953</v>
      </c>
    </row>
    <row r="281" spans="1:15" ht="20.100000000000001" customHeight="1">
      <c r="A281" s="132">
        <v>278</v>
      </c>
      <c r="B281" s="133" t="s">
        <v>389</v>
      </c>
      <c r="C281" s="133" t="s">
        <v>450</v>
      </c>
      <c r="D281" s="133" t="s">
        <v>395</v>
      </c>
      <c r="E281" s="132">
        <v>8</v>
      </c>
      <c r="F281" s="132">
        <v>6</v>
      </c>
      <c r="G281" s="133" t="s">
        <v>376</v>
      </c>
      <c r="H281" s="133">
        <v>4</v>
      </c>
      <c r="I281" s="133" t="s">
        <v>419</v>
      </c>
      <c r="J281" s="132" t="s">
        <v>439</v>
      </c>
      <c r="K281" s="132" t="s">
        <v>433</v>
      </c>
      <c r="L281" s="132" t="s">
        <v>436</v>
      </c>
      <c r="M281" s="135">
        <f>15.87*USD_Inflation_Factor</f>
        <v>21.695138054496514</v>
      </c>
      <c r="N281" s="136">
        <f t="shared" si="19"/>
        <v>86.780552217986056</v>
      </c>
      <c r="O281" s="136">
        <f t="shared" si="17"/>
        <v>9886295.7724188082</v>
      </c>
    </row>
    <row r="282" spans="1:15" ht="20.100000000000001" customHeight="1">
      <c r="A282" s="132">
        <v>279</v>
      </c>
      <c r="B282" s="133" t="s">
        <v>389</v>
      </c>
      <c r="C282" s="133" t="s">
        <v>450</v>
      </c>
      <c r="D282" s="133" t="s">
        <v>395</v>
      </c>
      <c r="E282" s="132">
        <v>10</v>
      </c>
      <c r="F282" s="132">
        <v>8</v>
      </c>
      <c r="G282" s="133" t="s">
        <v>376</v>
      </c>
      <c r="H282" s="133">
        <v>14</v>
      </c>
      <c r="I282" s="133" t="s">
        <v>419</v>
      </c>
      <c r="J282" s="132" t="s">
        <v>432</v>
      </c>
      <c r="K282" s="132" t="s">
        <v>433</v>
      </c>
      <c r="L282" s="132" t="s">
        <v>436</v>
      </c>
      <c r="M282" s="135">
        <f>27.61*USD_Inflation_Factor</f>
        <v>37.74434541176111</v>
      </c>
      <c r="N282" s="136">
        <f t="shared" si="19"/>
        <v>528.42083576465552</v>
      </c>
      <c r="O282" s="136">
        <f t="shared" si="17"/>
        <v>60199255.952595569</v>
      </c>
    </row>
    <row r="283" spans="1:15" ht="20.100000000000001" customHeight="1">
      <c r="A283" s="132">
        <v>280</v>
      </c>
      <c r="B283" s="133" t="s">
        <v>389</v>
      </c>
      <c r="C283" s="133" t="s">
        <v>450</v>
      </c>
      <c r="D283" s="133" t="s">
        <v>395</v>
      </c>
      <c r="E283" s="132">
        <v>12</v>
      </c>
      <c r="F283" s="132">
        <v>10</v>
      </c>
      <c r="G283" s="133" t="s">
        <v>376</v>
      </c>
      <c r="H283" s="133">
        <v>4</v>
      </c>
      <c r="I283" s="133" t="s">
        <v>419</v>
      </c>
      <c r="J283" s="132" t="s">
        <v>432</v>
      </c>
      <c r="K283" s="132" t="s">
        <v>433</v>
      </c>
      <c r="L283" s="132" t="s">
        <v>436</v>
      </c>
      <c r="M283" s="135">
        <f>33.12*USD_Inflation_Factor</f>
        <v>45.276809852862286</v>
      </c>
      <c r="N283" s="136">
        <f t="shared" si="19"/>
        <v>181.10723941144914</v>
      </c>
      <c r="O283" s="136">
        <f t="shared" si="17"/>
        <v>20632269.438091423</v>
      </c>
    </row>
    <row r="284" spans="1:15" ht="20.100000000000001" customHeight="1">
      <c r="A284" s="132">
        <v>281</v>
      </c>
      <c r="B284" s="133" t="s">
        <v>389</v>
      </c>
      <c r="C284" s="133" t="s">
        <v>450</v>
      </c>
      <c r="D284" s="133" t="s">
        <v>395</v>
      </c>
      <c r="E284" s="132">
        <v>20</v>
      </c>
      <c r="F284" s="132">
        <v>12</v>
      </c>
      <c r="G284" s="133" t="s">
        <v>376</v>
      </c>
      <c r="H284" s="133">
        <v>2</v>
      </c>
      <c r="I284" s="133" t="s">
        <v>419</v>
      </c>
      <c r="J284" s="132" t="s">
        <v>438</v>
      </c>
      <c r="K284" s="132" t="s">
        <v>433</v>
      </c>
      <c r="L284" s="132" t="s">
        <v>436</v>
      </c>
      <c r="M284" s="135">
        <f>55.2*USD_Inflation_Factor</f>
        <v>75.461349754770495</v>
      </c>
      <c r="N284" s="136">
        <f t="shared" si="19"/>
        <v>150.92269950954099</v>
      </c>
      <c r="O284" s="136">
        <f t="shared" si="17"/>
        <v>17193557.865076192</v>
      </c>
    </row>
    <row r="285" spans="1:15" ht="20.100000000000001" customHeight="1">
      <c r="A285" s="132">
        <v>282</v>
      </c>
      <c r="B285" s="133" t="s">
        <v>389</v>
      </c>
      <c r="C285" s="133" t="s">
        <v>450</v>
      </c>
      <c r="D285" s="133" t="s">
        <v>395</v>
      </c>
      <c r="E285" s="132">
        <v>20</v>
      </c>
      <c r="F285" s="132">
        <v>18</v>
      </c>
      <c r="G285" s="133" t="s">
        <v>376</v>
      </c>
      <c r="H285" s="133">
        <v>2</v>
      </c>
      <c r="I285" s="133" t="s">
        <v>419</v>
      </c>
      <c r="J285" s="132" t="s">
        <v>438</v>
      </c>
      <c r="K285" s="132" t="s">
        <v>433</v>
      </c>
      <c r="L285" s="132" t="s">
        <v>436</v>
      </c>
      <c r="M285" s="135">
        <f>55.2*USD_Inflation_Factor</f>
        <v>75.461349754770495</v>
      </c>
      <c r="N285" s="136">
        <f t="shared" si="19"/>
        <v>150.92269950954099</v>
      </c>
      <c r="O285" s="136">
        <f t="shared" si="17"/>
        <v>17193557.865076192</v>
      </c>
    </row>
    <row r="286" spans="1:15" ht="20.100000000000001" customHeight="1">
      <c r="A286" s="132">
        <v>283</v>
      </c>
      <c r="B286" s="133" t="s">
        <v>389</v>
      </c>
      <c r="C286" s="133" t="s">
        <v>450</v>
      </c>
      <c r="D286" s="133" t="s">
        <v>395</v>
      </c>
      <c r="E286" s="132">
        <v>26</v>
      </c>
      <c r="F286" s="132">
        <v>16</v>
      </c>
      <c r="G286" s="133" t="s">
        <v>376</v>
      </c>
      <c r="H286" s="133">
        <v>1</v>
      </c>
      <c r="I286" s="133" t="s">
        <v>419</v>
      </c>
      <c r="J286" s="132" t="s">
        <v>438</v>
      </c>
      <c r="K286" s="132" t="s">
        <v>433</v>
      </c>
      <c r="L286" s="132" t="s">
        <v>436</v>
      </c>
      <c r="M286" s="135">
        <f>71.76*USD_Inflation_Factor</f>
        <v>98.099754681201631</v>
      </c>
      <c r="N286" s="136">
        <f t="shared" si="19"/>
        <v>98.099754681201631</v>
      </c>
      <c r="O286" s="136">
        <f t="shared" si="17"/>
        <v>11175812.612299522</v>
      </c>
    </row>
    <row r="287" spans="1:15" ht="20.100000000000001" customHeight="1">
      <c r="A287" s="132">
        <v>284</v>
      </c>
      <c r="B287" s="133" t="s">
        <v>389</v>
      </c>
      <c r="C287" s="133" t="s">
        <v>450</v>
      </c>
      <c r="D287" s="133" t="s">
        <v>395</v>
      </c>
      <c r="E287" s="132">
        <v>3</v>
      </c>
      <c r="F287" s="132">
        <v>2</v>
      </c>
      <c r="G287" s="133" t="s">
        <v>376</v>
      </c>
      <c r="H287" s="133">
        <v>2</v>
      </c>
      <c r="I287" s="133" t="s">
        <v>456</v>
      </c>
      <c r="J287" s="132" t="s">
        <v>437</v>
      </c>
      <c r="K287" s="132" t="s">
        <v>433</v>
      </c>
      <c r="L287" s="132" t="s">
        <v>380</v>
      </c>
      <c r="M287" s="135">
        <f>38.8*USD_Inflation_Factor</f>
        <v>53.041673378353167</v>
      </c>
      <c r="N287" s="136">
        <f t="shared" si="19"/>
        <v>106.08334675670633</v>
      </c>
      <c r="O287" s="136">
        <f t="shared" si="17"/>
        <v>12085326.905162249</v>
      </c>
    </row>
    <row r="288" spans="1:15" ht="20.100000000000001" customHeight="1">
      <c r="A288" s="132">
        <v>285</v>
      </c>
      <c r="B288" s="133" t="s">
        <v>389</v>
      </c>
      <c r="C288" s="133" t="s">
        <v>450</v>
      </c>
      <c r="D288" s="133" t="s">
        <v>395</v>
      </c>
      <c r="E288" s="132">
        <v>4</v>
      </c>
      <c r="F288" s="132">
        <v>3</v>
      </c>
      <c r="G288" s="133" t="s">
        <v>376</v>
      </c>
      <c r="H288" s="133">
        <v>2</v>
      </c>
      <c r="I288" s="133" t="s">
        <v>456</v>
      </c>
      <c r="J288" s="132" t="s">
        <v>437</v>
      </c>
      <c r="K288" s="132" t="s">
        <v>433</v>
      </c>
      <c r="L288" s="132" t="s">
        <v>380</v>
      </c>
      <c r="M288" s="135">
        <f>4.18*USD_Inflation_Factor</f>
        <v>5.7142833691112429</v>
      </c>
      <c r="N288" s="136">
        <f t="shared" si="19"/>
        <v>11.428566738222486</v>
      </c>
      <c r="O288" s="136">
        <f t="shared" si="17"/>
        <v>1301975.9397829433</v>
      </c>
    </row>
    <row r="289" spans="1:15" ht="20.100000000000001" customHeight="1">
      <c r="A289" s="132">
        <v>286</v>
      </c>
      <c r="B289" s="133" t="s">
        <v>389</v>
      </c>
      <c r="C289" s="133" t="s">
        <v>450</v>
      </c>
      <c r="D289" s="133" t="s">
        <v>444</v>
      </c>
      <c r="E289" s="132">
        <v>2</v>
      </c>
      <c r="F289" s="132">
        <v>1</v>
      </c>
      <c r="G289" s="133" t="s">
        <v>376</v>
      </c>
      <c r="H289" s="133">
        <v>7</v>
      </c>
      <c r="I289" s="133" t="s">
        <v>417</v>
      </c>
      <c r="J289" s="132"/>
      <c r="K289" s="132" t="s">
        <v>400</v>
      </c>
      <c r="L289" s="132"/>
      <c r="M289" s="135">
        <f>6.71*USD_Inflation_Factor</f>
        <v>9.1729285662048898</v>
      </c>
      <c r="N289" s="136">
        <f t="shared" si="19"/>
        <v>64.210499963434231</v>
      </c>
      <c r="O289" s="136">
        <f t="shared" si="17"/>
        <v>7315049.0300962729</v>
      </c>
    </row>
    <row r="290" spans="1:15" ht="20.100000000000001" customHeight="1">
      <c r="A290" s="132">
        <v>287</v>
      </c>
      <c r="B290" s="133" t="s">
        <v>389</v>
      </c>
      <c r="C290" s="133" t="s">
        <v>450</v>
      </c>
      <c r="D290" s="133" t="s">
        <v>444</v>
      </c>
      <c r="E290" s="132">
        <v>2</v>
      </c>
      <c r="F290" s="132" t="s">
        <v>383</v>
      </c>
      <c r="G290" s="133" t="s">
        <v>376</v>
      </c>
      <c r="H290" s="133">
        <v>4</v>
      </c>
      <c r="I290" s="133" t="s">
        <v>417</v>
      </c>
      <c r="J290" s="132"/>
      <c r="K290" s="132" t="s">
        <v>400</v>
      </c>
      <c r="L290" s="132"/>
      <c r="M290" s="135">
        <f>6.71*USD_Inflation_Factor</f>
        <v>9.1729285662048898</v>
      </c>
      <c r="N290" s="136">
        <f t="shared" si="19"/>
        <v>36.691714264819559</v>
      </c>
      <c r="O290" s="136">
        <f t="shared" si="17"/>
        <v>4180028.0171978702</v>
      </c>
    </row>
    <row r="291" spans="1:15" ht="20.100000000000001" customHeight="1">
      <c r="A291" s="132">
        <v>288</v>
      </c>
      <c r="B291" s="133" t="s">
        <v>389</v>
      </c>
      <c r="C291" s="133" t="s">
        <v>450</v>
      </c>
      <c r="D291" s="133" t="s">
        <v>444</v>
      </c>
      <c r="E291" s="132">
        <v>3</v>
      </c>
      <c r="F291" s="132">
        <v>1</v>
      </c>
      <c r="G291" s="133" t="s">
        <v>376</v>
      </c>
      <c r="H291" s="133">
        <v>30</v>
      </c>
      <c r="I291" s="133" t="s">
        <v>417</v>
      </c>
      <c r="J291" s="132"/>
      <c r="K291" s="132" t="s">
        <v>400</v>
      </c>
      <c r="L291" s="132"/>
      <c r="M291" s="135">
        <f>2.91*USD_Inflation_Factor</f>
        <v>3.978125503376488</v>
      </c>
      <c r="N291" s="136">
        <f t="shared" si="19"/>
        <v>119.34376510129464</v>
      </c>
      <c r="O291" s="136">
        <f t="shared" ref="O291:O354" si="20">0.25*N291*USD_Change_IRR * per_Euro</f>
        <v>13595992.768307529</v>
      </c>
    </row>
    <row r="292" spans="1:15" ht="20.100000000000001" customHeight="1">
      <c r="A292" s="132">
        <v>289</v>
      </c>
      <c r="B292" s="133" t="s">
        <v>389</v>
      </c>
      <c r="C292" s="133" t="s">
        <v>450</v>
      </c>
      <c r="D292" s="133" t="s">
        <v>444</v>
      </c>
      <c r="E292" s="132">
        <v>3</v>
      </c>
      <c r="F292" s="132" t="s">
        <v>446</v>
      </c>
      <c r="G292" s="133" t="s">
        <v>376</v>
      </c>
      <c r="H292" s="133">
        <v>2</v>
      </c>
      <c r="I292" s="133" t="s">
        <v>417</v>
      </c>
      <c r="J292" s="132"/>
      <c r="K292" s="132" t="s">
        <v>400</v>
      </c>
      <c r="L292" s="132"/>
      <c r="M292" s="135">
        <f>2.91*USD_Inflation_Factor</f>
        <v>3.978125503376488</v>
      </c>
      <c r="N292" s="136">
        <f t="shared" si="19"/>
        <v>7.9562510067529759</v>
      </c>
      <c r="O292" s="136">
        <f t="shared" si="20"/>
        <v>906399.51788716868</v>
      </c>
    </row>
    <row r="293" spans="1:15" ht="20.100000000000001" customHeight="1">
      <c r="A293" s="132">
        <v>290</v>
      </c>
      <c r="B293" s="133" t="s">
        <v>389</v>
      </c>
      <c r="C293" s="133" t="s">
        <v>450</v>
      </c>
      <c r="D293" s="133" t="s">
        <v>444</v>
      </c>
      <c r="E293" s="132">
        <v>3</v>
      </c>
      <c r="F293" s="132" t="s">
        <v>383</v>
      </c>
      <c r="G293" s="133" t="s">
        <v>376</v>
      </c>
      <c r="H293" s="133">
        <v>2</v>
      </c>
      <c r="I293" s="133" t="s">
        <v>417</v>
      </c>
      <c r="J293" s="132"/>
      <c r="K293" s="132" t="s">
        <v>400</v>
      </c>
      <c r="L293" s="132"/>
      <c r="M293" s="135">
        <f>2.91*USD_Inflation_Factor</f>
        <v>3.978125503376488</v>
      </c>
      <c r="N293" s="136">
        <f t="shared" si="19"/>
        <v>7.9562510067529759</v>
      </c>
      <c r="O293" s="136">
        <f t="shared" si="20"/>
        <v>906399.51788716868</v>
      </c>
    </row>
    <row r="294" spans="1:15" ht="20.100000000000001" customHeight="1">
      <c r="A294" s="132">
        <v>291</v>
      </c>
      <c r="B294" s="133" t="s">
        <v>389</v>
      </c>
      <c r="C294" s="133" t="s">
        <v>450</v>
      </c>
      <c r="D294" s="133" t="s">
        <v>444</v>
      </c>
      <c r="E294" s="132">
        <v>4</v>
      </c>
      <c r="F294" s="132">
        <v>1</v>
      </c>
      <c r="G294" s="133" t="s">
        <v>376</v>
      </c>
      <c r="H294" s="133">
        <v>38</v>
      </c>
      <c r="I294" s="133" t="s">
        <v>417</v>
      </c>
      <c r="J294" s="132"/>
      <c r="K294" s="132" t="s">
        <v>400</v>
      </c>
      <c r="L294" s="132"/>
      <c r="M294" s="135">
        <f>5.17*USD_Inflation_Factor</f>
        <v>7.0676662723218007</v>
      </c>
      <c r="N294" s="136">
        <f t="shared" si="19"/>
        <v>268.57131834822843</v>
      </c>
      <c r="O294" s="136">
        <f t="shared" si="20"/>
        <v>30596434.584899168</v>
      </c>
    </row>
    <row r="295" spans="1:15" ht="20.100000000000001" customHeight="1">
      <c r="A295" s="132">
        <v>292</v>
      </c>
      <c r="B295" s="133" t="s">
        <v>389</v>
      </c>
      <c r="C295" s="133" t="s">
        <v>450</v>
      </c>
      <c r="D295" s="133" t="s">
        <v>444</v>
      </c>
      <c r="E295" s="132">
        <v>4</v>
      </c>
      <c r="F295" s="132" t="s">
        <v>383</v>
      </c>
      <c r="G295" s="133" t="s">
        <v>376</v>
      </c>
      <c r="H295" s="133">
        <v>1</v>
      </c>
      <c r="I295" s="133" t="s">
        <v>417</v>
      </c>
      <c r="J295" s="132"/>
      <c r="K295" s="132" t="s">
        <v>400</v>
      </c>
      <c r="L295" s="132"/>
      <c r="M295" s="135">
        <f>5.17*USD_Inflation_Factor</f>
        <v>7.0676662723218007</v>
      </c>
      <c r="N295" s="136">
        <f t="shared" si="19"/>
        <v>7.0676662723218007</v>
      </c>
      <c r="O295" s="136">
        <f t="shared" si="20"/>
        <v>805169.33118155692</v>
      </c>
    </row>
    <row r="296" spans="1:15" ht="20.100000000000001" customHeight="1">
      <c r="A296" s="132">
        <v>293</v>
      </c>
      <c r="B296" s="133" t="s">
        <v>389</v>
      </c>
      <c r="C296" s="133" t="s">
        <v>450</v>
      </c>
      <c r="D296" s="133" t="s">
        <v>444</v>
      </c>
      <c r="E296" s="132">
        <v>6</v>
      </c>
      <c r="F296" s="132">
        <v>1</v>
      </c>
      <c r="G296" s="133" t="s">
        <v>376</v>
      </c>
      <c r="H296" s="133">
        <v>10</v>
      </c>
      <c r="I296" s="133" t="s">
        <v>417</v>
      </c>
      <c r="J296" s="132"/>
      <c r="K296" s="132" t="s">
        <v>400</v>
      </c>
      <c r="L296" s="132"/>
      <c r="M296" s="135">
        <f>7.14*USD_Inflation_Factor</f>
        <v>9.7607615443670515</v>
      </c>
      <c r="N296" s="136">
        <f t="shared" si="19"/>
        <v>97.607615443670511</v>
      </c>
      <c r="O296" s="136">
        <f t="shared" si="20"/>
        <v>11119746.662739491</v>
      </c>
    </row>
    <row r="297" spans="1:15" ht="20.100000000000001" customHeight="1">
      <c r="A297" s="132">
        <v>294</v>
      </c>
      <c r="B297" s="133" t="s">
        <v>389</v>
      </c>
      <c r="C297" s="133" t="s">
        <v>450</v>
      </c>
      <c r="D297" s="133" t="s">
        <v>444</v>
      </c>
      <c r="E297" s="132">
        <v>2</v>
      </c>
      <c r="F297" s="132">
        <v>1</v>
      </c>
      <c r="G297" s="133" t="s">
        <v>376</v>
      </c>
      <c r="H297" s="133">
        <v>60</v>
      </c>
      <c r="I297" s="133" t="s">
        <v>418</v>
      </c>
      <c r="J297" s="132"/>
      <c r="K297" s="132" t="s">
        <v>400</v>
      </c>
      <c r="L297" s="132"/>
      <c r="M297" s="135">
        <f>6.71*USD_Inflation_Factor</f>
        <v>9.1729285662048898</v>
      </c>
      <c r="N297" s="136">
        <f t="shared" si="19"/>
        <v>550.3757139722934</v>
      </c>
      <c r="O297" s="136">
        <f t="shared" si="20"/>
        <v>62700420.257968053</v>
      </c>
    </row>
    <row r="298" spans="1:15" ht="20.100000000000001" customHeight="1">
      <c r="A298" s="132">
        <v>295</v>
      </c>
      <c r="B298" s="133" t="s">
        <v>389</v>
      </c>
      <c r="C298" s="133" t="s">
        <v>450</v>
      </c>
      <c r="D298" s="133" t="s">
        <v>444</v>
      </c>
      <c r="E298" s="132">
        <v>2</v>
      </c>
      <c r="F298" s="132">
        <v>2</v>
      </c>
      <c r="G298" s="133" t="s">
        <v>376</v>
      </c>
      <c r="H298" s="133">
        <v>5</v>
      </c>
      <c r="I298" s="133" t="s">
        <v>418</v>
      </c>
      <c r="J298" s="132"/>
      <c r="K298" s="132" t="s">
        <v>400</v>
      </c>
      <c r="L298" s="132"/>
      <c r="M298" s="135">
        <f>6.71*USD_Inflation_Factor</f>
        <v>9.1729285662048898</v>
      </c>
      <c r="N298" s="136">
        <f t="shared" si="19"/>
        <v>45.864642831024447</v>
      </c>
      <c r="O298" s="136">
        <f t="shared" si="20"/>
        <v>5225035.0214973381</v>
      </c>
    </row>
    <row r="299" spans="1:15" ht="20.100000000000001" customHeight="1">
      <c r="A299" s="132">
        <v>296</v>
      </c>
      <c r="B299" s="133" t="s">
        <v>389</v>
      </c>
      <c r="C299" s="133" t="s">
        <v>450</v>
      </c>
      <c r="D299" s="133" t="s">
        <v>444</v>
      </c>
      <c r="E299" s="132">
        <v>2</v>
      </c>
      <c r="F299" s="132" t="s">
        <v>383</v>
      </c>
      <c r="G299" s="133" t="s">
        <v>376</v>
      </c>
      <c r="H299" s="133">
        <v>10</v>
      </c>
      <c r="I299" s="133" t="s">
        <v>418</v>
      </c>
      <c r="J299" s="132"/>
      <c r="K299" s="132" t="s">
        <v>400</v>
      </c>
      <c r="L299" s="132"/>
      <c r="M299" s="135">
        <f>6.71*USD_Inflation_Factor</f>
        <v>9.1729285662048898</v>
      </c>
      <c r="N299" s="136">
        <f t="shared" si="19"/>
        <v>91.729285662048895</v>
      </c>
      <c r="O299" s="136">
        <f t="shared" si="20"/>
        <v>10450070.042994676</v>
      </c>
    </row>
    <row r="300" spans="1:15" ht="20.100000000000001" customHeight="1">
      <c r="A300" s="132">
        <v>297</v>
      </c>
      <c r="B300" s="133" t="s">
        <v>389</v>
      </c>
      <c r="C300" s="133" t="s">
        <v>450</v>
      </c>
      <c r="D300" s="133" t="s">
        <v>444</v>
      </c>
      <c r="E300" s="132">
        <v>3</v>
      </c>
      <c r="F300" s="132">
        <v>1</v>
      </c>
      <c r="G300" s="133" t="s">
        <v>376</v>
      </c>
      <c r="H300" s="133">
        <v>23</v>
      </c>
      <c r="I300" s="133" t="s">
        <v>418</v>
      </c>
      <c r="J300" s="132"/>
      <c r="K300" s="132" t="s">
        <v>400</v>
      </c>
      <c r="L300" s="132"/>
      <c r="M300" s="135">
        <f>2.91*USD_Inflation_Factor</f>
        <v>3.978125503376488</v>
      </c>
      <c r="N300" s="136">
        <f t="shared" si="19"/>
        <v>91.496886577659225</v>
      </c>
      <c r="O300" s="136">
        <f t="shared" si="20"/>
        <v>10423594.455702441</v>
      </c>
    </row>
    <row r="301" spans="1:15" ht="20.100000000000001" customHeight="1">
      <c r="A301" s="132">
        <v>298</v>
      </c>
      <c r="B301" s="133" t="s">
        <v>389</v>
      </c>
      <c r="C301" s="133" t="s">
        <v>450</v>
      </c>
      <c r="D301" s="133" t="s">
        <v>444</v>
      </c>
      <c r="E301" s="132">
        <v>3</v>
      </c>
      <c r="F301" s="132" t="s">
        <v>383</v>
      </c>
      <c r="G301" s="133" t="s">
        <v>376</v>
      </c>
      <c r="H301" s="133">
        <v>4</v>
      </c>
      <c r="I301" s="133" t="s">
        <v>418</v>
      </c>
      <c r="J301" s="132"/>
      <c r="K301" s="132" t="s">
        <v>400</v>
      </c>
      <c r="L301" s="132"/>
      <c r="M301" s="135">
        <f>2.91*USD_Inflation_Factor</f>
        <v>3.978125503376488</v>
      </c>
      <c r="N301" s="136">
        <f t="shared" si="19"/>
        <v>15.912502013505952</v>
      </c>
      <c r="O301" s="136">
        <f t="shared" si="20"/>
        <v>1812799.0357743374</v>
      </c>
    </row>
    <row r="302" spans="1:15" ht="20.100000000000001" customHeight="1">
      <c r="A302" s="132">
        <v>299</v>
      </c>
      <c r="B302" s="133" t="s">
        <v>389</v>
      </c>
      <c r="C302" s="133" t="s">
        <v>450</v>
      </c>
      <c r="D302" s="133" t="s">
        <v>444</v>
      </c>
      <c r="E302" s="132">
        <v>4</v>
      </c>
      <c r="F302" s="132">
        <v>1</v>
      </c>
      <c r="G302" s="133" t="s">
        <v>376</v>
      </c>
      <c r="H302" s="133">
        <v>18</v>
      </c>
      <c r="I302" s="133" t="s">
        <v>418</v>
      </c>
      <c r="J302" s="132"/>
      <c r="K302" s="132" t="s">
        <v>400</v>
      </c>
      <c r="L302" s="132"/>
      <c r="M302" s="135">
        <f>5.17*USD_Inflation_Factor</f>
        <v>7.0676662723218007</v>
      </c>
      <c r="N302" s="136">
        <f t="shared" si="19"/>
        <v>127.21799290179241</v>
      </c>
      <c r="O302" s="136">
        <f t="shared" si="20"/>
        <v>14493047.961268026</v>
      </c>
    </row>
    <row r="303" spans="1:15" ht="20.100000000000001" customHeight="1">
      <c r="A303" s="132">
        <v>300</v>
      </c>
      <c r="B303" s="133" t="s">
        <v>389</v>
      </c>
      <c r="C303" s="133" t="s">
        <v>450</v>
      </c>
      <c r="D303" s="133" t="s">
        <v>444</v>
      </c>
      <c r="E303" s="132">
        <v>4</v>
      </c>
      <c r="F303" s="132" t="s">
        <v>383</v>
      </c>
      <c r="G303" s="133" t="s">
        <v>376</v>
      </c>
      <c r="H303" s="133">
        <v>4</v>
      </c>
      <c r="I303" s="133" t="s">
        <v>418</v>
      </c>
      <c r="J303" s="132"/>
      <c r="K303" s="132" t="s">
        <v>400</v>
      </c>
      <c r="L303" s="132"/>
      <c r="M303" s="135">
        <f>5.17*USD_Inflation_Factor</f>
        <v>7.0676662723218007</v>
      </c>
      <c r="N303" s="136">
        <f t="shared" si="19"/>
        <v>28.270665089287203</v>
      </c>
      <c r="O303" s="136">
        <f t="shared" si="20"/>
        <v>3220677.3247262277</v>
      </c>
    </row>
    <row r="304" spans="1:15" ht="20.100000000000001" customHeight="1">
      <c r="A304" s="132">
        <v>301</v>
      </c>
      <c r="B304" s="133" t="s">
        <v>389</v>
      </c>
      <c r="C304" s="133" t="s">
        <v>450</v>
      </c>
      <c r="D304" s="133" t="s">
        <v>444</v>
      </c>
      <c r="E304" s="132">
        <v>6</v>
      </c>
      <c r="F304" s="132">
        <v>1</v>
      </c>
      <c r="G304" s="133" t="s">
        <v>376</v>
      </c>
      <c r="H304" s="133">
        <v>24</v>
      </c>
      <c r="I304" s="133" t="s">
        <v>418</v>
      </c>
      <c r="J304" s="132"/>
      <c r="K304" s="132" t="s">
        <v>400</v>
      </c>
      <c r="L304" s="132"/>
      <c r="M304" s="135">
        <f>7.14*USD_Inflation_Factor</f>
        <v>9.7607615443670515</v>
      </c>
      <c r="N304" s="136">
        <f t="shared" si="19"/>
        <v>234.25827706480925</v>
      </c>
      <c r="O304" s="136">
        <f t="shared" si="20"/>
        <v>26687391.990574781</v>
      </c>
    </row>
    <row r="305" spans="1:15" ht="20.100000000000001" customHeight="1">
      <c r="A305" s="132">
        <v>302</v>
      </c>
      <c r="B305" s="133" t="s">
        <v>389</v>
      </c>
      <c r="C305" s="133" t="s">
        <v>450</v>
      </c>
      <c r="D305" s="133" t="s">
        <v>444</v>
      </c>
      <c r="E305" s="132">
        <v>6</v>
      </c>
      <c r="F305" s="132" t="s">
        <v>383</v>
      </c>
      <c r="G305" s="133" t="s">
        <v>376</v>
      </c>
      <c r="H305" s="133">
        <v>8</v>
      </c>
      <c r="I305" s="133" t="s">
        <v>418</v>
      </c>
      <c r="J305" s="132"/>
      <c r="K305" s="132" t="s">
        <v>400</v>
      </c>
      <c r="L305" s="132"/>
      <c r="M305" s="135">
        <f>7.14*USD_Inflation_Factor</f>
        <v>9.7607615443670515</v>
      </c>
      <c r="N305" s="136">
        <f t="shared" si="19"/>
        <v>78.086092354936412</v>
      </c>
      <c r="O305" s="136">
        <f t="shared" si="20"/>
        <v>8895797.3301915936</v>
      </c>
    </row>
    <row r="306" spans="1:15" ht="20.100000000000001" customHeight="1">
      <c r="A306" s="132">
        <v>303</v>
      </c>
      <c r="B306" s="133" t="s">
        <v>389</v>
      </c>
      <c r="C306" s="133" t="s">
        <v>450</v>
      </c>
      <c r="D306" s="133" t="s">
        <v>444</v>
      </c>
      <c r="E306" s="132">
        <v>8</v>
      </c>
      <c r="F306" s="132">
        <v>1</v>
      </c>
      <c r="G306" s="133" t="s">
        <v>376</v>
      </c>
      <c r="H306" s="133">
        <v>11</v>
      </c>
      <c r="I306" s="133" t="s">
        <v>418</v>
      </c>
      <c r="J306" s="132"/>
      <c r="K306" s="132" t="s">
        <v>400</v>
      </c>
      <c r="L306" s="132"/>
      <c r="M306" s="135">
        <f>5.17*USD_Inflation_Factor</f>
        <v>7.0676662723218007</v>
      </c>
      <c r="N306" s="136">
        <f t="shared" si="19"/>
        <v>77.744328995539803</v>
      </c>
      <c r="O306" s="136">
        <f t="shared" si="20"/>
        <v>8856862.642997127</v>
      </c>
    </row>
    <row r="307" spans="1:15" ht="20.100000000000001" customHeight="1">
      <c r="A307" s="132">
        <v>304</v>
      </c>
      <c r="B307" s="133" t="s">
        <v>389</v>
      </c>
      <c r="C307" s="133" t="s">
        <v>450</v>
      </c>
      <c r="D307" s="133" t="s">
        <v>444</v>
      </c>
      <c r="E307" s="132">
        <v>2</v>
      </c>
      <c r="F307" s="132">
        <v>1</v>
      </c>
      <c r="G307" s="133" t="s">
        <v>376</v>
      </c>
      <c r="H307" s="133">
        <v>17</v>
      </c>
      <c r="I307" s="133" t="s">
        <v>419</v>
      </c>
      <c r="J307" s="132"/>
      <c r="K307" s="132" t="s">
        <v>400</v>
      </c>
      <c r="L307" s="132" t="s">
        <v>436</v>
      </c>
      <c r="M307" s="135">
        <f>6.71*USD_Inflation_Factor</f>
        <v>9.1729285662048898</v>
      </c>
      <c r="N307" s="136">
        <f t="shared" si="19"/>
        <v>155.93978562548313</v>
      </c>
      <c r="O307" s="136">
        <f t="shared" si="20"/>
        <v>17765119.073090948</v>
      </c>
    </row>
    <row r="308" spans="1:15" ht="20.100000000000001" customHeight="1">
      <c r="A308" s="132">
        <v>305</v>
      </c>
      <c r="B308" s="133" t="s">
        <v>389</v>
      </c>
      <c r="C308" s="133" t="s">
        <v>450</v>
      </c>
      <c r="D308" s="133" t="s">
        <v>444</v>
      </c>
      <c r="E308" s="132">
        <v>2</v>
      </c>
      <c r="F308" s="132" t="s">
        <v>446</v>
      </c>
      <c r="G308" s="133" t="s">
        <v>376</v>
      </c>
      <c r="H308" s="133">
        <v>4</v>
      </c>
      <c r="I308" s="133" t="s">
        <v>419</v>
      </c>
      <c r="J308" s="132"/>
      <c r="K308" s="132" t="s">
        <v>400</v>
      </c>
      <c r="L308" s="132" t="s">
        <v>436</v>
      </c>
      <c r="M308" s="135">
        <f>6.71*USD_Inflation_Factor</f>
        <v>9.1729285662048898</v>
      </c>
      <c r="N308" s="136">
        <f t="shared" si="19"/>
        <v>36.691714264819559</v>
      </c>
      <c r="O308" s="136">
        <f t="shared" si="20"/>
        <v>4180028.0171978702</v>
      </c>
    </row>
    <row r="309" spans="1:15" ht="20.100000000000001" customHeight="1">
      <c r="A309" s="132">
        <v>306</v>
      </c>
      <c r="B309" s="133" t="s">
        <v>389</v>
      </c>
      <c r="C309" s="133" t="s">
        <v>450</v>
      </c>
      <c r="D309" s="133" t="s">
        <v>444</v>
      </c>
      <c r="E309" s="132">
        <v>3</v>
      </c>
      <c r="F309" s="132">
        <v>1</v>
      </c>
      <c r="G309" s="133" t="s">
        <v>376</v>
      </c>
      <c r="H309" s="133">
        <v>28</v>
      </c>
      <c r="I309" s="133" t="s">
        <v>419</v>
      </c>
      <c r="J309" s="132"/>
      <c r="K309" s="132" t="s">
        <v>400</v>
      </c>
      <c r="L309" s="132" t="s">
        <v>436</v>
      </c>
      <c r="M309" s="135">
        <f>2.91*USD_Inflation_Factor</f>
        <v>3.978125503376488</v>
      </c>
      <c r="N309" s="136">
        <f t="shared" si="19"/>
        <v>111.38751409454166</v>
      </c>
      <c r="O309" s="136">
        <f t="shared" si="20"/>
        <v>12689593.250420364</v>
      </c>
    </row>
    <row r="310" spans="1:15" ht="20.100000000000001" customHeight="1">
      <c r="A310" s="132">
        <v>307</v>
      </c>
      <c r="B310" s="133" t="s">
        <v>389</v>
      </c>
      <c r="C310" s="133" t="s">
        <v>450</v>
      </c>
      <c r="D310" s="133" t="s">
        <v>444</v>
      </c>
      <c r="E310" s="132">
        <v>4</v>
      </c>
      <c r="F310" s="132">
        <v>1</v>
      </c>
      <c r="G310" s="133" t="s">
        <v>376</v>
      </c>
      <c r="H310" s="133">
        <v>11</v>
      </c>
      <c r="I310" s="133" t="s">
        <v>419</v>
      </c>
      <c r="J310" s="132"/>
      <c r="K310" s="132" t="s">
        <v>400</v>
      </c>
      <c r="L310" s="132" t="s">
        <v>436</v>
      </c>
      <c r="M310" s="135">
        <f>5.17*USD_Inflation_Factor</f>
        <v>7.0676662723218007</v>
      </c>
      <c r="N310" s="136">
        <f t="shared" si="19"/>
        <v>77.744328995539803</v>
      </c>
      <c r="O310" s="136">
        <f t="shared" si="20"/>
        <v>8856862.642997127</v>
      </c>
    </row>
    <row r="311" spans="1:15" ht="20.100000000000001" customHeight="1">
      <c r="A311" s="132">
        <v>308</v>
      </c>
      <c r="B311" s="133" t="s">
        <v>389</v>
      </c>
      <c r="C311" s="133" t="s">
        <v>450</v>
      </c>
      <c r="D311" s="133" t="s">
        <v>444</v>
      </c>
      <c r="E311" s="132">
        <v>6</v>
      </c>
      <c r="F311" s="132">
        <v>1</v>
      </c>
      <c r="G311" s="133" t="s">
        <v>376</v>
      </c>
      <c r="H311" s="133">
        <v>5</v>
      </c>
      <c r="I311" s="133" t="s">
        <v>419</v>
      </c>
      <c r="J311" s="132"/>
      <c r="K311" s="132" t="s">
        <v>400</v>
      </c>
      <c r="L311" s="132" t="s">
        <v>436</v>
      </c>
      <c r="M311" s="135">
        <f>7.14*USD_Inflation_Factor</f>
        <v>9.7607615443670515</v>
      </c>
      <c r="N311" s="136">
        <f t="shared" si="19"/>
        <v>48.803807721835256</v>
      </c>
      <c r="O311" s="136">
        <f t="shared" si="20"/>
        <v>5559873.3313697455</v>
      </c>
    </row>
    <row r="312" spans="1:15" ht="20.100000000000001" customHeight="1">
      <c r="A312" s="132">
        <v>309</v>
      </c>
      <c r="B312" s="133" t="s">
        <v>389</v>
      </c>
      <c r="C312" s="133" t="s">
        <v>450</v>
      </c>
      <c r="D312" s="133" t="s">
        <v>444</v>
      </c>
      <c r="E312" s="132">
        <v>8</v>
      </c>
      <c r="F312" s="132">
        <v>1</v>
      </c>
      <c r="G312" s="133" t="s">
        <v>376</v>
      </c>
      <c r="H312" s="133">
        <v>20</v>
      </c>
      <c r="I312" s="133" t="s">
        <v>419</v>
      </c>
      <c r="J312" s="132"/>
      <c r="K312" s="132" t="s">
        <v>400</v>
      </c>
      <c r="L312" s="132" t="s">
        <v>436</v>
      </c>
      <c r="M312" s="135">
        <f>5.17*USD_Inflation_Factor</f>
        <v>7.0676662723218007</v>
      </c>
      <c r="N312" s="136">
        <f t="shared" si="19"/>
        <v>141.353325446436</v>
      </c>
      <c r="O312" s="136">
        <f t="shared" si="20"/>
        <v>16103386.623631138</v>
      </c>
    </row>
    <row r="313" spans="1:15" ht="20.100000000000001" customHeight="1">
      <c r="A313" s="132">
        <v>310</v>
      </c>
      <c r="B313" s="133" t="s">
        <v>389</v>
      </c>
      <c r="C313" s="133" t="s">
        <v>450</v>
      </c>
      <c r="D313" s="133" t="s">
        <v>444</v>
      </c>
      <c r="E313" s="132">
        <v>10</v>
      </c>
      <c r="F313" s="132">
        <v>1</v>
      </c>
      <c r="G313" s="133" t="s">
        <v>376</v>
      </c>
      <c r="H313" s="133">
        <v>45</v>
      </c>
      <c r="I313" s="133" t="s">
        <v>419</v>
      </c>
      <c r="J313" s="132"/>
      <c r="K313" s="132" t="s">
        <v>400</v>
      </c>
      <c r="L313" s="132" t="s">
        <v>436</v>
      </c>
      <c r="M313" s="135">
        <f>2.91*USD_Inflation_Factor</f>
        <v>3.978125503376488</v>
      </c>
      <c r="N313" s="136">
        <f t="shared" si="19"/>
        <v>179.01564765194195</v>
      </c>
      <c r="O313" s="136">
        <f t="shared" si="20"/>
        <v>20393989.152461294</v>
      </c>
    </row>
    <row r="314" spans="1:15" ht="20.100000000000001" customHeight="1">
      <c r="A314" s="132">
        <v>311</v>
      </c>
      <c r="B314" s="133" t="s">
        <v>389</v>
      </c>
      <c r="C314" s="133" t="s">
        <v>450</v>
      </c>
      <c r="D314" s="133" t="s">
        <v>444</v>
      </c>
      <c r="E314" s="132">
        <v>12</v>
      </c>
      <c r="F314" s="132">
        <v>1</v>
      </c>
      <c r="G314" s="133" t="s">
        <v>376</v>
      </c>
      <c r="H314" s="133">
        <v>38</v>
      </c>
      <c r="I314" s="133" t="s">
        <v>419</v>
      </c>
      <c r="J314" s="132"/>
      <c r="K314" s="132" t="s">
        <v>400</v>
      </c>
      <c r="L314" s="132" t="s">
        <v>436</v>
      </c>
      <c r="M314" s="135">
        <f>3.74*USD_Inflation_Factor</f>
        <v>5.1127798565732183</v>
      </c>
      <c r="N314" s="136">
        <f t="shared" si="19"/>
        <v>194.28563454978229</v>
      </c>
      <c r="O314" s="136">
        <f t="shared" si="20"/>
        <v>22133590.976310037</v>
      </c>
    </row>
    <row r="315" spans="1:15" ht="20.100000000000001" customHeight="1">
      <c r="A315" s="132">
        <v>312</v>
      </c>
      <c r="B315" s="133" t="s">
        <v>389</v>
      </c>
      <c r="C315" s="133" t="s">
        <v>450</v>
      </c>
      <c r="D315" s="133" t="s">
        <v>444</v>
      </c>
      <c r="E315" s="132">
        <v>20</v>
      </c>
      <c r="F315" s="132">
        <v>1</v>
      </c>
      <c r="G315" s="133" t="s">
        <v>376</v>
      </c>
      <c r="H315" s="133">
        <v>9</v>
      </c>
      <c r="I315" s="133" t="s">
        <v>419</v>
      </c>
      <c r="J315" s="132"/>
      <c r="K315" s="132" t="s">
        <v>400</v>
      </c>
      <c r="L315" s="132" t="s">
        <v>436</v>
      </c>
      <c r="M315" s="135">
        <f>5.17*USD_Inflation_Factor</f>
        <v>7.0676662723218007</v>
      </c>
      <c r="N315" s="136">
        <f t="shared" si="19"/>
        <v>63.608996450896207</v>
      </c>
      <c r="O315" s="136">
        <f t="shared" si="20"/>
        <v>7246523.9806340132</v>
      </c>
    </row>
    <row r="316" spans="1:15" ht="20.100000000000001" customHeight="1">
      <c r="A316" s="132">
        <v>313</v>
      </c>
      <c r="B316" s="133" t="s">
        <v>389</v>
      </c>
      <c r="C316" s="133" t="s">
        <v>450</v>
      </c>
      <c r="D316" s="133" t="s">
        <v>444</v>
      </c>
      <c r="E316" s="132">
        <v>20</v>
      </c>
      <c r="F316" s="132" t="s">
        <v>383</v>
      </c>
      <c r="G316" s="133" t="s">
        <v>376</v>
      </c>
      <c r="H316" s="133">
        <v>1</v>
      </c>
      <c r="I316" s="133" t="s">
        <v>419</v>
      </c>
      <c r="J316" s="132"/>
      <c r="K316" s="132" t="s">
        <v>400</v>
      </c>
      <c r="L316" s="132" t="s">
        <v>436</v>
      </c>
      <c r="M316" s="135">
        <f>5.17*USD_Inflation_Factor</f>
        <v>7.0676662723218007</v>
      </c>
      <c r="N316" s="136">
        <f t="shared" si="19"/>
        <v>7.0676662723218007</v>
      </c>
      <c r="O316" s="136">
        <f t="shared" si="20"/>
        <v>805169.33118155692</v>
      </c>
    </row>
    <row r="317" spans="1:15" ht="20.100000000000001" customHeight="1">
      <c r="A317" s="132">
        <v>314</v>
      </c>
      <c r="B317" s="133" t="s">
        <v>389</v>
      </c>
      <c r="C317" s="133" t="s">
        <v>450</v>
      </c>
      <c r="D317" s="133" t="s">
        <v>397</v>
      </c>
      <c r="E317" s="132">
        <v>2</v>
      </c>
      <c r="F317" s="132">
        <v>1</v>
      </c>
      <c r="G317" s="133" t="s">
        <v>376</v>
      </c>
      <c r="H317" s="133">
        <v>4</v>
      </c>
      <c r="I317" s="133" t="s">
        <v>417</v>
      </c>
      <c r="J317" s="132" t="s">
        <v>432</v>
      </c>
      <c r="K317" s="132" t="s">
        <v>433</v>
      </c>
      <c r="L317" s="132"/>
      <c r="M317" s="135">
        <f>2.79*USD_Inflation_Factor</f>
        <v>3.8140790908661169</v>
      </c>
      <c r="N317" s="136">
        <f t="shared" si="19"/>
        <v>15.256316363464467</v>
      </c>
      <c r="O317" s="136">
        <f t="shared" si="20"/>
        <v>1738044.4363609625</v>
      </c>
    </row>
    <row r="318" spans="1:15" ht="20.100000000000001" customHeight="1">
      <c r="A318" s="132">
        <v>315</v>
      </c>
      <c r="B318" s="133" t="s">
        <v>389</v>
      </c>
      <c r="C318" s="133" t="s">
        <v>450</v>
      </c>
      <c r="D318" s="133" t="s">
        <v>397</v>
      </c>
      <c r="E318" s="132">
        <v>2</v>
      </c>
      <c r="F318" s="132">
        <v>2</v>
      </c>
      <c r="G318" s="133" t="s">
        <v>376</v>
      </c>
      <c r="H318" s="133">
        <v>9</v>
      </c>
      <c r="I318" s="133" t="s">
        <v>417</v>
      </c>
      <c r="J318" s="132" t="s">
        <v>432</v>
      </c>
      <c r="K318" s="132" t="s">
        <v>433</v>
      </c>
      <c r="L318" s="132"/>
      <c r="M318" s="135">
        <f>2.79*USD_Inflation_Factor</f>
        <v>3.8140790908661169</v>
      </c>
      <c r="N318" s="136">
        <f t="shared" si="19"/>
        <v>34.326711817795051</v>
      </c>
      <c r="O318" s="136">
        <f t="shared" si="20"/>
        <v>3910599.9818121656</v>
      </c>
    </row>
    <row r="319" spans="1:15" ht="20.100000000000001" customHeight="1">
      <c r="A319" s="132">
        <v>316</v>
      </c>
      <c r="B319" s="133" t="s">
        <v>389</v>
      </c>
      <c r="C319" s="133" t="s">
        <v>450</v>
      </c>
      <c r="D319" s="133" t="s">
        <v>397</v>
      </c>
      <c r="E319" s="132">
        <v>2</v>
      </c>
      <c r="F319" s="132" t="s">
        <v>383</v>
      </c>
      <c r="G319" s="133" t="s">
        <v>376</v>
      </c>
      <c r="H319" s="133">
        <v>3</v>
      </c>
      <c r="I319" s="133" t="s">
        <v>417</v>
      </c>
      <c r="J319" s="132" t="s">
        <v>432</v>
      </c>
      <c r="K319" s="132" t="s">
        <v>433</v>
      </c>
      <c r="L319" s="132"/>
      <c r="M319" s="135">
        <f>2.79*USD_Inflation_Factor</f>
        <v>3.8140790908661169</v>
      </c>
      <c r="N319" s="136">
        <f t="shared" si="19"/>
        <v>11.442237272598351</v>
      </c>
      <c r="O319" s="136">
        <f t="shared" si="20"/>
        <v>1303533.327270722</v>
      </c>
    </row>
    <row r="320" spans="1:15" ht="20.100000000000001" customHeight="1">
      <c r="A320" s="132">
        <v>317</v>
      </c>
      <c r="B320" s="133" t="s">
        <v>389</v>
      </c>
      <c r="C320" s="133" t="s">
        <v>450</v>
      </c>
      <c r="D320" s="133" t="s">
        <v>397</v>
      </c>
      <c r="E320" s="132">
        <v>3</v>
      </c>
      <c r="F320" s="132">
        <v>1</v>
      </c>
      <c r="G320" s="133" t="s">
        <v>376</v>
      </c>
      <c r="H320" s="133">
        <v>3</v>
      </c>
      <c r="I320" s="133" t="s">
        <v>417</v>
      </c>
      <c r="J320" s="132" t="s">
        <v>432</v>
      </c>
      <c r="K320" s="132" t="s">
        <v>433</v>
      </c>
      <c r="L320" s="132"/>
      <c r="M320" s="135">
        <f>7.6*USD_Inflation_Factor</f>
        <v>10.389606125656805</v>
      </c>
      <c r="N320" s="136">
        <f t="shared" si="19"/>
        <v>31.168818376970414</v>
      </c>
      <c r="O320" s="136">
        <f t="shared" si="20"/>
        <v>3550843.4721352998</v>
      </c>
    </row>
    <row r="321" spans="1:15" ht="20.100000000000001" customHeight="1">
      <c r="A321" s="132">
        <v>318</v>
      </c>
      <c r="B321" s="133" t="s">
        <v>389</v>
      </c>
      <c r="C321" s="133" t="s">
        <v>450</v>
      </c>
      <c r="D321" s="133" t="s">
        <v>397</v>
      </c>
      <c r="E321" s="132">
        <v>3</v>
      </c>
      <c r="F321" s="132">
        <v>2</v>
      </c>
      <c r="G321" s="133" t="s">
        <v>376</v>
      </c>
      <c r="H321" s="133">
        <v>6</v>
      </c>
      <c r="I321" s="133" t="s">
        <v>417</v>
      </c>
      <c r="J321" s="132" t="s">
        <v>432</v>
      </c>
      <c r="K321" s="132" t="s">
        <v>433</v>
      </c>
      <c r="L321" s="132"/>
      <c r="M321" s="135">
        <f>7.6*USD_Inflation_Factor</f>
        <v>10.389606125656805</v>
      </c>
      <c r="N321" s="136">
        <f t="shared" si="19"/>
        <v>62.337636753940828</v>
      </c>
      <c r="O321" s="136">
        <f t="shared" si="20"/>
        <v>7101686.9442705996</v>
      </c>
    </row>
    <row r="322" spans="1:15" ht="20.100000000000001" customHeight="1">
      <c r="A322" s="132">
        <v>319</v>
      </c>
      <c r="B322" s="133" t="s">
        <v>389</v>
      </c>
      <c r="C322" s="133" t="s">
        <v>450</v>
      </c>
      <c r="D322" s="133" t="s">
        <v>397</v>
      </c>
      <c r="E322" s="132">
        <v>3</v>
      </c>
      <c r="F322" s="132">
        <v>3</v>
      </c>
      <c r="G322" s="133" t="s">
        <v>376</v>
      </c>
      <c r="H322" s="133">
        <v>15</v>
      </c>
      <c r="I322" s="133" t="s">
        <v>417</v>
      </c>
      <c r="J322" s="132" t="s">
        <v>432</v>
      </c>
      <c r="K322" s="132" t="s">
        <v>433</v>
      </c>
      <c r="L322" s="132"/>
      <c r="M322" s="135">
        <f>7.6*USD_Inflation_Factor</f>
        <v>10.389606125656805</v>
      </c>
      <c r="N322" s="136">
        <f t="shared" si="19"/>
        <v>155.84409188485208</v>
      </c>
      <c r="O322" s="136">
        <f t="shared" si="20"/>
        <v>17754217.360676497</v>
      </c>
    </row>
    <row r="323" spans="1:15" ht="20.100000000000001" customHeight="1">
      <c r="A323" s="132">
        <v>320</v>
      </c>
      <c r="B323" s="133" t="s">
        <v>389</v>
      </c>
      <c r="C323" s="133" t="s">
        <v>450</v>
      </c>
      <c r="D323" s="133" t="s">
        <v>397</v>
      </c>
      <c r="E323" s="132">
        <v>4</v>
      </c>
      <c r="F323" s="132">
        <v>3</v>
      </c>
      <c r="G323" s="133" t="s">
        <v>376</v>
      </c>
      <c r="H323" s="133">
        <v>7</v>
      </c>
      <c r="I323" s="133" t="s">
        <v>417</v>
      </c>
      <c r="J323" s="132" t="s">
        <v>432</v>
      </c>
      <c r="K323" s="132" t="s">
        <v>433</v>
      </c>
      <c r="L323" s="132"/>
      <c r="M323" s="135">
        <f>12.99*USD_Inflation_Factor</f>
        <v>17.758024154247622</v>
      </c>
      <c r="N323" s="136">
        <f t="shared" si="19"/>
        <v>124.30616907973335</v>
      </c>
      <c r="O323" s="136">
        <f t="shared" si="20"/>
        <v>14161324.426371178</v>
      </c>
    </row>
    <row r="324" spans="1:15" ht="20.100000000000001" customHeight="1">
      <c r="A324" s="132">
        <v>321</v>
      </c>
      <c r="B324" s="133" t="s">
        <v>389</v>
      </c>
      <c r="C324" s="133" t="s">
        <v>450</v>
      </c>
      <c r="D324" s="133" t="s">
        <v>397</v>
      </c>
      <c r="E324" s="132">
        <v>4</v>
      </c>
      <c r="F324" s="132">
        <v>4</v>
      </c>
      <c r="G324" s="133" t="s">
        <v>376</v>
      </c>
      <c r="H324" s="133">
        <v>8</v>
      </c>
      <c r="I324" s="133" t="s">
        <v>417</v>
      </c>
      <c r="J324" s="132" t="s">
        <v>432</v>
      </c>
      <c r="K324" s="132" t="s">
        <v>433</v>
      </c>
      <c r="L324" s="132"/>
      <c r="M324" s="135">
        <f>12.99*USD_Inflation_Factor</f>
        <v>17.758024154247622</v>
      </c>
      <c r="N324" s="136">
        <f t="shared" ref="N324:N387" si="21">M324*H324</f>
        <v>142.06419323398097</v>
      </c>
      <c r="O324" s="136">
        <f t="shared" si="20"/>
        <v>16184370.77299563</v>
      </c>
    </row>
    <row r="325" spans="1:15" ht="20.100000000000001" customHeight="1">
      <c r="A325" s="132">
        <v>322</v>
      </c>
      <c r="B325" s="133" t="s">
        <v>389</v>
      </c>
      <c r="C325" s="133" t="s">
        <v>450</v>
      </c>
      <c r="D325" s="133" t="s">
        <v>397</v>
      </c>
      <c r="E325" s="132">
        <v>6</v>
      </c>
      <c r="F325" s="132">
        <v>4</v>
      </c>
      <c r="G325" s="133" t="s">
        <v>376</v>
      </c>
      <c r="H325" s="133">
        <v>2</v>
      </c>
      <c r="I325" s="133" t="s">
        <v>417</v>
      </c>
      <c r="J325" s="132" t="s">
        <v>432</v>
      </c>
      <c r="K325" s="132" t="s">
        <v>433</v>
      </c>
      <c r="L325" s="132"/>
      <c r="M325" s="135">
        <f>94.5*USD_Inflation_Factor</f>
        <v>129.18654985191685</v>
      </c>
      <c r="N325" s="136">
        <f t="shared" si="21"/>
        <v>258.3730997038337</v>
      </c>
      <c r="O325" s="136">
        <f t="shared" si="20"/>
        <v>29434623.519016299</v>
      </c>
    </row>
    <row r="326" spans="1:15" ht="20.100000000000001" customHeight="1">
      <c r="A326" s="132">
        <v>323</v>
      </c>
      <c r="B326" s="133" t="s">
        <v>389</v>
      </c>
      <c r="C326" s="133" t="s">
        <v>450</v>
      </c>
      <c r="D326" s="133" t="s">
        <v>397</v>
      </c>
      <c r="E326" s="132">
        <v>6</v>
      </c>
      <c r="F326" s="132">
        <v>6</v>
      </c>
      <c r="G326" s="133" t="s">
        <v>376</v>
      </c>
      <c r="H326" s="133">
        <v>2</v>
      </c>
      <c r="I326" s="133" t="s">
        <v>417</v>
      </c>
      <c r="J326" s="132" t="s">
        <v>432</v>
      </c>
      <c r="K326" s="132" t="s">
        <v>433</v>
      </c>
      <c r="L326" s="132"/>
      <c r="M326" s="135">
        <f>94.5*USD_Inflation_Factor</f>
        <v>129.18654985191685</v>
      </c>
      <c r="N326" s="136">
        <f t="shared" si="21"/>
        <v>258.3730997038337</v>
      </c>
      <c r="O326" s="136">
        <f t="shared" si="20"/>
        <v>29434623.519016299</v>
      </c>
    </row>
    <row r="327" spans="1:15" ht="20.100000000000001" customHeight="1">
      <c r="A327" s="132">
        <v>324</v>
      </c>
      <c r="B327" s="133" t="s">
        <v>389</v>
      </c>
      <c r="C327" s="133" t="s">
        <v>450</v>
      </c>
      <c r="D327" s="133" t="s">
        <v>397</v>
      </c>
      <c r="E327" s="132">
        <v>2</v>
      </c>
      <c r="F327" s="132">
        <v>2</v>
      </c>
      <c r="G327" s="133" t="s">
        <v>376</v>
      </c>
      <c r="H327" s="133">
        <v>10</v>
      </c>
      <c r="I327" s="133" t="s">
        <v>418</v>
      </c>
      <c r="J327" s="132" t="s">
        <v>434</v>
      </c>
      <c r="K327" s="132" t="s">
        <v>433</v>
      </c>
      <c r="L327" s="132"/>
      <c r="M327" s="135">
        <f>2.79*USD_Inflation_Factor</f>
        <v>3.8140790908661169</v>
      </c>
      <c r="N327" s="136">
        <f t="shared" si="21"/>
        <v>38.140790908661167</v>
      </c>
      <c r="O327" s="136">
        <f t="shared" si="20"/>
        <v>4345111.0909024058</v>
      </c>
    </row>
    <row r="328" spans="1:15" ht="20.100000000000001" customHeight="1">
      <c r="A328" s="132">
        <v>325</v>
      </c>
      <c r="B328" s="133" t="s">
        <v>389</v>
      </c>
      <c r="C328" s="133" t="s">
        <v>450</v>
      </c>
      <c r="D328" s="133" t="s">
        <v>397</v>
      </c>
      <c r="E328" s="132">
        <v>3</v>
      </c>
      <c r="F328" s="132">
        <v>3</v>
      </c>
      <c r="G328" s="133" t="s">
        <v>376</v>
      </c>
      <c r="H328" s="133">
        <v>21</v>
      </c>
      <c r="I328" s="133" t="s">
        <v>418</v>
      </c>
      <c r="J328" s="132" t="s">
        <v>435</v>
      </c>
      <c r="K328" s="132" t="s">
        <v>433</v>
      </c>
      <c r="L328" s="132"/>
      <c r="M328" s="135">
        <f>7.6*USD_Inflation_Factor</f>
        <v>10.389606125656805</v>
      </c>
      <c r="N328" s="136">
        <f t="shared" si="21"/>
        <v>218.18172863879289</v>
      </c>
      <c r="O328" s="136">
        <f t="shared" si="20"/>
        <v>24855904.304947097</v>
      </c>
    </row>
    <row r="329" spans="1:15" ht="20.100000000000001" customHeight="1">
      <c r="A329" s="132">
        <v>326</v>
      </c>
      <c r="B329" s="133" t="s">
        <v>389</v>
      </c>
      <c r="C329" s="133" t="s">
        <v>450</v>
      </c>
      <c r="D329" s="133" t="s">
        <v>397</v>
      </c>
      <c r="E329" s="132">
        <v>4</v>
      </c>
      <c r="F329" s="132">
        <v>2</v>
      </c>
      <c r="G329" s="133" t="s">
        <v>376</v>
      </c>
      <c r="H329" s="133">
        <v>4</v>
      </c>
      <c r="I329" s="133" t="s">
        <v>418</v>
      </c>
      <c r="J329" s="132" t="s">
        <v>435</v>
      </c>
      <c r="K329" s="132" t="s">
        <v>433</v>
      </c>
      <c r="L329" s="132"/>
      <c r="M329" s="135">
        <f>12.99*USD_Inflation_Factor</f>
        <v>17.758024154247622</v>
      </c>
      <c r="N329" s="136">
        <f t="shared" si="21"/>
        <v>71.032096616990486</v>
      </c>
      <c r="O329" s="136">
        <f t="shared" si="20"/>
        <v>8092185.3864978151</v>
      </c>
    </row>
    <row r="330" spans="1:15" ht="20.100000000000001" customHeight="1">
      <c r="A330" s="132">
        <v>327</v>
      </c>
      <c r="B330" s="133" t="s">
        <v>389</v>
      </c>
      <c r="C330" s="133" t="s">
        <v>450</v>
      </c>
      <c r="D330" s="133" t="s">
        <v>397</v>
      </c>
      <c r="E330" s="132">
        <v>4</v>
      </c>
      <c r="F330" s="132">
        <v>3</v>
      </c>
      <c r="G330" s="133" t="s">
        <v>376</v>
      </c>
      <c r="H330" s="133">
        <v>2</v>
      </c>
      <c r="I330" s="133" t="s">
        <v>418</v>
      </c>
      <c r="J330" s="132" t="s">
        <v>435</v>
      </c>
      <c r="K330" s="132" t="s">
        <v>433</v>
      </c>
      <c r="L330" s="132"/>
      <c r="M330" s="135">
        <f>12.99*USD_Inflation_Factor</f>
        <v>17.758024154247622</v>
      </c>
      <c r="N330" s="136">
        <f t="shared" si="21"/>
        <v>35.516048308495243</v>
      </c>
      <c r="O330" s="136">
        <f t="shared" si="20"/>
        <v>4046092.6932489076</v>
      </c>
    </row>
    <row r="331" spans="1:15" ht="20.100000000000001" customHeight="1">
      <c r="A331" s="132">
        <v>328</v>
      </c>
      <c r="B331" s="133" t="s">
        <v>389</v>
      </c>
      <c r="C331" s="133" t="s">
        <v>450</v>
      </c>
      <c r="D331" s="133" t="s">
        <v>397</v>
      </c>
      <c r="E331" s="132">
        <v>4</v>
      </c>
      <c r="F331" s="132">
        <v>4</v>
      </c>
      <c r="G331" s="133" t="s">
        <v>376</v>
      </c>
      <c r="H331" s="133">
        <v>7</v>
      </c>
      <c r="I331" s="133" t="s">
        <v>418</v>
      </c>
      <c r="J331" s="132" t="s">
        <v>435</v>
      </c>
      <c r="K331" s="132" t="s">
        <v>433</v>
      </c>
      <c r="L331" s="132"/>
      <c r="M331" s="135">
        <f>12.99*USD_Inflation_Factor</f>
        <v>17.758024154247622</v>
      </c>
      <c r="N331" s="136">
        <f t="shared" si="21"/>
        <v>124.30616907973335</v>
      </c>
      <c r="O331" s="136">
        <f t="shared" si="20"/>
        <v>14161324.426371178</v>
      </c>
    </row>
    <row r="332" spans="1:15" ht="20.100000000000001" customHeight="1">
      <c r="A332" s="132">
        <v>329</v>
      </c>
      <c r="B332" s="133" t="s">
        <v>389</v>
      </c>
      <c r="C332" s="133" t="s">
        <v>450</v>
      </c>
      <c r="D332" s="133" t="s">
        <v>397</v>
      </c>
      <c r="E332" s="132">
        <v>6</v>
      </c>
      <c r="F332" s="132">
        <v>4</v>
      </c>
      <c r="G332" s="133" t="s">
        <v>376</v>
      </c>
      <c r="H332" s="133">
        <v>4</v>
      </c>
      <c r="I332" s="133" t="s">
        <v>418</v>
      </c>
      <c r="J332" s="132" t="s">
        <v>435</v>
      </c>
      <c r="K332" s="132" t="s">
        <v>433</v>
      </c>
      <c r="L332" s="132"/>
      <c r="M332" s="135">
        <f>94.5*USD_Inflation_Factor</f>
        <v>129.18654985191685</v>
      </c>
      <c r="N332" s="136">
        <f t="shared" si="21"/>
        <v>516.7461994076674</v>
      </c>
      <c r="O332" s="136">
        <f t="shared" si="20"/>
        <v>58869247.038032599</v>
      </c>
    </row>
    <row r="333" spans="1:15" ht="20.100000000000001" customHeight="1">
      <c r="A333" s="132">
        <v>330</v>
      </c>
      <c r="B333" s="133" t="s">
        <v>389</v>
      </c>
      <c r="C333" s="133" t="s">
        <v>450</v>
      </c>
      <c r="D333" s="133" t="s">
        <v>397</v>
      </c>
      <c r="E333" s="132">
        <v>6</v>
      </c>
      <c r="F333" s="132">
        <v>6</v>
      </c>
      <c r="G333" s="133" t="s">
        <v>376</v>
      </c>
      <c r="H333" s="133">
        <v>10</v>
      </c>
      <c r="I333" s="133" t="s">
        <v>418</v>
      </c>
      <c r="J333" s="132" t="s">
        <v>435</v>
      </c>
      <c r="K333" s="132" t="s">
        <v>433</v>
      </c>
      <c r="L333" s="132"/>
      <c r="M333" s="135">
        <f>94.5*USD_Inflation_Factor</f>
        <v>129.18654985191685</v>
      </c>
      <c r="N333" s="136">
        <f t="shared" si="21"/>
        <v>1291.8654985191686</v>
      </c>
      <c r="O333" s="136">
        <f t="shared" si="20"/>
        <v>147173117.59508151</v>
      </c>
    </row>
    <row r="334" spans="1:15" ht="20.100000000000001" customHeight="1">
      <c r="A334" s="132">
        <v>331</v>
      </c>
      <c r="B334" s="133" t="s">
        <v>389</v>
      </c>
      <c r="C334" s="133" t="s">
        <v>450</v>
      </c>
      <c r="D334" s="133" t="s">
        <v>397</v>
      </c>
      <c r="E334" s="132">
        <v>8</v>
      </c>
      <c r="F334" s="132">
        <v>4</v>
      </c>
      <c r="G334" s="133" t="s">
        <v>376</v>
      </c>
      <c r="H334" s="133">
        <v>2</v>
      </c>
      <c r="I334" s="133" t="s">
        <v>418</v>
      </c>
      <c r="J334" s="132" t="s">
        <v>439</v>
      </c>
      <c r="K334" s="132" t="s">
        <v>433</v>
      </c>
      <c r="L334" s="132"/>
      <c r="M334" s="135">
        <f>54.02*USD_Inflation_Factor</f>
        <v>73.848226698418515</v>
      </c>
      <c r="N334" s="136">
        <f t="shared" si="21"/>
        <v>147.69645339683703</v>
      </c>
      <c r="O334" s="136">
        <f t="shared" si="20"/>
        <v>16826014.417960431</v>
      </c>
    </row>
    <row r="335" spans="1:15" ht="20.100000000000001" customHeight="1">
      <c r="A335" s="132">
        <v>332</v>
      </c>
      <c r="B335" s="133" t="s">
        <v>389</v>
      </c>
      <c r="C335" s="133" t="s">
        <v>450</v>
      </c>
      <c r="D335" s="133" t="s">
        <v>397</v>
      </c>
      <c r="E335" s="132">
        <v>8</v>
      </c>
      <c r="F335" s="132">
        <v>6</v>
      </c>
      <c r="G335" s="133" t="s">
        <v>376</v>
      </c>
      <c r="H335" s="133">
        <v>3</v>
      </c>
      <c r="I335" s="133" t="s">
        <v>418</v>
      </c>
      <c r="J335" s="132" t="s">
        <v>439</v>
      </c>
      <c r="K335" s="132" t="s">
        <v>433</v>
      </c>
      <c r="L335" s="132"/>
      <c r="M335" s="135">
        <f>54.02*USD_Inflation_Factor</f>
        <v>73.848226698418515</v>
      </c>
      <c r="N335" s="136">
        <f t="shared" si="21"/>
        <v>221.54468009525556</v>
      </c>
      <c r="O335" s="136">
        <f t="shared" si="20"/>
        <v>25239021.626940649</v>
      </c>
    </row>
    <row r="336" spans="1:15" ht="20.100000000000001" customHeight="1">
      <c r="A336" s="132">
        <v>333</v>
      </c>
      <c r="B336" s="133" t="s">
        <v>389</v>
      </c>
      <c r="C336" s="133" t="s">
        <v>450</v>
      </c>
      <c r="D336" s="133" t="s">
        <v>397</v>
      </c>
      <c r="E336" s="132">
        <v>8</v>
      </c>
      <c r="F336" s="132">
        <v>8</v>
      </c>
      <c r="G336" s="133" t="s">
        <v>376</v>
      </c>
      <c r="H336" s="133">
        <v>5</v>
      </c>
      <c r="I336" s="133" t="s">
        <v>418</v>
      </c>
      <c r="J336" s="132" t="s">
        <v>439</v>
      </c>
      <c r="K336" s="132" t="s">
        <v>433</v>
      </c>
      <c r="L336" s="132"/>
      <c r="M336" s="135">
        <f>54.02*USD_Inflation_Factor</f>
        <v>73.848226698418515</v>
      </c>
      <c r="N336" s="136">
        <f t="shared" si="21"/>
        <v>369.24113349209256</v>
      </c>
      <c r="O336" s="136">
        <f t="shared" si="20"/>
        <v>42065036.04490108</v>
      </c>
    </row>
    <row r="337" spans="1:15" ht="20.100000000000001" customHeight="1">
      <c r="A337" s="132">
        <v>334</v>
      </c>
      <c r="B337" s="133" t="s">
        <v>389</v>
      </c>
      <c r="C337" s="133" t="s">
        <v>450</v>
      </c>
      <c r="D337" s="133" t="s">
        <v>397</v>
      </c>
      <c r="E337" s="132">
        <v>2</v>
      </c>
      <c r="F337" s="132">
        <v>2</v>
      </c>
      <c r="G337" s="133" t="s">
        <v>376</v>
      </c>
      <c r="H337" s="133">
        <v>7</v>
      </c>
      <c r="I337" s="133" t="s">
        <v>419</v>
      </c>
      <c r="J337" s="132" t="s">
        <v>434</v>
      </c>
      <c r="K337" s="132" t="s">
        <v>433</v>
      </c>
      <c r="L337" s="132" t="s">
        <v>436</v>
      </c>
      <c r="M337" s="135">
        <f>2.79*USD_Inflation_Factor</f>
        <v>3.8140790908661169</v>
      </c>
      <c r="N337" s="136">
        <f t="shared" si="21"/>
        <v>26.698553636062819</v>
      </c>
      <c r="O337" s="136">
        <f t="shared" si="20"/>
        <v>3041577.7636316847</v>
      </c>
    </row>
    <row r="338" spans="1:15" ht="20.100000000000001" customHeight="1">
      <c r="A338" s="132">
        <v>335</v>
      </c>
      <c r="B338" s="133" t="s">
        <v>389</v>
      </c>
      <c r="C338" s="133" t="s">
        <v>450</v>
      </c>
      <c r="D338" s="133" t="s">
        <v>397</v>
      </c>
      <c r="E338" s="132">
        <v>3</v>
      </c>
      <c r="F338" s="132">
        <v>2</v>
      </c>
      <c r="G338" s="133" t="s">
        <v>376</v>
      </c>
      <c r="H338" s="133">
        <v>4</v>
      </c>
      <c r="I338" s="133" t="s">
        <v>419</v>
      </c>
      <c r="J338" s="132" t="s">
        <v>435</v>
      </c>
      <c r="K338" s="132" t="s">
        <v>433</v>
      </c>
      <c r="L338" s="132" t="s">
        <v>436</v>
      </c>
      <c r="M338" s="135">
        <f>7.6*USD_Inflation_Factor</f>
        <v>10.389606125656805</v>
      </c>
      <c r="N338" s="136">
        <f t="shared" si="21"/>
        <v>41.558424502627219</v>
      </c>
      <c r="O338" s="136">
        <f t="shared" si="20"/>
        <v>4734457.9628470652</v>
      </c>
    </row>
    <row r="339" spans="1:15" ht="20.100000000000001" customHeight="1">
      <c r="A339" s="132">
        <v>336</v>
      </c>
      <c r="B339" s="133" t="s">
        <v>389</v>
      </c>
      <c r="C339" s="133" t="s">
        <v>450</v>
      </c>
      <c r="D339" s="133" t="s">
        <v>397</v>
      </c>
      <c r="E339" s="132">
        <v>3</v>
      </c>
      <c r="F339" s="132">
        <v>3</v>
      </c>
      <c r="G339" s="133" t="s">
        <v>376</v>
      </c>
      <c r="H339" s="133">
        <v>9</v>
      </c>
      <c r="I339" s="133" t="s">
        <v>419</v>
      </c>
      <c r="J339" s="132" t="s">
        <v>435</v>
      </c>
      <c r="K339" s="132" t="s">
        <v>433</v>
      </c>
      <c r="L339" s="132" t="s">
        <v>436</v>
      </c>
      <c r="M339" s="135">
        <f>7.6*USD_Inflation_Factor</f>
        <v>10.389606125656805</v>
      </c>
      <c r="N339" s="136">
        <f t="shared" si="21"/>
        <v>93.506455130911235</v>
      </c>
      <c r="O339" s="136">
        <f t="shared" si="20"/>
        <v>10652530.416405898</v>
      </c>
    </row>
    <row r="340" spans="1:15" ht="20.100000000000001" customHeight="1">
      <c r="A340" s="132">
        <v>337</v>
      </c>
      <c r="B340" s="133" t="s">
        <v>389</v>
      </c>
      <c r="C340" s="133" t="s">
        <v>450</v>
      </c>
      <c r="D340" s="133" t="s">
        <v>397</v>
      </c>
      <c r="E340" s="132">
        <v>4</v>
      </c>
      <c r="F340" s="132">
        <v>4</v>
      </c>
      <c r="G340" s="133" t="s">
        <v>376</v>
      </c>
      <c r="H340" s="133">
        <v>6</v>
      </c>
      <c r="I340" s="133" t="s">
        <v>419</v>
      </c>
      <c r="J340" s="132" t="s">
        <v>435</v>
      </c>
      <c r="K340" s="132" t="s">
        <v>433</v>
      </c>
      <c r="L340" s="132" t="s">
        <v>436</v>
      </c>
      <c r="M340" s="135">
        <f>12.99*USD_Inflation_Factor</f>
        <v>17.758024154247622</v>
      </c>
      <c r="N340" s="136">
        <f t="shared" si="21"/>
        <v>106.54814492548573</v>
      </c>
      <c r="O340" s="136">
        <f t="shared" si="20"/>
        <v>12138278.079746723</v>
      </c>
    </row>
    <row r="341" spans="1:15" ht="20.100000000000001" customHeight="1">
      <c r="A341" s="132">
        <v>338</v>
      </c>
      <c r="B341" s="133" t="s">
        <v>389</v>
      </c>
      <c r="C341" s="133" t="s">
        <v>450</v>
      </c>
      <c r="D341" s="133" t="s">
        <v>397</v>
      </c>
      <c r="E341" s="132">
        <v>6</v>
      </c>
      <c r="F341" s="132">
        <v>3</v>
      </c>
      <c r="G341" s="133" t="s">
        <v>376</v>
      </c>
      <c r="H341" s="133">
        <v>2</v>
      </c>
      <c r="I341" s="133" t="s">
        <v>419</v>
      </c>
      <c r="J341" s="132" t="s">
        <v>435</v>
      </c>
      <c r="K341" s="132" t="s">
        <v>433</v>
      </c>
      <c r="L341" s="132" t="s">
        <v>436</v>
      </c>
      <c r="M341" s="135">
        <f>94.5*USD_Inflation_Factor</f>
        <v>129.18654985191685</v>
      </c>
      <c r="N341" s="136">
        <f t="shared" si="21"/>
        <v>258.3730997038337</v>
      </c>
      <c r="O341" s="136">
        <f t="shared" si="20"/>
        <v>29434623.519016299</v>
      </c>
    </row>
    <row r="342" spans="1:15" ht="20.100000000000001" customHeight="1">
      <c r="A342" s="132">
        <v>339</v>
      </c>
      <c r="B342" s="133" t="s">
        <v>389</v>
      </c>
      <c r="C342" s="133" t="s">
        <v>450</v>
      </c>
      <c r="D342" s="133" t="s">
        <v>397</v>
      </c>
      <c r="E342" s="132">
        <v>6</v>
      </c>
      <c r="F342" s="132">
        <v>4</v>
      </c>
      <c r="G342" s="133" t="s">
        <v>376</v>
      </c>
      <c r="H342" s="133">
        <v>6</v>
      </c>
      <c r="I342" s="133" t="s">
        <v>419</v>
      </c>
      <c r="J342" s="132" t="s">
        <v>435</v>
      </c>
      <c r="K342" s="132" t="s">
        <v>433</v>
      </c>
      <c r="L342" s="132" t="s">
        <v>436</v>
      </c>
      <c r="M342" s="135">
        <f>94.5*USD_Inflation_Factor</f>
        <v>129.18654985191685</v>
      </c>
      <c r="N342" s="136">
        <f t="shared" si="21"/>
        <v>775.11929911150105</v>
      </c>
      <c r="O342" s="136">
        <f t="shared" si="20"/>
        <v>88303870.557048902</v>
      </c>
    </row>
    <row r="343" spans="1:15" ht="20.100000000000001" customHeight="1">
      <c r="A343" s="132">
        <v>340</v>
      </c>
      <c r="B343" s="133" t="s">
        <v>389</v>
      </c>
      <c r="C343" s="133" t="s">
        <v>450</v>
      </c>
      <c r="D343" s="133" t="s">
        <v>397</v>
      </c>
      <c r="E343" s="132">
        <v>6</v>
      </c>
      <c r="F343" s="132">
        <v>6</v>
      </c>
      <c r="G343" s="133" t="s">
        <v>376</v>
      </c>
      <c r="H343" s="133">
        <v>2</v>
      </c>
      <c r="I343" s="133" t="s">
        <v>419</v>
      </c>
      <c r="J343" s="132" t="s">
        <v>435</v>
      </c>
      <c r="K343" s="132" t="s">
        <v>433</v>
      </c>
      <c r="L343" s="132" t="s">
        <v>436</v>
      </c>
      <c r="M343" s="135">
        <f>94.5*USD_Inflation_Factor</f>
        <v>129.18654985191685</v>
      </c>
      <c r="N343" s="136">
        <f t="shared" si="21"/>
        <v>258.3730997038337</v>
      </c>
      <c r="O343" s="136">
        <f t="shared" si="20"/>
        <v>29434623.519016299</v>
      </c>
    </row>
    <row r="344" spans="1:15" ht="20.100000000000001" customHeight="1">
      <c r="A344" s="132">
        <v>341</v>
      </c>
      <c r="B344" s="133" t="s">
        <v>389</v>
      </c>
      <c r="C344" s="133" t="s">
        <v>450</v>
      </c>
      <c r="D344" s="133" t="s">
        <v>397</v>
      </c>
      <c r="E344" s="132">
        <v>8</v>
      </c>
      <c r="F344" s="132">
        <v>8</v>
      </c>
      <c r="G344" s="133" t="s">
        <v>376</v>
      </c>
      <c r="H344" s="133">
        <v>2</v>
      </c>
      <c r="I344" s="133" t="s">
        <v>419</v>
      </c>
      <c r="J344" s="132" t="s">
        <v>439</v>
      </c>
      <c r="K344" s="132" t="s">
        <v>433</v>
      </c>
      <c r="L344" s="132" t="s">
        <v>436</v>
      </c>
      <c r="M344" s="135">
        <f>54.02*USD_Inflation_Factor</f>
        <v>73.848226698418515</v>
      </c>
      <c r="N344" s="136">
        <f t="shared" si="21"/>
        <v>147.69645339683703</v>
      </c>
      <c r="O344" s="136">
        <f t="shared" si="20"/>
        <v>16826014.417960431</v>
      </c>
    </row>
    <row r="345" spans="1:15" ht="20.100000000000001" customHeight="1">
      <c r="A345" s="132">
        <v>342</v>
      </c>
      <c r="B345" s="133" t="s">
        <v>389</v>
      </c>
      <c r="C345" s="133" t="s">
        <v>450</v>
      </c>
      <c r="D345" s="133" t="s">
        <v>397</v>
      </c>
      <c r="E345" s="132">
        <v>10</v>
      </c>
      <c r="F345" s="132">
        <v>6</v>
      </c>
      <c r="G345" s="133" t="s">
        <v>376</v>
      </c>
      <c r="H345" s="133">
        <v>4</v>
      </c>
      <c r="I345" s="133" t="s">
        <v>419</v>
      </c>
      <c r="J345" s="132" t="s">
        <v>432</v>
      </c>
      <c r="K345" s="132" t="s">
        <v>433</v>
      </c>
      <c r="L345" s="132" t="s">
        <v>436</v>
      </c>
      <c r="M345" s="135">
        <f>78.48*USD_Inflation_Factor</f>
        <v>107.2863537817824</v>
      </c>
      <c r="N345" s="136">
        <f t="shared" si="21"/>
        <v>429.14541512712958</v>
      </c>
      <c r="O345" s="136">
        <f t="shared" si="20"/>
        <v>48889508.01634708</v>
      </c>
    </row>
    <row r="346" spans="1:15">
      <c r="A346" s="132">
        <v>343</v>
      </c>
      <c r="B346" s="133" t="s">
        <v>389</v>
      </c>
      <c r="C346" s="133" t="s">
        <v>450</v>
      </c>
      <c r="D346" s="133" t="s">
        <v>397</v>
      </c>
      <c r="E346" s="132">
        <v>10</v>
      </c>
      <c r="F346" s="132">
        <v>8</v>
      </c>
      <c r="G346" s="133" t="s">
        <v>376</v>
      </c>
      <c r="H346" s="133">
        <v>12</v>
      </c>
      <c r="I346" s="133" t="s">
        <v>419</v>
      </c>
      <c r="J346" s="132" t="s">
        <v>432</v>
      </c>
      <c r="K346" s="132" t="s">
        <v>433</v>
      </c>
      <c r="L346" s="132" t="s">
        <v>436</v>
      </c>
      <c r="M346" s="135">
        <f>78.48*USD_Inflation_Factor</f>
        <v>107.2863537817824</v>
      </c>
      <c r="N346" s="136">
        <f t="shared" si="21"/>
        <v>1287.4362453813887</v>
      </c>
      <c r="O346" s="136">
        <f t="shared" si="20"/>
        <v>146668524.04904124</v>
      </c>
    </row>
    <row r="347" spans="1:15">
      <c r="A347" s="132">
        <v>344</v>
      </c>
      <c r="B347" s="133" t="s">
        <v>389</v>
      </c>
      <c r="C347" s="133" t="s">
        <v>450</v>
      </c>
      <c r="D347" s="133" t="s">
        <v>397</v>
      </c>
      <c r="E347" s="132">
        <v>10</v>
      </c>
      <c r="F347" s="132">
        <v>10</v>
      </c>
      <c r="G347" s="133" t="s">
        <v>376</v>
      </c>
      <c r="H347" s="133">
        <v>12</v>
      </c>
      <c r="I347" s="133" t="s">
        <v>419</v>
      </c>
      <c r="J347" s="132" t="s">
        <v>432</v>
      </c>
      <c r="K347" s="132" t="s">
        <v>433</v>
      </c>
      <c r="L347" s="132" t="s">
        <v>436</v>
      </c>
      <c r="M347" s="135">
        <f>78.48*USD_Inflation_Factor</f>
        <v>107.2863537817824</v>
      </c>
      <c r="N347" s="136">
        <f t="shared" si="21"/>
        <v>1287.4362453813887</v>
      </c>
      <c r="O347" s="136">
        <f t="shared" si="20"/>
        <v>146668524.04904124</v>
      </c>
    </row>
    <row r="348" spans="1:15">
      <c r="A348" s="132">
        <v>345</v>
      </c>
      <c r="B348" s="133" t="s">
        <v>389</v>
      </c>
      <c r="C348" s="133" t="s">
        <v>450</v>
      </c>
      <c r="D348" s="133" t="s">
        <v>397</v>
      </c>
      <c r="E348" s="132">
        <v>12</v>
      </c>
      <c r="F348" s="132">
        <v>10</v>
      </c>
      <c r="G348" s="133" t="s">
        <v>376</v>
      </c>
      <c r="H348" s="133">
        <v>10</v>
      </c>
      <c r="I348" s="133" t="s">
        <v>419</v>
      </c>
      <c r="J348" s="132" t="s">
        <v>432</v>
      </c>
      <c r="K348" s="132" t="s">
        <v>433</v>
      </c>
      <c r="L348" s="132" t="s">
        <v>436</v>
      </c>
      <c r="M348" s="135">
        <f>115.16*USD_Inflation_Factor</f>
        <v>157.42987387245233</v>
      </c>
      <c r="N348" s="136">
        <f t="shared" si="21"/>
        <v>1574.2987387245234</v>
      </c>
      <c r="O348" s="136">
        <f t="shared" si="20"/>
        <v>179348743.09258822</v>
      </c>
    </row>
    <row r="349" spans="1:15">
      <c r="A349" s="132">
        <v>346</v>
      </c>
      <c r="B349" s="133" t="s">
        <v>389</v>
      </c>
      <c r="C349" s="133" t="s">
        <v>450</v>
      </c>
      <c r="D349" s="133" t="s">
        <v>397</v>
      </c>
      <c r="E349" s="132">
        <v>12</v>
      </c>
      <c r="F349" s="132">
        <v>12</v>
      </c>
      <c r="G349" s="133" t="s">
        <v>376</v>
      </c>
      <c r="H349" s="133">
        <v>24</v>
      </c>
      <c r="I349" s="133" t="s">
        <v>419</v>
      </c>
      <c r="J349" s="132" t="s">
        <v>432</v>
      </c>
      <c r="K349" s="132" t="s">
        <v>433</v>
      </c>
      <c r="L349" s="132" t="s">
        <v>436</v>
      </c>
      <c r="M349" s="135">
        <f>115.16*USD_Inflation_Factor</f>
        <v>157.42987387245233</v>
      </c>
      <c r="N349" s="136">
        <f t="shared" si="21"/>
        <v>3778.316972938856</v>
      </c>
      <c r="O349" s="136">
        <f t="shared" si="20"/>
        <v>430436983.42221171</v>
      </c>
    </row>
    <row r="350" spans="1:15">
      <c r="A350" s="132">
        <v>347</v>
      </c>
      <c r="B350" s="133" t="s">
        <v>389</v>
      </c>
      <c r="C350" s="133" t="s">
        <v>450</v>
      </c>
      <c r="D350" s="133" t="s">
        <v>397</v>
      </c>
      <c r="E350" s="132">
        <v>16</v>
      </c>
      <c r="F350" s="132">
        <v>16</v>
      </c>
      <c r="G350" s="133" t="s">
        <v>376</v>
      </c>
      <c r="H350" s="133">
        <v>2</v>
      </c>
      <c r="I350" s="133" t="s">
        <v>419</v>
      </c>
      <c r="J350" s="132" t="s">
        <v>437</v>
      </c>
      <c r="K350" s="132" t="s">
        <v>433</v>
      </c>
      <c r="L350" s="132" t="s">
        <v>436</v>
      </c>
      <c r="M350" s="135">
        <f>331.97*USD_Inflation_Factor</f>
        <v>453.82072967556451</v>
      </c>
      <c r="N350" s="136">
        <f t="shared" si="21"/>
        <v>907.64145935112901</v>
      </c>
      <c r="O350" s="136">
        <f t="shared" si="20"/>
        <v>103401184.86357506</v>
      </c>
    </row>
    <row r="351" spans="1:15">
      <c r="A351" s="132">
        <v>348</v>
      </c>
      <c r="B351" s="133" t="s">
        <v>389</v>
      </c>
      <c r="C351" s="133" t="s">
        <v>450</v>
      </c>
      <c r="D351" s="133" t="s">
        <v>397</v>
      </c>
      <c r="E351" s="132">
        <v>20</v>
      </c>
      <c r="F351" s="132">
        <v>12</v>
      </c>
      <c r="G351" s="133" t="s">
        <v>376</v>
      </c>
      <c r="H351" s="133">
        <v>3</v>
      </c>
      <c r="I351" s="133" t="s">
        <v>419</v>
      </c>
      <c r="J351" s="132" t="s">
        <v>438</v>
      </c>
      <c r="K351" s="132" t="s">
        <v>433</v>
      </c>
      <c r="L351" s="132" t="s">
        <v>436</v>
      </c>
      <c r="M351" s="135">
        <f>414.96*USD_Inflation_Factor</f>
        <v>567.27249446086159</v>
      </c>
      <c r="N351" s="136">
        <f t="shared" si="21"/>
        <v>1701.8174833825847</v>
      </c>
      <c r="O351" s="136">
        <f t="shared" si="20"/>
        <v>193876053.57858735</v>
      </c>
    </row>
    <row r="352" spans="1:15">
      <c r="A352" s="132">
        <v>349</v>
      </c>
      <c r="B352" s="133" t="s">
        <v>389</v>
      </c>
      <c r="C352" s="133" t="s">
        <v>450</v>
      </c>
      <c r="D352" s="133" t="s">
        <v>397</v>
      </c>
      <c r="E352" s="132">
        <v>20</v>
      </c>
      <c r="F352" s="132">
        <v>18</v>
      </c>
      <c r="G352" s="133" t="s">
        <v>376</v>
      </c>
      <c r="H352" s="133">
        <v>2</v>
      </c>
      <c r="I352" s="133" t="s">
        <v>419</v>
      </c>
      <c r="J352" s="132" t="s">
        <v>438</v>
      </c>
      <c r="K352" s="132" t="s">
        <v>433</v>
      </c>
      <c r="L352" s="132" t="s">
        <v>436</v>
      </c>
      <c r="M352" s="135">
        <f>414.96*USD_Inflation_Factor</f>
        <v>567.27249446086159</v>
      </c>
      <c r="N352" s="136">
        <f t="shared" si="21"/>
        <v>1134.5449889217232</v>
      </c>
      <c r="O352" s="136">
        <f t="shared" si="20"/>
        <v>129250702.38572492</v>
      </c>
    </row>
    <row r="353" spans="1:15">
      <c r="A353" s="132">
        <v>350</v>
      </c>
      <c r="B353" s="133" t="s">
        <v>389</v>
      </c>
      <c r="C353" s="133" t="s">
        <v>450</v>
      </c>
      <c r="D353" s="133" t="s">
        <v>397</v>
      </c>
      <c r="E353" s="132">
        <v>20</v>
      </c>
      <c r="F353" s="132">
        <v>20</v>
      </c>
      <c r="G353" s="133" t="s">
        <v>376</v>
      </c>
      <c r="H353" s="133">
        <v>1</v>
      </c>
      <c r="I353" s="133" t="s">
        <v>419</v>
      </c>
      <c r="J353" s="132" t="s">
        <v>438</v>
      </c>
      <c r="K353" s="132" t="s">
        <v>433</v>
      </c>
      <c r="L353" s="132" t="s">
        <v>436</v>
      </c>
      <c r="M353" s="135">
        <f>414.96*USD_Inflation_Factor</f>
        <v>567.27249446086159</v>
      </c>
      <c r="N353" s="136">
        <f t="shared" si="21"/>
        <v>567.27249446086159</v>
      </c>
      <c r="O353" s="136">
        <f t="shared" si="20"/>
        <v>64625351.192862459</v>
      </c>
    </row>
    <row r="354" spans="1:15">
      <c r="A354" s="132">
        <v>351</v>
      </c>
      <c r="B354" s="133" t="s">
        <v>389</v>
      </c>
      <c r="C354" s="133" t="s">
        <v>450</v>
      </c>
      <c r="D354" s="133" t="s">
        <v>397</v>
      </c>
      <c r="E354" s="132">
        <v>3</v>
      </c>
      <c r="F354" s="132">
        <v>1</v>
      </c>
      <c r="G354" s="133" t="s">
        <v>376</v>
      </c>
      <c r="H354" s="133">
        <v>11</v>
      </c>
      <c r="I354" s="133" t="s">
        <v>456</v>
      </c>
      <c r="J354" s="132" t="s">
        <v>437</v>
      </c>
      <c r="K354" s="132" t="s">
        <v>433</v>
      </c>
      <c r="L354" s="132" t="s">
        <v>380</v>
      </c>
      <c r="M354" s="135">
        <f>7.6*USD_Inflation_Factor</f>
        <v>10.389606125656805</v>
      </c>
      <c r="N354" s="136">
        <f t="shared" si="21"/>
        <v>114.28566738222486</v>
      </c>
      <c r="O354" s="136">
        <f t="shared" si="20"/>
        <v>13019759.397829432</v>
      </c>
    </row>
    <row r="355" spans="1:15">
      <c r="A355" s="132">
        <v>352</v>
      </c>
      <c r="B355" s="133" t="s">
        <v>389</v>
      </c>
      <c r="C355" s="133" t="s">
        <v>450</v>
      </c>
      <c r="D355" s="133" t="s">
        <v>397</v>
      </c>
      <c r="E355" s="132">
        <v>3</v>
      </c>
      <c r="F355" s="132">
        <v>2</v>
      </c>
      <c r="G355" s="133" t="s">
        <v>376</v>
      </c>
      <c r="H355" s="133">
        <v>4</v>
      </c>
      <c r="I355" s="133" t="s">
        <v>456</v>
      </c>
      <c r="J355" s="132" t="s">
        <v>437</v>
      </c>
      <c r="K355" s="132" t="s">
        <v>433</v>
      </c>
      <c r="L355" s="132" t="s">
        <v>380</v>
      </c>
      <c r="M355" s="135">
        <f>7.6*USD_Inflation_Factor</f>
        <v>10.389606125656805</v>
      </c>
      <c r="N355" s="136">
        <f t="shared" si="21"/>
        <v>41.558424502627219</v>
      </c>
      <c r="O355" s="136">
        <f t="shared" ref="O355:O418" si="22">0.25*N355*USD_Change_IRR * per_Euro</f>
        <v>4734457.9628470652</v>
      </c>
    </row>
    <row r="356" spans="1:15">
      <c r="A356" s="132">
        <v>353</v>
      </c>
      <c r="B356" s="133" t="s">
        <v>389</v>
      </c>
      <c r="C356" s="133" t="s">
        <v>450</v>
      </c>
      <c r="D356" s="133" t="s">
        <v>397</v>
      </c>
      <c r="E356" s="132">
        <v>3</v>
      </c>
      <c r="F356" s="132">
        <v>3</v>
      </c>
      <c r="G356" s="133" t="s">
        <v>376</v>
      </c>
      <c r="H356" s="133">
        <v>1</v>
      </c>
      <c r="I356" s="133" t="s">
        <v>456</v>
      </c>
      <c r="J356" s="132" t="s">
        <v>437</v>
      </c>
      <c r="K356" s="132" t="s">
        <v>433</v>
      </c>
      <c r="L356" s="132" t="s">
        <v>380</v>
      </c>
      <c r="M356" s="135">
        <f>7.6*USD_Inflation_Factor</f>
        <v>10.389606125656805</v>
      </c>
      <c r="N356" s="136">
        <f t="shared" si="21"/>
        <v>10.389606125656805</v>
      </c>
      <c r="O356" s="136">
        <f t="shared" si="22"/>
        <v>1183614.4907117663</v>
      </c>
    </row>
    <row r="357" spans="1:15">
      <c r="A357" s="132">
        <v>354</v>
      </c>
      <c r="B357" s="133" t="s">
        <v>389</v>
      </c>
      <c r="C357" s="133" t="s">
        <v>450</v>
      </c>
      <c r="D357" s="133" t="s">
        <v>397</v>
      </c>
      <c r="E357" s="132">
        <v>3</v>
      </c>
      <c r="F357" s="132" t="s">
        <v>383</v>
      </c>
      <c r="G357" s="133" t="s">
        <v>376</v>
      </c>
      <c r="H357" s="133">
        <v>1</v>
      </c>
      <c r="I357" s="133" t="s">
        <v>456</v>
      </c>
      <c r="J357" s="132" t="s">
        <v>437</v>
      </c>
      <c r="K357" s="132" t="s">
        <v>433</v>
      </c>
      <c r="L357" s="132" t="s">
        <v>380</v>
      </c>
      <c r="M357" s="135">
        <f>7.6*USD_Inflation_Factor</f>
        <v>10.389606125656805</v>
      </c>
      <c r="N357" s="136">
        <f t="shared" si="21"/>
        <v>10.389606125656805</v>
      </c>
      <c r="O357" s="136">
        <f t="shared" si="22"/>
        <v>1183614.4907117663</v>
      </c>
    </row>
    <row r="358" spans="1:15">
      <c r="A358" s="132">
        <v>355</v>
      </c>
      <c r="B358" s="133" t="s">
        <v>389</v>
      </c>
      <c r="C358" s="133" t="s">
        <v>450</v>
      </c>
      <c r="D358" s="133" t="s">
        <v>397</v>
      </c>
      <c r="E358" s="132">
        <v>4</v>
      </c>
      <c r="F358" s="132" t="s">
        <v>446</v>
      </c>
      <c r="G358" s="133" t="s">
        <v>376</v>
      </c>
      <c r="H358" s="133">
        <v>1</v>
      </c>
      <c r="I358" s="133" t="s">
        <v>456</v>
      </c>
      <c r="J358" s="132" t="s">
        <v>437</v>
      </c>
      <c r="K358" s="132" t="s">
        <v>433</v>
      </c>
      <c r="L358" s="132" t="s">
        <v>380</v>
      </c>
      <c r="M358" s="135">
        <f>12.99*USD_Inflation_Factor</f>
        <v>17.758024154247622</v>
      </c>
      <c r="N358" s="136">
        <f t="shared" si="21"/>
        <v>17.758024154247622</v>
      </c>
      <c r="O358" s="136">
        <f t="shared" si="22"/>
        <v>2023046.3466244538</v>
      </c>
    </row>
    <row r="359" spans="1:15">
      <c r="A359" s="132">
        <v>356</v>
      </c>
      <c r="B359" s="133" t="s">
        <v>389</v>
      </c>
      <c r="C359" s="133" t="s">
        <v>450</v>
      </c>
      <c r="D359" s="133" t="s">
        <v>445</v>
      </c>
      <c r="E359" s="132">
        <v>3</v>
      </c>
      <c r="F359" s="132">
        <v>2</v>
      </c>
      <c r="G359" s="133" t="s">
        <v>376</v>
      </c>
      <c r="H359" s="133">
        <v>2</v>
      </c>
      <c r="I359" s="133" t="s">
        <v>417</v>
      </c>
      <c r="J359" s="132" t="s">
        <v>432</v>
      </c>
      <c r="K359" s="132"/>
      <c r="L359" s="132"/>
      <c r="M359" s="135">
        <f t="shared" ref="M359:M366" si="23">14.55*USD_Inflation_Factor</f>
        <v>19.890627516882439</v>
      </c>
      <c r="N359" s="136">
        <f t="shared" si="21"/>
        <v>39.781255033764879</v>
      </c>
      <c r="O359" s="136">
        <f t="shared" si="22"/>
        <v>4531997.5894358438</v>
      </c>
    </row>
    <row r="360" spans="1:15">
      <c r="A360" s="132">
        <v>357</v>
      </c>
      <c r="B360" s="133" t="s">
        <v>389</v>
      </c>
      <c r="C360" s="133" t="s">
        <v>450</v>
      </c>
      <c r="D360" s="133" t="s">
        <v>445</v>
      </c>
      <c r="E360" s="132">
        <v>3</v>
      </c>
      <c r="F360" s="132" t="s">
        <v>446</v>
      </c>
      <c r="G360" s="133" t="s">
        <v>376</v>
      </c>
      <c r="H360" s="133">
        <v>4</v>
      </c>
      <c r="I360" s="133" t="s">
        <v>417</v>
      </c>
      <c r="J360" s="132" t="s">
        <v>432</v>
      </c>
      <c r="K360" s="132"/>
      <c r="L360" s="132"/>
      <c r="M360" s="135">
        <f t="shared" si="23"/>
        <v>19.890627516882439</v>
      </c>
      <c r="N360" s="136">
        <f t="shared" si="21"/>
        <v>79.562510067529757</v>
      </c>
      <c r="O360" s="136">
        <f t="shared" si="22"/>
        <v>9063995.1788716875</v>
      </c>
    </row>
    <row r="361" spans="1:15">
      <c r="A361" s="132">
        <v>358</v>
      </c>
      <c r="B361" s="133" t="s">
        <v>389</v>
      </c>
      <c r="C361" s="133" t="s">
        <v>450</v>
      </c>
      <c r="D361" s="133" t="s">
        <v>445</v>
      </c>
      <c r="E361" s="132">
        <v>4</v>
      </c>
      <c r="F361" s="132">
        <v>2</v>
      </c>
      <c r="G361" s="133" t="s">
        <v>376</v>
      </c>
      <c r="H361" s="133">
        <v>1</v>
      </c>
      <c r="I361" s="133" t="s">
        <v>417</v>
      </c>
      <c r="J361" s="132" t="s">
        <v>432</v>
      </c>
      <c r="K361" s="132"/>
      <c r="L361" s="132"/>
      <c r="M361" s="135">
        <f t="shared" si="23"/>
        <v>19.890627516882439</v>
      </c>
      <c r="N361" s="136">
        <f t="shared" si="21"/>
        <v>19.890627516882439</v>
      </c>
      <c r="O361" s="136">
        <f t="shared" si="22"/>
        <v>2265998.7947179219</v>
      </c>
    </row>
    <row r="362" spans="1:15">
      <c r="A362" s="132">
        <v>359</v>
      </c>
      <c r="B362" s="133" t="s">
        <v>389</v>
      </c>
      <c r="C362" s="133" t="s">
        <v>450</v>
      </c>
      <c r="D362" s="133" t="s">
        <v>445</v>
      </c>
      <c r="E362" s="132">
        <v>4</v>
      </c>
      <c r="F362" s="132" t="s">
        <v>446</v>
      </c>
      <c r="G362" s="133" t="s">
        <v>376</v>
      </c>
      <c r="H362" s="133">
        <v>5</v>
      </c>
      <c r="I362" s="133" t="s">
        <v>417</v>
      </c>
      <c r="J362" s="132" t="s">
        <v>432</v>
      </c>
      <c r="K362" s="132"/>
      <c r="L362" s="132"/>
      <c r="M362" s="135">
        <f t="shared" si="23"/>
        <v>19.890627516882439</v>
      </c>
      <c r="N362" s="136">
        <f t="shared" si="21"/>
        <v>99.45313758441219</v>
      </c>
      <c r="O362" s="136">
        <f t="shared" si="22"/>
        <v>11329993.973589608</v>
      </c>
    </row>
    <row r="363" spans="1:15">
      <c r="A363" s="132">
        <v>360</v>
      </c>
      <c r="B363" s="133" t="s">
        <v>389</v>
      </c>
      <c r="C363" s="133" t="s">
        <v>450</v>
      </c>
      <c r="D363" s="133" t="s">
        <v>445</v>
      </c>
      <c r="E363" s="132">
        <v>6</v>
      </c>
      <c r="F363" s="132" t="s">
        <v>446</v>
      </c>
      <c r="G363" s="133" t="s">
        <v>376</v>
      </c>
      <c r="H363" s="133">
        <v>1</v>
      </c>
      <c r="I363" s="133" t="s">
        <v>417</v>
      </c>
      <c r="J363" s="132" t="s">
        <v>432</v>
      </c>
      <c r="K363" s="132"/>
      <c r="L363" s="132"/>
      <c r="M363" s="135">
        <f t="shared" si="23"/>
        <v>19.890627516882439</v>
      </c>
      <c r="N363" s="136">
        <f t="shared" si="21"/>
        <v>19.890627516882439</v>
      </c>
      <c r="O363" s="136">
        <f t="shared" si="22"/>
        <v>2265998.7947179219</v>
      </c>
    </row>
    <row r="364" spans="1:15">
      <c r="A364" s="132">
        <v>361</v>
      </c>
      <c r="B364" s="133" t="s">
        <v>389</v>
      </c>
      <c r="C364" s="133" t="s">
        <v>450</v>
      </c>
      <c r="D364" s="133" t="s">
        <v>445</v>
      </c>
      <c r="E364" s="132">
        <v>3</v>
      </c>
      <c r="F364" s="132" t="s">
        <v>446</v>
      </c>
      <c r="G364" s="133" t="s">
        <v>376</v>
      </c>
      <c r="H364" s="133">
        <v>1</v>
      </c>
      <c r="I364" s="133" t="s">
        <v>418</v>
      </c>
      <c r="J364" s="132" t="s">
        <v>435</v>
      </c>
      <c r="K364" s="132"/>
      <c r="L364" s="132"/>
      <c r="M364" s="135">
        <f t="shared" si="23"/>
        <v>19.890627516882439</v>
      </c>
      <c r="N364" s="136">
        <f t="shared" si="21"/>
        <v>19.890627516882439</v>
      </c>
      <c r="O364" s="136">
        <f t="shared" si="22"/>
        <v>2265998.7947179219</v>
      </c>
    </row>
    <row r="365" spans="1:15">
      <c r="A365" s="132">
        <v>362</v>
      </c>
      <c r="B365" s="133" t="s">
        <v>389</v>
      </c>
      <c r="C365" s="133" t="s">
        <v>450</v>
      </c>
      <c r="D365" s="133" t="s">
        <v>445</v>
      </c>
      <c r="E365" s="132">
        <v>4</v>
      </c>
      <c r="F365" s="132" t="s">
        <v>446</v>
      </c>
      <c r="G365" s="133" t="s">
        <v>376</v>
      </c>
      <c r="H365" s="133">
        <v>3</v>
      </c>
      <c r="I365" s="133" t="s">
        <v>418</v>
      </c>
      <c r="J365" s="132" t="s">
        <v>435</v>
      </c>
      <c r="K365" s="132"/>
      <c r="L365" s="132"/>
      <c r="M365" s="135">
        <f t="shared" si="23"/>
        <v>19.890627516882439</v>
      </c>
      <c r="N365" s="136">
        <f t="shared" si="21"/>
        <v>59.671882550647318</v>
      </c>
      <c r="O365" s="136">
        <f t="shared" si="22"/>
        <v>6797996.3841537647</v>
      </c>
    </row>
    <row r="366" spans="1:15">
      <c r="A366" s="132">
        <v>363</v>
      </c>
      <c r="B366" s="133" t="s">
        <v>389</v>
      </c>
      <c r="C366" s="133" t="s">
        <v>450</v>
      </c>
      <c r="D366" s="133" t="s">
        <v>445</v>
      </c>
      <c r="E366" s="132">
        <v>6</v>
      </c>
      <c r="F366" s="132">
        <v>2</v>
      </c>
      <c r="G366" s="133" t="s">
        <v>376</v>
      </c>
      <c r="H366" s="133">
        <v>15</v>
      </c>
      <c r="I366" s="133" t="s">
        <v>418</v>
      </c>
      <c r="J366" s="132" t="s">
        <v>435</v>
      </c>
      <c r="K366" s="132"/>
      <c r="L366" s="132"/>
      <c r="M366" s="135">
        <f t="shared" si="23"/>
        <v>19.890627516882439</v>
      </c>
      <c r="N366" s="136">
        <f t="shared" si="21"/>
        <v>298.3594127532366</v>
      </c>
      <c r="O366" s="136">
        <f t="shared" si="22"/>
        <v>33989981.920768827</v>
      </c>
    </row>
    <row r="367" spans="1:15">
      <c r="A367" s="132">
        <v>364</v>
      </c>
      <c r="B367" s="133" t="s">
        <v>389</v>
      </c>
      <c r="C367" s="133" t="s">
        <v>450</v>
      </c>
      <c r="D367" s="133" t="s">
        <v>445</v>
      </c>
      <c r="E367" s="132">
        <v>6</v>
      </c>
      <c r="F367" s="132">
        <v>3</v>
      </c>
      <c r="G367" s="133" t="s">
        <v>376</v>
      </c>
      <c r="H367" s="133">
        <v>2</v>
      </c>
      <c r="I367" s="133" t="s">
        <v>418</v>
      </c>
      <c r="J367" s="132" t="s">
        <v>435</v>
      </c>
      <c r="K367" s="132"/>
      <c r="L367" s="132"/>
      <c r="M367" s="135">
        <f>22.63*USD_Inflation_Factor</f>
        <v>30.936419292580723</v>
      </c>
      <c r="N367" s="136">
        <f t="shared" si="21"/>
        <v>61.872838585161446</v>
      </c>
      <c r="O367" s="136">
        <f t="shared" si="22"/>
        <v>7048735.7696861252</v>
      </c>
    </row>
    <row r="368" spans="1:15">
      <c r="A368" s="132">
        <v>365</v>
      </c>
      <c r="B368" s="133" t="s">
        <v>389</v>
      </c>
      <c r="C368" s="133" t="s">
        <v>450</v>
      </c>
      <c r="D368" s="133" t="s">
        <v>445</v>
      </c>
      <c r="E368" s="132">
        <v>8</v>
      </c>
      <c r="F368" s="132">
        <v>2</v>
      </c>
      <c r="G368" s="133" t="s">
        <v>376</v>
      </c>
      <c r="H368" s="133">
        <v>11</v>
      </c>
      <c r="I368" s="133" t="s">
        <v>418</v>
      </c>
      <c r="J368" s="132" t="s">
        <v>439</v>
      </c>
      <c r="K368" s="132"/>
      <c r="L368" s="132"/>
      <c r="M368" s="135">
        <f>14.55*USD_Inflation_Factor</f>
        <v>19.890627516882439</v>
      </c>
      <c r="N368" s="136">
        <f t="shared" si="21"/>
        <v>218.79690268570684</v>
      </c>
      <c r="O368" s="136">
        <f t="shared" si="22"/>
        <v>24925986.741897143</v>
      </c>
    </row>
    <row r="369" spans="1:15">
      <c r="A369" s="132">
        <v>366</v>
      </c>
      <c r="B369" s="133" t="s">
        <v>389</v>
      </c>
      <c r="C369" s="133" t="s">
        <v>450</v>
      </c>
      <c r="D369" s="133" t="s">
        <v>445</v>
      </c>
      <c r="E369" s="132">
        <v>8</v>
      </c>
      <c r="F369" s="132">
        <v>3</v>
      </c>
      <c r="G369" s="133" t="s">
        <v>376</v>
      </c>
      <c r="H369" s="133">
        <v>3</v>
      </c>
      <c r="I369" s="133" t="s">
        <v>418</v>
      </c>
      <c r="J369" s="132" t="s">
        <v>439</v>
      </c>
      <c r="K369" s="132"/>
      <c r="L369" s="132"/>
      <c r="M369" s="135">
        <f>22.63*USD_Inflation_Factor</f>
        <v>30.936419292580723</v>
      </c>
      <c r="N369" s="136">
        <f t="shared" si="21"/>
        <v>92.809257877742169</v>
      </c>
      <c r="O369" s="136">
        <f t="shared" si="22"/>
        <v>10573103.654529188</v>
      </c>
    </row>
    <row r="370" spans="1:15">
      <c r="A370" s="132">
        <v>367</v>
      </c>
      <c r="B370" s="133" t="s">
        <v>389</v>
      </c>
      <c r="C370" s="133" t="s">
        <v>450</v>
      </c>
      <c r="D370" s="133" t="s">
        <v>445</v>
      </c>
      <c r="E370" s="132">
        <v>8</v>
      </c>
      <c r="F370" s="132">
        <v>4</v>
      </c>
      <c r="G370" s="133" t="s">
        <v>376</v>
      </c>
      <c r="H370" s="133">
        <v>3</v>
      </c>
      <c r="I370" s="133" t="s">
        <v>418</v>
      </c>
      <c r="J370" s="132" t="s">
        <v>439</v>
      </c>
      <c r="K370" s="132"/>
      <c r="L370" s="132"/>
      <c r="M370" s="135">
        <f>14.55*USD_Inflation_Factor</f>
        <v>19.890627516882439</v>
      </c>
      <c r="N370" s="136">
        <f t="shared" si="21"/>
        <v>59.671882550647318</v>
      </c>
      <c r="O370" s="136">
        <f t="shared" si="22"/>
        <v>6797996.3841537647</v>
      </c>
    </row>
    <row r="371" spans="1:15">
      <c r="A371" s="132">
        <v>368</v>
      </c>
      <c r="B371" s="133" t="s">
        <v>389</v>
      </c>
      <c r="C371" s="133" t="s">
        <v>450</v>
      </c>
      <c r="D371" s="133" t="s">
        <v>445</v>
      </c>
      <c r="E371" s="132">
        <v>10</v>
      </c>
      <c r="F371" s="132">
        <v>2</v>
      </c>
      <c r="G371" s="133" t="s">
        <v>376</v>
      </c>
      <c r="H371" s="133">
        <v>7</v>
      </c>
      <c r="I371" s="133" t="s">
        <v>419</v>
      </c>
      <c r="J371" s="132" t="s">
        <v>432</v>
      </c>
      <c r="K371" s="132"/>
      <c r="L371" s="132" t="s">
        <v>436</v>
      </c>
      <c r="M371" s="135">
        <f>14.55*USD_Inflation_Factor</f>
        <v>19.890627516882439</v>
      </c>
      <c r="N371" s="136">
        <f t="shared" si="21"/>
        <v>139.23439261817708</v>
      </c>
      <c r="O371" s="136">
        <f t="shared" si="22"/>
        <v>15861991.563025454</v>
      </c>
    </row>
    <row r="372" spans="1:15">
      <c r="A372" s="132">
        <v>369</v>
      </c>
      <c r="B372" s="133" t="s">
        <v>389</v>
      </c>
      <c r="C372" s="133" t="s">
        <v>450</v>
      </c>
      <c r="D372" s="133" t="s">
        <v>445</v>
      </c>
      <c r="E372" s="132">
        <v>10</v>
      </c>
      <c r="F372" s="132">
        <v>3</v>
      </c>
      <c r="G372" s="133" t="s">
        <v>376</v>
      </c>
      <c r="H372" s="133">
        <v>5</v>
      </c>
      <c r="I372" s="133" t="s">
        <v>419</v>
      </c>
      <c r="J372" s="132" t="s">
        <v>432</v>
      </c>
      <c r="K372" s="132"/>
      <c r="L372" s="132" t="s">
        <v>436</v>
      </c>
      <c r="M372" s="135">
        <f>22.63*USD_Inflation_Factor</f>
        <v>30.936419292580723</v>
      </c>
      <c r="N372" s="136">
        <f t="shared" si="21"/>
        <v>154.68209646290362</v>
      </c>
      <c r="O372" s="136">
        <f t="shared" si="22"/>
        <v>17621839.424215313</v>
      </c>
    </row>
    <row r="373" spans="1:15">
      <c r="A373" s="132">
        <v>370</v>
      </c>
      <c r="B373" s="133" t="s">
        <v>389</v>
      </c>
      <c r="C373" s="133" t="s">
        <v>450</v>
      </c>
      <c r="D373" s="133" t="s">
        <v>445</v>
      </c>
      <c r="E373" s="132">
        <v>10</v>
      </c>
      <c r="F373" s="132">
        <v>4</v>
      </c>
      <c r="G373" s="133" t="s">
        <v>376</v>
      </c>
      <c r="H373" s="133">
        <v>1</v>
      </c>
      <c r="I373" s="133" t="s">
        <v>419</v>
      </c>
      <c r="J373" s="132" t="s">
        <v>432</v>
      </c>
      <c r="K373" s="132"/>
      <c r="L373" s="132" t="s">
        <v>436</v>
      </c>
      <c r="M373" s="135">
        <f>37.18*USD_Inflation_Factor</f>
        <v>50.827046809463162</v>
      </c>
      <c r="N373" s="136">
        <f t="shared" si="21"/>
        <v>50.827046809463162</v>
      </c>
      <c r="O373" s="136">
        <f t="shared" si="22"/>
        <v>5790366.6795609845</v>
      </c>
    </row>
    <row r="374" spans="1:15">
      <c r="A374" s="132">
        <v>371</v>
      </c>
      <c r="B374" s="133" t="s">
        <v>389</v>
      </c>
      <c r="C374" s="133" t="s">
        <v>450</v>
      </c>
      <c r="D374" s="133" t="s">
        <v>445</v>
      </c>
      <c r="E374" s="132">
        <v>10</v>
      </c>
      <c r="F374" s="132" t="s">
        <v>446</v>
      </c>
      <c r="G374" s="133" t="s">
        <v>376</v>
      </c>
      <c r="H374" s="133">
        <v>17</v>
      </c>
      <c r="I374" s="133" t="s">
        <v>419</v>
      </c>
      <c r="J374" s="132" t="s">
        <v>432</v>
      </c>
      <c r="K374" s="132"/>
      <c r="L374" s="132" t="s">
        <v>436</v>
      </c>
      <c r="M374" s="135">
        <f>10.02*USD_Inflation_Factor</f>
        <v>13.697875444615946</v>
      </c>
      <c r="N374" s="136">
        <f t="shared" si="21"/>
        <v>232.86388255847106</v>
      </c>
      <c r="O374" s="136">
        <f t="shared" si="22"/>
        <v>26528538.466821358</v>
      </c>
    </row>
    <row r="375" spans="1:15">
      <c r="A375" s="132">
        <v>372</v>
      </c>
      <c r="B375" s="133" t="s">
        <v>389</v>
      </c>
      <c r="C375" s="133" t="s">
        <v>450</v>
      </c>
      <c r="D375" s="133" t="s">
        <v>445</v>
      </c>
      <c r="E375" s="132">
        <v>12</v>
      </c>
      <c r="F375" s="132">
        <v>2</v>
      </c>
      <c r="G375" s="133" t="s">
        <v>376</v>
      </c>
      <c r="H375" s="133">
        <v>6</v>
      </c>
      <c r="I375" s="133" t="s">
        <v>419</v>
      </c>
      <c r="J375" s="132" t="s">
        <v>432</v>
      </c>
      <c r="K375" s="132"/>
      <c r="L375" s="132" t="s">
        <v>436</v>
      </c>
      <c r="M375" s="135">
        <f>14.55*USD_Inflation_Factor</f>
        <v>19.890627516882439</v>
      </c>
      <c r="N375" s="136">
        <f t="shared" si="21"/>
        <v>119.34376510129464</v>
      </c>
      <c r="O375" s="136">
        <f t="shared" si="22"/>
        <v>13595992.768307529</v>
      </c>
    </row>
    <row r="376" spans="1:15">
      <c r="A376" s="132">
        <v>373</v>
      </c>
      <c r="B376" s="133" t="s">
        <v>389</v>
      </c>
      <c r="C376" s="133" t="s">
        <v>450</v>
      </c>
      <c r="D376" s="133" t="s">
        <v>445</v>
      </c>
      <c r="E376" s="132">
        <v>12</v>
      </c>
      <c r="F376" s="132">
        <v>4</v>
      </c>
      <c r="G376" s="133" t="s">
        <v>376</v>
      </c>
      <c r="H376" s="133">
        <v>4</v>
      </c>
      <c r="I376" s="133" t="s">
        <v>419</v>
      </c>
      <c r="J376" s="132" t="s">
        <v>432</v>
      </c>
      <c r="K376" s="132"/>
      <c r="L376" s="132" t="s">
        <v>436</v>
      </c>
      <c r="M376" s="135">
        <f>37.18*USD_Inflation_Factor</f>
        <v>50.827046809463162</v>
      </c>
      <c r="N376" s="136">
        <f t="shared" si="21"/>
        <v>203.30818723785265</v>
      </c>
      <c r="O376" s="136">
        <f t="shared" si="22"/>
        <v>23161466.718243938</v>
      </c>
    </row>
    <row r="377" spans="1:15">
      <c r="A377" s="132">
        <v>374</v>
      </c>
      <c r="B377" s="133" t="s">
        <v>389</v>
      </c>
      <c r="C377" s="133" t="s">
        <v>450</v>
      </c>
      <c r="D377" s="133" t="s">
        <v>445</v>
      </c>
      <c r="E377" s="132">
        <v>12</v>
      </c>
      <c r="F377" s="132">
        <v>6</v>
      </c>
      <c r="G377" s="133" t="s">
        <v>376</v>
      </c>
      <c r="H377" s="133">
        <v>8</v>
      </c>
      <c r="I377" s="133" t="s">
        <v>419</v>
      </c>
      <c r="J377" s="132" t="s">
        <v>432</v>
      </c>
      <c r="K377" s="132"/>
      <c r="L377" s="132" t="s">
        <v>436</v>
      </c>
      <c r="M377" s="135">
        <f>33.5*USD_Inflation_Factor</f>
        <v>45.79629015914513</v>
      </c>
      <c r="N377" s="136">
        <f t="shared" si="21"/>
        <v>366.37032127316104</v>
      </c>
      <c r="O377" s="136">
        <f t="shared" si="22"/>
        <v>41737984.67246756</v>
      </c>
    </row>
    <row r="378" spans="1:15">
      <c r="A378" s="132">
        <v>375</v>
      </c>
      <c r="B378" s="133" t="s">
        <v>389</v>
      </c>
      <c r="C378" s="133" t="s">
        <v>450</v>
      </c>
      <c r="D378" s="133" t="s">
        <v>445</v>
      </c>
      <c r="E378" s="132">
        <v>12</v>
      </c>
      <c r="F378" s="132" t="s">
        <v>446</v>
      </c>
      <c r="G378" s="133" t="s">
        <v>376</v>
      </c>
      <c r="H378" s="133">
        <v>16</v>
      </c>
      <c r="I378" s="133" t="s">
        <v>419</v>
      </c>
      <c r="J378" s="132" t="s">
        <v>432</v>
      </c>
      <c r="K378" s="132"/>
      <c r="L378" s="132" t="s">
        <v>436</v>
      </c>
      <c r="M378" s="135">
        <f>10.02*USD_Inflation_Factor</f>
        <v>13.697875444615946</v>
      </c>
      <c r="N378" s="136">
        <f t="shared" si="21"/>
        <v>219.16600711385513</v>
      </c>
      <c r="O378" s="136">
        <f t="shared" si="22"/>
        <v>24968036.204067159</v>
      </c>
    </row>
    <row r="379" spans="1:15">
      <c r="A379" s="132">
        <v>376</v>
      </c>
      <c r="B379" s="133" t="s">
        <v>389</v>
      </c>
      <c r="C379" s="133" t="s">
        <v>450</v>
      </c>
      <c r="D379" s="133" t="s">
        <v>445</v>
      </c>
      <c r="E379" s="132">
        <v>16</v>
      </c>
      <c r="F379" s="132">
        <v>2</v>
      </c>
      <c r="G379" s="133" t="s">
        <v>376</v>
      </c>
      <c r="H379" s="133">
        <v>5</v>
      </c>
      <c r="I379" s="133" t="s">
        <v>419</v>
      </c>
      <c r="J379" s="132" t="s">
        <v>437</v>
      </c>
      <c r="K379" s="132"/>
      <c r="L379" s="132" t="s">
        <v>436</v>
      </c>
      <c r="M379" s="135">
        <f>14.55*USD_Inflation_Factor</f>
        <v>19.890627516882439</v>
      </c>
      <c r="N379" s="136">
        <f t="shared" si="21"/>
        <v>99.45313758441219</v>
      </c>
      <c r="O379" s="136">
        <f t="shared" si="22"/>
        <v>11329993.973589608</v>
      </c>
    </row>
    <row r="380" spans="1:15">
      <c r="A380" s="132">
        <v>377</v>
      </c>
      <c r="B380" s="133" t="s">
        <v>389</v>
      </c>
      <c r="C380" s="133" t="s">
        <v>450</v>
      </c>
      <c r="D380" s="133" t="s">
        <v>445</v>
      </c>
      <c r="E380" s="132">
        <v>16</v>
      </c>
      <c r="F380" s="132">
        <v>3</v>
      </c>
      <c r="G380" s="133" t="s">
        <v>376</v>
      </c>
      <c r="H380" s="133">
        <v>9</v>
      </c>
      <c r="I380" s="133" t="s">
        <v>419</v>
      </c>
      <c r="J380" s="132" t="s">
        <v>437</v>
      </c>
      <c r="K380" s="132"/>
      <c r="L380" s="132" t="s">
        <v>436</v>
      </c>
      <c r="M380" s="135">
        <f>22.63*USD_Inflation_Factor</f>
        <v>30.936419292580723</v>
      </c>
      <c r="N380" s="136">
        <f t="shared" si="21"/>
        <v>278.42777363322648</v>
      </c>
      <c r="O380" s="136">
        <f t="shared" si="22"/>
        <v>31719310.96358756</v>
      </c>
    </row>
    <row r="381" spans="1:15">
      <c r="A381" s="132">
        <v>378</v>
      </c>
      <c r="B381" s="133" t="s">
        <v>389</v>
      </c>
      <c r="C381" s="133" t="s">
        <v>450</v>
      </c>
      <c r="D381" s="133" t="s">
        <v>445</v>
      </c>
      <c r="E381" s="132">
        <v>16</v>
      </c>
      <c r="F381" s="132">
        <v>6</v>
      </c>
      <c r="G381" s="133" t="s">
        <v>376</v>
      </c>
      <c r="H381" s="133">
        <v>3</v>
      </c>
      <c r="I381" s="133" t="s">
        <v>419</v>
      </c>
      <c r="J381" s="132" t="s">
        <v>437</v>
      </c>
      <c r="K381" s="132"/>
      <c r="L381" s="132" t="s">
        <v>436</v>
      </c>
      <c r="M381" s="135">
        <f>33.5*USD_Inflation_Factor</f>
        <v>45.79629015914513</v>
      </c>
      <c r="N381" s="136">
        <f t="shared" si="21"/>
        <v>137.38887047743538</v>
      </c>
      <c r="O381" s="136">
        <f t="shared" si="22"/>
        <v>15651744.252175333</v>
      </c>
    </row>
    <row r="382" spans="1:15">
      <c r="A382" s="132">
        <v>379</v>
      </c>
      <c r="B382" s="133" t="s">
        <v>389</v>
      </c>
      <c r="C382" s="133" t="s">
        <v>450</v>
      </c>
      <c r="D382" s="133" t="s">
        <v>445</v>
      </c>
      <c r="E382" s="132">
        <v>16</v>
      </c>
      <c r="F382" s="132" t="s">
        <v>446</v>
      </c>
      <c r="G382" s="133" t="s">
        <v>376</v>
      </c>
      <c r="H382" s="133">
        <v>1</v>
      </c>
      <c r="I382" s="133" t="s">
        <v>419</v>
      </c>
      <c r="J382" s="132" t="s">
        <v>437</v>
      </c>
      <c r="K382" s="132"/>
      <c r="L382" s="132" t="s">
        <v>436</v>
      </c>
      <c r="M382" s="135">
        <f>10.02*USD_Inflation_Factor</f>
        <v>13.697875444615946</v>
      </c>
      <c r="N382" s="136">
        <f t="shared" si="21"/>
        <v>13.697875444615946</v>
      </c>
      <c r="O382" s="136">
        <f t="shared" si="22"/>
        <v>1560502.2627541975</v>
      </c>
    </row>
    <row r="383" spans="1:15">
      <c r="A383" s="132">
        <v>380</v>
      </c>
      <c r="B383" s="133" t="s">
        <v>389</v>
      </c>
      <c r="C383" s="133" t="s">
        <v>450</v>
      </c>
      <c r="D383" s="133" t="s">
        <v>445</v>
      </c>
      <c r="E383" s="132">
        <v>20</v>
      </c>
      <c r="F383" s="132">
        <v>2</v>
      </c>
      <c r="G383" s="133" t="s">
        <v>376</v>
      </c>
      <c r="H383" s="133">
        <v>1</v>
      </c>
      <c r="I383" s="133" t="s">
        <v>419</v>
      </c>
      <c r="J383" s="132" t="s">
        <v>438</v>
      </c>
      <c r="K383" s="132"/>
      <c r="L383" s="132" t="s">
        <v>436</v>
      </c>
      <c r="M383" s="135">
        <f>14.55*USD_Inflation_Factor</f>
        <v>19.890627516882439</v>
      </c>
      <c r="N383" s="136">
        <f t="shared" si="21"/>
        <v>19.890627516882439</v>
      </c>
      <c r="O383" s="136">
        <f t="shared" si="22"/>
        <v>2265998.7947179219</v>
      </c>
    </row>
    <row r="384" spans="1:15">
      <c r="A384" s="132">
        <v>381</v>
      </c>
      <c r="B384" s="133" t="s">
        <v>389</v>
      </c>
      <c r="C384" s="133" t="s">
        <v>450</v>
      </c>
      <c r="D384" s="133" t="s">
        <v>445</v>
      </c>
      <c r="E384" s="132">
        <v>20</v>
      </c>
      <c r="F384" s="132">
        <v>3</v>
      </c>
      <c r="G384" s="133" t="s">
        <v>376</v>
      </c>
      <c r="H384" s="133">
        <v>1</v>
      </c>
      <c r="I384" s="133" t="s">
        <v>419</v>
      </c>
      <c r="J384" s="132" t="s">
        <v>438</v>
      </c>
      <c r="K384" s="132"/>
      <c r="L384" s="132" t="s">
        <v>436</v>
      </c>
      <c r="M384" s="135">
        <f>22.63*USD_Inflation_Factor</f>
        <v>30.936419292580723</v>
      </c>
      <c r="N384" s="136">
        <f t="shared" si="21"/>
        <v>30.936419292580723</v>
      </c>
      <c r="O384" s="136">
        <f t="shared" si="22"/>
        <v>3524367.8848430626</v>
      </c>
    </row>
    <row r="385" spans="1:15">
      <c r="A385" s="132">
        <v>382</v>
      </c>
      <c r="B385" s="133" t="s">
        <v>389</v>
      </c>
      <c r="C385" s="133" t="s">
        <v>450</v>
      </c>
      <c r="D385" s="133" t="s">
        <v>445</v>
      </c>
      <c r="E385" s="132">
        <v>20</v>
      </c>
      <c r="F385" s="132">
        <v>4</v>
      </c>
      <c r="G385" s="133" t="s">
        <v>376</v>
      </c>
      <c r="H385" s="133">
        <v>1</v>
      </c>
      <c r="I385" s="133" t="s">
        <v>419</v>
      </c>
      <c r="J385" s="132" t="s">
        <v>438</v>
      </c>
      <c r="K385" s="132"/>
      <c r="L385" s="132" t="s">
        <v>436</v>
      </c>
      <c r="M385" s="135">
        <f>37.18*USD_Inflation_Factor</f>
        <v>50.827046809463162</v>
      </c>
      <c r="N385" s="136">
        <f t="shared" si="21"/>
        <v>50.827046809463162</v>
      </c>
      <c r="O385" s="136">
        <f t="shared" si="22"/>
        <v>5790366.6795609845</v>
      </c>
    </row>
    <row r="386" spans="1:15">
      <c r="A386" s="132">
        <v>383</v>
      </c>
      <c r="B386" s="133" t="s">
        <v>389</v>
      </c>
      <c r="C386" s="133" t="s">
        <v>450</v>
      </c>
      <c r="D386" s="133" t="s">
        <v>445</v>
      </c>
      <c r="E386" s="132">
        <v>20</v>
      </c>
      <c r="F386" s="132">
        <v>6</v>
      </c>
      <c r="G386" s="133" t="s">
        <v>376</v>
      </c>
      <c r="H386" s="133">
        <v>1</v>
      </c>
      <c r="I386" s="133" t="s">
        <v>419</v>
      </c>
      <c r="J386" s="132" t="s">
        <v>438</v>
      </c>
      <c r="K386" s="132"/>
      <c r="L386" s="132" t="s">
        <v>436</v>
      </c>
      <c r="M386" s="135">
        <f>33.5*USD_Inflation_Factor</f>
        <v>45.79629015914513</v>
      </c>
      <c r="N386" s="136">
        <f t="shared" si="21"/>
        <v>45.79629015914513</v>
      </c>
      <c r="O386" s="136">
        <f t="shared" si="22"/>
        <v>5217248.0840584449</v>
      </c>
    </row>
    <row r="387" spans="1:15">
      <c r="A387" s="132">
        <v>384</v>
      </c>
      <c r="B387" s="133" t="s">
        <v>389</v>
      </c>
      <c r="C387" s="133" t="s">
        <v>450</v>
      </c>
      <c r="D387" s="133" t="s">
        <v>445</v>
      </c>
      <c r="E387" s="132">
        <v>20</v>
      </c>
      <c r="F387" s="132" t="s">
        <v>446</v>
      </c>
      <c r="G387" s="133" t="s">
        <v>376</v>
      </c>
      <c r="H387" s="133">
        <v>2</v>
      </c>
      <c r="I387" s="133" t="s">
        <v>419</v>
      </c>
      <c r="J387" s="132" t="s">
        <v>438</v>
      </c>
      <c r="K387" s="132"/>
      <c r="L387" s="132" t="s">
        <v>436</v>
      </c>
      <c r="M387" s="135">
        <f>10.02*USD_Inflation_Factor</f>
        <v>13.697875444615946</v>
      </c>
      <c r="N387" s="136">
        <f t="shared" si="21"/>
        <v>27.395750889231891</v>
      </c>
      <c r="O387" s="136">
        <f t="shared" si="22"/>
        <v>3121004.5255083949</v>
      </c>
    </row>
    <row r="388" spans="1:15">
      <c r="A388" s="132">
        <v>385</v>
      </c>
      <c r="B388" s="133" t="s">
        <v>399</v>
      </c>
      <c r="C388" s="133" t="s">
        <v>450</v>
      </c>
      <c r="D388" s="133" t="s">
        <v>399</v>
      </c>
      <c r="E388" s="132">
        <v>1</v>
      </c>
      <c r="F388" s="132" t="s">
        <v>342</v>
      </c>
      <c r="G388" s="133" t="s">
        <v>376</v>
      </c>
      <c r="H388" s="133">
        <v>2</v>
      </c>
      <c r="I388" s="133" t="s">
        <v>417</v>
      </c>
      <c r="J388" s="132" t="s">
        <v>435</v>
      </c>
      <c r="K388" s="132" t="s">
        <v>400</v>
      </c>
      <c r="L388" s="132"/>
      <c r="M388" s="135">
        <f>2.98*USD_Inflation_Factor</f>
        <v>4.0738192440075371</v>
      </c>
      <c r="N388" s="136">
        <f t="shared" ref="N388:N451" si="24">M388*H388</f>
        <v>8.1476384880150743</v>
      </c>
      <c r="O388" s="136">
        <f t="shared" si="22"/>
        <v>928202.94271606964</v>
      </c>
    </row>
    <row r="389" spans="1:15">
      <c r="A389" s="132">
        <v>386</v>
      </c>
      <c r="B389" s="133" t="s">
        <v>399</v>
      </c>
      <c r="C389" s="133" t="s">
        <v>450</v>
      </c>
      <c r="D389" s="133" t="s">
        <v>399</v>
      </c>
      <c r="E389" s="132">
        <v>2</v>
      </c>
      <c r="F389" s="132" t="s">
        <v>342</v>
      </c>
      <c r="G389" s="133" t="s">
        <v>376</v>
      </c>
      <c r="H389" s="133">
        <v>55</v>
      </c>
      <c r="I389" s="133" t="s">
        <v>417</v>
      </c>
      <c r="J389" s="132" t="s">
        <v>432</v>
      </c>
      <c r="K389" s="132" t="s">
        <v>400</v>
      </c>
      <c r="L389" s="132"/>
      <c r="M389" s="135">
        <f>9.34*USD_Inflation_Factor</f>
        <v>12.768279107057181</v>
      </c>
      <c r="N389" s="136">
        <f t="shared" si="24"/>
        <v>702.2553508881449</v>
      </c>
      <c r="O389" s="136">
        <f t="shared" si="22"/>
        <v>80002995.247188762</v>
      </c>
    </row>
    <row r="390" spans="1:15">
      <c r="A390" s="132">
        <v>387</v>
      </c>
      <c r="B390" s="133" t="s">
        <v>399</v>
      </c>
      <c r="C390" s="133" t="s">
        <v>450</v>
      </c>
      <c r="D390" s="133" t="s">
        <v>399</v>
      </c>
      <c r="E390" s="132">
        <v>3</v>
      </c>
      <c r="F390" s="132" t="s">
        <v>342</v>
      </c>
      <c r="G390" s="133" t="s">
        <v>376</v>
      </c>
      <c r="H390" s="133">
        <v>82</v>
      </c>
      <c r="I390" s="133" t="s">
        <v>417</v>
      </c>
      <c r="J390" s="132" t="s">
        <v>432</v>
      </c>
      <c r="K390" s="132" t="s">
        <v>400</v>
      </c>
      <c r="L390" s="132"/>
      <c r="M390" s="135">
        <f>16.78*USD_Inflation_Factor</f>
        <v>22.939156682700158</v>
      </c>
      <c r="N390" s="136">
        <f t="shared" si="24"/>
        <v>1881.010847981413</v>
      </c>
      <c r="O390" s="136">
        <f t="shared" si="22"/>
        <v>214290288.76838979</v>
      </c>
    </row>
    <row r="391" spans="1:15">
      <c r="A391" s="132">
        <v>388</v>
      </c>
      <c r="B391" s="133" t="s">
        <v>399</v>
      </c>
      <c r="C391" s="133" t="s">
        <v>450</v>
      </c>
      <c r="D391" s="133" t="s">
        <v>399</v>
      </c>
      <c r="E391" s="132">
        <v>4</v>
      </c>
      <c r="F391" s="132" t="s">
        <v>342</v>
      </c>
      <c r="G391" s="133" t="s">
        <v>376</v>
      </c>
      <c r="H391" s="133">
        <v>48</v>
      </c>
      <c r="I391" s="133" t="s">
        <v>417</v>
      </c>
      <c r="J391" s="132" t="s">
        <v>432</v>
      </c>
      <c r="K391" s="132" t="s">
        <v>400</v>
      </c>
      <c r="L391" s="132"/>
      <c r="M391" s="135">
        <f>23.76*USD_Inflation_Factor</f>
        <v>32.481189677053386</v>
      </c>
      <c r="N391" s="136">
        <f t="shared" si="24"/>
        <v>1559.0971044985627</v>
      </c>
      <c r="O391" s="136">
        <f t="shared" si="22"/>
        <v>177616928.2061784</v>
      </c>
    </row>
    <row r="392" spans="1:15">
      <c r="A392" s="132">
        <v>389</v>
      </c>
      <c r="B392" s="133" t="s">
        <v>399</v>
      </c>
      <c r="C392" s="133" t="s">
        <v>450</v>
      </c>
      <c r="D392" s="133" t="s">
        <v>399</v>
      </c>
      <c r="E392" s="132">
        <v>6</v>
      </c>
      <c r="F392" s="132" t="s">
        <v>342</v>
      </c>
      <c r="G392" s="133" t="s">
        <v>376</v>
      </c>
      <c r="H392" s="133">
        <v>13</v>
      </c>
      <c r="I392" s="133" t="s">
        <v>417</v>
      </c>
      <c r="J392" s="132" t="s">
        <v>432</v>
      </c>
      <c r="K392" s="132" t="s">
        <v>400</v>
      </c>
      <c r="L392" s="132"/>
      <c r="M392" s="135">
        <f>38.17*USD_Inflation_Factor</f>
        <v>52.180429712673721</v>
      </c>
      <c r="N392" s="136">
        <f t="shared" si="24"/>
        <v>678.34558626475837</v>
      </c>
      <c r="O392" s="136">
        <f t="shared" si="22"/>
        <v>77279124.531063899</v>
      </c>
    </row>
    <row r="393" spans="1:15">
      <c r="A393" s="132">
        <v>390</v>
      </c>
      <c r="B393" s="133" t="s">
        <v>399</v>
      </c>
      <c r="C393" s="133" t="s">
        <v>450</v>
      </c>
      <c r="D393" s="133" t="s">
        <v>399</v>
      </c>
      <c r="E393" s="132" t="s">
        <v>446</v>
      </c>
      <c r="F393" s="132" t="s">
        <v>342</v>
      </c>
      <c r="G393" s="133" t="s">
        <v>376</v>
      </c>
      <c r="H393" s="133">
        <v>17</v>
      </c>
      <c r="I393" s="133" t="s">
        <v>417</v>
      </c>
      <c r="J393" s="132" t="s">
        <v>435</v>
      </c>
      <c r="K393" s="132" t="s">
        <v>400</v>
      </c>
      <c r="L393" s="132"/>
      <c r="M393" s="135">
        <f>8.13*USD_Inflation_Factor</f>
        <v>11.11414444757761</v>
      </c>
      <c r="N393" s="136">
        <f t="shared" si="24"/>
        <v>188.94045560881938</v>
      </c>
      <c r="O393" s="136">
        <f t="shared" si="22"/>
        <v>21524652.468588591</v>
      </c>
    </row>
    <row r="394" spans="1:15">
      <c r="A394" s="132">
        <v>391</v>
      </c>
      <c r="B394" s="133" t="s">
        <v>399</v>
      </c>
      <c r="C394" s="133" t="s">
        <v>450</v>
      </c>
      <c r="D394" s="133" t="s">
        <v>399</v>
      </c>
      <c r="E394" s="132" t="s">
        <v>458</v>
      </c>
      <c r="F394" s="132" t="s">
        <v>342</v>
      </c>
      <c r="G394" s="133" t="s">
        <v>376</v>
      </c>
      <c r="H394" s="133">
        <v>2</v>
      </c>
      <c r="I394" s="133" t="s">
        <v>417</v>
      </c>
      <c r="J394" s="132" t="s">
        <v>432</v>
      </c>
      <c r="K394" s="132" t="s">
        <v>400</v>
      </c>
      <c r="L394" s="132"/>
      <c r="M394" s="135">
        <f>14.5*USD_Inflation_Factor</f>
        <v>19.822274845003118</v>
      </c>
      <c r="N394" s="136">
        <f t="shared" si="24"/>
        <v>39.644549690006237</v>
      </c>
      <c r="O394" s="136">
        <f t="shared" si="22"/>
        <v>4516423.7145580575</v>
      </c>
    </row>
    <row r="395" spans="1:15">
      <c r="A395" s="132">
        <v>392</v>
      </c>
      <c r="B395" s="133" t="s">
        <v>399</v>
      </c>
      <c r="C395" s="133" t="s">
        <v>450</v>
      </c>
      <c r="D395" s="133" t="s">
        <v>399</v>
      </c>
      <c r="E395" s="132">
        <v>2</v>
      </c>
      <c r="F395" s="132" t="s">
        <v>342</v>
      </c>
      <c r="G395" s="133" t="s">
        <v>376</v>
      </c>
      <c r="H395" s="133">
        <v>106</v>
      </c>
      <c r="I395" s="133" t="s">
        <v>418</v>
      </c>
      <c r="J395" s="132" t="s">
        <v>434</v>
      </c>
      <c r="K395" s="132" t="s">
        <v>400</v>
      </c>
      <c r="L395" s="132"/>
      <c r="M395" s="135">
        <f>12.24*USD_Inflation_Factor</f>
        <v>16.732734076057802</v>
      </c>
      <c r="N395" s="136">
        <f t="shared" si="24"/>
        <v>1773.669812062127</v>
      </c>
      <c r="O395" s="136">
        <f t="shared" si="22"/>
        <v>202061682.21435189</v>
      </c>
    </row>
    <row r="396" spans="1:15">
      <c r="A396" s="132">
        <v>393</v>
      </c>
      <c r="B396" s="133" t="s">
        <v>399</v>
      </c>
      <c r="C396" s="133" t="s">
        <v>450</v>
      </c>
      <c r="D396" s="133" t="s">
        <v>399</v>
      </c>
      <c r="E396" s="132">
        <v>3</v>
      </c>
      <c r="F396" s="132" t="s">
        <v>342</v>
      </c>
      <c r="G396" s="133" t="s">
        <v>376</v>
      </c>
      <c r="H396" s="133">
        <v>72</v>
      </c>
      <c r="I396" s="133" t="s">
        <v>418</v>
      </c>
      <c r="J396" s="132" t="s">
        <v>435</v>
      </c>
      <c r="K396" s="132" t="s">
        <v>400</v>
      </c>
      <c r="L396" s="132"/>
      <c r="M396" s="135">
        <f>16.78*USD_Inflation_Factor</f>
        <v>22.939156682700158</v>
      </c>
      <c r="N396" s="136">
        <f t="shared" si="24"/>
        <v>1651.6192811544115</v>
      </c>
      <c r="O396" s="136">
        <f t="shared" si="22"/>
        <v>188157326.72346422</v>
      </c>
    </row>
    <row r="397" spans="1:15">
      <c r="A397" s="132">
        <v>394</v>
      </c>
      <c r="B397" s="133" t="s">
        <v>399</v>
      </c>
      <c r="C397" s="133" t="s">
        <v>450</v>
      </c>
      <c r="D397" s="133" t="s">
        <v>399</v>
      </c>
      <c r="E397" s="132">
        <v>4</v>
      </c>
      <c r="F397" s="132" t="s">
        <v>342</v>
      </c>
      <c r="G397" s="133" t="s">
        <v>376</v>
      </c>
      <c r="H397" s="133">
        <v>44</v>
      </c>
      <c r="I397" s="133" t="s">
        <v>418</v>
      </c>
      <c r="J397" s="132" t="s">
        <v>435</v>
      </c>
      <c r="K397" s="132" t="s">
        <v>400</v>
      </c>
      <c r="L397" s="132"/>
      <c r="M397" s="135">
        <f>23.76*USD_Inflation_Factor</f>
        <v>32.481189677053386</v>
      </c>
      <c r="N397" s="136">
        <f t="shared" si="24"/>
        <v>1429.172345790349</v>
      </c>
      <c r="O397" s="136">
        <f t="shared" si="22"/>
        <v>162815517.52233019</v>
      </c>
    </row>
    <row r="398" spans="1:15">
      <c r="A398" s="132">
        <v>395</v>
      </c>
      <c r="B398" s="133" t="s">
        <v>399</v>
      </c>
      <c r="C398" s="133" t="s">
        <v>450</v>
      </c>
      <c r="D398" s="133" t="s">
        <v>399</v>
      </c>
      <c r="E398" s="132">
        <v>6</v>
      </c>
      <c r="F398" s="132" t="s">
        <v>342</v>
      </c>
      <c r="G398" s="133" t="s">
        <v>376</v>
      </c>
      <c r="H398" s="133">
        <v>22</v>
      </c>
      <c r="I398" s="133" t="s">
        <v>418</v>
      </c>
      <c r="J398" s="132" t="s">
        <v>435</v>
      </c>
      <c r="K398" s="132" t="s">
        <v>400</v>
      </c>
      <c r="L398" s="132"/>
      <c r="M398" s="135">
        <f>38.17*USD_Inflation_Factor</f>
        <v>52.180429712673721</v>
      </c>
      <c r="N398" s="136">
        <f t="shared" si="24"/>
        <v>1147.9694536788218</v>
      </c>
      <c r="O398" s="136">
        <f t="shared" si="22"/>
        <v>130780056.89872353</v>
      </c>
    </row>
    <row r="399" spans="1:15">
      <c r="A399" s="132">
        <v>396</v>
      </c>
      <c r="B399" s="133" t="s">
        <v>399</v>
      </c>
      <c r="C399" s="133" t="s">
        <v>450</v>
      </c>
      <c r="D399" s="133" t="s">
        <v>399</v>
      </c>
      <c r="E399" s="132">
        <v>8</v>
      </c>
      <c r="F399" s="132" t="s">
        <v>342</v>
      </c>
      <c r="G399" s="133" t="s">
        <v>376</v>
      </c>
      <c r="H399" s="133">
        <v>9</v>
      </c>
      <c r="I399" s="133" t="s">
        <v>418</v>
      </c>
      <c r="J399" s="132" t="s">
        <v>439</v>
      </c>
      <c r="K399" s="132" t="s">
        <v>400</v>
      </c>
      <c r="L399" s="132"/>
      <c r="M399" s="135">
        <f>56.54*USD_Inflation_Factor</f>
        <v>77.293201361136283</v>
      </c>
      <c r="N399" s="136">
        <f t="shared" si="24"/>
        <v>695.63881225022658</v>
      </c>
      <c r="O399" s="136">
        <f t="shared" si="22"/>
        <v>79249219.703103885</v>
      </c>
    </row>
    <row r="400" spans="1:15">
      <c r="A400" s="132">
        <v>397</v>
      </c>
      <c r="B400" s="133" t="s">
        <v>399</v>
      </c>
      <c r="C400" s="133" t="s">
        <v>450</v>
      </c>
      <c r="D400" s="133" t="s">
        <v>399</v>
      </c>
      <c r="E400" s="132" t="s">
        <v>446</v>
      </c>
      <c r="F400" s="132" t="s">
        <v>342</v>
      </c>
      <c r="G400" s="133" t="s">
        <v>376</v>
      </c>
      <c r="H400" s="133">
        <v>4</v>
      </c>
      <c r="I400" s="133" t="s">
        <v>418</v>
      </c>
      <c r="J400" s="132" t="s">
        <v>434</v>
      </c>
      <c r="K400" s="132" t="s">
        <v>400</v>
      </c>
      <c r="L400" s="132"/>
      <c r="M400" s="135">
        <f>8.13*USD_Inflation_Factor</f>
        <v>11.11414444757761</v>
      </c>
      <c r="N400" s="136">
        <f t="shared" si="24"/>
        <v>44.45657779031044</v>
      </c>
      <c r="O400" s="136">
        <f t="shared" si="22"/>
        <v>5064624.1102561383</v>
      </c>
    </row>
    <row r="401" spans="1:15">
      <c r="A401" s="132">
        <v>398</v>
      </c>
      <c r="B401" s="133" t="s">
        <v>399</v>
      </c>
      <c r="C401" s="133" t="s">
        <v>450</v>
      </c>
      <c r="D401" s="133" t="s">
        <v>399</v>
      </c>
      <c r="E401" s="132">
        <v>2</v>
      </c>
      <c r="F401" s="132" t="s">
        <v>342</v>
      </c>
      <c r="G401" s="133" t="s">
        <v>376</v>
      </c>
      <c r="H401" s="133">
        <v>94</v>
      </c>
      <c r="I401" s="133" t="s">
        <v>419</v>
      </c>
      <c r="J401" s="132" t="s">
        <v>434</v>
      </c>
      <c r="K401" s="132" t="s">
        <v>400</v>
      </c>
      <c r="L401" s="132" t="s">
        <v>436</v>
      </c>
      <c r="M401" s="135">
        <f>18.36*USD_Inflation_Factor</f>
        <v>25.099101114086704</v>
      </c>
      <c r="N401" s="136">
        <f t="shared" si="24"/>
        <v>2359.3155047241503</v>
      </c>
      <c r="O401" s="136">
        <f t="shared" si="22"/>
        <v>268780162.19078887</v>
      </c>
    </row>
    <row r="402" spans="1:15">
      <c r="A402" s="132">
        <v>399</v>
      </c>
      <c r="B402" s="133" t="s">
        <v>399</v>
      </c>
      <c r="C402" s="133" t="s">
        <v>450</v>
      </c>
      <c r="D402" s="133" t="s">
        <v>399</v>
      </c>
      <c r="E402" s="132">
        <v>3</v>
      </c>
      <c r="F402" s="132" t="s">
        <v>342</v>
      </c>
      <c r="G402" s="133" t="s">
        <v>376</v>
      </c>
      <c r="H402" s="133">
        <v>90</v>
      </c>
      <c r="I402" s="133" t="s">
        <v>419</v>
      </c>
      <c r="J402" s="132" t="s">
        <v>435</v>
      </c>
      <c r="K402" s="132" t="s">
        <v>400</v>
      </c>
      <c r="L402" s="132" t="s">
        <v>436</v>
      </c>
      <c r="M402" s="135">
        <f>25.17*USD_Inflation_Factor</f>
        <v>34.408735024050237</v>
      </c>
      <c r="N402" s="136">
        <f t="shared" si="24"/>
        <v>3096.7861521645214</v>
      </c>
      <c r="O402" s="136">
        <f t="shared" si="22"/>
        <v>352794987.60649538</v>
      </c>
    </row>
    <row r="403" spans="1:15">
      <c r="A403" s="132">
        <v>400</v>
      </c>
      <c r="B403" s="133" t="s">
        <v>399</v>
      </c>
      <c r="C403" s="133" t="s">
        <v>450</v>
      </c>
      <c r="D403" s="133" t="s">
        <v>399</v>
      </c>
      <c r="E403" s="132">
        <v>4</v>
      </c>
      <c r="F403" s="132" t="s">
        <v>342</v>
      </c>
      <c r="G403" s="133" t="s">
        <v>376</v>
      </c>
      <c r="H403" s="133">
        <v>33</v>
      </c>
      <c r="I403" s="133" t="s">
        <v>419</v>
      </c>
      <c r="J403" s="132" t="s">
        <v>435</v>
      </c>
      <c r="K403" s="132" t="s">
        <v>400</v>
      </c>
      <c r="L403" s="132" t="s">
        <v>436</v>
      </c>
      <c r="M403" s="135">
        <f>35.64*USD_Inflation_Factor</f>
        <v>48.721784515580076</v>
      </c>
      <c r="N403" s="136">
        <f t="shared" si="24"/>
        <v>1607.8188890141425</v>
      </c>
      <c r="O403" s="136">
        <f t="shared" si="22"/>
        <v>183167457.21262145</v>
      </c>
    </row>
    <row r="404" spans="1:15">
      <c r="A404" s="132">
        <v>401</v>
      </c>
      <c r="B404" s="133" t="s">
        <v>399</v>
      </c>
      <c r="C404" s="133" t="s">
        <v>450</v>
      </c>
      <c r="D404" s="133" t="s">
        <v>399</v>
      </c>
      <c r="E404" s="132">
        <v>6</v>
      </c>
      <c r="F404" s="132" t="s">
        <v>342</v>
      </c>
      <c r="G404" s="133" t="s">
        <v>376</v>
      </c>
      <c r="H404" s="133">
        <v>38</v>
      </c>
      <c r="I404" s="133" t="s">
        <v>419</v>
      </c>
      <c r="J404" s="132" t="s">
        <v>435</v>
      </c>
      <c r="K404" s="132" t="s">
        <v>400</v>
      </c>
      <c r="L404" s="132" t="s">
        <v>436</v>
      </c>
      <c r="M404" s="135">
        <f>57.25*USD_Inflation_Factor</f>
        <v>78.263809301822647</v>
      </c>
      <c r="N404" s="136">
        <f t="shared" si="24"/>
        <v>2974.0247534692608</v>
      </c>
      <c r="O404" s="136">
        <f t="shared" si="22"/>
        <v>338809647.96624321</v>
      </c>
    </row>
    <row r="405" spans="1:15">
      <c r="A405" s="132">
        <v>402</v>
      </c>
      <c r="B405" s="133" t="s">
        <v>399</v>
      </c>
      <c r="C405" s="133" t="s">
        <v>450</v>
      </c>
      <c r="D405" s="133" t="s">
        <v>399</v>
      </c>
      <c r="E405" s="132">
        <v>8</v>
      </c>
      <c r="F405" s="132" t="s">
        <v>342</v>
      </c>
      <c r="G405" s="133" t="s">
        <v>376</v>
      </c>
      <c r="H405" s="133">
        <v>59</v>
      </c>
      <c r="I405" s="133" t="s">
        <v>419</v>
      </c>
      <c r="J405" s="132" t="s">
        <v>439</v>
      </c>
      <c r="K405" s="132" t="s">
        <v>400</v>
      </c>
      <c r="L405" s="132" t="s">
        <v>436</v>
      </c>
      <c r="M405" s="135">
        <f>85.87*USD_Inflation_Factor</f>
        <v>117.38887868554605</v>
      </c>
      <c r="N405" s="136">
        <f t="shared" si="24"/>
        <v>6925.9438424472164</v>
      </c>
      <c r="O405" s="136">
        <f t="shared" si="22"/>
        <v>789023895.09575582</v>
      </c>
    </row>
    <row r="406" spans="1:15">
      <c r="A406" s="132">
        <v>403</v>
      </c>
      <c r="B406" s="133" t="s">
        <v>399</v>
      </c>
      <c r="C406" s="133" t="s">
        <v>450</v>
      </c>
      <c r="D406" s="133" t="s">
        <v>399</v>
      </c>
      <c r="E406" s="132">
        <v>10</v>
      </c>
      <c r="F406" s="132" t="s">
        <v>342</v>
      </c>
      <c r="G406" s="133" t="s">
        <v>376</v>
      </c>
      <c r="H406" s="133">
        <v>105</v>
      </c>
      <c r="I406" s="133" t="s">
        <v>419</v>
      </c>
      <c r="J406" s="132" t="s">
        <v>432</v>
      </c>
      <c r="K406" s="132" t="s">
        <v>400</v>
      </c>
      <c r="L406" s="132" t="s">
        <v>436</v>
      </c>
      <c r="M406" s="135">
        <f>133.89*USD_Inflation_Factor</f>
        <v>183.03478475844599</v>
      </c>
      <c r="N406" s="136">
        <f t="shared" si="24"/>
        <v>19218.652399636831</v>
      </c>
      <c r="O406" s="136">
        <f t="shared" si="22"/>
        <v>2189445412.7561622</v>
      </c>
    </row>
    <row r="407" spans="1:15">
      <c r="A407" s="132">
        <v>404</v>
      </c>
      <c r="B407" s="133" t="s">
        <v>399</v>
      </c>
      <c r="C407" s="133" t="s">
        <v>450</v>
      </c>
      <c r="D407" s="133" t="s">
        <v>399</v>
      </c>
      <c r="E407" s="132">
        <v>12</v>
      </c>
      <c r="F407" s="132" t="s">
        <v>342</v>
      </c>
      <c r="G407" s="133" t="s">
        <v>376</v>
      </c>
      <c r="H407" s="133">
        <v>4</v>
      </c>
      <c r="I407" s="133" t="s">
        <v>419</v>
      </c>
      <c r="J407" s="132" t="s">
        <v>432</v>
      </c>
      <c r="K407" s="132" t="s">
        <v>400</v>
      </c>
      <c r="L407" s="132" t="s">
        <v>436</v>
      </c>
      <c r="M407" s="135">
        <f>147*USD_Inflation_Factor</f>
        <v>200.956855325204</v>
      </c>
      <c r="N407" s="136">
        <f t="shared" si="24"/>
        <v>803.82742130081601</v>
      </c>
      <c r="O407" s="136">
        <f t="shared" si="22"/>
        <v>91574384.281384036</v>
      </c>
    </row>
    <row r="408" spans="1:15">
      <c r="A408" s="132">
        <v>405</v>
      </c>
      <c r="B408" s="133" t="s">
        <v>399</v>
      </c>
      <c r="C408" s="133" t="s">
        <v>450</v>
      </c>
      <c r="D408" s="133" t="s">
        <v>399</v>
      </c>
      <c r="E408" s="132">
        <v>12</v>
      </c>
      <c r="F408" s="132" t="s">
        <v>342</v>
      </c>
      <c r="G408" s="133" t="s">
        <v>376</v>
      </c>
      <c r="H408" s="133">
        <v>92</v>
      </c>
      <c r="I408" s="133" t="s">
        <v>419</v>
      </c>
      <c r="J408" s="132" t="s">
        <v>432</v>
      </c>
      <c r="K408" s="132" t="s">
        <v>400</v>
      </c>
      <c r="L408" s="132" t="s">
        <v>436</v>
      </c>
      <c r="M408" s="135">
        <f>147*USD_Inflation_Factor</f>
        <v>200.956855325204</v>
      </c>
      <c r="N408" s="136">
        <f t="shared" si="24"/>
        <v>18488.030689918767</v>
      </c>
      <c r="O408" s="136">
        <f t="shared" si="22"/>
        <v>2106210838.471833</v>
      </c>
    </row>
    <row r="409" spans="1:15">
      <c r="A409" s="132">
        <v>406</v>
      </c>
      <c r="B409" s="133" t="s">
        <v>399</v>
      </c>
      <c r="C409" s="133" t="s">
        <v>450</v>
      </c>
      <c r="D409" s="133" t="s">
        <v>399</v>
      </c>
      <c r="E409" s="132">
        <v>16</v>
      </c>
      <c r="F409" s="132" t="s">
        <v>342</v>
      </c>
      <c r="G409" s="133" t="s">
        <v>376</v>
      </c>
      <c r="H409" s="133">
        <v>14</v>
      </c>
      <c r="I409" s="133" t="s">
        <v>419</v>
      </c>
      <c r="J409" s="132" t="s">
        <v>437</v>
      </c>
      <c r="K409" s="132" t="s">
        <v>400</v>
      </c>
      <c r="L409" s="132" t="s">
        <v>436</v>
      </c>
      <c r="M409" s="135">
        <f>221*USD_Inflation_Factor</f>
        <v>302.11880970659922</v>
      </c>
      <c r="N409" s="136">
        <f t="shared" si="24"/>
        <v>4229.6633358923891</v>
      </c>
      <c r="O409" s="136">
        <f t="shared" si="22"/>
        <v>481855688.71871126</v>
      </c>
    </row>
    <row r="410" spans="1:15">
      <c r="A410" s="132">
        <v>407</v>
      </c>
      <c r="B410" s="133" t="s">
        <v>399</v>
      </c>
      <c r="C410" s="133" t="s">
        <v>450</v>
      </c>
      <c r="D410" s="133" t="s">
        <v>399</v>
      </c>
      <c r="E410" s="132">
        <v>18</v>
      </c>
      <c r="F410" s="132" t="s">
        <v>342</v>
      </c>
      <c r="G410" s="133" t="s">
        <v>376</v>
      </c>
      <c r="H410" s="133">
        <v>4</v>
      </c>
      <c r="I410" s="133" t="s">
        <v>419</v>
      </c>
      <c r="J410" s="132" t="s">
        <v>438</v>
      </c>
      <c r="K410" s="132" t="s">
        <v>400</v>
      </c>
      <c r="L410" s="132" t="s">
        <v>436</v>
      </c>
      <c r="M410" s="135">
        <f>298*USD_Inflation_Factor</f>
        <v>407.38192440075369</v>
      </c>
      <c r="N410" s="136">
        <f t="shared" si="24"/>
        <v>1629.5276976030148</v>
      </c>
      <c r="O410" s="136">
        <f t="shared" si="22"/>
        <v>185640588.54321393</v>
      </c>
    </row>
    <row r="411" spans="1:15">
      <c r="A411" s="132">
        <v>408</v>
      </c>
      <c r="B411" s="133" t="s">
        <v>399</v>
      </c>
      <c r="C411" s="133" t="s">
        <v>450</v>
      </c>
      <c r="D411" s="133" t="s">
        <v>399</v>
      </c>
      <c r="E411" s="132">
        <v>20</v>
      </c>
      <c r="F411" s="132" t="s">
        <v>342</v>
      </c>
      <c r="G411" s="133" t="s">
        <v>376</v>
      </c>
      <c r="H411" s="133">
        <v>15</v>
      </c>
      <c r="I411" s="133" t="s">
        <v>419</v>
      </c>
      <c r="J411" s="132" t="s">
        <v>438</v>
      </c>
      <c r="K411" s="132" t="s">
        <v>400</v>
      </c>
      <c r="L411" s="132" t="s">
        <v>436</v>
      </c>
      <c r="M411" s="135">
        <f>372*USD_Inflation_Factor</f>
        <v>508.54387878214891</v>
      </c>
      <c r="N411" s="136">
        <f t="shared" si="24"/>
        <v>7628.158181732234</v>
      </c>
      <c r="O411" s="136">
        <f t="shared" si="22"/>
        <v>869022218.18048131</v>
      </c>
    </row>
    <row r="412" spans="1:15">
      <c r="A412" s="132">
        <v>409</v>
      </c>
      <c r="B412" s="133" t="s">
        <v>399</v>
      </c>
      <c r="C412" s="133" t="s">
        <v>450</v>
      </c>
      <c r="D412" s="133" t="s">
        <v>399</v>
      </c>
      <c r="E412" s="132">
        <v>26</v>
      </c>
      <c r="F412" s="132" t="s">
        <v>342</v>
      </c>
      <c r="G412" s="133" t="s">
        <v>376</v>
      </c>
      <c r="H412" s="133">
        <v>1</v>
      </c>
      <c r="I412" s="133" t="s">
        <v>419</v>
      </c>
      <c r="J412" s="132" t="s">
        <v>438</v>
      </c>
      <c r="K412" s="132" t="s">
        <v>400</v>
      </c>
      <c r="L412" s="132" t="s">
        <v>436</v>
      </c>
      <c r="M412" s="135">
        <f>435*USD_Inflation_Factor</f>
        <v>594.66824535009346</v>
      </c>
      <c r="N412" s="136">
        <f t="shared" si="24"/>
        <v>594.66824535009346</v>
      </c>
      <c r="O412" s="136">
        <f t="shared" si="22"/>
        <v>67746355.71837084</v>
      </c>
    </row>
    <row r="413" spans="1:15">
      <c r="A413" s="132">
        <v>410</v>
      </c>
      <c r="B413" s="133" t="s">
        <v>399</v>
      </c>
      <c r="C413" s="133" t="s">
        <v>450</v>
      </c>
      <c r="D413" s="133" t="s">
        <v>399</v>
      </c>
      <c r="E413" s="132" t="s">
        <v>446</v>
      </c>
      <c r="F413" s="132" t="s">
        <v>342</v>
      </c>
      <c r="G413" s="133" t="s">
        <v>376</v>
      </c>
      <c r="H413" s="133">
        <v>48</v>
      </c>
      <c r="I413" s="133" t="s">
        <v>419</v>
      </c>
      <c r="J413" s="132" t="s">
        <v>434</v>
      </c>
      <c r="K413" s="132" t="s">
        <v>400</v>
      </c>
      <c r="L413" s="132" t="s">
        <v>436</v>
      </c>
      <c r="M413" s="135">
        <f>12.19*USD_Inflation_Factor</f>
        <v>16.664381404178481</v>
      </c>
      <c r="N413" s="136">
        <f t="shared" si="24"/>
        <v>799.89030740056705</v>
      </c>
      <c r="O413" s="136">
        <f t="shared" si="22"/>
        <v>91125856.684903786</v>
      </c>
    </row>
    <row r="414" spans="1:15">
      <c r="A414" s="132">
        <v>411</v>
      </c>
      <c r="B414" s="133" t="s">
        <v>399</v>
      </c>
      <c r="C414" s="133" t="s">
        <v>450</v>
      </c>
      <c r="D414" s="133" t="s">
        <v>399</v>
      </c>
      <c r="E414" s="132" t="s">
        <v>458</v>
      </c>
      <c r="F414" s="132" t="s">
        <v>342</v>
      </c>
      <c r="G414" s="133" t="s">
        <v>376</v>
      </c>
      <c r="H414" s="133">
        <v>4</v>
      </c>
      <c r="I414" s="133" t="s">
        <v>419</v>
      </c>
      <c r="J414" s="132" t="s">
        <v>434</v>
      </c>
      <c r="K414" s="132" t="s">
        <v>400</v>
      </c>
      <c r="L414" s="132" t="s">
        <v>436</v>
      </c>
      <c r="M414" s="135">
        <f>23.25*USD_Inflation_Factor</f>
        <v>31.783992423884307</v>
      </c>
      <c r="N414" s="136">
        <f t="shared" si="24"/>
        <v>127.13596969553723</v>
      </c>
      <c r="O414" s="136">
        <f t="shared" si="22"/>
        <v>14483703.636341356</v>
      </c>
    </row>
    <row r="415" spans="1:15">
      <c r="A415" s="132">
        <v>412</v>
      </c>
      <c r="B415" s="133" t="s">
        <v>399</v>
      </c>
      <c r="C415" s="133" t="s">
        <v>450</v>
      </c>
      <c r="D415" s="133" t="s">
        <v>399</v>
      </c>
      <c r="E415" s="132">
        <v>2</v>
      </c>
      <c r="F415" s="132" t="s">
        <v>342</v>
      </c>
      <c r="G415" s="133" t="s">
        <v>376</v>
      </c>
      <c r="H415" s="133">
        <v>14</v>
      </c>
      <c r="I415" s="133" t="s">
        <v>456</v>
      </c>
      <c r="J415" s="132" t="s">
        <v>437</v>
      </c>
      <c r="K415" s="132" t="s">
        <v>400</v>
      </c>
      <c r="L415" s="132" t="s">
        <v>380</v>
      </c>
      <c r="M415" s="135">
        <f>11.2*USD_Inflation_Factor</f>
        <v>15.310998500967923</v>
      </c>
      <c r="N415" s="136">
        <f t="shared" si="24"/>
        <v>214.35397901355091</v>
      </c>
      <c r="O415" s="136">
        <f t="shared" si="22"/>
        <v>24419835.808369078</v>
      </c>
    </row>
    <row r="416" spans="1:15">
      <c r="A416" s="132">
        <v>413</v>
      </c>
      <c r="B416" s="133" t="s">
        <v>399</v>
      </c>
      <c r="C416" s="133" t="s">
        <v>450</v>
      </c>
      <c r="D416" s="133" t="s">
        <v>399</v>
      </c>
      <c r="E416" s="132">
        <v>3</v>
      </c>
      <c r="F416" s="132" t="s">
        <v>342</v>
      </c>
      <c r="G416" s="133" t="s">
        <v>376</v>
      </c>
      <c r="H416" s="133">
        <v>9</v>
      </c>
      <c r="I416" s="133" t="s">
        <v>456</v>
      </c>
      <c r="J416" s="132" t="s">
        <v>437</v>
      </c>
      <c r="K416" s="132" t="s">
        <v>400</v>
      </c>
      <c r="L416" s="132" t="s">
        <v>380</v>
      </c>
      <c r="M416" s="135">
        <f>20.13*USD_Inflation_Factor</f>
        <v>27.518785698614671</v>
      </c>
      <c r="N416" s="136">
        <f t="shared" si="24"/>
        <v>247.66907128753203</v>
      </c>
      <c r="O416" s="136">
        <f t="shared" si="22"/>
        <v>28215189.116085626</v>
      </c>
    </row>
    <row r="417" spans="1:15">
      <c r="A417" s="132">
        <v>414</v>
      </c>
      <c r="B417" s="133" t="s">
        <v>399</v>
      </c>
      <c r="C417" s="133" t="s">
        <v>450</v>
      </c>
      <c r="D417" s="133" t="s">
        <v>399</v>
      </c>
      <c r="E417" s="132" t="s">
        <v>446</v>
      </c>
      <c r="F417" s="132" t="s">
        <v>342</v>
      </c>
      <c r="G417" s="133" t="s">
        <v>376</v>
      </c>
      <c r="H417" s="133">
        <v>1</v>
      </c>
      <c r="I417" s="133" t="s">
        <v>456</v>
      </c>
      <c r="J417" s="132" t="s">
        <v>435</v>
      </c>
      <c r="K417" s="132" t="s">
        <v>400</v>
      </c>
      <c r="L417" s="132" t="s">
        <v>380</v>
      </c>
      <c r="M417" s="135">
        <f>9.75*USD_Inflation_Factor</f>
        <v>13.328771016467613</v>
      </c>
      <c r="N417" s="136">
        <f t="shared" si="24"/>
        <v>13.328771016467613</v>
      </c>
      <c r="O417" s="136">
        <f t="shared" si="22"/>
        <v>1518452.8005841742</v>
      </c>
    </row>
    <row r="418" spans="1:15">
      <c r="A418" s="132">
        <v>415</v>
      </c>
      <c r="B418" s="133" t="s">
        <v>399</v>
      </c>
      <c r="C418" s="133" t="s">
        <v>450</v>
      </c>
      <c r="D418" s="133" t="s">
        <v>447</v>
      </c>
      <c r="E418" s="132">
        <v>1</v>
      </c>
      <c r="F418" s="132" t="s">
        <v>342</v>
      </c>
      <c r="G418" s="133" t="s">
        <v>376</v>
      </c>
      <c r="H418" s="133">
        <v>2</v>
      </c>
      <c r="I418" s="133" t="s">
        <v>417</v>
      </c>
      <c r="J418" s="132"/>
      <c r="K418" s="132" t="s">
        <v>448</v>
      </c>
      <c r="L418" s="132"/>
      <c r="M418" s="135">
        <f>3.78*USD_Inflation_Factor</f>
        <v>5.1674619940766746</v>
      </c>
      <c r="N418" s="136">
        <f t="shared" si="24"/>
        <v>10.334923988153349</v>
      </c>
      <c r="O418" s="136">
        <f t="shared" si="22"/>
        <v>1177384.9407606521</v>
      </c>
    </row>
    <row r="419" spans="1:15">
      <c r="A419" s="132">
        <v>416</v>
      </c>
      <c r="B419" s="133" t="s">
        <v>399</v>
      </c>
      <c r="C419" s="133" t="s">
        <v>450</v>
      </c>
      <c r="D419" s="133" t="s">
        <v>447</v>
      </c>
      <c r="E419" s="132">
        <v>2</v>
      </c>
      <c r="F419" s="132" t="s">
        <v>342</v>
      </c>
      <c r="G419" s="133" t="s">
        <v>376</v>
      </c>
      <c r="H419" s="133">
        <v>1</v>
      </c>
      <c r="I419" s="133" t="s">
        <v>417</v>
      </c>
      <c r="J419" s="132"/>
      <c r="K419" s="132" t="s">
        <v>448</v>
      </c>
      <c r="L419" s="132"/>
      <c r="M419" s="135">
        <f>16.77*USD_Inflation_Factor</f>
        <v>22.925486148324293</v>
      </c>
      <c r="N419" s="136">
        <f t="shared" si="24"/>
        <v>22.925486148324293</v>
      </c>
      <c r="O419" s="136">
        <f t="shared" ref="O419:O436" si="25">0.25*N419*USD_Change_IRR * per_Euro</f>
        <v>2611738.8170047798</v>
      </c>
    </row>
    <row r="420" spans="1:15">
      <c r="A420" s="132">
        <v>417</v>
      </c>
      <c r="B420" s="133" t="s">
        <v>399</v>
      </c>
      <c r="C420" s="133" t="s">
        <v>450</v>
      </c>
      <c r="D420" s="133" t="s">
        <v>447</v>
      </c>
      <c r="E420" s="132">
        <v>3</v>
      </c>
      <c r="F420" s="132" t="s">
        <v>342</v>
      </c>
      <c r="G420" s="133" t="s">
        <v>376</v>
      </c>
      <c r="H420" s="133">
        <v>8</v>
      </c>
      <c r="I420" s="133" t="s">
        <v>417</v>
      </c>
      <c r="J420" s="132"/>
      <c r="K420" s="132" t="s">
        <v>448</v>
      </c>
      <c r="L420" s="132"/>
      <c r="M420" s="135">
        <f>25.15*USD_Inflation_Factor</f>
        <v>34.381393955298506</v>
      </c>
      <c r="N420" s="136">
        <f t="shared" si="24"/>
        <v>275.05115164238805</v>
      </c>
      <c r="O420" s="136">
        <f t="shared" si="25"/>
        <v>31334636.254106238</v>
      </c>
    </row>
    <row r="421" spans="1:15">
      <c r="A421" s="132">
        <v>418</v>
      </c>
      <c r="B421" s="133" t="s">
        <v>399</v>
      </c>
      <c r="C421" s="133" t="s">
        <v>450</v>
      </c>
      <c r="D421" s="133" t="s">
        <v>447</v>
      </c>
      <c r="E421" s="132">
        <v>4</v>
      </c>
      <c r="F421" s="132" t="s">
        <v>342</v>
      </c>
      <c r="G421" s="133" t="s">
        <v>376</v>
      </c>
      <c r="H421" s="133">
        <v>10</v>
      </c>
      <c r="I421" s="133" t="s">
        <v>417</v>
      </c>
      <c r="J421" s="132"/>
      <c r="K421" s="132" t="s">
        <v>448</v>
      </c>
      <c r="L421" s="132"/>
      <c r="M421" s="135">
        <f>41.92*USD_Inflation_Factor</f>
        <v>57.306880103622802</v>
      </c>
      <c r="N421" s="136">
        <f t="shared" si="24"/>
        <v>573.06880103622802</v>
      </c>
      <c r="O421" s="136">
        <f t="shared" si="25"/>
        <v>65285683.487680599</v>
      </c>
    </row>
    <row r="422" spans="1:15">
      <c r="A422" s="132">
        <v>419</v>
      </c>
      <c r="B422" s="133" t="s">
        <v>399</v>
      </c>
      <c r="C422" s="133" t="s">
        <v>450</v>
      </c>
      <c r="D422" s="133" t="s">
        <v>447</v>
      </c>
      <c r="E422" s="132">
        <v>6</v>
      </c>
      <c r="F422" s="132" t="s">
        <v>342</v>
      </c>
      <c r="G422" s="133" t="s">
        <v>376</v>
      </c>
      <c r="H422" s="133">
        <v>2</v>
      </c>
      <c r="I422" s="133" t="s">
        <v>417</v>
      </c>
      <c r="J422" s="132"/>
      <c r="K422" s="132" t="s">
        <v>448</v>
      </c>
      <c r="L422" s="132"/>
      <c r="M422" s="135">
        <f>83.83*USD_Inflation_Factor</f>
        <v>114.60008967286974</v>
      </c>
      <c r="N422" s="136">
        <f t="shared" si="24"/>
        <v>229.20017934573949</v>
      </c>
      <c r="O422" s="136">
        <f t="shared" si="25"/>
        <v>26111158.620096684</v>
      </c>
    </row>
    <row r="423" spans="1:15">
      <c r="A423" s="132">
        <v>420</v>
      </c>
      <c r="B423" s="133" t="s">
        <v>399</v>
      </c>
      <c r="C423" s="133" t="s">
        <v>450</v>
      </c>
      <c r="D423" s="133" t="s">
        <v>447</v>
      </c>
      <c r="E423" s="132">
        <v>2</v>
      </c>
      <c r="F423" s="132" t="s">
        <v>342</v>
      </c>
      <c r="G423" s="133" t="s">
        <v>376</v>
      </c>
      <c r="H423" s="133">
        <v>11</v>
      </c>
      <c r="I423" s="133" t="s">
        <v>418</v>
      </c>
      <c r="J423" s="132"/>
      <c r="K423" s="132" t="s">
        <v>448</v>
      </c>
      <c r="L423" s="132"/>
      <c r="M423" s="135">
        <f>16.77*USD_Inflation_Factor</f>
        <v>22.925486148324293</v>
      </c>
      <c r="N423" s="136">
        <f t="shared" si="24"/>
        <v>252.18034763156723</v>
      </c>
      <c r="O423" s="136">
        <f t="shared" si="25"/>
        <v>28729126.987052575</v>
      </c>
    </row>
    <row r="424" spans="1:15">
      <c r="A424" s="132">
        <v>421</v>
      </c>
      <c r="B424" s="133" t="s">
        <v>399</v>
      </c>
      <c r="C424" s="133" t="s">
        <v>450</v>
      </c>
      <c r="D424" s="133" t="s">
        <v>447</v>
      </c>
      <c r="E424" s="132">
        <v>3</v>
      </c>
      <c r="F424" s="132" t="s">
        <v>342</v>
      </c>
      <c r="G424" s="133" t="s">
        <v>376</v>
      </c>
      <c r="H424" s="133">
        <v>9</v>
      </c>
      <c r="I424" s="133" t="s">
        <v>418</v>
      </c>
      <c r="J424" s="132"/>
      <c r="K424" s="132" t="s">
        <v>448</v>
      </c>
      <c r="L424" s="132"/>
      <c r="M424" s="135">
        <f>25.15*USD_Inflation_Factor</f>
        <v>34.381393955298506</v>
      </c>
      <c r="N424" s="136">
        <f t="shared" si="24"/>
        <v>309.43254559768656</v>
      </c>
      <c r="O424" s="136">
        <f t="shared" si="25"/>
        <v>35251465.785869516</v>
      </c>
    </row>
    <row r="425" spans="1:15">
      <c r="A425" s="132">
        <v>422</v>
      </c>
      <c r="B425" s="133" t="s">
        <v>399</v>
      </c>
      <c r="C425" s="133" t="s">
        <v>450</v>
      </c>
      <c r="D425" s="133" t="s">
        <v>447</v>
      </c>
      <c r="E425" s="132">
        <v>4</v>
      </c>
      <c r="F425" s="132" t="s">
        <v>342</v>
      </c>
      <c r="G425" s="133" t="s">
        <v>376</v>
      </c>
      <c r="H425" s="133">
        <v>11</v>
      </c>
      <c r="I425" s="133" t="s">
        <v>418</v>
      </c>
      <c r="J425" s="132"/>
      <c r="K425" s="132" t="s">
        <v>448</v>
      </c>
      <c r="L425" s="132"/>
      <c r="M425" s="135">
        <f>41.92*USD_Inflation_Factor</f>
        <v>57.306880103622802</v>
      </c>
      <c r="N425" s="136">
        <f t="shared" si="24"/>
        <v>630.37568113985083</v>
      </c>
      <c r="O425" s="136">
        <f t="shared" si="25"/>
        <v>71814251.836448655</v>
      </c>
    </row>
    <row r="426" spans="1:15">
      <c r="A426" s="132">
        <v>423</v>
      </c>
      <c r="B426" s="133" t="s">
        <v>399</v>
      </c>
      <c r="C426" s="133" t="s">
        <v>450</v>
      </c>
      <c r="D426" s="133" t="s">
        <v>447</v>
      </c>
      <c r="E426" s="132">
        <v>6</v>
      </c>
      <c r="F426" s="132" t="s">
        <v>342</v>
      </c>
      <c r="G426" s="133" t="s">
        <v>376</v>
      </c>
      <c r="H426" s="133">
        <v>3</v>
      </c>
      <c r="I426" s="133" t="s">
        <v>418</v>
      </c>
      <c r="J426" s="132"/>
      <c r="K426" s="132" t="s">
        <v>448</v>
      </c>
      <c r="L426" s="132"/>
      <c r="M426" s="135">
        <f>83.83*USD_Inflation_Factor</f>
        <v>114.60008967286974</v>
      </c>
      <c r="N426" s="136">
        <f t="shared" si="24"/>
        <v>343.80026901860924</v>
      </c>
      <c r="O426" s="136">
        <f t="shared" si="25"/>
        <v>39166737.930145025</v>
      </c>
    </row>
    <row r="427" spans="1:15">
      <c r="A427" s="132">
        <v>424</v>
      </c>
      <c r="B427" s="133" t="s">
        <v>399</v>
      </c>
      <c r="C427" s="133" t="s">
        <v>450</v>
      </c>
      <c r="D427" s="133" t="s">
        <v>447</v>
      </c>
      <c r="E427" s="132">
        <v>8</v>
      </c>
      <c r="F427" s="132" t="s">
        <v>342</v>
      </c>
      <c r="G427" s="133" t="s">
        <v>376</v>
      </c>
      <c r="H427" s="133">
        <v>1</v>
      </c>
      <c r="I427" s="133" t="s">
        <v>418</v>
      </c>
      <c r="J427" s="132"/>
      <c r="K427" s="132" t="s">
        <v>448</v>
      </c>
      <c r="L427" s="132"/>
      <c r="M427" s="135">
        <f>216.56*USD_Inflation_Factor</f>
        <v>296.04909244371549</v>
      </c>
      <c r="N427" s="136">
        <f t="shared" si="24"/>
        <v>296.04909244371549</v>
      </c>
      <c r="O427" s="136">
        <f t="shared" si="25"/>
        <v>33726783.435334235</v>
      </c>
    </row>
    <row r="428" spans="1:15">
      <c r="A428" s="132">
        <v>425</v>
      </c>
      <c r="B428" s="133" t="s">
        <v>399</v>
      </c>
      <c r="C428" s="133" t="s">
        <v>450</v>
      </c>
      <c r="D428" s="133" t="s">
        <v>447</v>
      </c>
      <c r="E428" s="132">
        <v>2</v>
      </c>
      <c r="F428" s="132" t="s">
        <v>342</v>
      </c>
      <c r="G428" s="133" t="s">
        <v>376</v>
      </c>
      <c r="H428" s="133">
        <v>9</v>
      </c>
      <c r="I428" s="133" t="s">
        <v>419</v>
      </c>
      <c r="J428" s="132"/>
      <c r="K428" s="132" t="s">
        <v>448</v>
      </c>
      <c r="L428" s="132" t="s">
        <v>436</v>
      </c>
      <c r="M428" s="135">
        <f>20.15*USD_Inflation_Factor</f>
        <v>27.546126767366399</v>
      </c>
      <c r="N428" s="136">
        <f t="shared" si="24"/>
        <v>247.91514090629758</v>
      </c>
      <c r="O428" s="136">
        <f t="shared" si="25"/>
        <v>28243222.090865642</v>
      </c>
    </row>
    <row r="429" spans="1:15">
      <c r="A429" s="132">
        <v>426</v>
      </c>
      <c r="B429" s="133" t="s">
        <v>399</v>
      </c>
      <c r="C429" s="133" t="s">
        <v>450</v>
      </c>
      <c r="D429" s="133" t="s">
        <v>447</v>
      </c>
      <c r="E429" s="132">
        <v>3</v>
      </c>
      <c r="F429" s="132" t="s">
        <v>342</v>
      </c>
      <c r="G429" s="133" t="s">
        <v>376</v>
      </c>
      <c r="H429" s="133">
        <v>8</v>
      </c>
      <c r="I429" s="133" t="s">
        <v>419</v>
      </c>
      <c r="J429" s="132"/>
      <c r="K429" s="132" t="s">
        <v>448</v>
      </c>
      <c r="L429" s="132" t="s">
        <v>436</v>
      </c>
      <c r="M429" s="135">
        <f>30.18*USD_Inflation_Factor</f>
        <v>41.25767274635821</v>
      </c>
      <c r="N429" s="136">
        <f t="shared" si="24"/>
        <v>330.06138197086568</v>
      </c>
      <c r="O429" s="136">
        <f t="shared" si="25"/>
        <v>37601563.504927486</v>
      </c>
    </row>
    <row r="430" spans="1:15">
      <c r="A430" s="132">
        <v>427</v>
      </c>
      <c r="B430" s="133" t="s">
        <v>399</v>
      </c>
      <c r="C430" s="133" t="s">
        <v>450</v>
      </c>
      <c r="D430" s="133" t="s">
        <v>447</v>
      </c>
      <c r="E430" s="132">
        <v>4</v>
      </c>
      <c r="F430" s="132" t="s">
        <v>342</v>
      </c>
      <c r="G430" s="133" t="s">
        <v>376</v>
      </c>
      <c r="H430" s="133">
        <v>1</v>
      </c>
      <c r="I430" s="133" t="s">
        <v>419</v>
      </c>
      <c r="J430" s="132"/>
      <c r="K430" s="132" t="s">
        <v>448</v>
      </c>
      <c r="L430" s="132" t="s">
        <v>436</v>
      </c>
      <c r="M430" s="135">
        <f>50.3*USD_Inflation_Factor</f>
        <v>68.762787910597012</v>
      </c>
      <c r="N430" s="136">
        <f t="shared" si="24"/>
        <v>68.762787910597012</v>
      </c>
      <c r="O430" s="136">
        <f t="shared" si="25"/>
        <v>7833659.0635265596</v>
      </c>
    </row>
    <row r="431" spans="1:15">
      <c r="A431" s="132">
        <v>428</v>
      </c>
      <c r="B431" s="133" t="s">
        <v>399</v>
      </c>
      <c r="C431" s="133" t="s">
        <v>450</v>
      </c>
      <c r="D431" s="133" t="s">
        <v>447</v>
      </c>
      <c r="E431" s="132">
        <v>6</v>
      </c>
      <c r="F431" s="132" t="s">
        <v>342</v>
      </c>
      <c r="G431" s="133" t="s">
        <v>376</v>
      </c>
      <c r="H431" s="133">
        <v>6</v>
      </c>
      <c r="I431" s="133" t="s">
        <v>419</v>
      </c>
      <c r="J431" s="132"/>
      <c r="K431" s="132" t="s">
        <v>448</v>
      </c>
      <c r="L431" s="132" t="s">
        <v>436</v>
      </c>
      <c r="M431" s="135">
        <f>100.6*USD_Inflation_Factor</f>
        <v>137.52557582119402</v>
      </c>
      <c r="N431" s="136">
        <f t="shared" si="24"/>
        <v>825.15345492716415</v>
      </c>
      <c r="O431" s="136">
        <f t="shared" si="25"/>
        <v>94003908.76231873</v>
      </c>
    </row>
    <row r="432" spans="1:15">
      <c r="A432" s="132">
        <v>429</v>
      </c>
      <c r="B432" s="133" t="s">
        <v>399</v>
      </c>
      <c r="C432" s="133" t="s">
        <v>450</v>
      </c>
      <c r="D432" s="133" t="s">
        <v>447</v>
      </c>
      <c r="E432" s="132">
        <v>8</v>
      </c>
      <c r="F432" s="132" t="s">
        <v>342</v>
      </c>
      <c r="G432" s="133" t="s">
        <v>376</v>
      </c>
      <c r="H432" s="133">
        <v>6</v>
      </c>
      <c r="I432" s="133" t="s">
        <v>419</v>
      </c>
      <c r="J432" s="132"/>
      <c r="K432" s="132" t="s">
        <v>448</v>
      </c>
      <c r="L432" s="132" t="s">
        <v>436</v>
      </c>
      <c r="M432" s="135">
        <f>259.87*USD_Inflation_Factor</f>
        <v>355.25617682558345</v>
      </c>
      <c r="N432" s="136">
        <f t="shared" si="24"/>
        <v>2131.5370609535007</v>
      </c>
      <c r="O432" s="136">
        <f t="shared" si="25"/>
        <v>242830971.86942115</v>
      </c>
    </row>
    <row r="433" spans="1:15">
      <c r="A433" s="132">
        <v>430</v>
      </c>
      <c r="B433" s="133" t="s">
        <v>399</v>
      </c>
      <c r="C433" s="133" t="s">
        <v>450</v>
      </c>
      <c r="D433" s="133" t="s">
        <v>447</v>
      </c>
      <c r="E433" s="132">
        <v>10</v>
      </c>
      <c r="F433" s="132" t="s">
        <v>342</v>
      </c>
      <c r="G433" s="133" t="s">
        <v>376</v>
      </c>
      <c r="H433" s="133">
        <v>19</v>
      </c>
      <c r="I433" s="133" t="s">
        <v>419</v>
      </c>
      <c r="J433" s="132"/>
      <c r="K433" s="132" t="s">
        <v>448</v>
      </c>
      <c r="L433" s="132" t="s">
        <v>436</v>
      </c>
      <c r="M433" s="135">
        <f>132.45*USD_Inflation_Factor</f>
        <v>181.06622780832157</v>
      </c>
      <c r="N433" s="136">
        <f t="shared" si="24"/>
        <v>3440.2583283581098</v>
      </c>
      <c r="O433" s="136">
        <f t="shared" si="25"/>
        <v>391924348.23693371</v>
      </c>
    </row>
    <row r="434" spans="1:15">
      <c r="A434" s="132">
        <v>431</v>
      </c>
      <c r="B434" s="133" t="s">
        <v>399</v>
      </c>
      <c r="C434" s="133" t="s">
        <v>450</v>
      </c>
      <c r="D434" s="133" t="s">
        <v>447</v>
      </c>
      <c r="E434" s="132">
        <v>12</v>
      </c>
      <c r="F434" s="132" t="s">
        <v>342</v>
      </c>
      <c r="G434" s="133" t="s">
        <v>376</v>
      </c>
      <c r="H434" s="133">
        <v>14</v>
      </c>
      <c r="I434" s="133" t="s">
        <v>419</v>
      </c>
      <c r="J434" s="132"/>
      <c r="K434" s="132" t="s">
        <v>448</v>
      </c>
      <c r="L434" s="132" t="s">
        <v>436</v>
      </c>
      <c r="M434" s="135">
        <f>671.34*USD_Inflation_Factor</f>
        <v>917.75765478926849</v>
      </c>
      <c r="N434" s="136">
        <f t="shared" si="24"/>
        <v>12848.607167049759</v>
      </c>
      <c r="O434" s="136">
        <f t="shared" si="25"/>
        <v>1463751122.4634373</v>
      </c>
    </row>
    <row r="435" spans="1:15">
      <c r="A435" s="132">
        <v>432</v>
      </c>
      <c r="B435" s="133" t="s">
        <v>399</v>
      </c>
      <c r="C435" s="133" t="s">
        <v>450</v>
      </c>
      <c r="D435" s="133" t="s">
        <v>447</v>
      </c>
      <c r="E435" s="132">
        <v>16</v>
      </c>
      <c r="F435" s="132" t="s">
        <v>342</v>
      </c>
      <c r="G435" s="133" t="s">
        <v>376</v>
      </c>
      <c r="H435" s="133">
        <v>2</v>
      </c>
      <c r="I435" s="133" t="s">
        <v>419</v>
      </c>
      <c r="J435" s="132"/>
      <c r="K435" s="132" t="s">
        <v>448</v>
      </c>
      <c r="L435" s="132" t="s">
        <v>436</v>
      </c>
      <c r="M435" s="135">
        <f>1064.65*USD_Inflation_Factor</f>
        <v>1455.4334423263842</v>
      </c>
      <c r="N435" s="136">
        <f t="shared" si="24"/>
        <v>2910.8668846527685</v>
      </c>
      <c r="O435" s="136">
        <f t="shared" si="25"/>
        <v>331614517.77270591</v>
      </c>
    </row>
    <row r="436" spans="1:15">
      <c r="A436" s="132">
        <v>433</v>
      </c>
      <c r="B436" s="133" t="s">
        <v>399</v>
      </c>
      <c r="C436" s="133" t="s">
        <v>450</v>
      </c>
      <c r="D436" s="133" t="s">
        <v>447</v>
      </c>
      <c r="E436" s="132">
        <v>20</v>
      </c>
      <c r="F436" s="132" t="s">
        <v>342</v>
      </c>
      <c r="G436" s="133" t="s">
        <v>376</v>
      </c>
      <c r="H436" s="133">
        <v>2</v>
      </c>
      <c r="I436" s="133" t="s">
        <v>419</v>
      </c>
      <c r="J436" s="132"/>
      <c r="K436" s="132" t="s">
        <v>448</v>
      </c>
      <c r="L436" s="132" t="s">
        <v>436</v>
      </c>
      <c r="M436" s="135">
        <f>1600*USD_Inflation_Factor</f>
        <v>2187.285500138275</v>
      </c>
      <c r="N436" s="136">
        <f t="shared" si="24"/>
        <v>4374.57100027655</v>
      </c>
      <c r="O436" s="136">
        <f t="shared" si="25"/>
        <v>498363996.08916491</v>
      </c>
    </row>
    <row r="437" spans="1:15">
      <c r="A437" s="132">
        <v>434</v>
      </c>
      <c r="B437" s="133" t="s">
        <v>401</v>
      </c>
      <c r="C437" s="133" t="s">
        <v>450</v>
      </c>
      <c r="D437" s="133" t="s">
        <v>342</v>
      </c>
      <c r="E437" s="132">
        <v>1</v>
      </c>
      <c r="F437" s="132" t="s">
        <v>342</v>
      </c>
      <c r="G437" s="133" t="s">
        <v>376</v>
      </c>
      <c r="H437" s="133">
        <v>2</v>
      </c>
      <c r="I437" s="133" t="s">
        <v>417</v>
      </c>
      <c r="J437" s="132"/>
      <c r="K437" s="132" t="s">
        <v>402</v>
      </c>
      <c r="L437" s="132"/>
      <c r="M437" s="135">
        <f>0.46*USD_Inflation_Factor</f>
        <v>0.62884458128975407</v>
      </c>
      <c r="N437" s="136">
        <f t="shared" si="24"/>
        <v>1.2576891625795081</v>
      </c>
      <c r="O437" s="136">
        <f t="shared" ref="O437:O466" si="26">0.4*N437*USD_Change_IRR * per_Euro</f>
        <v>229247.43820101584</v>
      </c>
    </row>
    <row r="438" spans="1:15">
      <c r="A438" s="132">
        <v>435</v>
      </c>
      <c r="B438" s="133" t="s">
        <v>401</v>
      </c>
      <c r="C438" s="133" t="s">
        <v>450</v>
      </c>
      <c r="D438" s="133" t="s">
        <v>342</v>
      </c>
      <c r="E438" s="132">
        <v>2</v>
      </c>
      <c r="F438" s="132" t="s">
        <v>342</v>
      </c>
      <c r="G438" s="133" t="s">
        <v>376</v>
      </c>
      <c r="H438" s="133">
        <v>59</v>
      </c>
      <c r="I438" s="133" t="s">
        <v>417</v>
      </c>
      <c r="J438" s="132"/>
      <c r="K438" s="132" t="s">
        <v>402</v>
      </c>
      <c r="L438" s="132"/>
      <c r="M438" s="135">
        <f>1.03*USD_Inflation_Factor</f>
        <v>1.4080650407140145</v>
      </c>
      <c r="N438" s="136">
        <f t="shared" si="24"/>
        <v>83.075837402126851</v>
      </c>
      <c r="O438" s="136">
        <f t="shared" si="26"/>
        <v>15142790.021169275</v>
      </c>
    </row>
    <row r="439" spans="1:15">
      <c r="A439" s="132">
        <v>436</v>
      </c>
      <c r="B439" s="133" t="s">
        <v>401</v>
      </c>
      <c r="C439" s="133" t="s">
        <v>450</v>
      </c>
      <c r="D439" s="133" t="s">
        <v>342</v>
      </c>
      <c r="E439" s="132">
        <v>3</v>
      </c>
      <c r="F439" s="132" t="s">
        <v>342</v>
      </c>
      <c r="G439" s="133" t="s">
        <v>376</v>
      </c>
      <c r="H439" s="133">
        <v>101</v>
      </c>
      <c r="I439" s="133" t="s">
        <v>417</v>
      </c>
      <c r="J439" s="132"/>
      <c r="K439" s="132" t="s">
        <v>402</v>
      </c>
      <c r="L439" s="132"/>
      <c r="M439" s="135">
        <f>1.53*USD_Inflation_Factor</f>
        <v>2.0915917595072253</v>
      </c>
      <c r="N439" s="136">
        <f t="shared" si="24"/>
        <v>211.25076771022975</v>
      </c>
      <c r="O439" s="136">
        <f t="shared" si="26"/>
        <v>38506094.157829322</v>
      </c>
    </row>
    <row r="440" spans="1:15">
      <c r="A440" s="132">
        <v>437</v>
      </c>
      <c r="B440" s="133" t="s">
        <v>401</v>
      </c>
      <c r="C440" s="133" t="s">
        <v>450</v>
      </c>
      <c r="D440" s="133" t="s">
        <v>342</v>
      </c>
      <c r="E440" s="132">
        <v>4</v>
      </c>
      <c r="F440" s="132" t="s">
        <v>342</v>
      </c>
      <c r="G440" s="133" t="s">
        <v>376</v>
      </c>
      <c r="H440" s="133">
        <v>68</v>
      </c>
      <c r="I440" s="133" t="s">
        <v>417</v>
      </c>
      <c r="J440" s="132"/>
      <c r="K440" s="132" t="s">
        <v>402</v>
      </c>
      <c r="L440" s="132"/>
      <c r="M440" s="135">
        <f>2.47*USD_Inflation_Factor</f>
        <v>3.376621990838462</v>
      </c>
      <c r="N440" s="136">
        <f t="shared" si="24"/>
        <v>229.6102953770154</v>
      </c>
      <c r="O440" s="136">
        <f t="shared" si="26"/>
        <v>41852608.391568065</v>
      </c>
    </row>
    <row r="441" spans="1:15">
      <c r="A441" s="132">
        <v>438</v>
      </c>
      <c r="B441" s="133" t="s">
        <v>401</v>
      </c>
      <c r="C441" s="133" t="s">
        <v>450</v>
      </c>
      <c r="D441" s="133" t="s">
        <v>342</v>
      </c>
      <c r="E441" s="132">
        <v>6</v>
      </c>
      <c r="F441" s="132" t="s">
        <v>342</v>
      </c>
      <c r="G441" s="133" t="s">
        <v>376</v>
      </c>
      <c r="H441" s="133">
        <v>14</v>
      </c>
      <c r="I441" s="133" t="s">
        <v>417</v>
      </c>
      <c r="J441" s="132"/>
      <c r="K441" s="132" t="s">
        <v>402</v>
      </c>
      <c r="L441" s="132"/>
      <c r="M441" s="135">
        <f>2.95*USD_Inflation_Factor</f>
        <v>4.0328076408799447</v>
      </c>
      <c r="N441" s="136">
        <f t="shared" si="24"/>
        <v>56.459306972319226</v>
      </c>
      <c r="O441" s="136">
        <f t="shared" si="26"/>
        <v>10291216.519241257</v>
      </c>
    </row>
    <row r="442" spans="1:15">
      <c r="A442" s="132">
        <v>439</v>
      </c>
      <c r="B442" s="133" t="s">
        <v>401</v>
      </c>
      <c r="C442" s="133" t="s">
        <v>450</v>
      </c>
      <c r="D442" s="133" t="s">
        <v>342</v>
      </c>
      <c r="E442" s="132" t="s">
        <v>446</v>
      </c>
      <c r="F442" s="132" t="s">
        <v>342</v>
      </c>
      <c r="G442" s="133" t="s">
        <v>376</v>
      </c>
      <c r="H442" s="133">
        <v>8</v>
      </c>
      <c r="I442" s="133" t="s">
        <v>417</v>
      </c>
      <c r="J442" s="132"/>
      <c r="K442" s="132" t="s">
        <v>402</v>
      </c>
      <c r="L442" s="132"/>
      <c r="M442" s="135">
        <f>0.67*USD_Inflation_Factor</f>
        <v>0.91592580318290273</v>
      </c>
      <c r="N442" s="136">
        <f t="shared" si="24"/>
        <v>7.3274064254632219</v>
      </c>
      <c r="O442" s="136">
        <f t="shared" si="26"/>
        <v>1335615.5095189619</v>
      </c>
    </row>
    <row r="443" spans="1:15">
      <c r="A443" s="132">
        <v>440</v>
      </c>
      <c r="B443" s="133" t="s">
        <v>401</v>
      </c>
      <c r="C443" s="133" t="s">
        <v>450</v>
      </c>
      <c r="D443" s="133" t="s">
        <v>342</v>
      </c>
      <c r="E443" s="132" t="s">
        <v>458</v>
      </c>
      <c r="F443" s="132" t="s">
        <v>342</v>
      </c>
      <c r="G443" s="133" t="s">
        <v>376</v>
      </c>
      <c r="H443" s="133">
        <v>2</v>
      </c>
      <c r="I443" s="133" t="s">
        <v>417</v>
      </c>
      <c r="J443" s="132"/>
      <c r="K443" s="132" t="s">
        <v>402</v>
      </c>
      <c r="L443" s="132"/>
      <c r="M443" s="135">
        <f>1.4*USD_Inflation_Factor</f>
        <v>1.9138748126209904</v>
      </c>
      <c r="N443" s="136">
        <f t="shared" si="24"/>
        <v>3.8277496252419807</v>
      </c>
      <c r="O443" s="136">
        <f t="shared" si="26"/>
        <v>697709.5945248307</v>
      </c>
    </row>
    <row r="444" spans="1:15">
      <c r="A444" s="132">
        <v>441</v>
      </c>
      <c r="B444" s="133" t="s">
        <v>401</v>
      </c>
      <c r="C444" s="133" t="s">
        <v>450</v>
      </c>
      <c r="D444" s="133" t="s">
        <v>342</v>
      </c>
      <c r="E444" s="132">
        <v>2</v>
      </c>
      <c r="F444" s="132" t="s">
        <v>342</v>
      </c>
      <c r="G444" s="133" t="s">
        <v>376</v>
      </c>
      <c r="H444" s="133">
        <v>112</v>
      </c>
      <c r="I444" s="133" t="s">
        <v>418</v>
      </c>
      <c r="J444" s="132"/>
      <c r="K444" s="132" t="s">
        <v>402</v>
      </c>
      <c r="L444" s="132"/>
      <c r="M444" s="135">
        <f>1.03*USD_Inflation_Factor</f>
        <v>1.4080650407140145</v>
      </c>
      <c r="N444" s="136">
        <f t="shared" si="24"/>
        <v>157.70328455996963</v>
      </c>
      <c r="O444" s="136">
        <f t="shared" si="26"/>
        <v>28745635.294423033</v>
      </c>
    </row>
    <row r="445" spans="1:15">
      <c r="A445" s="132">
        <v>442</v>
      </c>
      <c r="B445" s="133" t="s">
        <v>401</v>
      </c>
      <c r="C445" s="133" t="s">
        <v>450</v>
      </c>
      <c r="D445" s="133" t="s">
        <v>342</v>
      </c>
      <c r="E445" s="132">
        <v>3</v>
      </c>
      <c r="F445" s="132" t="s">
        <v>342</v>
      </c>
      <c r="G445" s="133" t="s">
        <v>376</v>
      </c>
      <c r="H445" s="133">
        <v>90</v>
      </c>
      <c r="I445" s="133" t="s">
        <v>418</v>
      </c>
      <c r="J445" s="132"/>
      <c r="K445" s="132" t="s">
        <v>402</v>
      </c>
      <c r="L445" s="132"/>
      <c r="M445" s="135">
        <f>1.53*USD_Inflation_Factor</f>
        <v>2.0915917595072253</v>
      </c>
      <c r="N445" s="136">
        <f t="shared" si="24"/>
        <v>188.24325835565028</v>
      </c>
      <c r="O445" s="136">
        <f t="shared" si="26"/>
        <v>34312361.130739003</v>
      </c>
    </row>
    <row r="446" spans="1:15">
      <c r="A446" s="132">
        <v>443</v>
      </c>
      <c r="B446" s="133" t="s">
        <v>401</v>
      </c>
      <c r="C446" s="133" t="s">
        <v>450</v>
      </c>
      <c r="D446" s="133" t="s">
        <v>342</v>
      </c>
      <c r="E446" s="132">
        <v>4</v>
      </c>
      <c r="F446" s="132" t="s">
        <v>342</v>
      </c>
      <c r="G446" s="133" t="s">
        <v>376</v>
      </c>
      <c r="H446" s="133">
        <v>54</v>
      </c>
      <c r="I446" s="133" t="s">
        <v>418</v>
      </c>
      <c r="J446" s="132"/>
      <c r="K446" s="132" t="s">
        <v>402</v>
      </c>
      <c r="L446" s="132"/>
      <c r="M446" s="135">
        <f>2.47*USD_Inflation_Factor</f>
        <v>3.376621990838462</v>
      </c>
      <c r="N446" s="136">
        <f t="shared" si="24"/>
        <v>182.33758750527696</v>
      </c>
      <c r="O446" s="136">
        <f t="shared" si="26"/>
        <v>33235894.89918641</v>
      </c>
    </row>
    <row r="447" spans="1:15">
      <c r="A447" s="132">
        <v>444</v>
      </c>
      <c r="B447" s="133" t="s">
        <v>401</v>
      </c>
      <c r="C447" s="133" t="s">
        <v>450</v>
      </c>
      <c r="D447" s="133" t="s">
        <v>342</v>
      </c>
      <c r="E447" s="132">
        <v>6</v>
      </c>
      <c r="F447" s="132" t="s">
        <v>342</v>
      </c>
      <c r="G447" s="133" t="s">
        <v>376</v>
      </c>
      <c r="H447" s="133">
        <v>24</v>
      </c>
      <c r="I447" s="133" t="s">
        <v>418</v>
      </c>
      <c r="J447" s="132"/>
      <c r="K447" s="132" t="s">
        <v>402</v>
      </c>
      <c r="L447" s="132"/>
      <c r="M447" s="135">
        <f>2.95*USD_Inflation_Factor</f>
        <v>4.0328076408799447</v>
      </c>
      <c r="N447" s="136">
        <f t="shared" si="24"/>
        <v>96.787383381118673</v>
      </c>
      <c r="O447" s="136">
        <f t="shared" si="26"/>
        <v>17642085.461556442</v>
      </c>
    </row>
    <row r="448" spans="1:15">
      <c r="A448" s="132">
        <v>445</v>
      </c>
      <c r="B448" s="133" t="s">
        <v>401</v>
      </c>
      <c r="C448" s="133" t="s">
        <v>450</v>
      </c>
      <c r="D448" s="133" t="s">
        <v>342</v>
      </c>
      <c r="E448" s="132">
        <v>8</v>
      </c>
      <c r="F448" s="132" t="s">
        <v>342</v>
      </c>
      <c r="G448" s="133" t="s">
        <v>376</v>
      </c>
      <c r="H448" s="133">
        <v>11</v>
      </c>
      <c r="I448" s="133" t="s">
        <v>418</v>
      </c>
      <c r="J448" s="132"/>
      <c r="K448" s="132" t="s">
        <v>402</v>
      </c>
      <c r="L448" s="132"/>
      <c r="M448" s="135">
        <f>4.19*USD_Inflation_Factor</f>
        <v>5.7279539034871076</v>
      </c>
      <c r="N448" s="136">
        <f t="shared" si="24"/>
        <v>63.007492938358183</v>
      </c>
      <c r="O448" s="136">
        <f t="shared" si="26"/>
        <v>11484798.289874805</v>
      </c>
    </row>
    <row r="449" spans="1:15">
      <c r="A449" s="132">
        <v>446</v>
      </c>
      <c r="B449" s="133" t="s">
        <v>401</v>
      </c>
      <c r="C449" s="133" t="s">
        <v>450</v>
      </c>
      <c r="D449" s="133" t="s">
        <v>342</v>
      </c>
      <c r="E449" s="132">
        <v>2</v>
      </c>
      <c r="F449" s="132">
        <v>1</v>
      </c>
      <c r="G449" s="133" t="s">
        <v>376</v>
      </c>
      <c r="H449" s="133">
        <v>21</v>
      </c>
      <c r="I449" s="133" t="s">
        <v>419</v>
      </c>
      <c r="J449" s="132"/>
      <c r="K449" s="132" t="s">
        <v>402</v>
      </c>
      <c r="L449" s="132" t="s">
        <v>436</v>
      </c>
      <c r="M449" s="135">
        <f>1.03*USD_Inflation_Factor</f>
        <v>1.4080650407140145</v>
      </c>
      <c r="N449" s="136">
        <f t="shared" si="24"/>
        <v>29.569365854994306</v>
      </c>
      <c r="O449" s="136">
        <f t="shared" si="26"/>
        <v>5389806.6177043198</v>
      </c>
    </row>
    <row r="450" spans="1:15">
      <c r="A450" s="132">
        <v>447</v>
      </c>
      <c r="B450" s="133" t="s">
        <v>401</v>
      </c>
      <c r="C450" s="133" t="s">
        <v>450</v>
      </c>
      <c r="D450" s="133" t="s">
        <v>342</v>
      </c>
      <c r="E450" s="132">
        <v>2</v>
      </c>
      <c r="F450" s="132" t="s">
        <v>342</v>
      </c>
      <c r="G450" s="133" t="s">
        <v>376</v>
      </c>
      <c r="H450" s="133">
        <v>82</v>
      </c>
      <c r="I450" s="133" t="s">
        <v>419</v>
      </c>
      <c r="J450" s="132"/>
      <c r="K450" s="132" t="s">
        <v>402</v>
      </c>
      <c r="L450" s="132" t="s">
        <v>436</v>
      </c>
      <c r="M450" s="135">
        <f>1.03*USD_Inflation_Factor</f>
        <v>1.4080650407140145</v>
      </c>
      <c r="N450" s="136">
        <f t="shared" si="24"/>
        <v>115.4613333385492</v>
      </c>
      <c r="O450" s="136">
        <f t="shared" si="26"/>
        <v>21045911.554845437</v>
      </c>
    </row>
    <row r="451" spans="1:15">
      <c r="A451" s="132">
        <v>448</v>
      </c>
      <c r="B451" s="133" t="s">
        <v>401</v>
      </c>
      <c r="C451" s="133" t="s">
        <v>450</v>
      </c>
      <c r="D451" s="133" t="s">
        <v>342</v>
      </c>
      <c r="E451" s="132">
        <v>3</v>
      </c>
      <c r="F451" s="132">
        <v>1</v>
      </c>
      <c r="G451" s="133" t="s">
        <v>376</v>
      </c>
      <c r="H451" s="133">
        <v>18</v>
      </c>
      <c r="I451" s="133" t="s">
        <v>419</v>
      </c>
      <c r="J451" s="132"/>
      <c r="K451" s="132" t="s">
        <v>402</v>
      </c>
      <c r="L451" s="132" t="s">
        <v>436</v>
      </c>
      <c r="M451" s="135">
        <f>1.53*USD_Inflation_Factor</f>
        <v>2.0915917595072253</v>
      </c>
      <c r="N451" s="136">
        <f t="shared" si="24"/>
        <v>37.648651671130054</v>
      </c>
      <c r="O451" s="136">
        <f t="shared" si="26"/>
        <v>6862472.2261477998</v>
      </c>
    </row>
    <row r="452" spans="1:15">
      <c r="A452" s="132">
        <v>449</v>
      </c>
      <c r="B452" s="133" t="s">
        <v>401</v>
      </c>
      <c r="C452" s="133" t="s">
        <v>450</v>
      </c>
      <c r="D452" s="133" t="s">
        <v>342</v>
      </c>
      <c r="E452" s="132">
        <v>3</v>
      </c>
      <c r="F452" s="132" t="s">
        <v>342</v>
      </c>
      <c r="G452" s="133" t="s">
        <v>376</v>
      </c>
      <c r="H452" s="133">
        <v>80</v>
      </c>
      <c r="I452" s="133" t="s">
        <v>419</v>
      </c>
      <c r="J452" s="132"/>
      <c r="K452" s="132" t="s">
        <v>402</v>
      </c>
      <c r="L452" s="132" t="s">
        <v>436</v>
      </c>
      <c r="M452" s="135">
        <f>1.53*USD_Inflation_Factor</f>
        <v>2.0915917595072253</v>
      </c>
      <c r="N452" s="136">
        <f t="shared" ref="N452:N515" si="27">M452*H452</f>
        <v>167.32734076057801</v>
      </c>
      <c r="O452" s="136">
        <f t="shared" si="26"/>
        <v>30499876.56065689</v>
      </c>
    </row>
    <row r="453" spans="1:15">
      <c r="A453" s="132">
        <v>450</v>
      </c>
      <c r="B453" s="133" t="s">
        <v>401</v>
      </c>
      <c r="C453" s="133" t="s">
        <v>450</v>
      </c>
      <c r="D453" s="133" t="s">
        <v>342</v>
      </c>
      <c r="E453" s="132">
        <v>4</v>
      </c>
      <c r="F453" s="132" t="s">
        <v>342</v>
      </c>
      <c r="G453" s="133" t="s">
        <v>376</v>
      </c>
      <c r="H453" s="133">
        <v>35</v>
      </c>
      <c r="I453" s="133" t="s">
        <v>419</v>
      </c>
      <c r="J453" s="132"/>
      <c r="K453" s="132" t="s">
        <v>402</v>
      </c>
      <c r="L453" s="132" t="s">
        <v>436</v>
      </c>
      <c r="M453" s="135">
        <f>2.47*USD_Inflation_Factor</f>
        <v>3.376621990838462</v>
      </c>
      <c r="N453" s="136">
        <f t="shared" si="27"/>
        <v>118.18176967934617</v>
      </c>
      <c r="O453" s="136">
        <f t="shared" si="26"/>
        <v>21541783.730954155</v>
      </c>
    </row>
    <row r="454" spans="1:15">
      <c r="A454" s="132">
        <v>451</v>
      </c>
      <c r="B454" s="133" t="s">
        <v>401</v>
      </c>
      <c r="C454" s="133" t="s">
        <v>450</v>
      </c>
      <c r="D454" s="133" t="s">
        <v>342</v>
      </c>
      <c r="E454" s="132">
        <v>6</v>
      </c>
      <c r="F454" s="132" t="s">
        <v>342</v>
      </c>
      <c r="G454" s="133" t="s">
        <v>376</v>
      </c>
      <c r="H454" s="133">
        <v>51</v>
      </c>
      <c r="I454" s="133" t="s">
        <v>419</v>
      </c>
      <c r="J454" s="132"/>
      <c r="K454" s="132" t="s">
        <v>402</v>
      </c>
      <c r="L454" s="132" t="s">
        <v>436</v>
      </c>
      <c r="M454" s="135">
        <f>2.95*USD_Inflation_Factor</f>
        <v>4.0328076408799447</v>
      </c>
      <c r="N454" s="136">
        <f t="shared" si="27"/>
        <v>205.67318968487717</v>
      </c>
      <c r="O454" s="136">
        <f t="shared" si="26"/>
        <v>37489431.605807431</v>
      </c>
    </row>
    <row r="455" spans="1:15">
      <c r="A455" s="132">
        <v>452</v>
      </c>
      <c r="B455" s="133" t="s">
        <v>401</v>
      </c>
      <c r="C455" s="133" t="s">
        <v>450</v>
      </c>
      <c r="D455" s="133" t="s">
        <v>342</v>
      </c>
      <c r="E455" s="132">
        <v>8</v>
      </c>
      <c r="F455" s="132" t="s">
        <v>342</v>
      </c>
      <c r="G455" s="133" t="s">
        <v>376</v>
      </c>
      <c r="H455" s="133">
        <v>72</v>
      </c>
      <c r="I455" s="133" t="s">
        <v>419</v>
      </c>
      <c r="J455" s="132"/>
      <c r="K455" s="132" t="s">
        <v>402</v>
      </c>
      <c r="L455" s="132" t="s">
        <v>436</v>
      </c>
      <c r="M455" s="135">
        <f>4.19*USD_Inflation_Factor</f>
        <v>5.7279539034871076</v>
      </c>
      <c r="N455" s="136">
        <f t="shared" si="27"/>
        <v>412.41268105107173</v>
      </c>
      <c r="O455" s="136">
        <f t="shared" si="26"/>
        <v>75173225.170089632</v>
      </c>
    </row>
    <row r="456" spans="1:15">
      <c r="A456" s="132">
        <v>453</v>
      </c>
      <c r="B456" s="133" t="s">
        <v>401</v>
      </c>
      <c r="C456" s="133" t="s">
        <v>450</v>
      </c>
      <c r="D456" s="133" t="s">
        <v>342</v>
      </c>
      <c r="E456" s="132">
        <v>10</v>
      </c>
      <c r="F456" s="132" t="s">
        <v>342</v>
      </c>
      <c r="G456" s="133" t="s">
        <v>376</v>
      </c>
      <c r="H456" s="133">
        <v>143</v>
      </c>
      <c r="I456" s="133" t="s">
        <v>419</v>
      </c>
      <c r="J456" s="132"/>
      <c r="K456" s="132" t="s">
        <v>402</v>
      </c>
      <c r="L456" s="132" t="s">
        <v>436</v>
      </c>
      <c r="M456" s="135">
        <f>22.16*USD_Inflation_Factor</f>
        <v>30.29390417691511</v>
      </c>
      <c r="N456" s="136">
        <f t="shared" si="27"/>
        <v>4332.0282972988607</v>
      </c>
      <c r="O456" s="136">
        <f t="shared" si="26"/>
        <v>789627849.96351659</v>
      </c>
    </row>
    <row r="457" spans="1:15">
      <c r="A457" s="132">
        <v>454</v>
      </c>
      <c r="B457" s="133" t="s">
        <v>401</v>
      </c>
      <c r="C457" s="133" t="s">
        <v>450</v>
      </c>
      <c r="D457" s="133" t="s">
        <v>342</v>
      </c>
      <c r="E457" s="132">
        <v>12</v>
      </c>
      <c r="F457" s="132">
        <v>15</v>
      </c>
      <c r="G457" s="133" t="s">
        <v>376</v>
      </c>
      <c r="H457" s="133">
        <v>8</v>
      </c>
      <c r="I457" s="133" t="s">
        <v>419</v>
      </c>
      <c r="J457" s="132"/>
      <c r="K457" s="132" t="s">
        <v>402</v>
      </c>
      <c r="L457" s="132" t="s">
        <v>436</v>
      </c>
      <c r="M457" s="135">
        <f>30.34*USD_Inflation_Factor</f>
        <v>41.476401296372039</v>
      </c>
      <c r="N457" s="136">
        <f t="shared" si="27"/>
        <v>331.81121037097631</v>
      </c>
      <c r="O457" s="136">
        <f t="shared" si="26"/>
        <v>60481454.565381058</v>
      </c>
    </row>
    <row r="458" spans="1:15">
      <c r="A458" s="132">
        <v>455</v>
      </c>
      <c r="B458" s="133" t="s">
        <v>401</v>
      </c>
      <c r="C458" s="133" t="s">
        <v>450</v>
      </c>
      <c r="D458" s="133" t="s">
        <v>342</v>
      </c>
      <c r="E458" s="132">
        <v>12</v>
      </c>
      <c r="F458" s="132" t="s">
        <v>342</v>
      </c>
      <c r="G458" s="133" t="s">
        <v>376</v>
      </c>
      <c r="H458" s="133">
        <v>122</v>
      </c>
      <c r="I458" s="133" t="s">
        <v>419</v>
      </c>
      <c r="J458" s="132"/>
      <c r="K458" s="132" t="s">
        <v>402</v>
      </c>
      <c r="L458" s="132" t="s">
        <v>436</v>
      </c>
      <c r="M458" s="135">
        <f>30.34*USD_Inflation_Factor</f>
        <v>41.476401296372039</v>
      </c>
      <c r="N458" s="136">
        <f t="shared" si="27"/>
        <v>5060.1209581573885</v>
      </c>
      <c r="O458" s="136">
        <f t="shared" si="26"/>
        <v>922342182.12206113</v>
      </c>
    </row>
    <row r="459" spans="1:15">
      <c r="A459" s="132">
        <v>456</v>
      </c>
      <c r="B459" s="133" t="s">
        <v>401</v>
      </c>
      <c r="C459" s="133" t="s">
        <v>450</v>
      </c>
      <c r="D459" s="133" t="s">
        <v>342</v>
      </c>
      <c r="E459" s="132">
        <v>16</v>
      </c>
      <c r="F459" s="132" t="s">
        <v>342</v>
      </c>
      <c r="G459" s="133" t="s">
        <v>376</v>
      </c>
      <c r="H459" s="133">
        <v>15</v>
      </c>
      <c r="I459" s="133" t="s">
        <v>419</v>
      </c>
      <c r="J459" s="132"/>
      <c r="K459" s="132" t="s">
        <v>402</v>
      </c>
      <c r="L459" s="132" t="s">
        <v>436</v>
      </c>
      <c r="M459" s="135">
        <f>49.9*USD_Inflation_Factor</f>
        <v>68.215966535562444</v>
      </c>
      <c r="N459" s="136">
        <f t="shared" si="27"/>
        <v>1023.2394980334367</v>
      </c>
      <c r="O459" s="136">
        <f t="shared" si="26"/>
        <v>186512725.53636998</v>
      </c>
    </row>
    <row r="460" spans="1:15">
      <c r="A460" s="132">
        <v>457</v>
      </c>
      <c r="B460" s="133" t="s">
        <v>401</v>
      </c>
      <c r="C460" s="133" t="s">
        <v>450</v>
      </c>
      <c r="D460" s="133" t="s">
        <v>342</v>
      </c>
      <c r="E460" s="132">
        <v>18</v>
      </c>
      <c r="F460" s="132" t="s">
        <v>342</v>
      </c>
      <c r="G460" s="133" t="s">
        <v>376</v>
      </c>
      <c r="H460" s="133">
        <v>4</v>
      </c>
      <c r="I460" s="133" t="s">
        <v>419</v>
      </c>
      <c r="J460" s="132"/>
      <c r="K460" s="132" t="s">
        <v>402</v>
      </c>
      <c r="L460" s="132" t="s">
        <v>436</v>
      </c>
      <c r="M460" s="135">
        <f>188*USD_Inflation_Factor</f>
        <v>257.00604626624732</v>
      </c>
      <c r="N460" s="136">
        <f t="shared" si="27"/>
        <v>1028.0241850649893</v>
      </c>
      <c r="O460" s="136">
        <f t="shared" si="26"/>
        <v>187384862.52952603</v>
      </c>
    </row>
    <row r="461" spans="1:15">
      <c r="A461" s="132">
        <v>458</v>
      </c>
      <c r="B461" s="133" t="s">
        <v>401</v>
      </c>
      <c r="C461" s="133" t="s">
        <v>450</v>
      </c>
      <c r="D461" s="133" t="s">
        <v>342</v>
      </c>
      <c r="E461" s="132">
        <v>20</v>
      </c>
      <c r="F461" s="132" t="s">
        <v>342</v>
      </c>
      <c r="G461" s="133" t="s">
        <v>376</v>
      </c>
      <c r="H461" s="133">
        <v>20</v>
      </c>
      <c r="I461" s="133" t="s">
        <v>419</v>
      </c>
      <c r="J461" s="132"/>
      <c r="K461" s="132" t="s">
        <v>402</v>
      </c>
      <c r="L461" s="132" t="s">
        <v>436</v>
      </c>
      <c r="M461" s="135">
        <f>196*USD_Inflation_Factor</f>
        <v>267.94247376693869</v>
      </c>
      <c r="N461" s="136">
        <f t="shared" si="27"/>
        <v>5358.849475338774</v>
      </c>
      <c r="O461" s="136">
        <f t="shared" si="26"/>
        <v>976793432.33476329</v>
      </c>
    </row>
    <row r="462" spans="1:15">
      <c r="A462" s="132">
        <v>459</v>
      </c>
      <c r="B462" s="133" t="s">
        <v>401</v>
      </c>
      <c r="C462" s="133" t="s">
        <v>450</v>
      </c>
      <c r="D462" s="133" t="s">
        <v>342</v>
      </c>
      <c r="E462" s="132">
        <v>26</v>
      </c>
      <c r="F462" s="132" t="s">
        <v>342</v>
      </c>
      <c r="G462" s="133" t="s">
        <v>376</v>
      </c>
      <c r="H462" s="133">
        <v>1</v>
      </c>
      <c r="I462" s="133" t="s">
        <v>419</v>
      </c>
      <c r="J462" s="132"/>
      <c r="K462" s="132" t="s">
        <v>402</v>
      </c>
      <c r="L462" s="132" t="s">
        <v>436</v>
      </c>
      <c r="M462" s="135">
        <f>196*USD_Inflation_Factor</f>
        <v>267.94247376693869</v>
      </c>
      <c r="N462" s="136">
        <f t="shared" si="27"/>
        <v>267.94247376693869</v>
      </c>
      <c r="O462" s="136">
        <f t="shared" si="26"/>
        <v>48839671.616738163</v>
      </c>
    </row>
    <row r="463" spans="1:15">
      <c r="A463" s="132">
        <v>460</v>
      </c>
      <c r="B463" s="133" t="s">
        <v>401</v>
      </c>
      <c r="C463" s="133" t="s">
        <v>450</v>
      </c>
      <c r="D463" s="133" t="s">
        <v>342</v>
      </c>
      <c r="E463" s="132" t="s">
        <v>446</v>
      </c>
      <c r="F463" s="132" t="s">
        <v>342</v>
      </c>
      <c r="G463" s="133" t="s">
        <v>376</v>
      </c>
      <c r="H463" s="133">
        <v>18</v>
      </c>
      <c r="I463" s="133" t="s">
        <v>419</v>
      </c>
      <c r="J463" s="132"/>
      <c r="K463" s="132" t="s">
        <v>402</v>
      </c>
      <c r="L463" s="132" t="s">
        <v>436</v>
      </c>
      <c r="M463" s="135">
        <f>0.67*USD_Inflation_Factor</f>
        <v>0.91592580318290273</v>
      </c>
      <c r="N463" s="136">
        <f t="shared" si="27"/>
        <v>16.48666445729225</v>
      </c>
      <c r="O463" s="136">
        <f t="shared" si="26"/>
        <v>3005134.8964176653</v>
      </c>
    </row>
    <row r="464" spans="1:15">
      <c r="A464" s="132">
        <v>461</v>
      </c>
      <c r="B464" s="133" t="s">
        <v>401</v>
      </c>
      <c r="C464" s="133" t="s">
        <v>450</v>
      </c>
      <c r="D464" s="133" t="s">
        <v>342</v>
      </c>
      <c r="E464" s="132" t="s">
        <v>458</v>
      </c>
      <c r="F464" s="132" t="s">
        <v>342</v>
      </c>
      <c r="G464" s="133" t="s">
        <v>376</v>
      </c>
      <c r="H464" s="133">
        <v>4</v>
      </c>
      <c r="I464" s="133" t="s">
        <v>419</v>
      </c>
      <c r="J464" s="132"/>
      <c r="K464" s="132" t="s">
        <v>402</v>
      </c>
      <c r="L464" s="132" t="s">
        <v>436</v>
      </c>
      <c r="M464" s="135">
        <f>1.4*USD_Inflation_Factor</f>
        <v>1.9138748126209904</v>
      </c>
      <c r="N464" s="136">
        <f t="shared" si="27"/>
        <v>7.6554992504839614</v>
      </c>
      <c r="O464" s="136">
        <f t="shared" si="26"/>
        <v>1395419.1890496614</v>
      </c>
    </row>
    <row r="465" spans="1:15">
      <c r="A465" s="132">
        <v>462</v>
      </c>
      <c r="B465" s="133" t="s">
        <v>401</v>
      </c>
      <c r="C465" s="133" t="s">
        <v>450</v>
      </c>
      <c r="D465" s="133" t="s">
        <v>342</v>
      </c>
      <c r="E465" s="132">
        <v>2</v>
      </c>
      <c r="F465" s="132" t="s">
        <v>342</v>
      </c>
      <c r="G465" s="133" t="s">
        <v>376</v>
      </c>
      <c r="H465" s="133">
        <v>14</v>
      </c>
      <c r="I465" s="133" t="s">
        <v>456</v>
      </c>
      <c r="J465" s="132"/>
      <c r="K465" s="132" t="s">
        <v>402</v>
      </c>
      <c r="L465" s="132" t="s">
        <v>380</v>
      </c>
      <c r="M465" s="135">
        <f>1.03*USD_Inflation_Factor</f>
        <v>1.4080650407140145</v>
      </c>
      <c r="N465" s="136">
        <f t="shared" si="27"/>
        <v>19.712910569996204</v>
      </c>
      <c r="O465" s="136">
        <f t="shared" si="26"/>
        <v>3593204.4118028791</v>
      </c>
    </row>
    <row r="466" spans="1:15">
      <c r="A466" s="132">
        <v>463</v>
      </c>
      <c r="B466" s="133" t="s">
        <v>401</v>
      </c>
      <c r="C466" s="133" t="s">
        <v>450</v>
      </c>
      <c r="D466" s="133" t="s">
        <v>342</v>
      </c>
      <c r="E466" s="132">
        <v>3</v>
      </c>
      <c r="F466" s="132" t="s">
        <v>342</v>
      </c>
      <c r="G466" s="133" t="s">
        <v>376</v>
      </c>
      <c r="H466" s="133">
        <v>9</v>
      </c>
      <c r="I466" s="133" t="s">
        <v>456</v>
      </c>
      <c r="J466" s="132"/>
      <c r="K466" s="132" t="s">
        <v>402</v>
      </c>
      <c r="L466" s="132" t="s">
        <v>380</v>
      </c>
      <c r="M466" s="135">
        <f>1.53*USD_Inflation_Factor</f>
        <v>2.0915917595072253</v>
      </c>
      <c r="N466" s="136">
        <f t="shared" si="27"/>
        <v>18.824325835565027</v>
      </c>
      <c r="O466" s="136">
        <f t="shared" si="26"/>
        <v>3431236.1130738999</v>
      </c>
    </row>
    <row r="467" spans="1:15">
      <c r="A467" s="132">
        <v>464</v>
      </c>
      <c r="B467" s="133" t="s">
        <v>403</v>
      </c>
      <c r="C467" s="133" t="s">
        <v>450</v>
      </c>
      <c r="D467" s="133" t="s">
        <v>342</v>
      </c>
      <c r="E467" s="132">
        <v>1</v>
      </c>
      <c r="F467" s="132" t="s">
        <v>342</v>
      </c>
      <c r="G467" s="133" t="s">
        <v>404</v>
      </c>
      <c r="H467" s="133">
        <v>2</v>
      </c>
      <c r="I467" s="133" t="s">
        <v>417</v>
      </c>
      <c r="J467" s="132" t="s">
        <v>435</v>
      </c>
      <c r="K467" s="132" t="s">
        <v>443</v>
      </c>
      <c r="L467" s="132"/>
      <c r="M467" s="135">
        <f>4.5*USD_Inflation_Factor</f>
        <v>6.1517404691388986</v>
      </c>
      <c r="N467" s="136">
        <f t="shared" si="27"/>
        <v>12.303480938277797</v>
      </c>
      <c r="O467" s="136">
        <f t="shared" ref="O467:O483" si="28">0.15*N467*USD_Change_IRR * per_Euro</f>
        <v>840989.24340046581</v>
      </c>
    </row>
    <row r="468" spans="1:15">
      <c r="A468" s="132">
        <v>465</v>
      </c>
      <c r="B468" s="133" t="s">
        <v>403</v>
      </c>
      <c r="C468" s="133" t="s">
        <v>450</v>
      </c>
      <c r="D468" s="133" t="s">
        <v>342</v>
      </c>
      <c r="E468" s="132">
        <v>2</v>
      </c>
      <c r="F468" s="132" t="s">
        <v>342</v>
      </c>
      <c r="G468" s="133" t="s">
        <v>404</v>
      </c>
      <c r="H468" s="133">
        <v>957.5</v>
      </c>
      <c r="I468" s="133" t="s">
        <v>417</v>
      </c>
      <c r="J468" s="132" t="s">
        <v>432</v>
      </c>
      <c r="K468" s="132" t="s">
        <v>443</v>
      </c>
      <c r="L468" s="132"/>
      <c r="M468" s="135">
        <f>7.56*USD_Inflation_Factor</f>
        <v>10.334923988153349</v>
      </c>
      <c r="N468" s="136">
        <f t="shared" si="27"/>
        <v>9895.6897186568312</v>
      </c>
      <c r="O468" s="136">
        <f t="shared" si="28"/>
        <v>676407648.46699452</v>
      </c>
    </row>
    <row r="469" spans="1:15">
      <c r="A469" s="132">
        <v>466</v>
      </c>
      <c r="B469" s="133" t="s">
        <v>403</v>
      </c>
      <c r="C469" s="133" t="s">
        <v>450</v>
      </c>
      <c r="D469" s="133" t="s">
        <v>342</v>
      </c>
      <c r="E469" s="132">
        <v>3</v>
      </c>
      <c r="F469" s="132" t="s">
        <v>342</v>
      </c>
      <c r="G469" s="133" t="s">
        <v>404</v>
      </c>
      <c r="H469" s="133">
        <v>222.9</v>
      </c>
      <c r="I469" s="133" t="s">
        <v>417</v>
      </c>
      <c r="J469" s="132" t="s">
        <v>432</v>
      </c>
      <c r="K469" s="132" t="s">
        <v>443</v>
      </c>
      <c r="L469" s="132"/>
      <c r="M469" s="135">
        <f>14.87*USD_Inflation_Factor</f>
        <v>20.328084616910093</v>
      </c>
      <c r="N469" s="136">
        <f t="shared" si="27"/>
        <v>4531.1300611092602</v>
      </c>
      <c r="O469" s="136">
        <f t="shared" si="28"/>
        <v>309719798.88927138</v>
      </c>
    </row>
    <row r="470" spans="1:15">
      <c r="A470" s="132">
        <v>467</v>
      </c>
      <c r="B470" s="133" t="s">
        <v>403</v>
      </c>
      <c r="C470" s="133" t="s">
        <v>450</v>
      </c>
      <c r="D470" s="133" t="s">
        <v>342</v>
      </c>
      <c r="E470" s="132">
        <v>4</v>
      </c>
      <c r="F470" s="132" t="s">
        <v>342</v>
      </c>
      <c r="G470" s="133" t="s">
        <v>404</v>
      </c>
      <c r="H470" s="133">
        <v>439.5</v>
      </c>
      <c r="I470" s="133" t="s">
        <v>417</v>
      </c>
      <c r="J470" s="132" t="s">
        <v>432</v>
      </c>
      <c r="K470" s="132" t="s">
        <v>443</v>
      </c>
      <c r="L470" s="132"/>
      <c r="M470" s="135">
        <f>21.17*USD_Inflation_Factor</f>
        <v>28.940521273704551</v>
      </c>
      <c r="N470" s="136">
        <f t="shared" si="27"/>
        <v>12719.35909979315</v>
      </c>
      <c r="O470" s="136">
        <f t="shared" si="28"/>
        <v>869416081.47614038</v>
      </c>
    </row>
    <row r="471" spans="1:15">
      <c r="A471" s="132">
        <v>468</v>
      </c>
      <c r="B471" s="133" t="s">
        <v>403</v>
      </c>
      <c r="C471" s="133" t="s">
        <v>450</v>
      </c>
      <c r="D471" s="133" t="s">
        <v>342</v>
      </c>
      <c r="E471" s="132">
        <v>6</v>
      </c>
      <c r="F471" s="132" t="s">
        <v>342</v>
      </c>
      <c r="G471" s="133" t="s">
        <v>404</v>
      </c>
      <c r="H471" s="133">
        <v>33.5</v>
      </c>
      <c r="I471" s="133" t="s">
        <v>417</v>
      </c>
      <c r="J471" s="132" t="s">
        <v>432</v>
      </c>
      <c r="K471" s="132" t="s">
        <v>443</v>
      </c>
      <c r="L471" s="132"/>
      <c r="M471" s="135">
        <f>81.22*USD_Inflation_Factor</f>
        <v>111.03208020076919</v>
      </c>
      <c r="N471" s="136">
        <f t="shared" si="27"/>
        <v>3719.5746867257676</v>
      </c>
      <c r="O471" s="136">
        <f t="shared" si="28"/>
        <v>254246933.63233617</v>
      </c>
    </row>
    <row r="472" spans="1:15">
      <c r="A472" s="132">
        <v>469</v>
      </c>
      <c r="B472" s="133" t="s">
        <v>403</v>
      </c>
      <c r="C472" s="133" t="s">
        <v>450</v>
      </c>
      <c r="D472" s="133" t="s">
        <v>342</v>
      </c>
      <c r="E472" s="132">
        <v>2</v>
      </c>
      <c r="F472" s="132" t="s">
        <v>342</v>
      </c>
      <c r="G472" s="133" t="s">
        <v>404</v>
      </c>
      <c r="H472" s="133">
        <v>909.5</v>
      </c>
      <c r="I472" s="133" t="s">
        <v>418</v>
      </c>
      <c r="J472" s="132" t="s">
        <v>434</v>
      </c>
      <c r="K472" s="132" t="s">
        <v>443</v>
      </c>
      <c r="L472" s="132"/>
      <c r="M472" s="135">
        <f>7.56*USD_Inflation_Factor</f>
        <v>10.334923988153349</v>
      </c>
      <c r="N472" s="136">
        <f t="shared" si="27"/>
        <v>9399.6133672254709</v>
      </c>
      <c r="O472" s="136">
        <f t="shared" si="28"/>
        <v>642498962.17308772</v>
      </c>
    </row>
    <row r="473" spans="1:15">
      <c r="A473" s="132">
        <v>470</v>
      </c>
      <c r="B473" s="133" t="s">
        <v>403</v>
      </c>
      <c r="C473" s="133" t="s">
        <v>450</v>
      </c>
      <c r="D473" s="133" t="s">
        <v>342</v>
      </c>
      <c r="E473" s="132">
        <v>3</v>
      </c>
      <c r="F473" s="132" t="s">
        <v>342</v>
      </c>
      <c r="G473" s="133" t="s">
        <v>404</v>
      </c>
      <c r="H473" s="133">
        <v>1054</v>
      </c>
      <c r="I473" s="133" t="s">
        <v>418</v>
      </c>
      <c r="J473" s="132" t="s">
        <v>435</v>
      </c>
      <c r="K473" s="132" t="s">
        <v>443</v>
      </c>
      <c r="L473" s="132"/>
      <c r="M473" s="135">
        <f>14.87*USD_Inflation_Factor</f>
        <v>20.328084616910093</v>
      </c>
      <c r="N473" s="136">
        <f t="shared" si="27"/>
        <v>21425.801186223238</v>
      </c>
      <c r="O473" s="136">
        <f t="shared" si="28"/>
        <v>1464534176.8922925</v>
      </c>
    </row>
    <row r="474" spans="1:15">
      <c r="A474" s="132">
        <v>471</v>
      </c>
      <c r="B474" s="133" t="s">
        <v>403</v>
      </c>
      <c r="C474" s="133" t="s">
        <v>450</v>
      </c>
      <c r="D474" s="133" t="s">
        <v>342</v>
      </c>
      <c r="E474" s="132">
        <v>4</v>
      </c>
      <c r="F474" s="132" t="s">
        <v>342</v>
      </c>
      <c r="G474" s="133" t="s">
        <v>404</v>
      </c>
      <c r="H474" s="133">
        <v>325</v>
      </c>
      <c r="I474" s="133" t="s">
        <v>418</v>
      </c>
      <c r="J474" s="132" t="s">
        <v>435</v>
      </c>
      <c r="K474" s="132" t="s">
        <v>443</v>
      </c>
      <c r="L474" s="132"/>
      <c r="M474" s="135">
        <f>21.17*USD_Inflation_Factor</f>
        <v>28.940521273704551</v>
      </c>
      <c r="N474" s="136">
        <f t="shared" si="27"/>
        <v>9405.6694139539795</v>
      </c>
      <c r="O474" s="136">
        <f t="shared" si="28"/>
        <v>642912915.76733935</v>
      </c>
    </row>
    <row r="475" spans="1:15">
      <c r="A475" s="132">
        <v>472</v>
      </c>
      <c r="B475" s="133" t="s">
        <v>403</v>
      </c>
      <c r="C475" s="133" t="s">
        <v>450</v>
      </c>
      <c r="D475" s="133" t="s">
        <v>342</v>
      </c>
      <c r="E475" s="132">
        <v>6</v>
      </c>
      <c r="F475" s="132" t="s">
        <v>342</v>
      </c>
      <c r="G475" s="133" t="s">
        <v>404</v>
      </c>
      <c r="H475" s="133">
        <v>980</v>
      </c>
      <c r="I475" s="133" t="s">
        <v>418</v>
      </c>
      <c r="J475" s="132" t="s">
        <v>435</v>
      </c>
      <c r="K475" s="132" t="s">
        <v>443</v>
      </c>
      <c r="L475" s="132"/>
      <c r="M475" s="135">
        <f>81.22*USD_Inflation_Factor</f>
        <v>111.03208020076919</v>
      </c>
      <c r="N475" s="136">
        <f t="shared" si="27"/>
        <v>108811.4385967538</v>
      </c>
      <c r="O475" s="136">
        <f t="shared" si="28"/>
        <v>7437671491.334013</v>
      </c>
    </row>
    <row r="476" spans="1:15">
      <c r="A476" s="132">
        <v>473</v>
      </c>
      <c r="B476" s="133" t="s">
        <v>403</v>
      </c>
      <c r="C476" s="133" t="s">
        <v>450</v>
      </c>
      <c r="D476" s="133" t="s">
        <v>342</v>
      </c>
      <c r="E476" s="132">
        <v>8</v>
      </c>
      <c r="F476" s="132" t="s">
        <v>342</v>
      </c>
      <c r="G476" s="133" t="s">
        <v>404</v>
      </c>
      <c r="H476" s="133">
        <v>336</v>
      </c>
      <c r="I476" s="133" t="s">
        <v>418</v>
      </c>
      <c r="J476" s="132" t="s">
        <v>439</v>
      </c>
      <c r="K476" s="132" t="s">
        <v>443</v>
      </c>
      <c r="L476" s="132"/>
      <c r="M476" s="135">
        <f>122.3*USD_Inflation_Factor</f>
        <v>167.19063541681939</v>
      </c>
      <c r="N476" s="136">
        <f t="shared" si="27"/>
        <v>56176.053500051312</v>
      </c>
      <c r="O476" s="136">
        <f t="shared" si="28"/>
        <v>3839844753.4674063</v>
      </c>
    </row>
    <row r="477" spans="1:15">
      <c r="A477" s="132">
        <v>474</v>
      </c>
      <c r="B477" s="133" t="s">
        <v>403</v>
      </c>
      <c r="C477" s="133" t="s">
        <v>450</v>
      </c>
      <c r="D477" s="133" t="s">
        <v>342</v>
      </c>
      <c r="E477" s="132">
        <v>2</v>
      </c>
      <c r="F477" s="132" t="s">
        <v>342</v>
      </c>
      <c r="G477" s="133" t="s">
        <v>404</v>
      </c>
      <c r="H477" s="133">
        <v>2452</v>
      </c>
      <c r="I477" s="133" t="s">
        <v>419</v>
      </c>
      <c r="J477" s="132" t="s">
        <v>434</v>
      </c>
      <c r="K477" s="132" t="s">
        <v>443</v>
      </c>
      <c r="L477" s="132" t="s">
        <v>436</v>
      </c>
      <c r="M477" s="135">
        <f>8.56*USD_Inflation_Factor</f>
        <v>11.701977425739772</v>
      </c>
      <c r="N477" s="136">
        <f t="shared" si="27"/>
        <v>28693.248647913919</v>
      </c>
      <c r="O477" s="136">
        <f t="shared" si="28"/>
        <v>1961291572.0490646</v>
      </c>
    </row>
    <row r="478" spans="1:15">
      <c r="A478" s="132">
        <v>475</v>
      </c>
      <c r="B478" s="133" t="s">
        <v>403</v>
      </c>
      <c r="C478" s="133" t="s">
        <v>450</v>
      </c>
      <c r="D478" s="133" t="s">
        <v>342</v>
      </c>
      <c r="E478" s="132">
        <v>3</v>
      </c>
      <c r="F478" s="132" t="s">
        <v>342</v>
      </c>
      <c r="G478" s="133" t="s">
        <v>404</v>
      </c>
      <c r="H478" s="133">
        <v>387</v>
      </c>
      <c r="I478" s="133" t="s">
        <v>419</v>
      </c>
      <c r="J478" s="132" t="s">
        <v>435</v>
      </c>
      <c r="K478" s="132" t="s">
        <v>443</v>
      </c>
      <c r="L478" s="132" t="s">
        <v>436</v>
      </c>
      <c r="M478" s="135">
        <f>16.5*USD_Inflation_Factor</f>
        <v>22.55638172017596</v>
      </c>
      <c r="N478" s="136">
        <f t="shared" si="27"/>
        <v>8729.3197257080956</v>
      </c>
      <c r="O478" s="136">
        <f t="shared" si="28"/>
        <v>596681868.19263029</v>
      </c>
    </row>
    <row r="479" spans="1:15">
      <c r="A479" s="132">
        <v>476</v>
      </c>
      <c r="B479" s="133" t="s">
        <v>403</v>
      </c>
      <c r="C479" s="133" t="s">
        <v>450</v>
      </c>
      <c r="D479" s="133" t="s">
        <v>342</v>
      </c>
      <c r="E479" s="132">
        <v>4</v>
      </c>
      <c r="F479" s="132" t="s">
        <v>342</v>
      </c>
      <c r="G479" s="133" t="s">
        <v>404</v>
      </c>
      <c r="H479" s="133">
        <v>171</v>
      </c>
      <c r="I479" s="133" t="s">
        <v>419</v>
      </c>
      <c r="J479" s="132" t="s">
        <v>435</v>
      </c>
      <c r="K479" s="132" t="s">
        <v>443</v>
      </c>
      <c r="L479" s="132" t="s">
        <v>436</v>
      </c>
      <c r="M479" s="135">
        <f>25*USD_Inflation_Factor</f>
        <v>34.176335939660547</v>
      </c>
      <c r="N479" s="136">
        <f t="shared" si="27"/>
        <v>5844.1534456819536</v>
      </c>
      <c r="O479" s="136">
        <f t="shared" si="28"/>
        <v>399469890.61522132</v>
      </c>
    </row>
    <row r="480" spans="1:15">
      <c r="A480" s="132">
        <v>477</v>
      </c>
      <c r="B480" s="133" t="s">
        <v>403</v>
      </c>
      <c r="C480" s="133" t="s">
        <v>450</v>
      </c>
      <c r="D480" s="133" t="s">
        <v>342</v>
      </c>
      <c r="E480" s="132">
        <v>6</v>
      </c>
      <c r="F480" s="132" t="s">
        <v>342</v>
      </c>
      <c r="G480" s="133" t="s">
        <v>404</v>
      </c>
      <c r="H480" s="133">
        <v>455</v>
      </c>
      <c r="I480" s="133" t="s">
        <v>419</v>
      </c>
      <c r="J480" s="132" t="s">
        <v>435</v>
      </c>
      <c r="K480" s="132" t="s">
        <v>443</v>
      </c>
      <c r="L480" s="132" t="s">
        <v>436</v>
      </c>
      <c r="M480" s="135">
        <f>91.22*USD_Inflation_Factor</f>
        <v>124.70261457663339</v>
      </c>
      <c r="N480" s="136">
        <f t="shared" si="27"/>
        <v>56739.689632368194</v>
      </c>
      <c r="O480" s="136">
        <f t="shared" si="28"/>
        <v>3878371405.1400743</v>
      </c>
    </row>
    <row r="481" spans="1:15">
      <c r="A481" s="132">
        <v>478</v>
      </c>
      <c r="B481" s="133" t="s">
        <v>403</v>
      </c>
      <c r="C481" s="133" t="s">
        <v>450</v>
      </c>
      <c r="D481" s="133" t="s">
        <v>342</v>
      </c>
      <c r="E481" s="132">
        <v>8</v>
      </c>
      <c r="F481" s="132" t="s">
        <v>342</v>
      </c>
      <c r="G481" s="133" t="s">
        <v>404</v>
      </c>
      <c r="H481" s="133">
        <v>243</v>
      </c>
      <c r="I481" s="133" t="s">
        <v>419</v>
      </c>
      <c r="J481" s="132" t="s">
        <v>439</v>
      </c>
      <c r="K481" s="132" t="s">
        <v>443</v>
      </c>
      <c r="L481" s="132" t="s">
        <v>436</v>
      </c>
      <c r="M481" s="135">
        <f>128.3*USD_Inflation_Factor</f>
        <v>175.39295604233794</v>
      </c>
      <c r="N481" s="136">
        <f t="shared" si="27"/>
        <v>42620.488318288117</v>
      </c>
      <c r="O481" s="136">
        <f t="shared" si="28"/>
        <v>2913270838.0635533</v>
      </c>
    </row>
    <row r="482" spans="1:15">
      <c r="A482" s="132">
        <v>479</v>
      </c>
      <c r="B482" s="133" t="s">
        <v>403</v>
      </c>
      <c r="C482" s="133" t="s">
        <v>450</v>
      </c>
      <c r="D482" s="133" t="s">
        <v>342</v>
      </c>
      <c r="E482" s="132">
        <v>10</v>
      </c>
      <c r="F482" s="132" t="s">
        <v>342</v>
      </c>
      <c r="G482" s="133" t="s">
        <v>404</v>
      </c>
      <c r="H482" s="133">
        <v>1311</v>
      </c>
      <c r="I482" s="133" t="s">
        <v>419</v>
      </c>
      <c r="J482" s="132" t="s">
        <v>432</v>
      </c>
      <c r="K482" s="132" t="s">
        <v>443</v>
      </c>
      <c r="L482" s="132" t="s">
        <v>436</v>
      </c>
      <c r="M482" s="135">
        <f>121*USD_Inflation_Factor</f>
        <v>165.41346594795704</v>
      </c>
      <c r="N482" s="136">
        <f t="shared" si="27"/>
        <v>216857.05385777168</v>
      </c>
      <c r="O482" s="136">
        <f t="shared" si="28"/>
        <v>14822996074.428808</v>
      </c>
    </row>
    <row r="483" spans="1:15">
      <c r="A483" s="132">
        <v>480</v>
      </c>
      <c r="B483" s="133" t="s">
        <v>403</v>
      </c>
      <c r="C483" s="133" t="s">
        <v>450</v>
      </c>
      <c r="D483" s="133" t="s">
        <v>342</v>
      </c>
      <c r="E483" s="132">
        <v>12</v>
      </c>
      <c r="F483" s="132" t="s">
        <v>342</v>
      </c>
      <c r="G483" s="133" t="s">
        <v>404</v>
      </c>
      <c r="H483" s="133">
        <v>647.5</v>
      </c>
      <c r="I483" s="133" t="s">
        <v>419</v>
      </c>
      <c r="J483" s="132" t="s">
        <v>432</v>
      </c>
      <c r="K483" s="132" t="s">
        <v>443</v>
      </c>
      <c r="L483" s="132" t="s">
        <v>436</v>
      </c>
      <c r="M483" s="135">
        <f>178.67*USD_Inflation_Factor</f>
        <v>244.25143769356598</v>
      </c>
      <c r="N483" s="136">
        <f t="shared" si="27"/>
        <v>158152.80590658396</v>
      </c>
      <c r="O483" s="136">
        <f t="shared" si="28"/>
        <v>10810339711.848764</v>
      </c>
    </row>
    <row r="484" spans="1:15">
      <c r="A484" s="132">
        <v>481</v>
      </c>
      <c r="B484" s="133" t="s">
        <v>403</v>
      </c>
      <c r="C484" s="133" t="s">
        <v>450</v>
      </c>
      <c r="D484" s="133" t="s">
        <v>342</v>
      </c>
      <c r="E484" s="132">
        <v>16</v>
      </c>
      <c r="F484" s="132" t="s">
        <v>342</v>
      </c>
      <c r="G484" s="133" t="s">
        <v>404</v>
      </c>
      <c r="H484" s="133">
        <v>939</v>
      </c>
      <c r="I484" s="133" t="s">
        <v>419</v>
      </c>
      <c r="J484" s="132" t="s">
        <v>437</v>
      </c>
      <c r="K484" s="132" t="s">
        <v>443</v>
      </c>
      <c r="L484" s="132" t="s">
        <v>436</v>
      </c>
      <c r="M484" s="135">
        <f>186.46*USD_Inflation_Factor</f>
        <v>254.90078397236422</v>
      </c>
      <c r="N484" s="136">
        <f t="shared" si="27"/>
        <v>239351.83615005002</v>
      </c>
      <c r="O484" s="136">
        <f>0.3*N484*USD_Change_IRR * per_Euro</f>
        <v>32721198269.035416</v>
      </c>
    </row>
    <row r="485" spans="1:15">
      <c r="A485" s="132">
        <v>482</v>
      </c>
      <c r="B485" s="133" t="s">
        <v>403</v>
      </c>
      <c r="C485" s="133" t="s">
        <v>450</v>
      </c>
      <c r="D485" s="133" t="s">
        <v>342</v>
      </c>
      <c r="E485" s="132">
        <v>20</v>
      </c>
      <c r="F485" s="132" t="s">
        <v>342</v>
      </c>
      <c r="G485" s="133" t="s">
        <v>404</v>
      </c>
      <c r="H485" s="133">
        <v>1010</v>
      </c>
      <c r="I485" s="133" t="s">
        <v>419</v>
      </c>
      <c r="J485" s="132" t="s">
        <v>438</v>
      </c>
      <c r="K485" s="132" t="s">
        <v>443</v>
      </c>
      <c r="L485" s="132" t="s">
        <v>436</v>
      </c>
      <c r="M485" s="135">
        <f>220*USD_Inflation_Factor</f>
        <v>300.75175626901279</v>
      </c>
      <c r="N485" s="136">
        <f t="shared" si="27"/>
        <v>303759.27383170294</v>
      </c>
      <c r="O485" s="136">
        <f>0.3*N485*USD_Change_IRR * per_Euro</f>
        <v>41526179974.129669</v>
      </c>
    </row>
    <row r="486" spans="1:15">
      <c r="A486" s="132">
        <v>483</v>
      </c>
      <c r="B486" s="133" t="s">
        <v>403</v>
      </c>
      <c r="C486" s="133" t="s">
        <v>450</v>
      </c>
      <c r="D486" s="133" t="s">
        <v>342</v>
      </c>
      <c r="E486" s="132">
        <v>2</v>
      </c>
      <c r="F486" s="132" t="s">
        <v>342</v>
      </c>
      <c r="G486" s="133" t="s">
        <v>404</v>
      </c>
      <c r="H486" s="133">
        <v>182</v>
      </c>
      <c r="I486" s="133" t="s">
        <v>456</v>
      </c>
      <c r="J486" s="132" t="s">
        <v>437</v>
      </c>
      <c r="K486" s="132" t="s">
        <v>443</v>
      </c>
      <c r="L486" s="132" t="s">
        <v>380</v>
      </c>
      <c r="M486" s="135">
        <f>7.56*USD_Inflation_Factor</f>
        <v>10.334923988153349</v>
      </c>
      <c r="N486" s="136">
        <f t="shared" si="27"/>
        <v>1880.9561658439095</v>
      </c>
      <c r="O486" s="136">
        <f>0.15*N486*USD_Change_IRR * per_Euro</f>
        <v>128570435.53106321</v>
      </c>
    </row>
    <row r="487" spans="1:15">
      <c r="A487" s="132">
        <v>484</v>
      </c>
      <c r="B487" s="133" t="s">
        <v>406</v>
      </c>
      <c r="C487" s="133" t="s">
        <v>450</v>
      </c>
      <c r="D487" s="133" t="s">
        <v>407</v>
      </c>
      <c r="E487" s="132">
        <v>3</v>
      </c>
      <c r="F487" s="132" t="s">
        <v>342</v>
      </c>
      <c r="G487" s="133" t="s">
        <v>376</v>
      </c>
      <c r="H487" s="133">
        <v>3</v>
      </c>
      <c r="I487" s="133" t="s">
        <v>417</v>
      </c>
      <c r="J487" s="132"/>
      <c r="K487" s="132" t="s">
        <v>408</v>
      </c>
      <c r="L487" s="132"/>
      <c r="M487" s="135">
        <f>286*USD_Inflation_Factor</f>
        <v>390.97728314971664</v>
      </c>
      <c r="N487" s="136">
        <f t="shared" si="27"/>
        <v>1172.9318494491499</v>
      </c>
      <c r="O487" s="136">
        <f t="shared" ref="O487:O503" si="29">0.25*N487*USD_Change_IRR * per_Euro</f>
        <v>133623846.45140733</v>
      </c>
    </row>
    <row r="488" spans="1:15">
      <c r="A488" s="132">
        <v>485</v>
      </c>
      <c r="B488" s="133" t="s">
        <v>406</v>
      </c>
      <c r="C488" s="133" t="s">
        <v>450</v>
      </c>
      <c r="D488" s="133" t="s">
        <v>407</v>
      </c>
      <c r="E488" s="132">
        <v>4</v>
      </c>
      <c r="F488" s="132" t="s">
        <v>342</v>
      </c>
      <c r="G488" s="133" t="s">
        <v>376</v>
      </c>
      <c r="H488" s="133">
        <v>9</v>
      </c>
      <c r="I488" s="133" t="s">
        <v>417</v>
      </c>
      <c r="J488" s="132"/>
      <c r="K488" s="132" t="s">
        <v>408</v>
      </c>
      <c r="L488" s="132"/>
      <c r="M488" s="135">
        <f>386*USD_Inflation_Factor</f>
        <v>527.68262690835888</v>
      </c>
      <c r="N488" s="136">
        <f t="shared" si="27"/>
        <v>4749.1436421752296</v>
      </c>
      <c r="O488" s="136">
        <f t="shared" si="29"/>
        <v>541036413.25429964</v>
      </c>
    </row>
    <row r="489" spans="1:15">
      <c r="A489" s="132">
        <v>486</v>
      </c>
      <c r="B489" s="133" t="s">
        <v>406</v>
      </c>
      <c r="C489" s="133" t="s">
        <v>450</v>
      </c>
      <c r="D489" s="133" t="s">
        <v>407</v>
      </c>
      <c r="E489" s="132">
        <v>6</v>
      </c>
      <c r="F489" s="132" t="s">
        <v>342</v>
      </c>
      <c r="G489" s="133" t="s">
        <v>376</v>
      </c>
      <c r="H489" s="133">
        <v>1</v>
      </c>
      <c r="I489" s="133" t="s">
        <v>417</v>
      </c>
      <c r="J489" s="132"/>
      <c r="K489" s="132" t="s">
        <v>408</v>
      </c>
      <c r="L489" s="132"/>
      <c r="M489" s="135">
        <f>420*USD_Inflation_Factor</f>
        <v>574.16244378629722</v>
      </c>
      <c r="N489" s="136">
        <f t="shared" si="27"/>
        <v>574.16244378629722</v>
      </c>
      <c r="O489" s="136">
        <f t="shared" si="29"/>
        <v>65410274.486702904</v>
      </c>
    </row>
    <row r="490" spans="1:15">
      <c r="A490" s="132">
        <v>487</v>
      </c>
      <c r="B490" s="133" t="s">
        <v>406</v>
      </c>
      <c r="C490" s="133" t="s">
        <v>450</v>
      </c>
      <c r="D490" s="133" t="s">
        <v>407</v>
      </c>
      <c r="E490" s="132">
        <v>3</v>
      </c>
      <c r="F490" s="132" t="s">
        <v>342</v>
      </c>
      <c r="G490" s="133" t="s">
        <v>376</v>
      </c>
      <c r="H490" s="133">
        <v>2</v>
      </c>
      <c r="I490" s="133" t="s">
        <v>418</v>
      </c>
      <c r="J490" s="132"/>
      <c r="K490" s="132" t="s">
        <v>408</v>
      </c>
      <c r="L490" s="132"/>
      <c r="M490" s="135">
        <f>286*USD_Inflation_Factor</f>
        <v>390.97728314971664</v>
      </c>
      <c r="N490" s="136">
        <f t="shared" si="27"/>
        <v>781.95456629943328</v>
      </c>
      <c r="O490" s="136">
        <f t="shared" si="29"/>
        <v>89082564.300938219</v>
      </c>
    </row>
    <row r="491" spans="1:15">
      <c r="A491" s="132">
        <v>488</v>
      </c>
      <c r="B491" s="133" t="s">
        <v>406</v>
      </c>
      <c r="C491" s="133" t="s">
        <v>450</v>
      </c>
      <c r="D491" s="133" t="s">
        <v>407</v>
      </c>
      <c r="E491" s="132">
        <v>4</v>
      </c>
      <c r="F491" s="132" t="s">
        <v>342</v>
      </c>
      <c r="G491" s="133" t="s">
        <v>376</v>
      </c>
      <c r="H491" s="133">
        <v>2</v>
      </c>
      <c r="I491" s="133" t="s">
        <v>418</v>
      </c>
      <c r="J491" s="132"/>
      <c r="K491" s="132" t="s">
        <v>408</v>
      </c>
      <c r="L491" s="132"/>
      <c r="M491" s="135">
        <f>386*USD_Inflation_Factor</f>
        <v>527.68262690835888</v>
      </c>
      <c r="N491" s="136">
        <f t="shared" si="27"/>
        <v>1055.3652538167178</v>
      </c>
      <c r="O491" s="136">
        <f t="shared" si="29"/>
        <v>120230314.05651104</v>
      </c>
    </row>
    <row r="492" spans="1:15">
      <c r="A492" s="132">
        <v>489</v>
      </c>
      <c r="B492" s="133" t="s">
        <v>406</v>
      </c>
      <c r="C492" s="133" t="s">
        <v>450</v>
      </c>
      <c r="D492" s="133" t="s">
        <v>407</v>
      </c>
      <c r="E492" s="132">
        <v>3</v>
      </c>
      <c r="F492" s="132" t="s">
        <v>342</v>
      </c>
      <c r="G492" s="133" t="s">
        <v>376</v>
      </c>
      <c r="H492" s="133">
        <v>2</v>
      </c>
      <c r="I492" s="133" t="s">
        <v>419</v>
      </c>
      <c r="J492" s="132"/>
      <c r="K492" s="132" t="s">
        <v>408</v>
      </c>
      <c r="L492" s="132" t="s">
        <v>436</v>
      </c>
      <c r="M492" s="135">
        <f>343*USD_Inflation_Factor</f>
        <v>468.89932909214269</v>
      </c>
      <c r="N492" s="136">
        <f t="shared" si="27"/>
        <v>937.79865818428539</v>
      </c>
      <c r="O492" s="136">
        <f t="shared" si="29"/>
        <v>106836781.66161473</v>
      </c>
    </row>
    <row r="493" spans="1:15">
      <c r="A493" s="132">
        <v>490</v>
      </c>
      <c r="B493" s="133" t="s">
        <v>406</v>
      </c>
      <c r="C493" s="133" t="s">
        <v>450</v>
      </c>
      <c r="D493" s="133" t="s">
        <v>407</v>
      </c>
      <c r="E493" s="132">
        <v>8</v>
      </c>
      <c r="F493" s="132" t="s">
        <v>342</v>
      </c>
      <c r="G493" s="133" t="s">
        <v>376</v>
      </c>
      <c r="H493" s="133">
        <v>2</v>
      </c>
      <c r="I493" s="133" t="s">
        <v>419</v>
      </c>
      <c r="J493" s="132"/>
      <c r="K493" s="132" t="s">
        <v>408</v>
      </c>
      <c r="L493" s="132" t="s">
        <v>436</v>
      </c>
      <c r="M493" s="135">
        <f>560*USD_Inflation_Factor</f>
        <v>765.54992504839618</v>
      </c>
      <c r="N493" s="136">
        <f t="shared" si="27"/>
        <v>1531.0998500967924</v>
      </c>
      <c r="O493" s="136">
        <f t="shared" si="29"/>
        <v>174427398.6312077</v>
      </c>
    </row>
    <row r="494" spans="1:15">
      <c r="A494" s="132">
        <v>491</v>
      </c>
      <c r="B494" s="133" t="s">
        <v>406</v>
      </c>
      <c r="C494" s="133" t="s">
        <v>450</v>
      </c>
      <c r="D494" s="133" t="s">
        <v>407</v>
      </c>
      <c r="E494" s="132">
        <v>12</v>
      </c>
      <c r="F494" s="132" t="s">
        <v>342</v>
      </c>
      <c r="G494" s="133" t="s">
        <v>376</v>
      </c>
      <c r="H494" s="133">
        <v>2</v>
      </c>
      <c r="I494" s="133" t="s">
        <v>419</v>
      </c>
      <c r="J494" s="132"/>
      <c r="K494" s="132" t="s">
        <v>408</v>
      </c>
      <c r="L494" s="132" t="s">
        <v>436</v>
      </c>
      <c r="M494" s="135">
        <f>910*USD_Inflation_Factor</f>
        <v>1244.0186282036439</v>
      </c>
      <c r="N494" s="136">
        <f t="shared" si="27"/>
        <v>2488.0372564072877</v>
      </c>
      <c r="O494" s="136">
        <f t="shared" si="29"/>
        <v>283444522.77571249</v>
      </c>
    </row>
    <row r="495" spans="1:15">
      <c r="A495" s="132">
        <v>492</v>
      </c>
      <c r="B495" s="133" t="s">
        <v>406</v>
      </c>
      <c r="C495" s="133" t="s">
        <v>450</v>
      </c>
      <c r="D495" s="133" t="s">
        <v>459</v>
      </c>
      <c r="E495" s="132">
        <v>3</v>
      </c>
      <c r="F495" s="132" t="s">
        <v>342</v>
      </c>
      <c r="G495" s="133" t="s">
        <v>376</v>
      </c>
      <c r="H495" s="133">
        <v>2</v>
      </c>
      <c r="I495" s="133" t="s">
        <v>418</v>
      </c>
      <c r="J495" s="132"/>
      <c r="K495" s="132" t="s">
        <v>408</v>
      </c>
      <c r="L495" s="132"/>
      <c r="M495" s="135">
        <f>400*USD_Inflation_Factor</f>
        <v>546.82137503456875</v>
      </c>
      <c r="N495" s="136">
        <f t="shared" si="27"/>
        <v>1093.6427500691375</v>
      </c>
      <c r="O495" s="136">
        <f t="shared" si="29"/>
        <v>124590999.02229123</v>
      </c>
    </row>
    <row r="496" spans="1:15">
      <c r="A496" s="132">
        <v>493</v>
      </c>
      <c r="B496" s="133" t="s">
        <v>406</v>
      </c>
      <c r="C496" s="133" t="s">
        <v>450</v>
      </c>
      <c r="D496" s="133" t="s">
        <v>409</v>
      </c>
      <c r="E496" s="132">
        <v>3</v>
      </c>
      <c r="F496" s="132" t="s">
        <v>342</v>
      </c>
      <c r="G496" s="133" t="s">
        <v>376</v>
      </c>
      <c r="H496" s="133">
        <v>2</v>
      </c>
      <c r="I496" s="133" t="s">
        <v>417</v>
      </c>
      <c r="J496" s="132"/>
      <c r="K496" s="132" t="s">
        <v>400</v>
      </c>
      <c r="L496" s="132"/>
      <c r="M496" s="135">
        <f>16.78*USD_Inflation_Factor</f>
        <v>22.939156682700158</v>
      </c>
      <c r="N496" s="136">
        <f t="shared" si="27"/>
        <v>45.878313365400317</v>
      </c>
      <c r="O496" s="136">
        <f t="shared" si="29"/>
        <v>5226592.4089851165</v>
      </c>
    </row>
    <row r="497" spans="1:15">
      <c r="A497" s="132">
        <v>494</v>
      </c>
      <c r="B497" s="133" t="s">
        <v>406</v>
      </c>
      <c r="C497" s="133" t="s">
        <v>450</v>
      </c>
      <c r="D497" s="133" t="s">
        <v>409</v>
      </c>
      <c r="E497" s="132">
        <v>4</v>
      </c>
      <c r="F497" s="132" t="s">
        <v>342</v>
      </c>
      <c r="G497" s="133" t="s">
        <v>376</v>
      </c>
      <c r="H497" s="133">
        <v>4</v>
      </c>
      <c r="I497" s="133" t="s">
        <v>417</v>
      </c>
      <c r="J497" s="132"/>
      <c r="K497" s="132" t="s">
        <v>400</v>
      </c>
      <c r="L497" s="132"/>
      <c r="M497" s="135">
        <f>22.26*USD_Inflation_Factor</f>
        <v>30.430609520673752</v>
      </c>
      <c r="N497" s="136">
        <f t="shared" si="27"/>
        <v>121.72243808269501</v>
      </c>
      <c r="O497" s="136">
        <f t="shared" si="29"/>
        <v>13866978.191181013</v>
      </c>
    </row>
    <row r="498" spans="1:15">
      <c r="A498" s="132">
        <v>495</v>
      </c>
      <c r="B498" s="133" t="s">
        <v>406</v>
      </c>
      <c r="C498" s="133" t="s">
        <v>450</v>
      </c>
      <c r="D498" s="133" t="s">
        <v>409</v>
      </c>
      <c r="E498" s="132">
        <v>6</v>
      </c>
      <c r="F498" s="132" t="s">
        <v>342</v>
      </c>
      <c r="G498" s="133" t="s">
        <v>376</v>
      </c>
      <c r="H498" s="133">
        <v>2</v>
      </c>
      <c r="I498" s="133" t="s">
        <v>419</v>
      </c>
      <c r="J498" s="132" t="s">
        <v>435</v>
      </c>
      <c r="K498" s="132" t="s">
        <v>400</v>
      </c>
      <c r="L498" s="132" t="s">
        <v>436</v>
      </c>
      <c r="M498" s="135">
        <f>38.17*USD_Inflation_Factor</f>
        <v>52.180429712673721</v>
      </c>
      <c r="N498" s="136">
        <f t="shared" si="27"/>
        <v>104.36085942534744</v>
      </c>
      <c r="O498" s="136">
        <f t="shared" si="29"/>
        <v>11889096.081702139</v>
      </c>
    </row>
    <row r="499" spans="1:15">
      <c r="A499" s="132">
        <v>496</v>
      </c>
      <c r="B499" s="133" t="s">
        <v>406</v>
      </c>
      <c r="C499" s="133" t="s">
        <v>450</v>
      </c>
      <c r="D499" s="133" t="s">
        <v>409</v>
      </c>
      <c r="E499" s="132">
        <v>10</v>
      </c>
      <c r="F499" s="132" t="s">
        <v>342</v>
      </c>
      <c r="G499" s="133" t="s">
        <v>376</v>
      </c>
      <c r="H499" s="133">
        <v>10</v>
      </c>
      <c r="I499" s="133" t="s">
        <v>419</v>
      </c>
      <c r="J499" s="132" t="s">
        <v>432</v>
      </c>
      <c r="K499" s="132" t="s">
        <v>400</v>
      </c>
      <c r="L499" s="132" t="s">
        <v>436</v>
      </c>
      <c r="M499" s="135">
        <f>71.71*USD_Inflation_Factor</f>
        <v>98.031402009322306</v>
      </c>
      <c r="N499" s="136">
        <f t="shared" si="27"/>
        <v>980.31402009322301</v>
      </c>
      <c r="O499" s="136">
        <f t="shared" si="29"/>
        <v>111680256.74860629</v>
      </c>
    </row>
    <row r="500" spans="1:15">
      <c r="A500" s="132">
        <v>497</v>
      </c>
      <c r="B500" s="133" t="s">
        <v>406</v>
      </c>
      <c r="C500" s="133" t="s">
        <v>450</v>
      </c>
      <c r="D500" s="133" t="s">
        <v>409</v>
      </c>
      <c r="E500" s="132">
        <v>12</v>
      </c>
      <c r="F500" s="132" t="s">
        <v>342</v>
      </c>
      <c r="G500" s="133" t="s">
        <v>376</v>
      </c>
      <c r="H500" s="133">
        <v>8</v>
      </c>
      <c r="I500" s="133" t="s">
        <v>419</v>
      </c>
      <c r="J500" s="132" t="s">
        <v>432</v>
      </c>
      <c r="K500" s="132" t="s">
        <v>400</v>
      </c>
      <c r="L500" s="132" t="s">
        <v>436</v>
      </c>
      <c r="M500" s="135">
        <f>140*USD_Inflation_Factor</f>
        <v>191.38748126209904</v>
      </c>
      <c r="N500" s="136">
        <f t="shared" si="27"/>
        <v>1531.0998500967924</v>
      </c>
      <c r="O500" s="136">
        <f t="shared" si="29"/>
        <v>174427398.6312077</v>
      </c>
    </row>
    <row r="501" spans="1:15">
      <c r="A501" s="132">
        <v>498</v>
      </c>
      <c r="B501" s="133" t="s">
        <v>406</v>
      </c>
      <c r="C501" s="133" t="s">
        <v>450</v>
      </c>
      <c r="D501" s="133" t="s">
        <v>409</v>
      </c>
      <c r="E501" s="132">
        <v>3</v>
      </c>
      <c r="F501" s="132" t="s">
        <v>342</v>
      </c>
      <c r="G501" s="133" t="s">
        <v>376</v>
      </c>
      <c r="H501" s="133">
        <v>2</v>
      </c>
      <c r="I501" s="133" t="s">
        <v>456</v>
      </c>
      <c r="J501" s="132"/>
      <c r="K501" s="132" t="s">
        <v>400</v>
      </c>
      <c r="L501" s="132" t="s">
        <v>380</v>
      </c>
      <c r="M501" s="135">
        <f>16.78*USD_Inflation_Factor</f>
        <v>22.939156682700158</v>
      </c>
      <c r="N501" s="136">
        <f t="shared" si="27"/>
        <v>45.878313365400317</v>
      </c>
      <c r="O501" s="136">
        <f t="shared" si="29"/>
        <v>5226592.4089851165</v>
      </c>
    </row>
    <row r="502" spans="1:15">
      <c r="A502" s="132">
        <v>499</v>
      </c>
      <c r="B502" s="133" t="s">
        <v>406</v>
      </c>
      <c r="C502" s="133" t="s">
        <v>450</v>
      </c>
      <c r="D502" s="133" t="s">
        <v>410</v>
      </c>
      <c r="E502" s="132">
        <v>3</v>
      </c>
      <c r="F502" s="132" t="s">
        <v>458</v>
      </c>
      <c r="G502" s="133" t="s">
        <v>376</v>
      </c>
      <c r="H502" s="133">
        <v>1</v>
      </c>
      <c r="I502" s="133" t="s">
        <v>417</v>
      </c>
      <c r="J502" s="132" t="s">
        <v>342</v>
      </c>
      <c r="K502" s="132" t="s">
        <v>400</v>
      </c>
      <c r="L502" s="132"/>
      <c r="M502" s="135">
        <f>110*USD_Inflation_Factor</f>
        <v>150.37587813450639</v>
      </c>
      <c r="N502" s="136">
        <f t="shared" si="27"/>
        <v>150.37587813450639</v>
      </c>
      <c r="O502" s="136">
        <f t="shared" si="29"/>
        <v>17131262.365565043</v>
      </c>
    </row>
    <row r="503" spans="1:15">
      <c r="A503" s="132">
        <v>500</v>
      </c>
      <c r="B503" s="133" t="s">
        <v>406</v>
      </c>
      <c r="C503" s="133" t="s">
        <v>450</v>
      </c>
      <c r="D503" s="133" t="s">
        <v>460</v>
      </c>
      <c r="E503" s="132">
        <v>2</v>
      </c>
      <c r="F503" s="132" t="s">
        <v>342</v>
      </c>
      <c r="G503" s="133" t="s">
        <v>376</v>
      </c>
      <c r="H503" s="133">
        <v>1</v>
      </c>
      <c r="I503" s="133" t="s">
        <v>417</v>
      </c>
      <c r="J503" s="132"/>
      <c r="K503" s="132" t="s">
        <v>408</v>
      </c>
      <c r="L503" s="132"/>
      <c r="M503" s="135">
        <f>200*USD_Inflation_Factor</f>
        <v>273.41068751728437</v>
      </c>
      <c r="N503" s="136">
        <f t="shared" si="27"/>
        <v>273.41068751728437</v>
      </c>
      <c r="O503" s="136">
        <f t="shared" si="29"/>
        <v>31147749.755572807</v>
      </c>
    </row>
    <row r="504" spans="1:15">
      <c r="A504" s="132">
        <v>501</v>
      </c>
      <c r="B504" s="133" t="s">
        <v>411</v>
      </c>
      <c r="C504" s="133" t="s">
        <v>450</v>
      </c>
      <c r="D504" s="133" t="s">
        <v>461</v>
      </c>
      <c r="E504" s="132">
        <v>2</v>
      </c>
      <c r="F504" s="132" t="s">
        <v>342</v>
      </c>
      <c r="G504" s="133" t="s">
        <v>376</v>
      </c>
      <c r="H504" s="133">
        <v>4</v>
      </c>
      <c r="I504" s="133" t="s">
        <v>417</v>
      </c>
      <c r="J504" s="132" t="s">
        <v>342</v>
      </c>
      <c r="K504" s="132" t="s">
        <v>408</v>
      </c>
      <c r="L504" s="132"/>
      <c r="M504" s="135">
        <f>86*USD_Inflation_Factor</f>
        <v>117.56659563243228</v>
      </c>
      <c r="N504" s="136">
        <f t="shared" si="27"/>
        <v>470.26638252972913</v>
      </c>
      <c r="O504" s="136">
        <f t="shared" ref="O504:O535" si="30">0.15*N504*USD_Change_IRR * per_Euro</f>
        <v>32144477.747751135</v>
      </c>
    </row>
    <row r="505" spans="1:15">
      <c r="A505" s="132">
        <v>502</v>
      </c>
      <c r="B505" s="133" t="s">
        <v>411</v>
      </c>
      <c r="C505" s="133" t="s">
        <v>450</v>
      </c>
      <c r="D505" s="133" t="s">
        <v>461</v>
      </c>
      <c r="E505" s="132">
        <v>3</v>
      </c>
      <c r="F505" s="132" t="s">
        <v>342</v>
      </c>
      <c r="G505" s="133" t="s">
        <v>376</v>
      </c>
      <c r="H505" s="133">
        <v>5</v>
      </c>
      <c r="I505" s="133" t="s">
        <v>417</v>
      </c>
      <c r="J505" s="132" t="s">
        <v>342</v>
      </c>
      <c r="K505" s="132" t="s">
        <v>408</v>
      </c>
      <c r="L505" s="132"/>
      <c r="M505" s="135">
        <f>165*USD_Inflation_Factor</f>
        <v>225.5638172017596</v>
      </c>
      <c r="N505" s="136">
        <f t="shared" si="27"/>
        <v>1127.819086008798</v>
      </c>
      <c r="O505" s="136">
        <f t="shared" si="30"/>
        <v>77090680.645042703</v>
      </c>
    </row>
    <row r="506" spans="1:15">
      <c r="A506" s="132">
        <v>503</v>
      </c>
      <c r="B506" s="133" t="s">
        <v>411</v>
      </c>
      <c r="C506" s="133" t="s">
        <v>450</v>
      </c>
      <c r="D506" s="133" t="s">
        <v>461</v>
      </c>
      <c r="E506" s="132">
        <v>8</v>
      </c>
      <c r="F506" s="132" t="s">
        <v>342</v>
      </c>
      <c r="G506" s="133" t="s">
        <v>376</v>
      </c>
      <c r="H506" s="133">
        <v>1</v>
      </c>
      <c r="I506" s="133" t="s">
        <v>418</v>
      </c>
      <c r="J506" s="132" t="s">
        <v>342</v>
      </c>
      <c r="K506" s="132" t="s">
        <v>408</v>
      </c>
      <c r="L506" s="132"/>
      <c r="M506" s="135">
        <f>1361.8*USD_Inflation_Factor</f>
        <v>1861.6533713051892</v>
      </c>
      <c r="N506" s="136">
        <f t="shared" si="27"/>
        <v>1861.6533713051892</v>
      </c>
      <c r="O506" s="136">
        <f t="shared" si="30"/>
        <v>127251016.85141714</v>
      </c>
    </row>
    <row r="507" spans="1:15">
      <c r="A507" s="132">
        <v>504</v>
      </c>
      <c r="B507" s="133" t="s">
        <v>411</v>
      </c>
      <c r="C507" s="133" t="s">
        <v>450</v>
      </c>
      <c r="D507" s="133" t="s">
        <v>461</v>
      </c>
      <c r="E507" s="132">
        <v>1</v>
      </c>
      <c r="F507" s="132" t="s">
        <v>342</v>
      </c>
      <c r="G507" s="133" t="s">
        <v>376</v>
      </c>
      <c r="H507" s="133">
        <v>10</v>
      </c>
      <c r="I507" s="133" t="s">
        <v>419</v>
      </c>
      <c r="J507" s="132"/>
      <c r="K507" s="132" t="s">
        <v>400</v>
      </c>
      <c r="L507" s="132" t="s">
        <v>436</v>
      </c>
      <c r="M507" s="135">
        <f>61.2*USD_Inflation_Factor</f>
        <v>83.66367038028902</v>
      </c>
      <c r="N507" s="136">
        <f t="shared" si="27"/>
        <v>836.63670380289022</v>
      </c>
      <c r="O507" s="136">
        <f t="shared" si="30"/>
        <v>57187268.551231667</v>
      </c>
    </row>
    <row r="508" spans="1:15">
      <c r="A508" s="132">
        <v>505</v>
      </c>
      <c r="B508" s="133" t="s">
        <v>411</v>
      </c>
      <c r="C508" s="133" t="s">
        <v>450</v>
      </c>
      <c r="D508" s="133" t="s">
        <v>461</v>
      </c>
      <c r="E508" s="132">
        <v>2</v>
      </c>
      <c r="F508" s="132" t="s">
        <v>342</v>
      </c>
      <c r="G508" s="133" t="s">
        <v>376</v>
      </c>
      <c r="H508" s="133">
        <v>16</v>
      </c>
      <c r="I508" s="133" t="s">
        <v>419</v>
      </c>
      <c r="J508" s="132" t="s">
        <v>342</v>
      </c>
      <c r="K508" s="132" t="s">
        <v>408</v>
      </c>
      <c r="L508" s="132" t="s">
        <v>436</v>
      </c>
      <c r="M508" s="135">
        <f>90.6*USD_Inflation_Factor</f>
        <v>123.85504144532982</v>
      </c>
      <c r="N508" s="136">
        <f t="shared" si="27"/>
        <v>1981.6806631252771</v>
      </c>
      <c r="O508" s="136">
        <f t="shared" si="30"/>
        <v>135455334.13703501</v>
      </c>
    </row>
    <row r="509" spans="1:15">
      <c r="A509" s="132">
        <v>506</v>
      </c>
      <c r="B509" s="133" t="s">
        <v>411</v>
      </c>
      <c r="C509" s="133" t="s">
        <v>450</v>
      </c>
      <c r="D509" s="133" t="s">
        <v>461</v>
      </c>
      <c r="E509" s="132">
        <v>3</v>
      </c>
      <c r="F509" s="132" t="s">
        <v>342</v>
      </c>
      <c r="G509" s="133" t="s">
        <v>376</v>
      </c>
      <c r="H509" s="133">
        <v>24</v>
      </c>
      <c r="I509" s="133" t="s">
        <v>419</v>
      </c>
      <c r="J509" s="132" t="s">
        <v>342</v>
      </c>
      <c r="K509" s="132" t="s">
        <v>408</v>
      </c>
      <c r="L509" s="132" t="s">
        <v>436</v>
      </c>
      <c r="M509" s="135">
        <f>165.5*USD_Inflation_Factor</f>
        <v>226.24734392055282</v>
      </c>
      <c r="N509" s="136">
        <f t="shared" si="27"/>
        <v>5429.936254093268</v>
      </c>
      <c r="O509" s="136">
        <f t="shared" si="30"/>
        <v>371156586.08740556</v>
      </c>
    </row>
    <row r="510" spans="1:15">
      <c r="A510" s="132">
        <v>507</v>
      </c>
      <c r="B510" s="133" t="s">
        <v>411</v>
      </c>
      <c r="C510" s="133" t="s">
        <v>450</v>
      </c>
      <c r="D510" s="133" t="s">
        <v>461</v>
      </c>
      <c r="E510" s="132">
        <v>4</v>
      </c>
      <c r="F510" s="132" t="s">
        <v>342</v>
      </c>
      <c r="G510" s="133" t="s">
        <v>376</v>
      </c>
      <c r="H510" s="133">
        <v>3</v>
      </c>
      <c r="I510" s="133" t="s">
        <v>419</v>
      </c>
      <c r="J510" s="132" t="s">
        <v>342</v>
      </c>
      <c r="K510" s="132" t="s">
        <v>408</v>
      </c>
      <c r="L510" s="132" t="s">
        <v>436</v>
      </c>
      <c r="M510" s="135">
        <f>210*USD_Inflation_Factor</f>
        <v>287.08122189314861</v>
      </c>
      <c r="N510" s="136">
        <f t="shared" si="27"/>
        <v>861.24366567944583</v>
      </c>
      <c r="O510" s="136">
        <f t="shared" si="30"/>
        <v>58869247.038032606</v>
      </c>
    </row>
    <row r="511" spans="1:15">
      <c r="A511" s="132">
        <v>508</v>
      </c>
      <c r="B511" s="133" t="s">
        <v>411</v>
      </c>
      <c r="C511" s="133" t="s">
        <v>450</v>
      </c>
      <c r="D511" s="133" t="s">
        <v>461</v>
      </c>
      <c r="E511" s="132">
        <v>6</v>
      </c>
      <c r="F511" s="132" t="s">
        <v>342</v>
      </c>
      <c r="G511" s="133" t="s">
        <v>376</v>
      </c>
      <c r="H511" s="133">
        <v>7</v>
      </c>
      <c r="I511" s="133" t="s">
        <v>419</v>
      </c>
      <c r="J511" s="132" t="s">
        <v>342</v>
      </c>
      <c r="K511" s="132" t="s">
        <v>408</v>
      </c>
      <c r="L511" s="132" t="s">
        <v>436</v>
      </c>
      <c r="M511" s="135">
        <f>825*USD_Inflation_Factor</f>
        <v>1127.819086008798</v>
      </c>
      <c r="N511" s="136">
        <f t="shared" si="27"/>
        <v>7894.7336020615858</v>
      </c>
      <c r="O511" s="136">
        <f t="shared" si="30"/>
        <v>539634764.51529884</v>
      </c>
    </row>
    <row r="512" spans="1:15">
      <c r="A512" s="132">
        <v>509</v>
      </c>
      <c r="B512" s="133" t="s">
        <v>411</v>
      </c>
      <c r="C512" s="133" t="s">
        <v>450</v>
      </c>
      <c r="D512" s="133" t="s">
        <v>461</v>
      </c>
      <c r="E512" s="132">
        <v>8</v>
      </c>
      <c r="F512" s="132" t="s">
        <v>342</v>
      </c>
      <c r="G512" s="133" t="s">
        <v>376</v>
      </c>
      <c r="H512" s="133">
        <v>5</v>
      </c>
      <c r="I512" s="133" t="s">
        <v>419</v>
      </c>
      <c r="J512" s="132" t="s">
        <v>342</v>
      </c>
      <c r="K512" s="132" t="s">
        <v>408</v>
      </c>
      <c r="L512" s="132" t="s">
        <v>436</v>
      </c>
      <c r="M512" s="135">
        <f>1361.8*USD_Inflation_Factor</f>
        <v>1861.6533713051892</v>
      </c>
      <c r="N512" s="136">
        <f t="shared" si="27"/>
        <v>9308.2668565259464</v>
      </c>
      <c r="O512" s="136">
        <f t="shared" si="30"/>
        <v>636255084.25708568</v>
      </c>
    </row>
    <row r="513" spans="1:15">
      <c r="A513" s="132">
        <v>510</v>
      </c>
      <c r="B513" s="133" t="s">
        <v>411</v>
      </c>
      <c r="C513" s="133" t="s">
        <v>450</v>
      </c>
      <c r="D513" s="133" t="s">
        <v>461</v>
      </c>
      <c r="E513" s="132">
        <v>10</v>
      </c>
      <c r="F513" s="132" t="s">
        <v>342</v>
      </c>
      <c r="G513" s="133" t="s">
        <v>376</v>
      </c>
      <c r="H513" s="133">
        <v>11</v>
      </c>
      <c r="I513" s="133" t="s">
        <v>419</v>
      </c>
      <c r="J513" s="132" t="s">
        <v>342</v>
      </c>
      <c r="K513" s="132" t="s">
        <v>408</v>
      </c>
      <c r="L513" s="132" t="s">
        <v>436</v>
      </c>
      <c r="M513" s="135">
        <f>2041.5*USD_Inflation_Factor</f>
        <v>2790.83959283268</v>
      </c>
      <c r="N513" s="136">
        <f t="shared" si="27"/>
        <v>30699.23552115948</v>
      </c>
      <c r="O513" s="136">
        <f t="shared" si="30"/>
        <v>2098408327.158062</v>
      </c>
    </row>
    <row r="514" spans="1:15">
      <c r="A514" s="132">
        <v>511</v>
      </c>
      <c r="B514" s="133" t="s">
        <v>411</v>
      </c>
      <c r="C514" s="133" t="s">
        <v>450</v>
      </c>
      <c r="D514" s="133" t="s">
        <v>461</v>
      </c>
      <c r="E514" s="132">
        <v>16</v>
      </c>
      <c r="F514" s="132" t="s">
        <v>342</v>
      </c>
      <c r="G514" s="133" t="s">
        <v>376</v>
      </c>
      <c r="H514" s="133">
        <v>5</v>
      </c>
      <c r="I514" s="133" t="s">
        <v>419</v>
      </c>
      <c r="J514" s="132" t="s">
        <v>342</v>
      </c>
      <c r="K514" s="132" t="s">
        <v>408</v>
      </c>
      <c r="L514" s="132" t="s">
        <v>436</v>
      </c>
      <c r="M514" s="135">
        <f>6545*USD_Inflation_Factor</f>
        <v>8947.3647490031308</v>
      </c>
      <c r="N514" s="136">
        <f t="shared" si="27"/>
        <v>44736.823745015652</v>
      </c>
      <c r="O514" s="136">
        <f t="shared" si="30"/>
        <v>3057930332.2533598</v>
      </c>
    </row>
    <row r="515" spans="1:15">
      <c r="A515" s="132">
        <v>512</v>
      </c>
      <c r="B515" s="133" t="s">
        <v>411</v>
      </c>
      <c r="C515" s="133" t="s">
        <v>450</v>
      </c>
      <c r="D515" s="133" t="s">
        <v>461</v>
      </c>
      <c r="E515" s="132">
        <v>3</v>
      </c>
      <c r="F515" s="132" t="s">
        <v>342</v>
      </c>
      <c r="G515" s="133" t="s">
        <v>376</v>
      </c>
      <c r="H515" s="133">
        <v>2</v>
      </c>
      <c r="I515" s="133" t="s">
        <v>456</v>
      </c>
      <c r="J515" s="132" t="s">
        <v>342</v>
      </c>
      <c r="K515" s="132" t="s">
        <v>413</v>
      </c>
      <c r="L515" s="132"/>
      <c r="M515" s="135">
        <f>172.7*USD_Inflation_Factor</f>
        <v>236.09012867117502</v>
      </c>
      <c r="N515" s="136">
        <f t="shared" si="27"/>
        <v>472.18025734235005</v>
      </c>
      <c r="O515" s="136">
        <f t="shared" si="30"/>
        <v>32275298.296724532</v>
      </c>
    </row>
    <row r="516" spans="1:15">
      <c r="A516" s="132">
        <v>513</v>
      </c>
      <c r="B516" s="133" t="s">
        <v>411</v>
      </c>
      <c r="C516" s="133" t="s">
        <v>450</v>
      </c>
      <c r="D516" s="133" t="s">
        <v>412</v>
      </c>
      <c r="E516" s="132">
        <v>1</v>
      </c>
      <c r="F516" s="132" t="s">
        <v>342</v>
      </c>
      <c r="G516" s="133" t="s">
        <v>376</v>
      </c>
      <c r="H516" s="133">
        <v>1</v>
      </c>
      <c r="I516" s="133" t="s">
        <v>417</v>
      </c>
      <c r="J516" s="132"/>
      <c r="K516" s="132" t="s">
        <v>400</v>
      </c>
      <c r="L516" s="132"/>
      <c r="M516" s="135">
        <f>37*USD_Inflation_Factor</f>
        <v>50.58097719069761</v>
      </c>
      <c r="N516" s="136">
        <f t="shared" ref="N516:N579" si="31">M516*H516</f>
        <v>50.58097719069761</v>
      </c>
      <c r="O516" s="136">
        <f t="shared" si="30"/>
        <v>3457400.2228685818</v>
      </c>
    </row>
    <row r="517" spans="1:15">
      <c r="A517" s="132">
        <v>514</v>
      </c>
      <c r="B517" s="133" t="s">
        <v>411</v>
      </c>
      <c r="C517" s="133" t="s">
        <v>450</v>
      </c>
      <c r="D517" s="133" t="s">
        <v>412</v>
      </c>
      <c r="E517" s="132">
        <v>3</v>
      </c>
      <c r="F517" s="132" t="s">
        <v>342</v>
      </c>
      <c r="G517" s="133" t="s">
        <v>376</v>
      </c>
      <c r="H517" s="133">
        <v>6</v>
      </c>
      <c r="I517" s="133" t="s">
        <v>417</v>
      </c>
      <c r="J517" s="132" t="s">
        <v>342</v>
      </c>
      <c r="K517" s="132" t="s">
        <v>408</v>
      </c>
      <c r="L517" s="132"/>
      <c r="M517" s="135">
        <f>142*USD_Inflation_Factor</f>
        <v>194.12158813727191</v>
      </c>
      <c r="N517" s="136">
        <f t="shared" si="31"/>
        <v>1164.7295288236314</v>
      </c>
      <c r="O517" s="136">
        <f t="shared" si="30"/>
        <v>79613648.375244096</v>
      </c>
    </row>
    <row r="518" spans="1:15">
      <c r="A518" s="132">
        <v>515</v>
      </c>
      <c r="B518" s="133" t="s">
        <v>411</v>
      </c>
      <c r="C518" s="133" t="s">
        <v>450</v>
      </c>
      <c r="D518" s="133" t="s">
        <v>412</v>
      </c>
      <c r="E518" s="132">
        <v>4</v>
      </c>
      <c r="F518" s="132" t="s">
        <v>342</v>
      </c>
      <c r="G518" s="133" t="s">
        <v>376</v>
      </c>
      <c r="H518" s="133">
        <v>4</v>
      </c>
      <c r="I518" s="133" t="s">
        <v>417</v>
      </c>
      <c r="J518" s="132" t="s">
        <v>342</v>
      </c>
      <c r="K518" s="132" t="s">
        <v>408</v>
      </c>
      <c r="L518" s="132"/>
      <c r="M518" s="135">
        <f>210*USD_Inflation_Factor</f>
        <v>287.08122189314861</v>
      </c>
      <c r="N518" s="136">
        <f t="shared" si="31"/>
        <v>1148.3248875725944</v>
      </c>
      <c r="O518" s="136">
        <f t="shared" si="30"/>
        <v>78492329.38404347</v>
      </c>
    </row>
    <row r="519" spans="1:15">
      <c r="A519" s="132">
        <v>516</v>
      </c>
      <c r="B519" s="133" t="s">
        <v>411</v>
      </c>
      <c r="C519" s="133" t="s">
        <v>450</v>
      </c>
      <c r="D519" s="133" t="s">
        <v>412</v>
      </c>
      <c r="E519" s="132">
        <v>2</v>
      </c>
      <c r="F519" s="132" t="s">
        <v>342</v>
      </c>
      <c r="G519" s="133" t="s">
        <v>376</v>
      </c>
      <c r="H519" s="133">
        <v>13</v>
      </c>
      <c r="I519" s="133" t="s">
        <v>418</v>
      </c>
      <c r="J519" s="132" t="s">
        <v>342</v>
      </c>
      <c r="K519" s="132" t="s">
        <v>408</v>
      </c>
      <c r="L519" s="132"/>
      <c r="M519" s="135">
        <f>75*USD_Inflation_Factor</f>
        <v>102.52900781898164</v>
      </c>
      <c r="N519" s="136">
        <f t="shared" si="31"/>
        <v>1332.8771016467613</v>
      </c>
      <c r="O519" s="136">
        <f t="shared" si="30"/>
        <v>91107168.035050467</v>
      </c>
    </row>
    <row r="520" spans="1:15">
      <c r="A520" s="132">
        <v>517</v>
      </c>
      <c r="B520" s="133" t="s">
        <v>411</v>
      </c>
      <c r="C520" s="133" t="s">
        <v>450</v>
      </c>
      <c r="D520" s="133" t="s">
        <v>412</v>
      </c>
      <c r="E520" s="132">
        <v>3</v>
      </c>
      <c r="F520" s="132" t="s">
        <v>342</v>
      </c>
      <c r="G520" s="133" t="s">
        <v>376</v>
      </c>
      <c r="H520" s="133">
        <v>7</v>
      </c>
      <c r="I520" s="133" t="s">
        <v>418</v>
      </c>
      <c r="J520" s="132" t="s">
        <v>342</v>
      </c>
      <c r="K520" s="132" t="s">
        <v>408</v>
      </c>
      <c r="L520" s="132"/>
      <c r="M520" s="135">
        <f>142*USD_Inflation_Factor</f>
        <v>194.12158813727191</v>
      </c>
      <c r="N520" s="136">
        <f t="shared" si="31"/>
        <v>1358.8511169609035</v>
      </c>
      <c r="O520" s="136">
        <f t="shared" si="30"/>
        <v>92882589.771118119</v>
      </c>
    </row>
    <row r="521" spans="1:15">
      <c r="A521" s="132">
        <v>518</v>
      </c>
      <c r="B521" s="133" t="s">
        <v>411</v>
      </c>
      <c r="C521" s="133" t="s">
        <v>450</v>
      </c>
      <c r="D521" s="133" t="s">
        <v>412</v>
      </c>
      <c r="E521" s="132">
        <v>4</v>
      </c>
      <c r="F521" s="132" t="s">
        <v>342</v>
      </c>
      <c r="G521" s="133" t="s">
        <v>376</v>
      </c>
      <c r="H521" s="133">
        <v>5</v>
      </c>
      <c r="I521" s="133" t="s">
        <v>418</v>
      </c>
      <c r="J521" s="132" t="s">
        <v>342</v>
      </c>
      <c r="K521" s="132" t="s">
        <v>408</v>
      </c>
      <c r="L521" s="132"/>
      <c r="M521" s="135">
        <f>210*USD_Inflation_Factor</f>
        <v>287.08122189314861</v>
      </c>
      <c r="N521" s="136">
        <f t="shared" si="31"/>
        <v>1435.4061094657432</v>
      </c>
      <c r="O521" s="136">
        <f t="shared" si="30"/>
        <v>98115411.730054349</v>
      </c>
    </row>
    <row r="522" spans="1:15">
      <c r="A522" s="132">
        <v>519</v>
      </c>
      <c r="B522" s="133" t="s">
        <v>411</v>
      </c>
      <c r="C522" s="133" t="s">
        <v>450</v>
      </c>
      <c r="D522" s="133" t="s">
        <v>412</v>
      </c>
      <c r="E522" s="132">
        <v>6</v>
      </c>
      <c r="F522" s="132" t="s">
        <v>342</v>
      </c>
      <c r="G522" s="133" t="s">
        <v>376</v>
      </c>
      <c r="H522" s="133">
        <v>2</v>
      </c>
      <c r="I522" s="133" t="s">
        <v>418</v>
      </c>
      <c r="J522" s="132" t="s">
        <v>342</v>
      </c>
      <c r="K522" s="132" t="s">
        <v>408</v>
      </c>
      <c r="L522" s="132"/>
      <c r="M522" s="135">
        <f>450*USD_Inflation_Factor</f>
        <v>615.17404691388981</v>
      </c>
      <c r="N522" s="136">
        <f t="shared" si="31"/>
        <v>1230.3480938277796</v>
      </c>
      <c r="O522" s="136">
        <f t="shared" si="30"/>
        <v>84098924.34004657</v>
      </c>
    </row>
    <row r="523" spans="1:15">
      <c r="A523" s="132">
        <v>520</v>
      </c>
      <c r="B523" s="133" t="s">
        <v>411</v>
      </c>
      <c r="C523" s="133" t="s">
        <v>450</v>
      </c>
      <c r="D523" s="133" t="s">
        <v>412</v>
      </c>
      <c r="E523" s="132">
        <v>8</v>
      </c>
      <c r="F523" s="132" t="s">
        <v>342</v>
      </c>
      <c r="G523" s="133" t="s">
        <v>376</v>
      </c>
      <c r="H523" s="133">
        <v>1</v>
      </c>
      <c r="I523" s="133" t="s">
        <v>418</v>
      </c>
      <c r="J523" s="132" t="s">
        <v>342</v>
      </c>
      <c r="K523" s="132" t="s">
        <v>408</v>
      </c>
      <c r="L523" s="132"/>
      <c r="M523" s="135">
        <f>520*USD_Inflation_Factor</f>
        <v>710.86778754493935</v>
      </c>
      <c r="N523" s="136">
        <f t="shared" si="31"/>
        <v>710.86778754493935</v>
      </c>
      <c r="O523" s="136">
        <f t="shared" si="30"/>
        <v>48590489.618693575</v>
      </c>
    </row>
    <row r="524" spans="1:15">
      <c r="A524" s="132">
        <v>521</v>
      </c>
      <c r="B524" s="133" t="s">
        <v>411</v>
      </c>
      <c r="C524" s="133" t="s">
        <v>450</v>
      </c>
      <c r="D524" s="133" t="s">
        <v>412</v>
      </c>
      <c r="E524" s="132">
        <v>2</v>
      </c>
      <c r="F524" s="132" t="s">
        <v>342</v>
      </c>
      <c r="G524" s="133" t="s">
        <v>376</v>
      </c>
      <c r="H524" s="133">
        <v>4</v>
      </c>
      <c r="I524" s="133" t="s">
        <v>419</v>
      </c>
      <c r="J524" s="132" t="s">
        <v>342</v>
      </c>
      <c r="K524" s="132" t="s">
        <v>408</v>
      </c>
      <c r="L524" s="132" t="s">
        <v>436</v>
      </c>
      <c r="M524" s="135">
        <f>99*USD_Inflation_Factor</f>
        <v>135.33829032105575</v>
      </c>
      <c r="N524" s="136">
        <f t="shared" si="31"/>
        <v>541.35316128422301</v>
      </c>
      <c r="O524" s="136">
        <f t="shared" si="30"/>
        <v>37003526.709620491</v>
      </c>
    </row>
    <row r="525" spans="1:15">
      <c r="A525" s="132">
        <v>522</v>
      </c>
      <c r="B525" s="133" t="s">
        <v>411</v>
      </c>
      <c r="C525" s="133" t="s">
        <v>450</v>
      </c>
      <c r="D525" s="133" t="s">
        <v>412</v>
      </c>
      <c r="E525" s="132">
        <v>3</v>
      </c>
      <c r="F525" s="132" t="s">
        <v>342</v>
      </c>
      <c r="G525" s="133" t="s">
        <v>376</v>
      </c>
      <c r="H525" s="133">
        <v>1</v>
      </c>
      <c r="I525" s="133" t="s">
        <v>419</v>
      </c>
      <c r="J525" s="132" t="s">
        <v>342</v>
      </c>
      <c r="K525" s="132" t="s">
        <v>408</v>
      </c>
      <c r="L525" s="132" t="s">
        <v>436</v>
      </c>
      <c r="M525" s="135">
        <f>169.4*USD_Inflation_Factor</f>
        <v>231.57885232713986</v>
      </c>
      <c r="N525" s="136">
        <f t="shared" si="31"/>
        <v>231.57885232713986</v>
      </c>
      <c r="O525" s="136">
        <f t="shared" si="30"/>
        <v>15829286.425782099</v>
      </c>
    </row>
    <row r="526" spans="1:15">
      <c r="A526" s="132">
        <v>523</v>
      </c>
      <c r="B526" s="133" t="s">
        <v>411</v>
      </c>
      <c r="C526" s="133" t="s">
        <v>450</v>
      </c>
      <c r="D526" s="133" t="s">
        <v>412</v>
      </c>
      <c r="E526" s="132">
        <v>10</v>
      </c>
      <c r="F526" s="132" t="s">
        <v>342</v>
      </c>
      <c r="G526" s="133" t="s">
        <v>376</v>
      </c>
      <c r="H526" s="133">
        <v>4</v>
      </c>
      <c r="I526" s="133" t="s">
        <v>419</v>
      </c>
      <c r="J526" s="132" t="s">
        <v>342</v>
      </c>
      <c r="K526" s="132" t="s">
        <v>408</v>
      </c>
      <c r="L526" s="132" t="s">
        <v>436</v>
      </c>
      <c r="M526" s="135">
        <f>808.5*USD_Inflation_Factor</f>
        <v>1105.262704288622</v>
      </c>
      <c r="N526" s="136">
        <f t="shared" si="31"/>
        <v>4421.050817154488</v>
      </c>
      <c r="O526" s="136">
        <f t="shared" si="30"/>
        <v>302195468.12856734</v>
      </c>
    </row>
    <row r="527" spans="1:15">
      <c r="A527" s="132">
        <v>524</v>
      </c>
      <c r="B527" s="133" t="s">
        <v>411</v>
      </c>
      <c r="C527" s="133" t="s">
        <v>450</v>
      </c>
      <c r="D527" s="133" t="s">
        <v>412</v>
      </c>
      <c r="E527" s="132">
        <v>20</v>
      </c>
      <c r="F527" s="132" t="s">
        <v>342</v>
      </c>
      <c r="G527" s="133" t="s">
        <v>376</v>
      </c>
      <c r="H527" s="133">
        <v>1</v>
      </c>
      <c r="I527" s="133" t="s">
        <v>419</v>
      </c>
      <c r="J527" s="132" t="s">
        <v>342</v>
      </c>
      <c r="K527" s="132" t="s">
        <v>408</v>
      </c>
      <c r="L527" s="132" t="s">
        <v>436</v>
      </c>
      <c r="M527" s="135">
        <f>9000*USD_Inflation_Factor</f>
        <v>12303.480938277797</v>
      </c>
      <c r="N527" s="136">
        <f t="shared" si="31"/>
        <v>12303.480938277797</v>
      </c>
      <c r="O527" s="136">
        <f t="shared" si="30"/>
        <v>840989243.40046573</v>
      </c>
    </row>
    <row r="528" spans="1:15">
      <c r="A528" s="132">
        <v>525</v>
      </c>
      <c r="B528" s="133" t="s">
        <v>411</v>
      </c>
      <c r="C528" s="133" t="s">
        <v>450</v>
      </c>
      <c r="D528" s="133" t="s">
        <v>414</v>
      </c>
      <c r="E528" s="132">
        <v>1</v>
      </c>
      <c r="F528" s="132" t="s">
        <v>342</v>
      </c>
      <c r="G528" s="133" t="s">
        <v>376</v>
      </c>
      <c r="H528" s="133">
        <v>66</v>
      </c>
      <c r="I528" s="133" t="s">
        <v>417</v>
      </c>
      <c r="J528" s="132"/>
      <c r="K528" s="132" t="s">
        <v>400</v>
      </c>
      <c r="L528" s="132"/>
      <c r="M528" s="135">
        <f>40*USD_Inflation_Factor</f>
        <v>54.682137503456872</v>
      </c>
      <c r="N528" s="136">
        <f t="shared" si="31"/>
        <v>3609.0210752281537</v>
      </c>
      <c r="O528" s="136">
        <f t="shared" si="30"/>
        <v>246690178.06413659</v>
      </c>
    </row>
    <row r="529" spans="1:15">
      <c r="A529" s="132">
        <v>526</v>
      </c>
      <c r="B529" s="133" t="s">
        <v>411</v>
      </c>
      <c r="C529" s="133" t="s">
        <v>450</v>
      </c>
      <c r="D529" s="133" t="s">
        <v>414</v>
      </c>
      <c r="E529" s="132">
        <v>2</v>
      </c>
      <c r="F529" s="132" t="s">
        <v>342</v>
      </c>
      <c r="G529" s="133" t="s">
        <v>376</v>
      </c>
      <c r="H529" s="133">
        <v>16</v>
      </c>
      <c r="I529" s="133" t="s">
        <v>417</v>
      </c>
      <c r="J529" s="132" t="s">
        <v>342</v>
      </c>
      <c r="K529" s="132" t="s">
        <v>408</v>
      </c>
      <c r="L529" s="132"/>
      <c r="M529" s="135">
        <f>116.5*USD_Inflation_Factor</f>
        <v>159.26172547881814</v>
      </c>
      <c r="N529" s="136">
        <f t="shared" si="31"/>
        <v>2548.1876076610902</v>
      </c>
      <c r="O529" s="136">
        <f t="shared" si="30"/>
        <v>174178216.63316309</v>
      </c>
    </row>
    <row r="530" spans="1:15">
      <c r="A530" s="132">
        <v>527</v>
      </c>
      <c r="B530" s="133" t="s">
        <v>411</v>
      </c>
      <c r="C530" s="133" t="s">
        <v>450</v>
      </c>
      <c r="D530" s="133" t="s">
        <v>414</v>
      </c>
      <c r="E530" s="132">
        <v>3</v>
      </c>
      <c r="F530" s="132" t="s">
        <v>342</v>
      </c>
      <c r="G530" s="133" t="s">
        <v>376</v>
      </c>
      <c r="H530" s="133">
        <v>18</v>
      </c>
      <c r="I530" s="133" t="s">
        <v>417</v>
      </c>
      <c r="J530" s="132" t="s">
        <v>342</v>
      </c>
      <c r="K530" s="132" t="s">
        <v>408</v>
      </c>
      <c r="L530" s="132"/>
      <c r="M530" s="135">
        <f>181.5*USD_Inflation_Factor</f>
        <v>248.12019892193555</v>
      </c>
      <c r="N530" s="136">
        <f t="shared" si="31"/>
        <v>4466.1635805948399</v>
      </c>
      <c r="O530" s="136">
        <f t="shared" si="30"/>
        <v>305279095.35436904</v>
      </c>
    </row>
    <row r="531" spans="1:15">
      <c r="A531" s="132">
        <v>528</v>
      </c>
      <c r="B531" s="133" t="s">
        <v>411</v>
      </c>
      <c r="C531" s="133" t="s">
        <v>450</v>
      </c>
      <c r="D531" s="133" t="s">
        <v>414</v>
      </c>
      <c r="E531" s="132">
        <v>4</v>
      </c>
      <c r="F531" s="132" t="s">
        <v>342</v>
      </c>
      <c r="G531" s="133" t="s">
        <v>376</v>
      </c>
      <c r="H531" s="133">
        <v>12</v>
      </c>
      <c r="I531" s="133" t="s">
        <v>417</v>
      </c>
      <c r="J531" s="132" t="s">
        <v>342</v>
      </c>
      <c r="K531" s="132" t="s">
        <v>408</v>
      </c>
      <c r="L531" s="132"/>
      <c r="M531" s="135">
        <f>230*USD_Inflation_Factor</f>
        <v>314.42229064487702</v>
      </c>
      <c r="N531" s="136">
        <f t="shared" si="31"/>
        <v>3773.0674877385245</v>
      </c>
      <c r="O531" s="136">
        <f t="shared" si="30"/>
        <v>257903367.97614282</v>
      </c>
    </row>
    <row r="532" spans="1:15">
      <c r="A532" s="132">
        <v>529</v>
      </c>
      <c r="B532" s="133" t="s">
        <v>411</v>
      </c>
      <c r="C532" s="133" t="s">
        <v>450</v>
      </c>
      <c r="D532" s="133" t="s">
        <v>414</v>
      </c>
      <c r="E532" s="132">
        <v>6</v>
      </c>
      <c r="F532" s="132" t="s">
        <v>342</v>
      </c>
      <c r="G532" s="133" t="s">
        <v>376</v>
      </c>
      <c r="H532" s="133">
        <v>4</v>
      </c>
      <c r="I532" s="133" t="s">
        <v>417</v>
      </c>
      <c r="J532" s="132" t="s">
        <v>342</v>
      </c>
      <c r="K532" s="132" t="s">
        <v>408</v>
      </c>
      <c r="L532" s="132"/>
      <c r="M532" s="135">
        <f>385*USD_Inflation_Factor</f>
        <v>526.31557347077239</v>
      </c>
      <c r="N532" s="136">
        <f t="shared" si="31"/>
        <v>2105.2622938830896</v>
      </c>
      <c r="O532" s="136">
        <f t="shared" si="30"/>
        <v>143902603.87074634</v>
      </c>
    </row>
    <row r="533" spans="1:15">
      <c r="A533" s="132">
        <v>530</v>
      </c>
      <c r="B533" s="133" t="s">
        <v>411</v>
      </c>
      <c r="C533" s="133" t="s">
        <v>450</v>
      </c>
      <c r="D533" s="133" t="s">
        <v>414</v>
      </c>
      <c r="E533" s="132" t="s">
        <v>383</v>
      </c>
      <c r="F533" s="132" t="s">
        <v>342</v>
      </c>
      <c r="G533" s="133" t="s">
        <v>376</v>
      </c>
      <c r="H533" s="133">
        <v>11</v>
      </c>
      <c r="I533" s="133" t="s">
        <v>417</v>
      </c>
      <c r="J533" s="132"/>
      <c r="K533" s="132" t="s">
        <v>400</v>
      </c>
      <c r="L533" s="132"/>
      <c r="M533" s="135">
        <f>27*USD_Inflation_Factor</f>
        <v>36.910442814833388</v>
      </c>
      <c r="N533" s="136">
        <f t="shared" si="31"/>
        <v>406.01487096316725</v>
      </c>
      <c r="O533" s="136">
        <f t="shared" si="30"/>
        <v>27752645.032215364</v>
      </c>
    </row>
    <row r="534" spans="1:15">
      <c r="A534" s="132">
        <v>531</v>
      </c>
      <c r="B534" s="133" t="s">
        <v>411</v>
      </c>
      <c r="C534" s="133" t="s">
        <v>450</v>
      </c>
      <c r="D534" s="133" t="s">
        <v>414</v>
      </c>
      <c r="E534" s="132">
        <v>1</v>
      </c>
      <c r="F534" s="132" t="s">
        <v>342</v>
      </c>
      <c r="G534" s="133" t="s">
        <v>376</v>
      </c>
      <c r="H534" s="133">
        <v>42</v>
      </c>
      <c r="I534" s="133" t="s">
        <v>418</v>
      </c>
      <c r="J534" s="132"/>
      <c r="K534" s="132" t="s">
        <v>400</v>
      </c>
      <c r="L534" s="132"/>
      <c r="M534" s="135">
        <f>40*USD_Inflation_Factor</f>
        <v>54.682137503456872</v>
      </c>
      <c r="N534" s="136">
        <f t="shared" si="31"/>
        <v>2296.6497751451884</v>
      </c>
      <c r="O534" s="136">
        <f t="shared" si="30"/>
        <v>156984658.76808691</v>
      </c>
    </row>
    <row r="535" spans="1:15">
      <c r="A535" s="132">
        <v>532</v>
      </c>
      <c r="B535" s="133" t="s">
        <v>411</v>
      </c>
      <c r="C535" s="133" t="s">
        <v>450</v>
      </c>
      <c r="D535" s="133" t="s">
        <v>414</v>
      </c>
      <c r="E535" s="132">
        <v>2</v>
      </c>
      <c r="F535" s="132" t="s">
        <v>342</v>
      </c>
      <c r="G535" s="133" t="s">
        <v>376</v>
      </c>
      <c r="H535" s="133">
        <v>28</v>
      </c>
      <c r="I535" s="133" t="s">
        <v>418</v>
      </c>
      <c r="J535" s="132" t="s">
        <v>342</v>
      </c>
      <c r="K535" s="132" t="s">
        <v>408</v>
      </c>
      <c r="L535" s="132"/>
      <c r="M535" s="135">
        <f>116.5*USD_Inflation_Factor</f>
        <v>159.26172547881814</v>
      </c>
      <c r="N535" s="136">
        <f t="shared" si="31"/>
        <v>4459.3283134069079</v>
      </c>
      <c r="O535" s="136">
        <f t="shared" si="30"/>
        <v>304811879.1080355</v>
      </c>
    </row>
    <row r="536" spans="1:15">
      <c r="A536" s="132">
        <v>533</v>
      </c>
      <c r="B536" s="133" t="s">
        <v>411</v>
      </c>
      <c r="C536" s="133" t="s">
        <v>450</v>
      </c>
      <c r="D536" s="133" t="s">
        <v>414</v>
      </c>
      <c r="E536" s="132">
        <v>3</v>
      </c>
      <c r="F536" s="132" t="s">
        <v>342</v>
      </c>
      <c r="G536" s="133" t="s">
        <v>376</v>
      </c>
      <c r="H536" s="133">
        <v>26</v>
      </c>
      <c r="I536" s="133" t="s">
        <v>418</v>
      </c>
      <c r="J536" s="132" t="s">
        <v>342</v>
      </c>
      <c r="K536" s="132" t="s">
        <v>408</v>
      </c>
      <c r="L536" s="132"/>
      <c r="M536" s="135">
        <f>181.5*USD_Inflation_Factor</f>
        <v>248.12019892193555</v>
      </c>
      <c r="N536" s="136">
        <f t="shared" si="31"/>
        <v>6451.1251719703241</v>
      </c>
      <c r="O536" s="136">
        <f t="shared" ref="O536:O563" si="32">0.15*N536*USD_Change_IRR * per_Euro</f>
        <v>440958693.28964418</v>
      </c>
    </row>
    <row r="537" spans="1:15">
      <c r="A537" s="132">
        <v>534</v>
      </c>
      <c r="B537" s="133" t="s">
        <v>411</v>
      </c>
      <c r="C537" s="133" t="s">
        <v>450</v>
      </c>
      <c r="D537" s="133" t="s">
        <v>414</v>
      </c>
      <c r="E537" s="132">
        <v>4</v>
      </c>
      <c r="F537" s="132" t="s">
        <v>342</v>
      </c>
      <c r="G537" s="133" t="s">
        <v>376</v>
      </c>
      <c r="H537" s="133">
        <v>17</v>
      </c>
      <c r="I537" s="133" t="s">
        <v>418</v>
      </c>
      <c r="J537" s="132" t="s">
        <v>342</v>
      </c>
      <c r="K537" s="132" t="s">
        <v>408</v>
      </c>
      <c r="L537" s="132"/>
      <c r="M537" s="135">
        <f>230*USD_Inflation_Factor</f>
        <v>314.42229064487702</v>
      </c>
      <c r="N537" s="136">
        <f t="shared" si="31"/>
        <v>5345.1789409629091</v>
      </c>
      <c r="O537" s="136">
        <f t="shared" si="32"/>
        <v>365363104.63286906</v>
      </c>
    </row>
    <row r="538" spans="1:15">
      <c r="A538" s="132">
        <v>535</v>
      </c>
      <c r="B538" s="133" t="s">
        <v>411</v>
      </c>
      <c r="C538" s="133" t="s">
        <v>450</v>
      </c>
      <c r="D538" s="133" t="s">
        <v>414</v>
      </c>
      <c r="E538" s="132">
        <v>6</v>
      </c>
      <c r="F538" s="132" t="s">
        <v>342</v>
      </c>
      <c r="G538" s="133" t="s">
        <v>376</v>
      </c>
      <c r="H538" s="133">
        <v>5</v>
      </c>
      <c r="I538" s="133" t="s">
        <v>418</v>
      </c>
      <c r="J538" s="132" t="s">
        <v>342</v>
      </c>
      <c r="K538" s="132" t="s">
        <v>408</v>
      </c>
      <c r="L538" s="132"/>
      <c r="M538" s="135">
        <f>385*USD_Inflation_Factor</f>
        <v>526.31557347077239</v>
      </c>
      <c r="N538" s="136">
        <f t="shared" si="31"/>
        <v>2631.5778673538621</v>
      </c>
      <c r="O538" s="136">
        <f t="shared" si="32"/>
        <v>179878254.83843297</v>
      </c>
    </row>
    <row r="539" spans="1:15">
      <c r="A539" s="132">
        <v>536</v>
      </c>
      <c r="B539" s="133" t="s">
        <v>411</v>
      </c>
      <c r="C539" s="133" t="s">
        <v>450</v>
      </c>
      <c r="D539" s="133" t="s">
        <v>414</v>
      </c>
      <c r="E539" s="132">
        <v>8</v>
      </c>
      <c r="F539" s="132" t="s">
        <v>342</v>
      </c>
      <c r="G539" s="133" t="s">
        <v>376</v>
      </c>
      <c r="H539" s="133">
        <v>1</v>
      </c>
      <c r="I539" s="133" t="s">
        <v>418</v>
      </c>
      <c r="J539" s="132" t="s">
        <v>342</v>
      </c>
      <c r="K539" s="132" t="s">
        <v>408</v>
      </c>
      <c r="L539" s="132"/>
      <c r="M539" s="135">
        <f>560*USD_Inflation_Factor</f>
        <v>765.54992504839618</v>
      </c>
      <c r="N539" s="136">
        <f t="shared" si="31"/>
        <v>765.54992504839618</v>
      </c>
      <c r="O539" s="136">
        <f t="shared" si="32"/>
        <v>52328219.589362316</v>
      </c>
    </row>
    <row r="540" spans="1:15">
      <c r="A540" s="132">
        <v>537</v>
      </c>
      <c r="B540" s="133" t="s">
        <v>411</v>
      </c>
      <c r="C540" s="133" t="s">
        <v>450</v>
      </c>
      <c r="D540" s="133" t="s">
        <v>414</v>
      </c>
      <c r="E540" s="132" t="s">
        <v>383</v>
      </c>
      <c r="F540" s="132" t="s">
        <v>342</v>
      </c>
      <c r="G540" s="133" t="s">
        <v>376</v>
      </c>
      <c r="H540" s="133">
        <v>16</v>
      </c>
      <c r="I540" s="133" t="s">
        <v>418</v>
      </c>
      <c r="J540" s="132"/>
      <c r="K540" s="132" t="s">
        <v>400</v>
      </c>
      <c r="L540" s="132"/>
      <c r="M540" s="135">
        <f>27*USD_Inflation_Factor</f>
        <v>36.910442814833388</v>
      </c>
      <c r="N540" s="136">
        <f t="shared" si="31"/>
        <v>590.56708503733421</v>
      </c>
      <c r="O540" s="136">
        <f t="shared" si="32"/>
        <v>40367483.683222353</v>
      </c>
    </row>
    <row r="541" spans="1:15">
      <c r="A541" s="132">
        <v>538</v>
      </c>
      <c r="B541" s="133" t="s">
        <v>411</v>
      </c>
      <c r="C541" s="133" t="s">
        <v>450</v>
      </c>
      <c r="D541" s="133" t="s">
        <v>414</v>
      </c>
      <c r="E541" s="132">
        <v>1</v>
      </c>
      <c r="F541" s="132" t="s">
        <v>342</v>
      </c>
      <c r="G541" s="133" t="s">
        <v>376</v>
      </c>
      <c r="H541" s="133">
        <v>132</v>
      </c>
      <c r="I541" s="133" t="s">
        <v>419</v>
      </c>
      <c r="J541" s="132"/>
      <c r="K541" s="132" t="s">
        <v>400</v>
      </c>
      <c r="L541" s="132" t="s">
        <v>436</v>
      </c>
      <c r="M541" s="135">
        <f>40*USD_Inflation_Factor</f>
        <v>54.682137503456872</v>
      </c>
      <c r="N541" s="136">
        <f t="shared" si="31"/>
        <v>7218.0421504563074</v>
      </c>
      <c r="O541" s="136">
        <f t="shared" si="32"/>
        <v>493380356.12827319</v>
      </c>
    </row>
    <row r="542" spans="1:15">
      <c r="A542" s="132">
        <v>539</v>
      </c>
      <c r="B542" s="133" t="s">
        <v>411</v>
      </c>
      <c r="C542" s="133" t="s">
        <v>450</v>
      </c>
      <c r="D542" s="133" t="s">
        <v>414</v>
      </c>
      <c r="E542" s="132">
        <v>2</v>
      </c>
      <c r="F542" s="132" t="s">
        <v>342</v>
      </c>
      <c r="G542" s="133" t="s">
        <v>376</v>
      </c>
      <c r="H542" s="133">
        <v>17</v>
      </c>
      <c r="I542" s="133" t="s">
        <v>419</v>
      </c>
      <c r="J542" s="132" t="s">
        <v>342</v>
      </c>
      <c r="K542" s="132" t="s">
        <v>408</v>
      </c>
      <c r="L542" s="132" t="s">
        <v>436</v>
      </c>
      <c r="M542" s="135">
        <f>143*USD_Inflation_Factor</f>
        <v>195.48864157485832</v>
      </c>
      <c r="N542" s="136">
        <f t="shared" si="31"/>
        <v>3323.3069067725914</v>
      </c>
      <c r="O542" s="136">
        <f t="shared" si="32"/>
        <v>227160538.96739247</v>
      </c>
    </row>
    <row r="543" spans="1:15">
      <c r="A543" s="132">
        <v>540</v>
      </c>
      <c r="B543" s="133" t="s">
        <v>411</v>
      </c>
      <c r="C543" s="133" t="s">
        <v>450</v>
      </c>
      <c r="D543" s="133" t="s">
        <v>414</v>
      </c>
      <c r="E543" s="132">
        <v>3</v>
      </c>
      <c r="F543" s="132" t="s">
        <v>342</v>
      </c>
      <c r="G543" s="133" t="s">
        <v>376</v>
      </c>
      <c r="H543" s="133">
        <v>6</v>
      </c>
      <c r="I543" s="133" t="s">
        <v>419</v>
      </c>
      <c r="J543" s="132" t="s">
        <v>342</v>
      </c>
      <c r="K543" s="132" t="s">
        <v>408</v>
      </c>
      <c r="L543" s="132" t="s">
        <v>436</v>
      </c>
      <c r="M543" s="135">
        <f>243.1*USD_Inflation_Factor</f>
        <v>332.33069067725916</v>
      </c>
      <c r="N543" s="136">
        <f t="shared" si="31"/>
        <v>1993.984144063555</v>
      </c>
      <c r="O543" s="136">
        <f t="shared" si="32"/>
        <v>136296323.38043547</v>
      </c>
    </row>
    <row r="544" spans="1:15">
      <c r="A544" s="132">
        <v>541</v>
      </c>
      <c r="B544" s="133" t="s">
        <v>411</v>
      </c>
      <c r="C544" s="133" t="s">
        <v>450</v>
      </c>
      <c r="D544" s="133" t="s">
        <v>414</v>
      </c>
      <c r="E544" s="132">
        <v>4</v>
      </c>
      <c r="F544" s="132" t="s">
        <v>342</v>
      </c>
      <c r="G544" s="133" t="s">
        <v>376</v>
      </c>
      <c r="H544" s="133">
        <v>4</v>
      </c>
      <c r="I544" s="133" t="s">
        <v>419</v>
      </c>
      <c r="J544" s="132" t="s">
        <v>342</v>
      </c>
      <c r="K544" s="132" t="s">
        <v>408</v>
      </c>
      <c r="L544" s="132" t="s">
        <v>436</v>
      </c>
      <c r="M544" s="135">
        <f>327.8*USD_Inflation_Factor</f>
        <v>448.1201168408291</v>
      </c>
      <c r="N544" s="136">
        <f t="shared" si="31"/>
        <v>1792.4804673633164</v>
      </c>
      <c r="O544" s="136">
        <f t="shared" si="32"/>
        <v>122522788.43852118</v>
      </c>
    </row>
    <row r="545" spans="1:15">
      <c r="A545" s="132">
        <v>542</v>
      </c>
      <c r="B545" s="133" t="s">
        <v>411</v>
      </c>
      <c r="C545" s="133" t="s">
        <v>450</v>
      </c>
      <c r="D545" s="133" t="s">
        <v>414</v>
      </c>
      <c r="E545" s="132">
        <v>6</v>
      </c>
      <c r="F545" s="132" t="s">
        <v>342</v>
      </c>
      <c r="G545" s="133" t="s">
        <v>376</v>
      </c>
      <c r="H545" s="133">
        <v>6</v>
      </c>
      <c r="I545" s="133" t="s">
        <v>419</v>
      </c>
      <c r="J545" s="132" t="s">
        <v>342</v>
      </c>
      <c r="K545" s="132" t="s">
        <v>408</v>
      </c>
      <c r="L545" s="132" t="s">
        <v>436</v>
      </c>
      <c r="M545" s="135">
        <f>442.2*USD_Inflation_Factor</f>
        <v>604.51103010071574</v>
      </c>
      <c r="N545" s="136">
        <f t="shared" si="31"/>
        <v>3627.0661806042945</v>
      </c>
      <c r="O545" s="136">
        <f t="shared" si="32"/>
        <v>247923628.95445728</v>
      </c>
    </row>
    <row r="546" spans="1:15">
      <c r="A546" s="132">
        <v>543</v>
      </c>
      <c r="B546" s="133" t="s">
        <v>411</v>
      </c>
      <c r="C546" s="133" t="s">
        <v>450</v>
      </c>
      <c r="D546" s="133" t="s">
        <v>414</v>
      </c>
      <c r="E546" s="132">
        <v>8</v>
      </c>
      <c r="F546" s="132" t="s">
        <v>342</v>
      </c>
      <c r="G546" s="133" t="s">
        <v>376</v>
      </c>
      <c r="H546" s="133">
        <v>6</v>
      </c>
      <c r="I546" s="133" t="s">
        <v>419</v>
      </c>
      <c r="J546" s="132" t="s">
        <v>342</v>
      </c>
      <c r="K546" s="132" t="s">
        <v>408</v>
      </c>
      <c r="L546" s="132" t="s">
        <v>436</v>
      </c>
      <c r="M546" s="135">
        <f>730.4*USD_Inflation_Factor</f>
        <v>998.49583081312244</v>
      </c>
      <c r="N546" s="136">
        <f t="shared" si="31"/>
        <v>5990.9749848787342</v>
      </c>
      <c r="O546" s="136">
        <f t="shared" si="32"/>
        <v>409505695.58646673</v>
      </c>
    </row>
    <row r="547" spans="1:15">
      <c r="A547" s="132">
        <v>544</v>
      </c>
      <c r="B547" s="133" t="s">
        <v>411</v>
      </c>
      <c r="C547" s="133" t="s">
        <v>450</v>
      </c>
      <c r="D547" s="133" t="s">
        <v>414</v>
      </c>
      <c r="E547" s="132">
        <v>10</v>
      </c>
      <c r="F547" s="132" t="s">
        <v>342</v>
      </c>
      <c r="G547" s="133" t="s">
        <v>376</v>
      </c>
      <c r="H547" s="133">
        <v>28</v>
      </c>
      <c r="I547" s="133" t="s">
        <v>419</v>
      </c>
      <c r="J547" s="132" t="s">
        <v>342</v>
      </c>
      <c r="K547" s="132" t="s">
        <v>408</v>
      </c>
      <c r="L547" s="132" t="s">
        <v>436</v>
      </c>
      <c r="M547" s="135">
        <f>1031.8*USD_Inflation_Factor</f>
        <v>1410.5257369016699</v>
      </c>
      <c r="N547" s="136">
        <f t="shared" si="31"/>
        <v>39494.720633246761</v>
      </c>
      <c r="O547" s="136">
        <f t="shared" si="32"/>
        <v>2699612848.615202</v>
      </c>
    </row>
    <row r="548" spans="1:15">
      <c r="A548" s="132">
        <v>545</v>
      </c>
      <c r="B548" s="133" t="s">
        <v>411</v>
      </c>
      <c r="C548" s="133" t="s">
        <v>450</v>
      </c>
      <c r="D548" s="133" t="s">
        <v>414</v>
      </c>
      <c r="E548" s="132">
        <v>12</v>
      </c>
      <c r="F548" s="132" t="s">
        <v>342</v>
      </c>
      <c r="G548" s="133" t="s">
        <v>376</v>
      </c>
      <c r="H548" s="133">
        <v>4</v>
      </c>
      <c r="I548" s="133" t="s">
        <v>419</v>
      </c>
      <c r="J548" s="132" t="s">
        <v>342</v>
      </c>
      <c r="K548" s="132" t="s">
        <v>408</v>
      </c>
      <c r="L548" s="132" t="s">
        <v>436</v>
      </c>
      <c r="M548" s="135">
        <f>1364*USD_Inflation_Factor</f>
        <v>1864.6608888678793</v>
      </c>
      <c r="N548" s="136">
        <f t="shared" si="31"/>
        <v>7458.6435554715172</v>
      </c>
      <c r="O548" s="136">
        <f t="shared" si="32"/>
        <v>509826367.99921566</v>
      </c>
    </row>
    <row r="549" spans="1:15">
      <c r="A549" s="132">
        <v>546</v>
      </c>
      <c r="B549" s="133" t="s">
        <v>411</v>
      </c>
      <c r="C549" s="133" t="s">
        <v>450</v>
      </c>
      <c r="D549" s="133" t="s">
        <v>414</v>
      </c>
      <c r="E549" s="132">
        <v>12</v>
      </c>
      <c r="F549" s="132" t="s">
        <v>342</v>
      </c>
      <c r="G549" s="133" t="s">
        <v>376</v>
      </c>
      <c r="H549" s="133">
        <v>33</v>
      </c>
      <c r="I549" s="133" t="s">
        <v>419</v>
      </c>
      <c r="J549" s="132" t="s">
        <v>342</v>
      </c>
      <c r="K549" s="132" t="s">
        <v>408</v>
      </c>
      <c r="L549" s="132" t="s">
        <v>436</v>
      </c>
      <c r="M549" s="135">
        <f>1364*USD_Inflation_Factor</f>
        <v>1864.6608888678793</v>
      </c>
      <c r="N549" s="136">
        <f t="shared" si="31"/>
        <v>61533.809332640019</v>
      </c>
      <c r="O549" s="136">
        <f t="shared" si="32"/>
        <v>4206067535.9935288</v>
      </c>
    </row>
    <row r="550" spans="1:15">
      <c r="A550" s="132">
        <v>547</v>
      </c>
      <c r="B550" s="133" t="s">
        <v>411</v>
      </c>
      <c r="C550" s="133" t="s">
        <v>450</v>
      </c>
      <c r="D550" s="133" t="s">
        <v>414</v>
      </c>
      <c r="E550" s="132">
        <v>20</v>
      </c>
      <c r="F550" s="132" t="s">
        <v>342</v>
      </c>
      <c r="G550" s="133" t="s">
        <v>376</v>
      </c>
      <c r="H550" s="133">
        <v>5</v>
      </c>
      <c r="I550" s="133" t="s">
        <v>419</v>
      </c>
      <c r="J550" s="132" t="s">
        <v>342</v>
      </c>
      <c r="K550" s="132" t="s">
        <v>408</v>
      </c>
      <c r="L550" s="132" t="s">
        <v>436</v>
      </c>
      <c r="M550" s="135">
        <f>9000*USD_Inflation_Factor</f>
        <v>12303.480938277797</v>
      </c>
      <c r="N550" s="136">
        <f t="shared" si="31"/>
        <v>61517.404691388983</v>
      </c>
      <c r="O550" s="136">
        <f t="shared" si="32"/>
        <v>4204946217.0023289</v>
      </c>
    </row>
    <row r="551" spans="1:15">
      <c r="A551" s="132">
        <v>548</v>
      </c>
      <c r="B551" s="133" t="s">
        <v>411</v>
      </c>
      <c r="C551" s="133" t="s">
        <v>450</v>
      </c>
      <c r="D551" s="133" t="s">
        <v>414</v>
      </c>
      <c r="E551" s="132">
        <v>1</v>
      </c>
      <c r="F551" s="132" t="s">
        <v>342</v>
      </c>
      <c r="G551" s="133" t="s">
        <v>376</v>
      </c>
      <c r="H551" s="133">
        <v>2</v>
      </c>
      <c r="I551" s="133" t="s">
        <v>456</v>
      </c>
      <c r="J551" s="132"/>
      <c r="K551" s="132" t="s">
        <v>413</v>
      </c>
      <c r="L551" s="132"/>
      <c r="M551" s="135">
        <f>260*USD_Inflation_Factor</f>
        <v>355.43389377246967</v>
      </c>
      <c r="N551" s="136">
        <f t="shared" si="31"/>
        <v>710.86778754493935</v>
      </c>
      <c r="O551" s="136">
        <f t="shared" si="32"/>
        <v>48590489.618693575</v>
      </c>
    </row>
    <row r="552" spans="1:15">
      <c r="A552" s="132">
        <v>549</v>
      </c>
      <c r="B552" s="133" t="s">
        <v>411</v>
      </c>
      <c r="C552" s="133" t="s">
        <v>450</v>
      </c>
      <c r="D552" s="133" t="s">
        <v>414</v>
      </c>
      <c r="E552" s="132">
        <v>3</v>
      </c>
      <c r="F552" s="132" t="s">
        <v>342</v>
      </c>
      <c r="G552" s="133" t="s">
        <v>376</v>
      </c>
      <c r="H552" s="133">
        <v>2</v>
      </c>
      <c r="I552" s="133" t="s">
        <v>456</v>
      </c>
      <c r="J552" s="132" t="s">
        <v>342</v>
      </c>
      <c r="K552" s="132" t="s">
        <v>413</v>
      </c>
      <c r="L552" s="132"/>
      <c r="M552" s="135">
        <f>810*USD_Inflation_Factor</f>
        <v>1107.3132844450017</v>
      </c>
      <c r="N552" s="136">
        <f t="shared" si="31"/>
        <v>2214.6265688900035</v>
      </c>
      <c r="O552" s="136">
        <f t="shared" si="32"/>
        <v>151378063.81208384</v>
      </c>
    </row>
    <row r="553" spans="1:15">
      <c r="A553" s="132">
        <v>550</v>
      </c>
      <c r="B553" s="133" t="s">
        <v>411</v>
      </c>
      <c r="C553" s="133" t="s">
        <v>450</v>
      </c>
      <c r="D553" s="133" t="s">
        <v>462</v>
      </c>
      <c r="E553" s="132">
        <v>4</v>
      </c>
      <c r="F553" s="132" t="s">
        <v>342</v>
      </c>
      <c r="G553" s="133" t="s">
        <v>376</v>
      </c>
      <c r="H553" s="133">
        <v>2</v>
      </c>
      <c r="I553" s="133" t="s">
        <v>419</v>
      </c>
      <c r="J553" s="132" t="s">
        <v>342</v>
      </c>
      <c r="K553" s="132" t="s">
        <v>408</v>
      </c>
      <c r="L553" s="132" t="s">
        <v>436</v>
      </c>
      <c r="M553" s="135">
        <f>400*USD_Inflation_Factor</f>
        <v>546.82137503456875</v>
      </c>
      <c r="N553" s="136">
        <f t="shared" si="31"/>
        <v>1093.6427500691375</v>
      </c>
      <c r="O553" s="136">
        <f t="shared" si="32"/>
        <v>74754599.413374737</v>
      </c>
    </row>
    <row r="554" spans="1:15">
      <c r="A554" s="132">
        <v>551</v>
      </c>
      <c r="B554" s="133" t="s">
        <v>411</v>
      </c>
      <c r="C554" s="133" t="s">
        <v>450</v>
      </c>
      <c r="D554" s="133" t="s">
        <v>415</v>
      </c>
      <c r="E554" s="132">
        <v>1</v>
      </c>
      <c r="F554" s="132" t="s">
        <v>342</v>
      </c>
      <c r="G554" s="133" t="s">
        <v>376</v>
      </c>
      <c r="H554" s="133">
        <v>1</v>
      </c>
      <c r="I554" s="133" t="s">
        <v>417</v>
      </c>
      <c r="J554" s="132"/>
      <c r="K554" s="132" t="s">
        <v>400</v>
      </c>
      <c r="L554" s="132"/>
      <c r="M554" s="135">
        <f>100*USD_Inflation_Factor</f>
        <v>136.70534375864219</v>
      </c>
      <c r="N554" s="136">
        <f t="shared" si="31"/>
        <v>136.70534375864219</v>
      </c>
      <c r="O554" s="136">
        <f t="shared" si="32"/>
        <v>9344324.9266718421</v>
      </c>
    </row>
    <row r="555" spans="1:15">
      <c r="A555" s="132">
        <v>552</v>
      </c>
      <c r="B555" s="133" t="s">
        <v>411</v>
      </c>
      <c r="C555" s="133" t="s">
        <v>450</v>
      </c>
      <c r="D555" s="133" t="s">
        <v>415</v>
      </c>
      <c r="E555" s="132">
        <v>2</v>
      </c>
      <c r="F555" s="132" t="s">
        <v>342</v>
      </c>
      <c r="G555" s="133" t="s">
        <v>376</v>
      </c>
      <c r="H555" s="133">
        <v>2</v>
      </c>
      <c r="I555" s="133" t="s">
        <v>417</v>
      </c>
      <c r="J555" s="132" t="s">
        <v>342</v>
      </c>
      <c r="K555" s="132" t="s">
        <v>408</v>
      </c>
      <c r="L555" s="132"/>
      <c r="M555" s="135">
        <f>116.6*USD_Inflation_Factor</f>
        <v>159.39843082257678</v>
      </c>
      <c r="N555" s="136">
        <f t="shared" si="31"/>
        <v>318.79686164515357</v>
      </c>
      <c r="O555" s="136">
        <f t="shared" si="32"/>
        <v>21790965.728998736</v>
      </c>
    </row>
    <row r="556" spans="1:15">
      <c r="A556" s="132">
        <v>553</v>
      </c>
      <c r="B556" s="133" t="s">
        <v>411</v>
      </c>
      <c r="C556" s="133" t="s">
        <v>450</v>
      </c>
      <c r="D556" s="133" t="s">
        <v>415</v>
      </c>
      <c r="E556" s="132">
        <v>4</v>
      </c>
      <c r="F556" s="132" t="s">
        <v>342</v>
      </c>
      <c r="G556" s="133" t="s">
        <v>376</v>
      </c>
      <c r="H556" s="133">
        <v>1</v>
      </c>
      <c r="I556" s="133" t="s">
        <v>417</v>
      </c>
      <c r="J556" s="132" t="s">
        <v>342</v>
      </c>
      <c r="K556" s="132" t="s">
        <v>408</v>
      </c>
      <c r="L556" s="132"/>
      <c r="M556" s="135">
        <f>350*USD_Inflation_Factor</f>
        <v>478.46870315524762</v>
      </c>
      <c r="N556" s="136">
        <f t="shared" si="31"/>
        <v>478.46870315524762</v>
      </c>
      <c r="O556" s="136">
        <f t="shared" si="32"/>
        <v>32705137.243351441</v>
      </c>
    </row>
    <row r="557" spans="1:15">
      <c r="A557" s="132">
        <v>554</v>
      </c>
      <c r="B557" s="133" t="s">
        <v>411</v>
      </c>
      <c r="C557" s="133" t="s">
        <v>450</v>
      </c>
      <c r="D557" s="133" t="s">
        <v>415</v>
      </c>
      <c r="E557" s="132">
        <v>2</v>
      </c>
      <c r="F557" s="132" t="s">
        <v>342</v>
      </c>
      <c r="G557" s="133" t="s">
        <v>376</v>
      </c>
      <c r="H557" s="133">
        <v>2</v>
      </c>
      <c r="I557" s="133" t="s">
        <v>419</v>
      </c>
      <c r="J557" s="132" t="s">
        <v>342</v>
      </c>
      <c r="K557" s="132" t="s">
        <v>408</v>
      </c>
      <c r="L557" s="132" t="s">
        <v>436</v>
      </c>
      <c r="M557" s="135">
        <f>100*USD_Inflation_Factor</f>
        <v>136.70534375864219</v>
      </c>
      <c r="N557" s="136">
        <f t="shared" si="31"/>
        <v>273.41068751728437</v>
      </c>
      <c r="O557" s="136">
        <f t="shared" si="32"/>
        <v>18688649.853343684</v>
      </c>
    </row>
    <row r="558" spans="1:15">
      <c r="A558" s="132">
        <v>555</v>
      </c>
      <c r="B558" s="133" t="s">
        <v>411</v>
      </c>
      <c r="C558" s="133" t="s">
        <v>450</v>
      </c>
      <c r="D558" s="133" t="s">
        <v>415</v>
      </c>
      <c r="E558" s="132">
        <v>3</v>
      </c>
      <c r="F558" s="132" t="s">
        <v>342</v>
      </c>
      <c r="G558" s="133" t="s">
        <v>376</v>
      </c>
      <c r="H558" s="133">
        <v>5</v>
      </c>
      <c r="I558" s="133" t="s">
        <v>419</v>
      </c>
      <c r="J558" s="132" t="s">
        <v>342</v>
      </c>
      <c r="K558" s="132" t="s">
        <v>408</v>
      </c>
      <c r="L558" s="132" t="s">
        <v>436</v>
      </c>
      <c r="M558" s="135">
        <f>172*USD_Inflation_Factor</f>
        <v>235.13319126486456</v>
      </c>
      <c r="N558" s="136">
        <f t="shared" si="31"/>
        <v>1175.6659563243229</v>
      </c>
      <c r="O558" s="136">
        <f t="shared" si="32"/>
        <v>80361194.369377837</v>
      </c>
    </row>
    <row r="559" spans="1:15">
      <c r="A559" s="132">
        <v>556</v>
      </c>
      <c r="B559" s="133" t="s">
        <v>411</v>
      </c>
      <c r="C559" s="133" t="s">
        <v>450</v>
      </c>
      <c r="D559" s="133" t="s">
        <v>415</v>
      </c>
      <c r="E559" s="132">
        <v>4</v>
      </c>
      <c r="F559" s="132" t="s">
        <v>342</v>
      </c>
      <c r="G559" s="133" t="s">
        <v>376</v>
      </c>
      <c r="H559" s="133">
        <v>4</v>
      </c>
      <c r="I559" s="133" t="s">
        <v>419</v>
      </c>
      <c r="J559" s="132" t="s">
        <v>342</v>
      </c>
      <c r="K559" s="132" t="s">
        <v>408</v>
      </c>
      <c r="L559" s="132" t="s">
        <v>436</v>
      </c>
      <c r="M559" s="135">
        <f>400*USD_Inflation_Factor</f>
        <v>546.82137503456875</v>
      </c>
      <c r="N559" s="136">
        <f t="shared" si="31"/>
        <v>2187.285500138275</v>
      </c>
      <c r="O559" s="136">
        <f t="shared" si="32"/>
        <v>149509198.82674947</v>
      </c>
    </row>
    <row r="560" spans="1:15">
      <c r="A560" s="132">
        <v>557</v>
      </c>
      <c r="B560" s="133" t="s">
        <v>411</v>
      </c>
      <c r="C560" s="133" t="s">
        <v>450</v>
      </c>
      <c r="D560" s="133" t="s">
        <v>415</v>
      </c>
      <c r="E560" s="132">
        <v>8</v>
      </c>
      <c r="F560" s="132" t="s">
        <v>342</v>
      </c>
      <c r="G560" s="133" t="s">
        <v>376</v>
      </c>
      <c r="H560" s="133">
        <v>11</v>
      </c>
      <c r="I560" s="133" t="s">
        <v>419</v>
      </c>
      <c r="J560" s="132" t="s">
        <v>342</v>
      </c>
      <c r="K560" s="132" t="s">
        <v>408</v>
      </c>
      <c r="L560" s="132" t="s">
        <v>436</v>
      </c>
      <c r="M560" s="135">
        <f>771.1*USD_Inflation_Factor</f>
        <v>1054.1349057228899</v>
      </c>
      <c r="N560" s="136">
        <f t="shared" si="31"/>
        <v>11595.483962951788</v>
      </c>
      <c r="O560" s="136">
        <f t="shared" si="32"/>
        <v>792594984.60523212</v>
      </c>
    </row>
    <row r="561" spans="1:15">
      <c r="A561" s="132">
        <v>558</v>
      </c>
      <c r="B561" s="133" t="s">
        <v>411</v>
      </c>
      <c r="C561" s="133" t="s">
        <v>450</v>
      </c>
      <c r="D561" s="133" t="s">
        <v>415</v>
      </c>
      <c r="E561" s="132">
        <v>18</v>
      </c>
      <c r="F561" s="132" t="s">
        <v>342</v>
      </c>
      <c r="G561" s="133" t="s">
        <v>376</v>
      </c>
      <c r="H561" s="133">
        <v>1</v>
      </c>
      <c r="I561" s="133" t="s">
        <v>419</v>
      </c>
      <c r="J561" s="132" t="s">
        <v>342</v>
      </c>
      <c r="K561" s="132" t="s">
        <v>408</v>
      </c>
      <c r="L561" s="132" t="s">
        <v>436</v>
      </c>
      <c r="M561" s="135">
        <f>7500*USD_Inflation_Factor</f>
        <v>10252.900781898164</v>
      </c>
      <c r="N561" s="136">
        <f t="shared" si="31"/>
        <v>10252.900781898164</v>
      </c>
      <c r="O561" s="136">
        <f t="shared" si="32"/>
        <v>700824369.50038815</v>
      </c>
    </row>
    <row r="562" spans="1:15">
      <c r="A562" s="132">
        <v>559</v>
      </c>
      <c r="B562" s="133" t="s">
        <v>411</v>
      </c>
      <c r="C562" s="133" t="s">
        <v>450</v>
      </c>
      <c r="D562" s="133" t="s">
        <v>415</v>
      </c>
      <c r="E562" s="132" t="s">
        <v>446</v>
      </c>
      <c r="F562" s="132" t="s">
        <v>342</v>
      </c>
      <c r="G562" s="133" t="s">
        <v>376</v>
      </c>
      <c r="H562" s="133">
        <v>2</v>
      </c>
      <c r="I562" s="133" t="s">
        <v>419</v>
      </c>
      <c r="J562" s="132"/>
      <c r="K562" s="132" t="s">
        <v>400</v>
      </c>
      <c r="L562" s="132" t="s">
        <v>436</v>
      </c>
      <c r="M562" s="135">
        <f>66*USD_Inflation_Factor</f>
        <v>90.225526880703839</v>
      </c>
      <c r="N562" s="136">
        <f t="shared" si="31"/>
        <v>180.45105376140768</v>
      </c>
      <c r="O562" s="136">
        <f t="shared" si="32"/>
        <v>12334508.903206831</v>
      </c>
    </row>
    <row r="563" spans="1:15">
      <c r="A563" s="132">
        <v>560</v>
      </c>
      <c r="B563" s="133" t="s">
        <v>411</v>
      </c>
      <c r="C563" s="133" t="s">
        <v>450</v>
      </c>
      <c r="D563" s="133" t="s">
        <v>415</v>
      </c>
      <c r="E563" s="132">
        <v>2</v>
      </c>
      <c r="F563" s="132" t="s">
        <v>342</v>
      </c>
      <c r="G563" s="133" t="s">
        <v>376</v>
      </c>
      <c r="H563" s="133">
        <v>1</v>
      </c>
      <c r="I563" s="133" t="s">
        <v>456</v>
      </c>
      <c r="J563" s="132" t="s">
        <v>342</v>
      </c>
      <c r="K563" s="132" t="s">
        <v>413</v>
      </c>
      <c r="L563" s="132"/>
      <c r="M563" s="135">
        <f>610*USD_Inflation_Factor</f>
        <v>833.90259692771735</v>
      </c>
      <c r="N563" s="136">
        <f t="shared" si="31"/>
        <v>833.90259692771735</v>
      </c>
      <c r="O563" s="136">
        <f t="shared" si="32"/>
        <v>57000382.052698232</v>
      </c>
    </row>
    <row r="564" spans="1:15">
      <c r="A564" s="132">
        <v>561</v>
      </c>
      <c r="B564" s="133" t="s">
        <v>373</v>
      </c>
      <c r="C564" s="133" t="s">
        <v>463</v>
      </c>
      <c r="D564" s="133" t="s">
        <v>342</v>
      </c>
      <c r="E564" s="132" t="s">
        <v>375</v>
      </c>
      <c r="F564" s="132">
        <v>85</v>
      </c>
      <c r="G564" s="133" t="s">
        <v>376</v>
      </c>
      <c r="H564" s="133">
        <v>36</v>
      </c>
      <c r="I564" s="133" t="s">
        <v>464</v>
      </c>
      <c r="J564" s="132" t="s">
        <v>378</v>
      </c>
      <c r="K564" s="134" t="s">
        <v>379</v>
      </c>
      <c r="L564" s="134" t="s">
        <v>465</v>
      </c>
      <c r="M564" s="135">
        <f>1.776*USD_Inflation_Factor</f>
        <v>2.427886905153485</v>
      </c>
      <c r="N564" s="136">
        <f t="shared" si="31"/>
        <v>87.403928585525463</v>
      </c>
      <c r="O564" s="136">
        <f>0.4*N564*USD_Change_IRR * per_Euro</f>
        <v>15931700.226978421</v>
      </c>
    </row>
    <row r="565" spans="1:15">
      <c r="A565" s="132">
        <v>562</v>
      </c>
      <c r="B565" s="133" t="s">
        <v>373</v>
      </c>
      <c r="C565" s="133" t="s">
        <v>463</v>
      </c>
      <c r="D565" s="133" t="s">
        <v>342</v>
      </c>
      <c r="E565" s="132" t="s">
        <v>375</v>
      </c>
      <c r="F565" s="132">
        <v>90</v>
      </c>
      <c r="G565" s="133" t="s">
        <v>376</v>
      </c>
      <c r="H565" s="133">
        <v>12</v>
      </c>
      <c r="I565" s="133" t="s">
        <v>464</v>
      </c>
      <c r="J565" s="132" t="s">
        <v>381</v>
      </c>
      <c r="K565" s="134" t="s">
        <v>379</v>
      </c>
      <c r="L565" s="134" t="s">
        <v>465</v>
      </c>
      <c r="M565" s="135">
        <f>1.776*USD_Inflation_Factor</f>
        <v>2.427886905153485</v>
      </c>
      <c r="N565" s="136">
        <f t="shared" si="31"/>
        <v>29.134642861841819</v>
      </c>
      <c r="O565" s="136">
        <f>0.4*N565*USD_Change_IRR * per_Euro</f>
        <v>5310566.7423261404</v>
      </c>
    </row>
    <row r="566" spans="1:15">
      <c r="A566" s="132">
        <v>563</v>
      </c>
      <c r="B566" s="133" t="s">
        <v>373</v>
      </c>
      <c r="C566" s="133" t="s">
        <v>463</v>
      </c>
      <c r="D566" s="133" t="s">
        <v>342</v>
      </c>
      <c r="E566" s="132" t="s">
        <v>375</v>
      </c>
      <c r="F566" s="132">
        <v>90</v>
      </c>
      <c r="G566" s="133" t="s">
        <v>376</v>
      </c>
      <c r="H566" s="133">
        <v>128</v>
      </c>
      <c r="I566" s="133" t="s">
        <v>464</v>
      </c>
      <c r="J566" s="132" t="s">
        <v>382</v>
      </c>
      <c r="K566" s="134" t="s">
        <v>379</v>
      </c>
      <c r="L566" s="134" t="s">
        <v>465</v>
      </c>
      <c r="M566" s="135">
        <f>1.776*USD_Inflation_Factor</f>
        <v>2.427886905153485</v>
      </c>
      <c r="N566" s="136">
        <f t="shared" si="31"/>
        <v>310.76952385964609</v>
      </c>
      <c r="O566" s="136">
        <f>0.4*N566*USD_Change_IRR * per_Euro</f>
        <v>56646045.251478836</v>
      </c>
    </row>
    <row r="567" spans="1:15">
      <c r="A567" s="132">
        <v>564</v>
      </c>
      <c r="B567" s="133" t="s">
        <v>373</v>
      </c>
      <c r="C567" s="133" t="s">
        <v>463</v>
      </c>
      <c r="D567" s="133" t="s">
        <v>342</v>
      </c>
      <c r="E567" s="132" t="s">
        <v>398</v>
      </c>
      <c r="F567" s="132">
        <v>70</v>
      </c>
      <c r="G567" s="133" t="s">
        <v>376</v>
      </c>
      <c r="H567" s="133">
        <v>8</v>
      </c>
      <c r="I567" s="133" t="s">
        <v>464</v>
      </c>
      <c r="J567" s="132" t="s">
        <v>452</v>
      </c>
      <c r="K567" s="134" t="s">
        <v>379</v>
      </c>
      <c r="L567" s="134" t="s">
        <v>465</v>
      </c>
      <c r="M567" s="135">
        <f>0.928*USD_Inflation_Factor</f>
        <v>1.2686255900801995</v>
      </c>
      <c r="N567" s="136">
        <f t="shared" si="31"/>
        <v>10.149004720641596</v>
      </c>
      <c r="O567" s="136">
        <f>0.4*N567*USD_Change_IRR * per_Euro</f>
        <v>1849927.1534829803</v>
      </c>
    </row>
    <row r="568" spans="1:15">
      <c r="A568" s="132">
        <v>565</v>
      </c>
      <c r="B568" s="133" t="s">
        <v>373</v>
      </c>
      <c r="C568" s="133" t="s">
        <v>463</v>
      </c>
      <c r="D568" s="133" t="s">
        <v>342</v>
      </c>
      <c r="E568" s="132" t="s">
        <v>375</v>
      </c>
      <c r="F568" s="132">
        <v>85</v>
      </c>
      <c r="G568" s="133" t="s">
        <v>376</v>
      </c>
      <c r="H568" s="133">
        <v>16</v>
      </c>
      <c r="I568" s="133" t="s">
        <v>377</v>
      </c>
      <c r="J568" s="132" t="s">
        <v>378</v>
      </c>
      <c r="K568" s="134" t="s">
        <v>379</v>
      </c>
      <c r="L568" s="132" t="s">
        <v>380</v>
      </c>
      <c r="M568" s="135">
        <f>0.888*USD_Inflation_Factor</f>
        <v>1.2139434525767425</v>
      </c>
      <c r="N568" s="136">
        <f t="shared" si="31"/>
        <v>19.42309524122788</v>
      </c>
      <c r="O568" s="136">
        <f>0.4*N568*USD_Change_IRR * per_Euro</f>
        <v>3540377.8282174272</v>
      </c>
    </row>
    <row r="569" spans="1:15">
      <c r="A569" s="132">
        <v>566</v>
      </c>
      <c r="B569" s="133" t="s">
        <v>389</v>
      </c>
      <c r="C569" s="133" t="s">
        <v>463</v>
      </c>
      <c r="D569" s="133" t="s">
        <v>393</v>
      </c>
      <c r="E569" s="132">
        <v>2</v>
      </c>
      <c r="F569" s="132" t="s">
        <v>342</v>
      </c>
      <c r="G569" s="133" t="s">
        <v>376</v>
      </c>
      <c r="H569" s="133">
        <v>6</v>
      </c>
      <c r="I569" s="133" t="s">
        <v>464</v>
      </c>
      <c r="J569" s="132" t="s">
        <v>342</v>
      </c>
      <c r="K569" s="132" t="s">
        <v>466</v>
      </c>
      <c r="L569" s="132"/>
      <c r="M569" s="135">
        <f>85.64*USD_Inflation_Factor</f>
        <v>117.07445639490116</v>
      </c>
      <c r="N569" s="136">
        <f t="shared" si="31"/>
        <v>702.44673836940694</v>
      </c>
      <c r="O569" s="136">
        <f t="shared" ref="O569:O589" si="33">0.25*N569*USD_Change_IRR * per_Euro</f>
        <v>80024798.672017649</v>
      </c>
    </row>
    <row r="570" spans="1:15">
      <c r="A570" s="132">
        <v>567</v>
      </c>
      <c r="B570" s="133" t="s">
        <v>389</v>
      </c>
      <c r="C570" s="133" t="s">
        <v>463</v>
      </c>
      <c r="D570" s="133" t="s">
        <v>393</v>
      </c>
      <c r="E570" s="132">
        <v>4</v>
      </c>
      <c r="F570" s="132" t="s">
        <v>342</v>
      </c>
      <c r="G570" s="133" t="s">
        <v>376</v>
      </c>
      <c r="H570" s="133">
        <v>15</v>
      </c>
      <c r="I570" s="133" t="s">
        <v>464</v>
      </c>
      <c r="J570" s="132" t="s">
        <v>342</v>
      </c>
      <c r="K570" s="132" t="s">
        <v>466</v>
      </c>
      <c r="L570" s="132"/>
      <c r="M570" s="135">
        <f>168.6*USD_Inflation_Factor</f>
        <v>230.48520957707072</v>
      </c>
      <c r="N570" s="136">
        <f t="shared" si="31"/>
        <v>3457.2781436560608</v>
      </c>
      <c r="O570" s="136">
        <f t="shared" si="33"/>
        <v>393863295.65921813</v>
      </c>
    </row>
    <row r="571" spans="1:15">
      <c r="A571" s="132">
        <v>568</v>
      </c>
      <c r="B571" s="133" t="s">
        <v>389</v>
      </c>
      <c r="C571" s="133" t="s">
        <v>463</v>
      </c>
      <c r="D571" s="133" t="s">
        <v>393</v>
      </c>
      <c r="E571" s="132">
        <v>2</v>
      </c>
      <c r="F571" s="132" t="s">
        <v>342</v>
      </c>
      <c r="G571" s="133" t="s">
        <v>376</v>
      </c>
      <c r="H571" s="133">
        <v>8</v>
      </c>
      <c r="I571" s="133" t="s">
        <v>377</v>
      </c>
      <c r="J571" s="132" t="s">
        <v>391</v>
      </c>
      <c r="K571" s="132" t="s">
        <v>392</v>
      </c>
      <c r="L571" s="132"/>
      <c r="M571" s="135">
        <f>7.6*USD_Inflation_Factor</f>
        <v>10.389606125656805</v>
      </c>
      <c r="N571" s="136">
        <f t="shared" si="31"/>
        <v>83.116849005254437</v>
      </c>
      <c r="O571" s="136">
        <f t="shared" si="33"/>
        <v>9468915.9256941304</v>
      </c>
    </row>
    <row r="572" spans="1:15">
      <c r="A572" s="132">
        <v>569</v>
      </c>
      <c r="B572" s="133" t="s">
        <v>389</v>
      </c>
      <c r="C572" s="133" t="s">
        <v>463</v>
      </c>
      <c r="D572" s="133" t="s">
        <v>394</v>
      </c>
      <c r="E572" s="132">
        <v>1</v>
      </c>
      <c r="F572" s="132" t="s">
        <v>342</v>
      </c>
      <c r="G572" s="133" t="s">
        <v>376</v>
      </c>
      <c r="H572" s="133">
        <v>5</v>
      </c>
      <c r="I572" s="133" t="s">
        <v>464</v>
      </c>
      <c r="J572" s="132" t="s">
        <v>342</v>
      </c>
      <c r="K572" s="132" t="s">
        <v>443</v>
      </c>
      <c r="L572" s="132"/>
      <c r="M572" s="135">
        <f>1*USD_Inflation_Factor</f>
        <v>1.3670534375864218</v>
      </c>
      <c r="N572" s="136">
        <f t="shared" si="31"/>
        <v>6.835267187932109</v>
      </c>
      <c r="O572" s="136">
        <f t="shared" si="33"/>
        <v>778693.74388932018</v>
      </c>
    </row>
    <row r="573" spans="1:15">
      <c r="A573" s="132">
        <v>570</v>
      </c>
      <c r="B573" s="133" t="s">
        <v>389</v>
      </c>
      <c r="C573" s="133" t="s">
        <v>463</v>
      </c>
      <c r="D573" s="133" t="s">
        <v>395</v>
      </c>
      <c r="E573" s="132">
        <v>2</v>
      </c>
      <c r="F573" s="132" t="s">
        <v>446</v>
      </c>
      <c r="G573" s="133" t="s">
        <v>376</v>
      </c>
      <c r="H573" s="133">
        <v>2</v>
      </c>
      <c r="I573" s="133" t="s">
        <v>464</v>
      </c>
      <c r="J573" s="132" t="s">
        <v>342</v>
      </c>
      <c r="K573" s="132" t="s">
        <v>466</v>
      </c>
      <c r="L573" s="132"/>
      <c r="M573" s="135">
        <f>50.68*USD_Inflation_Factor</f>
        <v>69.282268216879856</v>
      </c>
      <c r="N573" s="136">
        <f t="shared" si="31"/>
        <v>138.56453643375971</v>
      </c>
      <c r="O573" s="136">
        <f t="shared" si="33"/>
        <v>15785679.576124297</v>
      </c>
    </row>
    <row r="574" spans="1:15">
      <c r="A574" s="132">
        <v>571</v>
      </c>
      <c r="B574" s="133" t="s">
        <v>389</v>
      </c>
      <c r="C574" s="133" t="s">
        <v>463</v>
      </c>
      <c r="D574" s="133" t="s">
        <v>395</v>
      </c>
      <c r="E574" s="132">
        <v>4</v>
      </c>
      <c r="F574" s="132">
        <v>3</v>
      </c>
      <c r="G574" s="133" t="s">
        <v>376</v>
      </c>
      <c r="H574" s="133">
        <v>3</v>
      </c>
      <c r="I574" s="133" t="s">
        <v>464</v>
      </c>
      <c r="J574" s="132" t="s">
        <v>342</v>
      </c>
      <c r="K574" s="132" t="s">
        <v>466</v>
      </c>
      <c r="L574" s="132"/>
      <c r="M574" s="135">
        <f>145.6*USD_Inflation_Factor</f>
        <v>199.042980512583</v>
      </c>
      <c r="N574" s="136">
        <f t="shared" si="31"/>
        <v>597.12894153774903</v>
      </c>
      <c r="O574" s="136">
        <f t="shared" si="33"/>
        <v>68026685.466171011</v>
      </c>
    </row>
    <row r="575" spans="1:15">
      <c r="A575" s="132">
        <v>572</v>
      </c>
      <c r="B575" s="133" t="s">
        <v>389</v>
      </c>
      <c r="C575" s="133" t="s">
        <v>463</v>
      </c>
      <c r="D575" s="133" t="s">
        <v>396</v>
      </c>
      <c r="E575" s="132">
        <v>2</v>
      </c>
      <c r="F575" s="132">
        <v>1</v>
      </c>
      <c r="G575" s="133" t="s">
        <v>376</v>
      </c>
      <c r="H575" s="133">
        <v>1</v>
      </c>
      <c r="I575" s="133" t="s">
        <v>464</v>
      </c>
      <c r="J575" s="132" t="s">
        <v>342</v>
      </c>
      <c r="K575" s="132" t="s">
        <v>466</v>
      </c>
      <c r="L575" s="132"/>
      <c r="M575" s="135">
        <f>88.28*USD_Inflation_Factor</f>
        <v>120.68347747012932</v>
      </c>
      <c r="N575" s="136">
        <f t="shared" si="31"/>
        <v>120.68347747012932</v>
      </c>
      <c r="O575" s="136">
        <f t="shared" si="33"/>
        <v>13748616.742109837</v>
      </c>
    </row>
    <row r="576" spans="1:15">
      <c r="A576" s="132">
        <v>573</v>
      </c>
      <c r="B576" s="133" t="s">
        <v>389</v>
      </c>
      <c r="C576" s="133" t="s">
        <v>463</v>
      </c>
      <c r="D576" s="133" t="s">
        <v>396</v>
      </c>
      <c r="E576" s="132">
        <v>4</v>
      </c>
      <c r="F576" s="132">
        <v>1</v>
      </c>
      <c r="G576" s="133" t="s">
        <v>376</v>
      </c>
      <c r="H576" s="133">
        <v>4</v>
      </c>
      <c r="I576" s="133" t="s">
        <v>464</v>
      </c>
      <c r="J576" s="132" t="s">
        <v>342</v>
      </c>
      <c r="K576" s="132" t="s">
        <v>466</v>
      </c>
      <c r="L576" s="132"/>
      <c r="M576" s="135">
        <f>155.8*USD_Inflation_Factor</f>
        <v>212.98692557596453</v>
      </c>
      <c r="N576" s="136">
        <f t="shared" si="31"/>
        <v>851.94770230385814</v>
      </c>
      <c r="O576" s="136">
        <f t="shared" si="33"/>
        <v>97056388.238364875</v>
      </c>
    </row>
    <row r="577" spans="1:15">
      <c r="A577" s="132">
        <v>574</v>
      </c>
      <c r="B577" s="133" t="s">
        <v>389</v>
      </c>
      <c r="C577" s="133" t="s">
        <v>463</v>
      </c>
      <c r="D577" s="133" t="s">
        <v>397</v>
      </c>
      <c r="E577" s="132">
        <v>2</v>
      </c>
      <c r="F577" s="132">
        <v>2</v>
      </c>
      <c r="G577" s="133" t="s">
        <v>376</v>
      </c>
      <c r="H577" s="133">
        <v>2</v>
      </c>
      <c r="I577" s="133" t="s">
        <v>464</v>
      </c>
      <c r="J577" s="132" t="s">
        <v>342</v>
      </c>
      <c r="K577" s="132" t="s">
        <v>466</v>
      </c>
      <c r="L577" s="132"/>
      <c r="M577" s="135">
        <f>125.8*USD_Inflation_Factor</f>
        <v>171.97532244837186</v>
      </c>
      <c r="N577" s="136">
        <f t="shared" si="31"/>
        <v>343.95064489674371</v>
      </c>
      <c r="O577" s="136">
        <f t="shared" si="33"/>
        <v>39183869.192510583</v>
      </c>
    </row>
    <row r="578" spans="1:15">
      <c r="A578" s="132">
        <v>575</v>
      </c>
      <c r="B578" s="133" t="s">
        <v>389</v>
      </c>
      <c r="C578" s="133" t="s">
        <v>463</v>
      </c>
      <c r="D578" s="133" t="s">
        <v>397</v>
      </c>
      <c r="E578" s="132">
        <v>4</v>
      </c>
      <c r="F578" s="132">
        <v>4</v>
      </c>
      <c r="G578" s="133" t="s">
        <v>376</v>
      </c>
      <c r="H578" s="133">
        <v>2</v>
      </c>
      <c r="I578" s="133" t="s">
        <v>464</v>
      </c>
      <c r="J578" s="132" t="s">
        <v>342</v>
      </c>
      <c r="K578" s="132" t="s">
        <v>466</v>
      </c>
      <c r="L578" s="132"/>
      <c r="M578" s="135">
        <f>157.08*USD_Inflation_Factor</f>
        <v>214.73675397607516</v>
      </c>
      <c r="N578" s="136">
        <f t="shared" si="31"/>
        <v>429.47350795215033</v>
      </c>
      <c r="O578" s="136">
        <f t="shared" si="33"/>
        <v>48926885.31605377</v>
      </c>
    </row>
    <row r="579" spans="1:15">
      <c r="A579" s="132">
        <v>576</v>
      </c>
      <c r="B579" s="133" t="s">
        <v>389</v>
      </c>
      <c r="C579" s="133" t="s">
        <v>463</v>
      </c>
      <c r="D579" s="133" t="s">
        <v>397</v>
      </c>
      <c r="E579" s="132">
        <v>2</v>
      </c>
      <c r="F579" s="132">
        <v>2</v>
      </c>
      <c r="G579" s="133" t="s">
        <v>376</v>
      </c>
      <c r="H579" s="133">
        <v>2</v>
      </c>
      <c r="I579" s="133" t="s">
        <v>377</v>
      </c>
      <c r="J579" s="132" t="s">
        <v>391</v>
      </c>
      <c r="K579" s="132" t="s">
        <v>392</v>
      </c>
      <c r="L579" s="132"/>
      <c r="M579" s="135">
        <f>9.5*USD_Inflation_Factor</f>
        <v>12.987007657071008</v>
      </c>
      <c r="N579" s="136">
        <f t="shared" si="31"/>
        <v>25.974015314142015</v>
      </c>
      <c r="O579" s="136">
        <f t="shared" si="33"/>
        <v>2959036.2267794167</v>
      </c>
    </row>
    <row r="580" spans="1:15">
      <c r="A580" s="132">
        <v>577</v>
      </c>
      <c r="B580" s="133" t="s">
        <v>389</v>
      </c>
      <c r="C580" s="133" t="s">
        <v>463</v>
      </c>
      <c r="D580" s="133" t="s">
        <v>467</v>
      </c>
      <c r="E580" s="132">
        <v>2</v>
      </c>
      <c r="F580" s="132" t="s">
        <v>342</v>
      </c>
      <c r="G580" s="133" t="s">
        <v>376</v>
      </c>
      <c r="H580" s="133">
        <v>2</v>
      </c>
      <c r="I580" s="133" t="s">
        <v>377</v>
      </c>
      <c r="J580" s="132" t="s">
        <v>391</v>
      </c>
      <c r="K580" s="132" t="s">
        <v>392</v>
      </c>
      <c r="L580" s="132"/>
      <c r="M580" s="135">
        <f>2*USD_Inflation_Factor</f>
        <v>2.7341068751728437</v>
      </c>
      <c r="N580" s="136">
        <f t="shared" ref="N580:N643" si="34">M580*H580</f>
        <v>5.4682137503456874</v>
      </c>
      <c r="O580" s="136">
        <f t="shared" si="33"/>
        <v>622954.99511145614</v>
      </c>
    </row>
    <row r="581" spans="1:15">
      <c r="A581" s="132">
        <v>578</v>
      </c>
      <c r="B581" s="133" t="s">
        <v>389</v>
      </c>
      <c r="C581" s="133" t="s">
        <v>463</v>
      </c>
      <c r="D581" s="133" t="s">
        <v>396</v>
      </c>
      <c r="E581" s="132">
        <v>4</v>
      </c>
      <c r="F581" s="132">
        <v>2</v>
      </c>
      <c r="G581" s="133" t="s">
        <v>376</v>
      </c>
      <c r="H581" s="133">
        <v>1</v>
      </c>
      <c r="I581" s="133" t="s">
        <v>464</v>
      </c>
      <c r="J581" s="132" t="s">
        <v>342</v>
      </c>
      <c r="K581" s="132" t="s">
        <v>466</v>
      </c>
      <c r="L581" s="132"/>
      <c r="M581" s="135">
        <f>155.8*USD_Inflation_Factor</f>
        <v>212.98692557596453</v>
      </c>
      <c r="N581" s="136">
        <f t="shared" si="34"/>
        <v>212.98692557596453</v>
      </c>
      <c r="O581" s="136">
        <f t="shared" si="33"/>
        <v>24264097.059591219</v>
      </c>
    </row>
    <row r="582" spans="1:15">
      <c r="A582" s="132">
        <v>579</v>
      </c>
      <c r="B582" s="133" t="s">
        <v>389</v>
      </c>
      <c r="C582" s="133" t="s">
        <v>463</v>
      </c>
      <c r="D582" s="133" t="s">
        <v>396</v>
      </c>
      <c r="E582" s="132">
        <v>4</v>
      </c>
      <c r="F582" s="132" t="s">
        <v>446</v>
      </c>
      <c r="G582" s="133" t="s">
        <v>376</v>
      </c>
      <c r="H582" s="133"/>
      <c r="I582" s="133" t="s">
        <v>464</v>
      </c>
      <c r="J582" s="132" t="s">
        <v>342</v>
      </c>
      <c r="K582" s="132" t="s">
        <v>466</v>
      </c>
      <c r="L582" s="132"/>
      <c r="M582" s="135">
        <f>155.8*USD_Inflation_Factor</f>
        <v>212.98692557596453</v>
      </c>
      <c r="N582" s="136">
        <f t="shared" si="34"/>
        <v>0</v>
      </c>
      <c r="O582" s="136">
        <f t="shared" si="33"/>
        <v>0</v>
      </c>
    </row>
    <row r="583" spans="1:15">
      <c r="A583" s="132">
        <v>580</v>
      </c>
      <c r="B583" s="133" t="s">
        <v>399</v>
      </c>
      <c r="C583" s="133" t="s">
        <v>463</v>
      </c>
      <c r="D583" s="133" t="s">
        <v>399</v>
      </c>
      <c r="E583" s="132">
        <v>2</v>
      </c>
      <c r="F583" s="132" t="s">
        <v>342</v>
      </c>
      <c r="G583" s="133" t="s">
        <v>376</v>
      </c>
      <c r="H583" s="133">
        <v>9</v>
      </c>
      <c r="I583" s="133" t="s">
        <v>464</v>
      </c>
      <c r="J583" s="132" t="s">
        <v>342</v>
      </c>
      <c r="K583" s="132" t="s">
        <v>400</v>
      </c>
      <c r="L583" s="132"/>
      <c r="M583" s="135">
        <f>8.22*USD_Inflation_Factor</f>
        <v>11.237179256960388</v>
      </c>
      <c r="N583" s="136">
        <f t="shared" si="34"/>
        <v>101.13461331264349</v>
      </c>
      <c r="O583" s="136">
        <f t="shared" si="33"/>
        <v>11521552.634586383</v>
      </c>
    </row>
    <row r="584" spans="1:15">
      <c r="A584" s="132">
        <v>581</v>
      </c>
      <c r="B584" s="133" t="s">
        <v>399</v>
      </c>
      <c r="C584" s="133" t="s">
        <v>463</v>
      </c>
      <c r="D584" s="133" t="s">
        <v>399</v>
      </c>
      <c r="E584" s="132">
        <v>3</v>
      </c>
      <c r="F584" s="132" t="s">
        <v>342</v>
      </c>
      <c r="G584" s="133" t="s">
        <v>376</v>
      </c>
      <c r="H584" s="133">
        <v>3</v>
      </c>
      <c r="I584" s="133" t="s">
        <v>464</v>
      </c>
      <c r="J584" s="132" t="s">
        <v>342</v>
      </c>
      <c r="K584" s="132" t="s">
        <v>400</v>
      </c>
      <c r="L584" s="132"/>
      <c r="M584" s="135">
        <f>16.78*USD_Inflation_Factor</f>
        <v>22.939156682700158</v>
      </c>
      <c r="N584" s="136">
        <f t="shared" si="34"/>
        <v>68.817470048100475</v>
      </c>
      <c r="O584" s="136">
        <f t="shared" si="33"/>
        <v>7839888.6134776752</v>
      </c>
    </row>
    <row r="585" spans="1:15">
      <c r="A585" s="132">
        <v>582</v>
      </c>
      <c r="B585" s="133" t="s">
        <v>399</v>
      </c>
      <c r="C585" s="133" t="s">
        <v>463</v>
      </c>
      <c r="D585" s="133" t="s">
        <v>399</v>
      </c>
      <c r="E585" s="132">
        <v>4</v>
      </c>
      <c r="F585" s="132" t="s">
        <v>342</v>
      </c>
      <c r="G585" s="133" t="s">
        <v>376</v>
      </c>
      <c r="H585" s="133">
        <v>15</v>
      </c>
      <c r="I585" s="133" t="s">
        <v>464</v>
      </c>
      <c r="J585" s="132" t="s">
        <v>342</v>
      </c>
      <c r="K585" s="132" t="s">
        <v>400</v>
      </c>
      <c r="L585" s="132"/>
      <c r="M585" s="135">
        <f>22.26*USD_Inflation_Factor</f>
        <v>30.430609520673752</v>
      </c>
      <c r="N585" s="136">
        <f t="shared" si="34"/>
        <v>456.4591428101063</v>
      </c>
      <c r="O585" s="136">
        <f t="shared" si="33"/>
        <v>52001168.216928802</v>
      </c>
    </row>
    <row r="586" spans="1:15">
      <c r="A586" s="132">
        <v>583</v>
      </c>
      <c r="B586" s="133" t="s">
        <v>399</v>
      </c>
      <c r="C586" s="133" t="s">
        <v>463</v>
      </c>
      <c r="D586" s="133" t="s">
        <v>399</v>
      </c>
      <c r="E586" s="132" t="s">
        <v>446</v>
      </c>
      <c r="F586" s="132" t="s">
        <v>342</v>
      </c>
      <c r="G586" s="133" t="s">
        <v>376</v>
      </c>
      <c r="H586" s="133">
        <v>2</v>
      </c>
      <c r="I586" s="133" t="s">
        <v>464</v>
      </c>
      <c r="J586" s="132" t="s">
        <v>342</v>
      </c>
      <c r="K586" s="132" t="s">
        <v>400</v>
      </c>
      <c r="L586" s="132"/>
      <c r="M586" s="135">
        <f>4.45*USD_Inflation_Factor</f>
        <v>6.0833877972595776</v>
      </c>
      <c r="N586" s="136">
        <f t="shared" si="34"/>
        <v>12.166775594519155</v>
      </c>
      <c r="O586" s="136">
        <f t="shared" si="33"/>
        <v>1386074.8641229898</v>
      </c>
    </row>
    <row r="587" spans="1:15">
      <c r="A587" s="132">
        <v>584</v>
      </c>
      <c r="B587" s="133" t="s">
        <v>399</v>
      </c>
      <c r="C587" s="133" t="s">
        <v>463</v>
      </c>
      <c r="D587" s="133" t="s">
        <v>399</v>
      </c>
      <c r="E587" s="132">
        <v>2</v>
      </c>
      <c r="F587" s="132" t="s">
        <v>342</v>
      </c>
      <c r="G587" s="133" t="s">
        <v>376</v>
      </c>
      <c r="H587" s="133">
        <v>4</v>
      </c>
      <c r="I587" s="133" t="s">
        <v>377</v>
      </c>
      <c r="J587" s="132" t="s">
        <v>391</v>
      </c>
      <c r="K587" s="132" t="s">
        <v>400</v>
      </c>
      <c r="L587" s="132"/>
      <c r="M587" s="135">
        <f>8.22*USD_Inflation_Factor</f>
        <v>11.237179256960388</v>
      </c>
      <c r="N587" s="136">
        <f t="shared" si="34"/>
        <v>44.948717027841553</v>
      </c>
      <c r="O587" s="136">
        <f t="shared" si="33"/>
        <v>5120690.0598161696</v>
      </c>
    </row>
    <row r="588" spans="1:15">
      <c r="A588" s="132">
        <v>585</v>
      </c>
      <c r="B588" s="133" t="s">
        <v>399</v>
      </c>
      <c r="C588" s="133" t="s">
        <v>463</v>
      </c>
      <c r="D588" s="133" t="s">
        <v>447</v>
      </c>
      <c r="E588" s="132">
        <v>4</v>
      </c>
      <c r="F588" s="132" t="s">
        <v>342</v>
      </c>
      <c r="G588" s="133" t="s">
        <v>376</v>
      </c>
      <c r="H588" s="133">
        <v>2</v>
      </c>
      <c r="I588" s="133" t="s">
        <v>464</v>
      </c>
      <c r="J588" s="132" t="s">
        <v>342</v>
      </c>
      <c r="K588" s="132" t="s">
        <v>448</v>
      </c>
      <c r="L588" s="132"/>
      <c r="M588" s="135">
        <f>41.92*USD_Inflation_Factor</f>
        <v>57.306880103622802</v>
      </c>
      <c r="N588" s="136">
        <f t="shared" si="34"/>
        <v>114.6137602072456</v>
      </c>
      <c r="O588" s="136">
        <f t="shared" si="33"/>
        <v>13057136.69753612</v>
      </c>
    </row>
    <row r="589" spans="1:15">
      <c r="A589" s="132">
        <v>586</v>
      </c>
      <c r="B589" s="133" t="s">
        <v>399</v>
      </c>
      <c r="C589" s="133" t="s">
        <v>463</v>
      </c>
      <c r="D589" s="133" t="s">
        <v>447</v>
      </c>
      <c r="E589" s="132">
        <v>2</v>
      </c>
      <c r="F589" s="132" t="s">
        <v>342</v>
      </c>
      <c r="G589" s="133" t="s">
        <v>376</v>
      </c>
      <c r="H589" s="133">
        <v>1</v>
      </c>
      <c r="I589" s="133" t="s">
        <v>377</v>
      </c>
      <c r="J589" s="132" t="s">
        <v>391</v>
      </c>
      <c r="K589" s="132" t="s">
        <v>448</v>
      </c>
      <c r="L589" s="132"/>
      <c r="M589" s="135">
        <f>16.77*USD_Inflation_Factor</f>
        <v>22.925486148324293</v>
      </c>
      <c r="N589" s="136">
        <f t="shared" si="34"/>
        <v>22.925486148324293</v>
      </c>
      <c r="O589" s="136">
        <f t="shared" si="33"/>
        <v>2611738.8170047798</v>
      </c>
    </row>
    <row r="590" spans="1:15">
      <c r="A590" s="132">
        <v>587</v>
      </c>
      <c r="B590" s="133" t="s">
        <v>401</v>
      </c>
      <c r="C590" s="133" t="s">
        <v>463</v>
      </c>
      <c r="D590" s="133" t="s">
        <v>342</v>
      </c>
      <c r="E590" s="132">
        <v>2</v>
      </c>
      <c r="F590" s="132" t="s">
        <v>342</v>
      </c>
      <c r="G590" s="133" t="s">
        <v>376</v>
      </c>
      <c r="H590" s="133">
        <v>9</v>
      </c>
      <c r="I590" s="133" t="s">
        <v>464</v>
      </c>
      <c r="J590" s="132" t="s">
        <v>342</v>
      </c>
      <c r="K590" s="132" t="s">
        <v>402</v>
      </c>
      <c r="L590" s="132"/>
      <c r="M590" s="135">
        <f>1.03*USD_Inflation_Factor</f>
        <v>1.4080650407140145</v>
      </c>
      <c r="N590" s="136">
        <f t="shared" si="34"/>
        <v>12.67258536642613</v>
      </c>
      <c r="O590" s="136">
        <f>0.4*N590*USD_Change_IRR * per_Euro</f>
        <v>2309917.1218732791</v>
      </c>
    </row>
    <row r="591" spans="1:15">
      <c r="A591" s="132">
        <v>588</v>
      </c>
      <c r="B591" s="133" t="s">
        <v>401</v>
      </c>
      <c r="C591" s="133" t="s">
        <v>463</v>
      </c>
      <c r="D591" s="133" t="s">
        <v>342</v>
      </c>
      <c r="E591" s="132">
        <v>3</v>
      </c>
      <c r="F591" s="132" t="s">
        <v>342</v>
      </c>
      <c r="G591" s="133" t="s">
        <v>376</v>
      </c>
      <c r="H591" s="133">
        <v>3</v>
      </c>
      <c r="I591" s="133" t="s">
        <v>464</v>
      </c>
      <c r="J591" s="132" t="s">
        <v>342</v>
      </c>
      <c r="K591" s="132" t="s">
        <v>402</v>
      </c>
      <c r="L591" s="132"/>
      <c r="M591" s="135">
        <f>1.53*USD_Inflation_Factor</f>
        <v>2.0915917595072253</v>
      </c>
      <c r="N591" s="136">
        <f t="shared" si="34"/>
        <v>6.2747752785216759</v>
      </c>
      <c r="O591" s="136">
        <f>0.4*N591*USD_Change_IRR * per_Euro</f>
        <v>1143745.3710246333</v>
      </c>
    </row>
    <row r="592" spans="1:15">
      <c r="A592" s="132">
        <v>589</v>
      </c>
      <c r="B592" s="133" t="s">
        <v>401</v>
      </c>
      <c r="C592" s="133" t="s">
        <v>463</v>
      </c>
      <c r="D592" s="133" t="s">
        <v>342</v>
      </c>
      <c r="E592" s="132">
        <v>4</v>
      </c>
      <c r="F592" s="132" t="s">
        <v>342</v>
      </c>
      <c r="G592" s="133" t="s">
        <v>376</v>
      </c>
      <c r="H592" s="133">
        <v>19</v>
      </c>
      <c r="I592" s="133" t="s">
        <v>464</v>
      </c>
      <c r="J592" s="132" t="s">
        <v>342</v>
      </c>
      <c r="K592" s="132" t="s">
        <v>402</v>
      </c>
      <c r="L592" s="132"/>
      <c r="M592" s="135">
        <f>2.47*USD_Inflation_Factor</f>
        <v>3.376621990838462</v>
      </c>
      <c r="N592" s="136">
        <f t="shared" si="34"/>
        <v>64.155817825930782</v>
      </c>
      <c r="O592" s="136">
        <f>0.4*N592*USD_Change_IRR * per_Euro</f>
        <v>11694111.168232257</v>
      </c>
    </row>
    <row r="593" spans="1:15">
      <c r="A593" s="132">
        <v>590</v>
      </c>
      <c r="B593" s="133" t="s">
        <v>401</v>
      </c>
      <c r="C593" s="133" t="s">
        <v>463</v>
      </c>
      <c r="D593" s="133" t="s">
        <v>342</v>
      </c>
      <c r="E593" s="132" t="s">
        <v>446</v>
      </c>
      <c r="F593" s="132" t="s">
        <v>342</v>
      </c>
      <c r="G593" s="133" t="s">
        <v>376</v>
      </c>
      <c r="H593" s="133">
        <v>2</v>
      </c>
      <c r="I593" s="133" t="s">
        <v>464</v>
      </c>
      <c r="J593" s="132" t="s">
        <v>342</v>
      </c>
      <c r="K593" s="132" t="s">
        <v>402</v>
      </c>
      <c r="L593" s="132"/>
      <c r="M593" s="135">
        <f>0.67*USD_Inflation_Factor</f>
        <v>0.91592580318290273</v>
      </c>
      <c r="N593" s="136">
        <f t="shared" si="34"/>
        <v>1.8318516063658055</v>
      </c>
      <c r="O593" s="136">
        <f>0.4*N593*USD_Change_IRR * per_Euro</f>
        <v>333903.87737974047</v>
      </c>
    </row>
    <row r="594" spans="1:15">
      <c r="A594" s="132">
        <v>591</v>
      </c>
      <c r="B594" s="133" t="s">
        <v>401</v>
      </c>
      <c r="C594" s="133" t="s">
        <v>463</v>
      </c>
      <c r="D594" s="133" t="s">
        <v>342</v>
      </c>
      <c r="E594" s="132">
        <v>2</v>
      </c>
      <c r="F594" s="132" t="s">
        <v>342</v>
      </c>
      <c r="G594" s="133" t="s">
        <v>376</v>
      </c>
      <c r="H594" s="133">
        <v>5</v>
      </c>
      <c r="I594" s="133" t="s">
        <v>377</v>
      </c>
      <c r="J594" s="132" t="s">
        <v>391</v>
      </c>
      <c r="K594" s="132" t="s">
        <v>402</v>
      </c>
      <c r="L594" s="132"/>
      <c r="M594" s="135">
        <f>1.03*USD_Inflation_Factor</f>
        <v>1.4080650407140145</v>
      </c>
      <c r="N594" s="136">
        <f t="shared" si="34"/>
        <v>7.0403252035700721</v>
      </c>
      <c r="O594" s="136">
        <f>0.4*N594*USD_Change_IRR * per_Euro</f>
        <v>1283287.2899295997</v>
      </c>
    </row>
    <row r="595" spans="1:15">
      <c r="A595" s="132">
        <v>592</v>
      </c>
      <c r="B595" s="133" t="s">
        <v>403</v>
      </c>
      <c r="C595" s="133" t="s">
        <v>463</v>
      </c>
      <c r="D595" s="133" t="s">
        <v>342</v>
      </c>
      <c r="E595" s="132">
        <v>2</v>
      </c>
      <c r="F595" s="132" t="s">
        <v>342</v>
      </c>
      <c r="G595" s="133" t="s">
        <v>404</v>
      </c>
      <c r="H595" s="133">
        <v>235</v>
      </c>
      <c r="I595" s="133" t="s">
        <v>464</v>
      </c>
      <c r="J595" s="132" t="s">
        <v>342</v>
      </c>
      <c r="K595" s="132" t="s">
        <v>466</v>
      </c>
      <c r="L595" s="132"/>
      <c r="M595" s="135">
        <f>26.84*USD_Inflation_Factor</f>
        <v>36.691714264819559</v>
      </c>
      <c r="N595" s="136">
        <f t="shared" si="34"/>
        <v>8622.5528522325967</v>
      </c>
      <c r="O595" s="136">
        <f>0.15*N595*USD_Change_IRR * per_Euro</f>
        <v>589383950.4248997</v>
      </c>
    </row>
    <row r="596" spans="1:15">
      <c r="A596" s="132">
        <v>593</v>
      </c>
      <c r="B596" s="133" t="s">
        <v>403</v>
      </c>
      <c r="C596" s="133" t="s">
        <v>463</v>
      </c>
      <c r="D596" s="133" t="s">
        <v>342</v>
      </c>
      <c r="E596" s="132">
        <v>4</v>
      </c>
      <c r="F596" s="132" t="s">
        <v>342</v>
      </c>
      <c r="G596" s="133" t="s">
        <v>404</v>
      </c>
      <c r="H596" s="133">
        <v>876.5</v>
      </c>
      <c r="I596" s="133" t="s">
        <v>464</v>
      </c>
      <c r="J596" s="132" t="s">
        <v>342</v>
      </c>
      <c r="K596" s="132" t="s">
        <v>466</v>
      </c>
      <c r="L596" s="132"/>
      <c r="M596" s="135">
        <f>32.48*USD_Inflation_Factor</f>
        <v>44.401895652806978</v>
      </c>
      <c r="N596" s="136">
        <f t="shared" si="34"/>
        <v>38918.261539685314</v>
      </c>
      <c r="O596" s="136">
        <f>0.15*N596*USD_Change_IRR * per_Euro</f>
        <v>2660209699.2644114</v>
      </c>
    </row>
    <row r="597" spans="1:15">
      <c r="A597" s="132">
        <v>594</v>
      </c>
      <c r="B597" s="133" t="s">
        <v>403</v>
      </c>
      <c r="C597" s="133" t="s">
        <v>463</v>
      </c>
      <c r="D597" s="133" t="s">
        <v>342</v>
      </c>
      <c r="E597" s="132">
        <v>2</v>
      </c>
      <c r="F597" s="132" t="s">
        <v>342</v>
      </c>
      <c r="G597" s="133" t="s">
        <v>404</v>
      </c>
      <c r="H597" s="133">
        <v>47</v>
      </c>
      <c r="I597" s="133" t="s">
        <v>377</v>
      </c>
      <c r="J597" s="132" t="s">
        <v>405</v>
      </c>
      <c r="K597" s="132" t="s">
        <v>392</v>
      </c>
      <c r="L597" s="132"/>
      <c r="M597" s="135">
        <f>1.070928*USD_Inflation_Factor</f>
        <v>1.4640158038075517</v>
      </c>
      <c r="N597" s="136">
        <f t="shared" si="34"/>
        <v>68.808742778954937</v>
      </c>
      <c r="O597" s="136">
        <f>0.15*N597*USD_Change_IRR * per_Euro</f>
        <v>4703336.6263832878</v>
      </c>
    </row>
    <row r="598" spans="1:15">
      <c r="A598" s="132">
        <v>595</v>
      </c>
      <c r="B598" s="133" t="s">
        <v>406</v>
      </c>
      <c r="C598" s="133" t="s">
        <v>463</v>
      </c>
      <c r="D598" s="133" t="s">
        <v>407</v>
      </c>
      <c r="E598" s="132">
        <v>4</v>
      </c>
      <c r="F598" s="132" t="s">
        <v>342</v>
      </c>
      <c r="G598" s="133" t="s">
        <v>376</v>
      </c>
      <c r="H598" s="133"/>
      <c r="I598" s="133" t="s">
        <v>464</v>
      </c>
      <c r="J598" s="132" t="s">
        <v>342</v>
      </c>
      <c r="K598" s="132" t="s">
        <v>408</v>
      </c>
      <c r="L598" s="132"/>
      <c r="M598" s="135">
        <f>386*USD_Inflation_Factor</f>
        <v>527.68262690835888</v>
      </c>
      <c r="N598" s="136">
        <f t="shared" si="34"/>
        <v>0</v>
      </c>
      <c r="O598" s="136">
        <f>0.25*N598*USD_Change_IRR * per_Euro</f>
        <v>0</v>
      </c>
    </row>
    <row r="599" spans="1:15">
      <c r="A599" s="132">
        <v>596</v>
      </c>
      <c r="B599" s="133" t="s">
        <v>406</v>
      </c>
      <c r="C599" s="133" t="s">
        <v>463</v>
      </c>
      <c r="D599" s="133" t="s">
        <v>409</v>
      </c>
      <c r="E599" s="132">
        <v>4</v>
      </c>
      <c r="F599" s="132" t="s">
        <v>342</v>
      </c>
      <c r="G599" s="133" t="s">
        <v>376</v>
      </c>
      <c r="H599" s="133">
        <v>2</v>
      </c>
      <c r="I599" s="133" t="s">
        <v>464</v>
      </c>
      <c r="J599" s="132" t="s">
        <v>342</v>
      </c>
      <c r="K599" s="132" t="s">
        <v>400</v>
      </c>
      <c r="L599" s="132"/>
      <c r="M599" s="135">
        <f>22.26*USD_Inflation_Factor</f>
        <v>30.430609520673752</v>
      </c>
      <c r="N599" s="136">
        <f t="shared" si="34"/>
        <v>60.861219041347503</v>
      </c>
      <c r="O599" s="136">
        <f>0.25*N599*USD_Change_IRR * per_Euro</f>
        <v>6933489.0955905067</v>
      </c>
    </row>
    <row r="600" spans="1:15">
      <c r="A600" s="132">
        <v>597</v>
      </c>
      <c r="B600" s="133" t="s">
        <v>411</v>
      </c>
      <c r="C600" s="133" t="s">
        <v>463</v>
      </c>
      <c r="D600" s="133" t="s">
        <v>412</v>
      </c>
      <c r="E600" s="132">
        <v>4</v>
      </c>
      <c r="F600" s="132" t="s">
        <v>342</v>
      </c>
      <c r="G600" s="133" t="s">
        <v>376</v>
      </c>
      <c r="H600" s="133">
        <v>1</v>
      </c>
      <c r="I600" s="133" t="s">
        <v>464</v>
      </c>
      <c r="J600" s="132" t="s">
        <v>342</v>
      </c>
      <c r="K600" s="132" t="s">
        <v>413</v>
      </c>
      <c r="L600" s="132"/>
      <c r="M600" s="135">
        <f>1068.1*USD_Inflation_Factor</f>
        <v>1460.1497766860571</v>
      </c>
      <c r="N600" s="136">
        <f t="shared" si="34"/>
        <v>1460.1497766860571</v>
      </c>
      <c r="O600" s="136">
        <f t="shared" ref="O600:O605" si="35">0.15*N600*USD_Change_IRR * per_Euro</f>
        <v>99806734.541781932</v>
      </c>
    </row>
    <row r="601" spans="1:15">
      <c r="A601" s="132">
        <v>598</v>
      </c>
      <c r="B601" s="133" t="s">
        <v>411</v>
      </c>
      <c r="C601" s="133" t="s">
        <v>463</v>
      </c>
      <c r="D601" s="133" t="s">
        <v>414</v>
      </c>
      <c r="E601" s="132">
        <v>1</v>
      </c>
      <c r="F601" s="132" t="s">
        <v>342</v>
      </c>
      <c r="G601" s="133" t="s">
        <v>376</v>
      </c>
      <c r="H601" s="133">
        <v>5</v>
      </c>
      <c r="I601" s="133" t="s">
        <v>464</v>
      </c>
      <c r="J601" s="132" t="s">
        <v>342</v>
      </c>
      <c r="K601" s="132" t="s">
        <v>413</v>
      </c>
      <c r="L601" s="132"/>
      <c r="M601" s="135">
        <f>260*USD_Inflation_Factor</f>
        <v>355.43389377246967</v>
      </c>
      <c r="N601" s="136">
        <f t="shared" si="34"/>
        <v>1777.1694688623484</v>
      </c>
      <c r="O601" s="136">
        <f t="shared" si="35"/>
        <v>121476224.04673395</v>
      </c>
    </row>
    <row r="602" spans="1:15">
      <c r="A602" s="132">
        <v>599</v>
      </c>
      <c r="B602" s="133" t="s">
        <v>411</v>
      </c>
      <c r="C602" s="133" t="s">
        <v>463</v>
      </c>
      <c r="D602" s="133" t="s">
        <v>414</v>
      </c>
      <c r="E602" s="132">
        <v>2</v>
      </c>
      <c r="F602" s="132" t="s">
        <v>342</v>
      </c>
      <c r="G602" s="133" t="s">
        <v>376</v>
      </c>
      <c r="H602" s="133">
        <v>3</v>
      </c>
      <c r="I602" s="133" t="s">
        <v>464</v>
      </c>
      <c r="J602" s="132" t="s">
        <v>342</v>
      </c>
      <c r="K602" s="132" t="s">
        <v>413</v>
      </c>
      <c r="L602" s="132"/>
      <c r="M602" s="135">
        <f>510*USD_Inflation_Factor</f>
        <v>697.19725316907511</v>
      </c>
      <c r="N602" s="136">
        <f t="shared" si="34"/>
        <v>2091.5917595072251</v>
      </c>
      <c r="O602" s="136">
        <f t="shared" si="35"/>
        <v>142968171.37807918</v>
      </c>
    </row>
    <row r="603" spans="1:15">
      <c r="A603" s="132">
        <v>600</v>
      </c>
      <c r="B603" s="133" t="s">
        <v>411</v>
      </c>
      <c r="C603" s="133" t="s">
        <v>463</v>
      </c>
      <c r="D603" s="133" t="s">
        <v>414</v>
      </c>
      <c r="E603" s="132">
        <v>4</v>
      </c>
      <c r="F603" s="132" t="s">
        <v>342</v>
      </c>
      <c r="G603" s="133" t="s">
        <v>376</v>
      </c>
      <c r="H603" s="133">
        <v>6</v>
      </c>
      <c r="I603" s="133" t="s">
        <v>464</v>
      </c>
      <c r="J603" s="132" t="s">
        <v>342</v>
      </c>
      <c r="K603" s="132" t="s">
        <v>413</v>
      </c>
      <c r="L603" s="132"/>
      <c r="M603" s="135">
        <f>1050*USD_Inflation_Factor</f>
        <v>1435.4061094657429</v>
      </c>
      <c r="N603" s="136">
        <f t="shared" si="34"/>
        <v>8612.436656794458</v>
      </c>
      <c r="O603" s="136">
        <f t="shared" si="35"/>
        <v>588692470.38032603</v>
      </c>
    </row>
    <row r="604" spans="1:15">
      <c r="A604" s="132">
        <v>601</v>
      </c>
      <c r="B604" s="133" t="s">
        <v>411</v>
      </c>
      <c r="C604" s="133" t="s">
        <v>463</v>
      </c>
      <c r="D604" s="133" t="s">
        <v>414</v>
      </c>
      <c r="E604" s="132">
        <v>2</v>
      </c>
      <c r="F604" s="132" t="s">
        <v>342</v>
      </c>
      <c r="G604" s="133" t="s">
        <v>376</v>
      </c>
      <c r="H604" s="133">
        <v>1</v>
      </c>
      <c r="I604" s="133" t="s">
        <v>377</v>
      </c>
      <c r="J604" s="132" t="s">
        <v>342</v>
      </c>
      <c r="K604" s="132" t="s">
        <v>413</v>
      </c>
      <c r="L604" s="132"/>
      <c r="M604" s="135">
        <f>510*USD_Inflation_Factor</f>
        <v>697.19725316907511</v>
      </c>
      <c r="N604" s="136">
        <f t="shared" si="34"/>
        <v>697.19725316907511</v>
      </c>
      <c r="O604" s="136">
        <f t="shared" si="35"/>
        <v>47656057.126026392</v>
      </c>
    </row>
    <row r="605" spans="1:15">
      <c r="A605" s="132">
        <v>602</v>
      </c>
      <c r="B605" s="133" t="s">
        <v>411</v>
      </c>
      <c r="C605" s="133" t="s">
        <v>463</v>
      </c>
      <c r="D605" s="133" t="s">
        <v>415</v>
      </c>
      <c r="E605" s="132">
        <v>2</v>
      </c>
      <c r="F605" s="132" t="s">
        <v>342</v>
      </c>
      <c r="G605" s="133" t="s">
        <v>376</v>
      </c>
      <c r="H605" s="133">
        <v>1</v>
      </c>
      <c r="I605" s="133" t="s">
        <v>464</v>
      </c>
      <c r="J605" s="132" t="s">
        <v>342</v>
      </c>
      <c r="K605" s="132" t="s">
        <v>413</v>
      </c>
      <c r="L605" s="132"/>
      <c r="M605" s="135">
        <f>610*USD_Inflation_Factor</f>
        <v>833.90259692771735</v>
      </c>
      <c r="N605" s="136">
        <f t="shared" si="34"/>
        <v>833.90259692771735</v>
      </c>
      <c r="O605" s="136">
        <f t="shared" si="35"/>
        <v>57000382.052698232</v>
      </c>
    </row>
    <row r="606" spans="1:15">
      <c r="A606" s="132">
        <v>603</v>
      </c>
      <c r="B606" s="133" t="s">
        <v>373</v>
      </c>
      <c r="C606" s="133" t="s">
        <v>468</v>
      </c>
      <c r="D606" s="133" t="s">
        <v>342</v>
      </c>
      <c r="E606" s="132" t="s">
        <v>375</v>
      </c>
      <c r="F606" s="132">
        <v>85</v>
      </c>
      <c r="G606" s="133" t="s">
        <v>376</v>
      </c>
      <c r="H606" s="133">
        <v>24</v>
      </c>
      <c r="I606" s="133" t="s">
        <v>464</v>
      </c>
      <c r="J606" s="132" t="s">
        <v>378</v>
      </c>
      <c r="K606" s="134" t="s">
        <v>379</v>
      </c>
      <c r="L606" s="134" t="s">
        <v>465</v>
      </c>
      <c r="M606" s="135">
        <f>1.776*USD_Inflation_Factor</f>
        <v>2.427886905153485</v>
      </c>
      <c r="N606" s="136">
        <f t="shared" si="34"/>
        <v>58.269285723683637</v>
      </c>
      <c r="O606" s="136">
        <f t="shared" ref="O606:O622" si="36">0.4*N606*USD_Change_IRR * per_Euro</f>
        <v>10621133.484652281</v>
      </c>
    </row>
    <row r="607" spans="1:15">
      <c r="A607" s="132">
        <v>604</v>
      </c>
      <c r="B607" s="133" t="s">
        <v>373</v>
      </c>
      <c r="C607" s="133" t="s">
        <v>468</v>
      </c>
      <c r="D607" s="133" t="s">
        <v>342</v>
      </c>
      <c r="E607" s="132" t="s">
        <v>375</v>
      </c>
      <c r="F607" s="132">
        <v>90</v>
      </c>
      <c r="G607" s="133" t="s">
        <v>376</v>
      </c>
      <c r="H607" s="133">
        <v>200</v>
      </c>
      <c r="I607" s="133" t="s">
        <v>464</v>
      </c>
      <c r="J607" s="132" t="s">
        <v>381</v>
      </c>
      <c r="K607" s="134" t="s">
        <v>379</v>
      </c>
      <c r="L607" s="134" t="s">
        <v>465</v>
      </c>
      <c r="M607" s="135">
        <f>1.776*USD_Inflation_Factor</f>
        <v>2.427886905153485</v>
      </c>
      <c r="N607" s="136">
        <f t="shared" si="34"/>
        <v>485.57738103069698</v>
      </c>
      <c r="O607" s="136">
        <f t="shared" si="36"/>
        <v>88509445.705435678</v>
      </c>
    </row>
    <row r="608" spans="1:15">
      <c r="A608" s="132">
        <v>605</v>
      </c>
      <c r="B608" s="133" t="s">
        <v>373</v>
      </c>
      <c r="C608" s="133" t="s">
        <v>468</v>
      </c>
      <c r="D608" s="133" t="s">
        <v>342</v>
      </c>
      <c r="E608" s="132" t="s">
        <v>375</v>
      </c>
      <c r="F608" s="132">
        <v>90</v>
      </c>
      <c r="G608" s="133" t="s">
        <v>376</v>
      </c>
      <c r="H608" s="133">
        <v>560</v>
      </c>
      <c r="I608" s="133" t="s">
        <v>464</v>
      </c>
      <c r="J608" s="132" t="s">
        <v>382</v>
      </c>
      <c r="K608" s="134" t="s">
        <v>379</v>
      </c>
      <c r="L608" s="134" t="s">
        <v>465</v>
      </c>
      <c r="M608" s="135">
        <f>1.776*USD_Inflation_Factor</f>
        <v>2.427886905153485</v>
      </c>
      <c r="N608" s="136">
        <f t="shared" si="34"/>
        <v>1359.6166668859516</v>
      </c>
      <c r="O608" s="136">
        <f t="shared" si="36"/>
        <v>247826447.97521991</v>
      </c>
    </row>
    <row r="609" spans="1:15">
      <c r="A609" s="132">
        <v>606</v>
      </c>
      <c r="B609" s="133" t="s">
        <v>373</v>
      </c>
      <c r="C609" s="133" t="s">
        <v>468</v>
      </c>
      <c r="D609" s="133" t="s">
        <v>342</v>
      </c>
      <c r="E609" s="132" t="s">
        <v>383</v>
      </c>
      <c r="F609" s="132">
        <v>105</v>
      </c>
      <c r="G609" s="133" t="s">
        <v>376</v>
      </c>
      <c r="H609" s="133">
        <v>144</v>
      </c>
      <c r="I609" s="133" t="s">
        <v>464</v>
      </c>
      <c r="J609" s="132" t="s">
        <v>384</v>
      </c>
      <c r="K609" s="134" t="s">
        <v>379</v>
      </c>
      <c r="L609" s="134" t="s">
        <v>465</v>
      </c>
      <c r="M609" s="135">
        <f>3.048*USD_Inflation_Factor</f>
        <v>4.1667788777634138</v>
      </c>
      <c r="N609" s="136">
        <f t="shared" si="34"/>
        <v>600.01615839793158</v>
      </c>
      <c r="O609" s="136">
        <f t="shared" si="36"/>
        <v>109368969.12574378</v>
      </c>
    </row>
    <row r="610" spans="1:15">
      <c r="A610" s="132">
        <v>607</v>
      </c>
      <c r="B610" s="133" t="s">
        <v>373</v>
      </c>
      <c r="C610" s="133" t="s">
        <v>468</v>
      </c>
      <c r="D610" s="133" t="s">
        <v>342</v>
      </c>
      <c r="E610" s="132" t="s">
        <v>383</v>
      </c>
      <c r="F610" s="132">
        <v>110</v>
      </c>
      <c r="G610" s="133" t="s">
        <v>376</v>
      </c>
      <c r="H610" s="133">
        <v>256</v>
      </c>
      <c r="I610" s="133" t="s">
        <v>464</v>
      </c>
      <c r="J610" s="132" t="s">
        <v>385</v>
      </c>
      <c r="K610" s="134" t="s">
        <v>379</v>
      </c>
      <c r="L610" s="134" t="s">
        <v>465</v>
      </c>
      <c r="M610" s="135">
        <f>3.048*USD_Inflation_Factor</f>
        <v>4.1667788777634138</v>
      </c>
      <c r="N610" s="136">
        <f t="shared" si="34"/>
        <v>1066.6953927074339</v>
      </c>
      <c r="O610" s="136">
        <f t="shared" si="36"/>
        <v>194433722.89021116</v>
      </c>
    </row>
    <row r="611" spans="1:15">
      <c r="A611" s="132">
        <v>608</v>
      </c>
      <c r="B611" s="133" t="s">
        <v>373</v>
      </c>
      <c r="C611" s="133" t="s">
        <v>468</v>
      </c>
      <c r="D611" s="133" t="s">
        <v>342</v>
      </c>
      <c r="E611" s="132" t="s">
        <v>386</v>
      </c>
      <c r="F611" s="132">
        <v>115</v>
      </c>
      <c r="G611" s="133" t="s">
        <v>376</v>
      </c>
      <c r="H611" s="133">
        <v>420</v>
      </c>
      <c r="I611" s="133" t="s">
        <v>464</v>
      </c>
      <c r="J611" s="132" t="s">
        <v>387</v>
      </c>
      <c r="K611" s="134" t="s">
        <v>379</v>
      </c>
      <c r="L611" s="134" t="s">
        <v>465</v>
      </c>
      <c r="M611" s="135">
        <f>4.624*USD_Inflation_Factor</f>
        <v>6.3212550953996143</v>
      </c>
      <c r="N611" s="136">
        <f t="shared" si="34"/>
        <v>2654.9271400678381</v>
      </c>
      <c r="O611" s="136">
        <f t="shared" si="36"/>
        <v>483931374.76242274</v>
      </c>
    </row>
    <row r="612" spans="1:15">
      <c r="A612" s="132">
        <v>609</v>
      </c>
      <c r="B612" s="133" t="s">
        <v>373</v>
      </c>
      <c r="C612" s="133" t="s">
        <v>468</v>
      </c>
      <c r="D612" s="133" t="s">
        <v>342</v>
      </c>
      <c r="E612" s="132" t="s">
        <v>386</v>
      </c>
      <c r="F612" s="132">
        <v>125</v>
      </c>
      <c r="G612" s="133" t="s">
        <v>376</v>
      </c>
      <c r="H612" s="133">
        <v>84</v>
      </c>
      <c r="I612" s="133" t="s">
        <v>464</v>
      </c>
      <c r="J612" s="132" t="s">
        <v>388</v>
      </c>
      <c r="K612" s="134" t="s">
        <v>379</v>
      </c>
      <c r="L612" s="134" t="s">
        <v>465</v>
      </c>
      <c r="M612" s="135">
        <f>4.832*USD_Inflation_Factor</f>
        <v>6.6056022104175902</v>
      </c>
      <c r="N612" s="136">
        <f t="shared" si="34"/>
        <v>554.87058567507756</v>
      </c>
      <c r="O612" s="136">
        <f t="shared" si="36"/>
        <v>101139982.82231948</v>
      </c>
    </row>
    <row r="613" spans="1:15">
      <c r="A613" s="132">
        <v>610</v>
      </c>
      <c r="B613" s="133" t="s">
        <v>373</v>
      </c>
      <c r="C613" s="133" t="s">
        <v>468</v>
      </c>
      <c r="D613" s="133" t="s">
        <v>342</v>
      </c>
      <c r="E613" s="132" t="s">
        <v>375</v>
      </c>
      <c r="F613" s="132">
        <v>85</v>
      </c>
      <c r="G613" s="133" t="s">
        <v>376</v>
      </c>
      <c r="H613" s="133">
        <v>156</v>
      </c>
      <c r="I613" s="133" t="s">
        <v>377</v>
      </c>
      <c r="J613" s="132" t="s">
        <v>378</v>
      </c>
      <c r="K613" s="134" t="s">
        <v>379</v>
      </c>
      <c r="L613" s="132" t="s">
        <v>380</v>
      </c>
      <c r="M613" s="135">
        <f>0.888*USD_Inflation_Factor</f>
        <v>1.2139434525767425</v>
      </c>
      <c r="N613" s="136">
        <f t="shared" si="34"/>
        <v>189.37517860197184</v>
      </c>
      <c r="O613" s="136">
        <f t="shared" si="36"/>
        <v>34518683.82511992</v>
      </c>
    </row>
    <row r="614" spans="1:15">
      <c r="A614" s="132">
        <v>611</v>
      </c>
      <c r="B614" s="133" t="s">
        <v>373</v>
      </c>
      <c r="C614" s="133" t="s">
        <v>468</v>
      </c>
      <c r="D614" s="133" t="s">
        <v>342</v>
      </c>
      <c r="E614" s="132" t="s">
        <v>375</v>
      </c>
      <c r="F614" s="132">
        <v>90</v>
      </c>
      <c r="G614" s="133" t="s">
        <v>376</v>
      </c>
      <c r="H614" s="133">
        <v>52</v>
      </c>
      <c r="I614" s="133" t="s">
        <v>377</v>
      </c>
      <c r="J614" s="132" t="s">
        <v>381</v>
      </c>
      <c r="K614" s="134" t="s">
        <v>379</v>
      </c>
      <c r="L614" s="132" t="s">
        <v>380</v>
      </c>
      <c r="M614" s="135">
        <f>0.888*USD_Inflation_Factor</f>
        <v>1.2139434525767425</v>
      </c>
      <c r="N614" s="136">
        <f t="shared" si="34"/>
        <v>63.125059533990608</v>
      </c>
      <c r="O614" s="136">
        <f t="shared" si="36"/>
        <v>11506227.941706639</v>
      </c>
    </row>
    <row r="615" spans="1:15">
      <c r="A615" s="132">
        <v>612</v>
      </c>
      <c r="B615" s="133" t="s">
        <v>373</v>
      </c>
      <c r="C615" s="133" t="s">
        <v>468</v>
      </c>
      <c r="D615" s="133" t="s">
        <v>342</v>
      </c>
      <c r="E615" s="132" t="s">
        <v>375</v>
      </c>
      <c r="F615" s="132">
        <v>90</v>
      </c>
      <c r="G615" s="133" t="s">
        <v>376</v>
      </c>
      <c r="H615" s="133">
        <v>40</v>
      </c>
      <c r="I615" s="133" t="s">
        <v>377</v>
      </c>
      <c r="J615" s="132" t="s">
        <v>382</v>
      </c>
      <c r="K615" s="134" t="s">
        <v>379</v>
      </c>
      <c r="L615" s="132" t="s">
        <v>380</v>
      </c>
      <c r="M615" s="135">
        <f>0.888*USD_Inflation_Factor</f>
        <v>1.2139434525767425</v>
      </c>
      <c r="N615" s="136">
        <f t="shared" si="34"/>
        <v>48.557738103069703</v>
      </c>
      <c r="O615" s="136">
        <f t="shared" si="36"/>
        <v>8850944.5705435686</v>
      </c>
    </row>
    <row r="616" spans="1:15">
      <c r="A616" s="132">
        <v>613</v>
      </c>
      <c r="B616" s="133" t="s">
        <v>373</v>
      </c>
      <c r="C616" s="133" t="s">
        <v>468</v>
      </c>
      <c r="D616" s="133" t="s">
        <v>342</v>
      </c>
      <c r="E616" s="132" t="s">
        <v>383</v>
      </c>
      <c r="F616" s="132">
        <v>105</v>
      </c>
      <c r="G616" s="133" t="s">
        <v>376</v>
      </c>
      <c r="H616" s="133">
        <v>96</v>
      </c>
      <c r="I616" s="133" t="s">
        <v>377</v>
      </c>
      <c r="J616" s="132" t="s">
        <v>384</v>
      </c>
      <c r="K616" s="134" t="s">
        <v>379</v>
      </c>
      <c r="L616" s="132" t="s">
        <v>380</v>
      </c>
      <c r="M616" s="135">
        <f>1.524*USD_Inflation_Factor</f>
        <v>2.0833894388817069</v>
      </c>
      <c r="N616" s="136">
        <f t="shared" si="34"/>
        <v>200.00538613264388</v>
      </c>
      <c r="O616" s="136">
        <f t="shared" si="36"/>
        <v>36456323.041914597</v>
      </c>
    </row>
    <row r="617" spans="1:15">
      <c r="A617" s="132">
        <v>614</v>
      </c>
      <c r="B617" s="133" t="s">
        <v>373</v>
      </c>
      <c r="C617" s="133" t="s">
        <v>468</v>
      </c>
      <c r="D617" s="133" t="s">
        <v>342</v>
      </c>
      <c r="E617" s="132" t="s">
        <v>375</v>
      </c>
      <c r="F617" s="132">
        <v>90</v>
      </c>
      <c r="G617" s="133" t="s">
        <v>376</v>
      </c>
      <c r="H617" s="133">
        <v>4</v>
      </c>
      <c r="I617" s="133" t="s">
        <v>377</v>
      </c>
      <c r="J617" s="132" t="s">
        <v>453</v>
      </c>
      <c r="K617" s="134" t="s">
        <v>379</v>
      </c>
      <c r="L617" s="132" t="s">
        <v>380</v>
      </c>
      <c r="M617" s="135">
        <f>0.888*USD_Inflation_Factor</f>
        <v>1.2139434525767425</v>
      </c>
      <c r="N617" s="136">
        <f t="shared" si="34"/>
        <v>4.8557738103069701</v>
      </c>
      <c r="O617" s="136">
        <f t="shared" si="36"/>
        <v>885094.45705435681</v>
      </c>
    </row>
    <row r="618" spans="1:15">
      <c r="A618" s="132">
        <v>615</v>
      </c>
      <c r="B618" s="133" t="s">
        <v>373</v>
      </c>
      <c r="C618" s="133" t="s">
        <v>468</v>
      </c>
      <c r="D618" s="133" t="s">
        <v>342</v>
      </c>
      <c r="E618" s="132" t="s">
        <v>383</v>
      </c>
      <c r="F618" s="132">
        <v>130</v>
      </c>
      <c r="G618" s="133" t="s">
        <v>376</v>
      </c>
      <c r="H618" s="133">
        <v>24</v>
      </c>
      <c r="I618" s="133" t="s">
        <v>469</v>
      </c>
      <c r="J618" s="132" t="s">
        <v>470</v>
      </c>
      <c r="K618" s="134" t="s">
        <v>379</v>
      </c>
      <c r="L618" s="139" t="s">
        <v>471</v>
      </c>
      <c r="M618" s="135">
        <f>3.352*USD_Inflation_Factor</f>
        <v>4.5823631227896859</v>
      </c>
      <c r="N618" s="136">
        <f t="shared" si="34"/>
        <v>109.97671494695246</v>
      </c>
      <c r="O618" s="136">
        <f t="shared" si="36"/>
        <v>20046193.378690571</v>
      </c>
    </row>
    <row r="619" spans="1:15">
      <c r="A619" s="132">
        <v>616</v>
      </c>
      <c r="B619" s="133" t="s">
        <v>373</v>
      </c>
      <c r="C619" s="133" t="s">
        <v>468</v>
      </c>
      <c r="D619" s="133" t="s">
        <v>342</v>
      </c>
      <c r="E619" s="132" t="s">
        <v>386</v>
      </c>
      <c r="F619" s="132">
        <v>150</v>
      </c>
      <c r="G619" s="133" t="s">
        <v>376</v>
      </c>
      <c r="H619" s="133">
        <v>192</v>
      </c>
      <c r="I619" s="133" t="s">
        <v>469</v>
      </c>
      <c r="J619" s="132" t="s">
        <v>472</v>
      </c>
      <c r="K619" s="134" t="s">
        <v>379</v>
      </c>
      <c r="L619" s="139" t="s">
        <v>471</v>
      </c>
      <c r="M619" s="135">
        <f>5.248*USD_Inflation_Factor</f>
        <v>7.1742964404535421</v>
      </c>
      <c r="N619" s="136">
        <f t="shared" si="34"/>
        <v>1377.4649165670801</v>
      </c>
      <c r="O619" s="136">
        <f t="shared" si="36"/>
        <v>251079768.14168999</v>
      </c>
    </row>
    <row r="620" spans="1:15">
      <c r="A620" s="132">
        <v>617</v>
      </c>
      <c r="B620" s="133" t="s">
        <v>373</v>
      </c>
      <c r="C620" s="133" t="s">
        <v>468</v>
      </c>
      <c r="D620" s="133" t="s">
        <v>342</v>
      </c>
      <c r="E620" s="132" t="s">
        <v>420</v>
      </c>
      <c r="F620" s="132">
        <v>170</v>
      </c>
      <c r="G620" s="133" t="s">
        <v>376</v>
      </c>
      <c r="H620" s="133">
        <v>224</v>
      </c>
      <c r="I620" s="133" t="s">
        <v>469</v>
      </c>
      <c r="J620" s="132" t="s">
        <v>473</v>
      </c>
      <c r="K620" s="134" t="s">
        <v>379</v>
      </c>
      <c r="L620" s="139" t="s">
        <v>471</v>
      </c>
      <c r="M620" s="135">
        <f>7.648*USD_Inflation_Factor</f>
        <v>10.455224690660954</v>
      </c>
      <c r="N620" s="136">
        <f t="shared" si="34"/>
        <v>2341.9703307080536</v>
      </c>
      <c r="O620" s="136">
        <f t="shared" si="36"/>
        <v>426886638.31407249</v>
      </c>
    </row>
    <row r="621" spans="1:15">
      <c r="A621" s="132">
        <v>618</v>
      </c>
      <c r="B621" s="133" t="s">
        <v>373</v>
      </c>
      <c r="C621" s="133" t="s">
        <v>468</v>
      </c>
      <c r="D621" s="133" t="s">
        <v>342</v>
      </c>
      <c r="E621" s="132" t="s">
        <v>420</v>
      </c>
      <c r="F621" s="132">
        <v>175</v>
      </c>
      <c r="G621" s="133" t="s">
        <v>376</v>
      </c>
      <c r="H621" s="133">
        <v>252</v>
      </c>
      <c r="I621" s="133" t="s">
        <v>469</v>
      </c>
      <c r="J621" s="132" t="s">
        <v>474</v>
      </c>
      <c r="K621" s="134" t="s">
        <v>379</v>
      </c>
      <c r="L621" s="139" t="s">
        <v>471</v>
      </c>
      <c r="M621" s="135">
        <f>7.92*USD_Inflation_Factor</f>
        <v>10.82706322568446</v>
      </c>
      <c r="N621" s="136">
        <f t="shared" si="34"/>
        <v>2728.419932872484</v>
      </c>
      <c r="O621" s="136">
        <f t="shared" si="36"/>
        <v>497327398.97729939</v>
      </c>
    </row>
    <row r="622" spans="1:15">
      <c r="A622" s="132">
        <v>619</v>
      </c>
      <c r="B622" s="133" t="s">
        <v>373</v>
      </c>
      <c r="C622" s="133" t="s">
        <v>468</v>
      </c>
      <c r="D622" s="133" t="s">
        <v>342</v>
      </c>
      <c r="E622" s="132" t="s">
        <v>422</v>
      </c>
      <c r="F622" s="132">
        <v>195</v>
      </c>
      <c r="G622" s="133" t="s">
        <v>376</v>
      </c>
      <c r="H622" s="133">
        <v>48</v>
      </c>
      <c r="I622" s="133" t="s">
        <v>469</v>
      </c>
      <c r="J622" s="132" t="s">
        <v>475</v>
      </c>
      <c r="K622" s="134" t="s">
        <v>379</v>
      </c>
      <c r="L622" s="139" t="s">
        <v>471</v>
      </c>
      <c r="M622" s="135">
        <f>11.28*USD_Inflation_Factor</f>
        <v>15.420362775974837</v>
      </c>
      <c r="N622" s="136">
        <f t="shared" si="34"/>
        <v>740.17741324679218</v>
      </c>
      <c r="O622" s="136">
        <f t="shared" si="36"/>
        <v>134917101.02125871</v>
      </c>
    </row>
    <row r="623" spans="1:15">
      <c r="A623" s="132">
        <v>620</v>
      </c>
      <c r="B623" s="133" t="s">
        <v>389</v>
      </c>
      <c r="C623" s="133" t="s">
        <v>468</v>
      </c>
      <c r="D623" s="133" t="s">
        <v>393</v>
      </c>
      <c r="E623" s="132">
        <v>3</v>
      </c>
      <c r="F623" s="132" t="s">
        <v>342</v>
      </c>
      <c r="G623" s="133" t="s">
        <v>376</v>
      </c>
      <c r="H623" s="133">
        <v>25</v>
      </c>
      <c r="I623" s="133" t="s">
        <v>464</v>
      </c>
      <c r="J623" s="132" t="s">
        <v>342</v>
      </c>
      <c r="K623" s="132" t="s">
        <v>466</v>
      </c>
      <c r="L623" s="132"/>
      <c r="M623" s="135">
        <f>122.36*USD_Inflation_Factor</f>
        <v>167.27265862307456</v>
      </c>
      <c r="N623" s="136">
        <f t="shared" si="34"/>
        <v>4181.8164655768642</v>
      </c>
      <c r="O623" s="136">
        <f t="shared" ref="O623:O654" si="37">0.25*N623*USD_Change_IRR * per_Euro</f>
        <v>476404832.51148605</v>
      </c>
    </row>
    <row r="624" spans="1:15">
      <c r="A624" s="132">
        <v>621</v>
      </c>
      <c r="B624" s="133" t="s">
        <v>389</v>
      </c>
      <c r="C624" s="133" t="s">
        <v>468</v>
      </c>
      <c r="D624" s="133" t="s">
        <v>393</v>
      </c>
      <c r="E624" s="132">
        <v>4</v>
      </c>
      <c r="F624" s="132" t="s">
        <v>342</v>
      </c>
      <c r="G624" s="133" t="s">
        <v>376</v>
      </c>
      <c r="H624" s="133">
        <v>64</v>
      </c>
      <c r="I624" s="133" t="s">
        <v>464</v>
      </c>
      <c r="J624" s="132" t="s">
        <v>342</v>
      </c>
      <c r="K624" s="132" t="s">
        <v>466</v>
      </c>
      <c r="L624" s="132"/>
      <c r="M624" s="135">
        <f>168.6*USD_Inflation_Factor</f>
        <v>230.48520957707072</v>
      </c>
      <c r="N624" s="136">
        <f t="shared" si="34"/>
        <v>14751.053412932526</v>
      </c>
      <c r="O624" s="136">
        <f t="shared" si="37"/>
        <v>1680483394.812664</v>
      </c>
    </row>
    <row r="625" spans="1:15">
      <c r="A625" s="132">
        <v>622</v>
      </c>
      <c r="B625" s="133" t="s">
        <v>389</v>
      </c>
      <c r="C625" s="133" t="s">
        <v>468</v>
      </c>
      <c r="D625" s="133" t="s">
        <v>393</v>
      </c>
      <c r="E625" s="132">
        <v>6</v>
      </c>
      <c r="F625" s="132" t="s">
        <v>342</v>
      </c>
      <c r="G625" s="133" t="s">
        <v>376</v>
      </c>
      <c r="H625" s="133">
        <v>16</v>
      </c>
      <c r="I625" s="133" t="s">
        <v>464</v>
      </c>
      <c r="J625" s="132" t="s">
        <v>342</v>
      </c>
      <c r="K625" s="132" t="s">
        <v>466</v>
      </c>
      <c r="L625" s="132"/>
      <c r="M625" s="135">
        <f>191.76*USD_Inflation_Factor</f>
        <v>262.14616719157226</v>
      </c>
      <c r="N625" s="136">
        <f t="shared" si="34"/>
        <v>4194.3386750651562</v>
      </c>
      <c r="O625" s="136">
        <f t="shared" si="37"/>
        <v>477831399.45029134</v>
      </c>
    </row>
    <row r="626" spans="1:15">
      <c r="A626" s="132">
        <v>623</v>
      </c>
      <c r="B626" s="133" t="s">
        <v>389</v>
      </c>
      <c r="C626" s="133" t="s">
        <v>468</v>
      </c>
      <c r="D626" s="133" t="s">
        <v>393</v>
      </c>
      <c r="E626" s="132">
        <v>8</v>
      </c>
      <c r="F626" s="132" t="s">
        <v>342</v>
      </c>
      <c r="G626" s="133" t="s">
        <v>376</v>
      </c>
      <c r="H626" s="133">
        <v>14</v>
      </c>
      <c r="I626" s="133" t="s">
        <v>464</v>
      </c>
      <c r="J626" s="132" t="s">
        <v>342</v>
      </c>
      <c r="K626" s="132" t="s">
        <v>466</v>
      </c>
      <c r="L626" s="132"/>
      <c r="M626" s="135">
        <f>216.4*USD_Inflation_Factor</f>
        <v>295.8303638937017</v>
      </c>
      <c r="N626" s="136">
        <f t="shared" si="34"/>
        <v>4141.6250945118236</v>
      </c>
      <c r="O626" s="136">
        <f t="shared" si="37"/>
        <v>471826113.29741687</v>
      </c>
    </row>
    <row r="627" spans="1:15">
      <c r="A627" s="132">
        <v>624</v>
      </c>
      <c r="B627" s="133" t="s">
        <v>389</v>
      </c>
      <c r="C627" s="133" t="s">
        <v>468</v>
      </c>
      <c r="D627" s="133" t="s">
        <v>393</v>
      </c>
      <c r="E627" s="132">
        <v>10</v>
      </c>
      <c r="F627" s="132" t="s">
        <v>342</v>
      </c>
      <c r="G627" s="133" t="s">
        <v>376</v>
      </c>
      <c r="H627" s="133">
        <v>58</v>
      </c>
      <c r="I627" s="133" t="s">
        <v>464</v>
      </c>
      <c r="J627" s="132" t="s">
        <v>342</v>
      </c>
      <c r="K627" s="132" t="s">
        <v>466</v>
      </c>
      <c r="L627" s="132"/>
      <c r="M627" s="135">
        <f>259.68*USD_Inflation_Factor</f>
        <v>354.99643667244203</v>
      </c>
      <c r="N627" s="136">
        <f t="shared" si="34"/>
        <v>20589.793327001636</v>
      </c>
      <c r="O627" s="136">
        <f t="shared" si="37"/>
        <v>2345649820.3928723</v>
      </c>
    </row>
    <row r="628" spans="1:15">
      <c r="A628" s="132">
        <v>625</v>
      </c>
      <c r="B628" s="133" t="s">
        <v>389</v>
      </c>
      <c r="C628" s="133" t="s">
        <v>468</v>
      </c>
      <c r="D628" s="133" t="s">
        <v>393</v>
      </c>
      <c r="E628" s="132">
        <v>12</v>
      </c>
      <c r="F628" s="132" t="s">
        <v>342</v>
      </c>
      <c r="G628" s="133" t="s">
        <v>376</v>
      </c>
      <c r="H628" s="133">
        <v>2</v>
      </c>
      <c r="I628" s="133" t="s">
        <v>464</v>
      </c>
      <c r="J628" s="132" t="s">
        <v>342</v>
      </c>
      <c r="K628" s="132" t="s">
        <v>466</v>
      </c>
      <c r="L628" s="132"/>
      <c r="M628" s="135">
        <f>310*USD_Inflation_Factor</f>
        <v>423.7865656517908</v>
      </c>
      <c r="N628" s="136">
        <f t="shared" si="34"/>
        <v>847.57313130358159</v>
      </c>
      <c r="O628" s="136">
        <f t="shared" si="37"/>
        <v>96558024.2422757</v>
      </c>
    </row>
    <row r="629" spans="1:15">
      <c r="A629" s="132">
        <v>626</v>
      </c>
      <c r="B629" s="133" t="s">
        <v>389</v>
      </c>
      <c r="C629" s="133" t="s">
        <v>468</v>
      </c>
      <c r="D629" s="133" t="s">
        <v>393</v>
      </c>
      <c r="E629" s="132">
        <v>2</v>
      </c>
      <c r="F629" s="132" t="s">
        <v>342</v>
      </c>
      <c r="G629" s="133" t="s">
        <v>376</v>
      </c>
      <c r="H629" s="133">
        <v>56</v>
      </c>
      <c r="I629" s="133" t="s">
        <v>377</v>
      </c>
      <c r="J629" s="132" t="s">
        <v>391</v>
      </c>
      <c r="K629" s="132" t="s">
        <v>392</v>
      </c>
      <c r="L629" s="132"/>
      <c r="M629" s="135">
        <f>7.6*USD_Inflation_Factor</f>
        <v>10.389606125656805</v>
      </c>
      <c r="N629" s="136">
        <f t="shared" si="34"/>
        <v>581.81794303678112</v>
      </c>
      <c r="O629" s="136">
        <f t="shared" si="37"/>
        <v>66282411.479858927</v>
      </c>
    </row>
    <row r="630" spans="1:15">
      <c r="A630" s="132">
        <v>627</v>
      </c>
      <c r="B630" s="133" t="s">
        <v>389</v>
      </c>
      <c r="C630" s="133" t="s">
        <v>468</v>
      </c>
      <c r="D630" s="133" t="s">
        <v>393</v>
      </c>
      <c r="E630" s="132">
        <v>3</v>
      </c>
      <c r="F630" s="132" t="s">
        <v>342</v>
      </c>
      <c r="G630" s="133" t="s">
        <v>376</v>
      </c>
      <c r="H630" s="133">
        <v>9</v>
      </c>
      <c r="I630" s="133" t="s">
        <v>377</v>
      </c>
      <c r="J630" s="132" t="s">
        <v>391</v>
      </c>
      <c r="K630" s="132" t="s">
        <v>392</v>
      </c>
      <c r="L630" s="132"/>
      <c r="M630" s="135">
        <f>14.56*USD_Inflation_Factor</f>
        <v>19.904298051258301</v>
      </c>
      <c r="N630" s="136">
        <f t="shared" si="34"/>
        <v>179.13868246132472</v>
      </c>
      <c r="O630" s="136">
        <f t="shared" si="37"/>
        <v>20408005.639851302</v>
      </c>
    </row>
    <row r="631" spans="1:15">
      <c r="A631" s="132">
        <v>628</v>
      </c>
      <c r="B631" s="133" t="s">
        <v>389</v>
      </c>
      <c r="C631" s="133" t="s">
        <v>468</v>
      </c>
      <c r="D631" s="133" t="s">
        <v>393</v>
      </c>
      <c r="E631" s="132">
        <v>4</v>
      </c>
      <c r="F631" s="132" t="s">
        <v>342</v>
      </c>
      <c r="G631" s="133" t="s">
        <v>376</v>
      </c>
      <c r="H631" s="133">
        <v>7</v>
      </c>
      <c r="I631" s="133" t="s">
        <v>377</v>
      </c>
      <c r="J631" s="132" t="s">
        <v>391</v>
      </c>
      <c r="K631" s="132" t="s">
        <v>392</v>
      </c>
      <c r="L631" s="132"/>
      <c r="M631" s="135">
        <f>17.1*USD_Inflation_Factor</f>
        <v>23.376613782727816</v>
      </c>
      <c r="N631" s="136">
        <f t="shared" si="34"/>
        <v>163.63629647909471</v>
      </c>
      <c r="O631" s="136">
        <f t="shared" si="37"/>
        <v>18641928.228710324</v>
      </c>
    </row>
    <row r="632" spans="1:15">
      <c r="A632" s="132">
        <v>629</v>
      </c>
      <c r="B632" s="133" t="s">
        <v>389</v>
      </c>
      <c r="C632" s="133" t="s">
        <v>468</v>
      </c>
      <c r="D632" s="133" t="s">
        <v>393</v>
      </c>
      <c r="E632" s="132">
        <v>6</v>
      </c>
      <c r="F632" s="132" t="s">
        <v>342</v>
      </c>
      <c r="G632" s="133" t="s">
        <v>376</v>
      </c>
      <c r="H632" s="133">
        <v>11</v>
      </c>
      <c r="I632" s="133" t="s">
        <v>377</v>
      </c>
      <c r="J632" s="132" t="s">
        <v>391</v>
      </c>
      <c r="K632" s="132" t="s">
        <v>392</v>
      </c>
      <c r="L632" s="132"/>
      <c r="M632" s="135">
        <f>50.02*USD_Inflation_Factor</f>
        <v>68.380012948072832</v>
      </c>
      <c r="N632" s="136">
        <f t="shared" si="34"/>
        <v>752.1801424288011</v>
      </c>
      <c r="O632" s="136">
        <f t="shared" si="37"/>
        <v>85690574.352556363</v>
      </c>
    </row>
    <row r="633" spans="1:15">
      <c r="A633" s="132">
        <v>630</v>
      </c>
      <c r="B633" s="133" t="s">
        <v>389</v>
      </c>
      <c r="C633" s="133" t="s">
        <v>468</v>
      </c>
      <c r="D633" s="133" t="s">
        <v>393</v>
      </c>
      <c r="E633" s="132">
        <v>4</v>
      </c>
      <c r="F633" s="132" t="s">
        <v>342</v>
      </c>
      <c r="G633" s="133" t="s">
        <v>376</v>
      </c>
      <c r="H633" s="133">
        <v>15</v>
      </c>
      <c r="I633" s="133" t="s">
        <v>469</v>
      </c>
      <c r="J633" s="132" t="s">
        <v>342</v>
      </c>
      <c r="K633" s="132" t="s">
        <v>466</v>
      </c>
      <c r="L633" s="132"/>
      <c r="M633" s="135">
        <f>168.6*USD_Inflation_Factor</f>
        <v>230.48520957707072</v>
      </c>
      <c r="N633" s="136">
        <f t="shared" si="34"/>
        <v>3457.2781436560608</v>
      </c>
      <c r="O633" s="136">
        <f t="shared" si="37"/>
        <v>393863295.65921813</v>
      </c>
    </row>
    <row r="634" spans="1:15">
      <c r="A634" s="132">
        <v>631</v>
      </c>
      <c r="B634" s="133" t="s">
        <v>389</v>
      </c>
      <c r="C634" s="133" t="s">
        <v>468</v>
      </c>
      <c r="D634" s="133" t="s">
        <v>393</v>
      </c>
      <c r="E634" s="132">
        <v>5</v>
      </c>
      <c r="F634" s="132" t="s">
        <v>342</v>
      </c>
      <c r="G634" s="133" t="s">
        <v>376</v>
      </c>
      <c r="H634" s="133">
        <v>8</v>
      </c>
      <c r="I634" s="133" t="s">
        <v>469</v>
      </c>
      <c r="J634" s="132" t="s">
        <v>342</v>
      </c>
      <c r="K634" s="132" t="s">
        <v>466</v>
      </c>
      <c r="L634" s="132"/>
      <c r="M634" s="135">
        <f>180.6*USD_Inflation_Factor</f>
        <v>246.88985082810777</v>
      </c>
      <c r="N634" s="136">
        <f t="shared" si="34"/>
        <v>1975.1188066248621</v>
      </c>
      <c r="O634" s="136">
        <f t="shared" si="37"/>
        <v>225011344.23425794</v>
      </c>
    </row>
    <row r="635" spans="1:15">
      <c r="A635" s="132">
        <v>632</v>
      </c>
      <c r="B635" s="133" t="s">
        <v>389</v>
      </c>
      <c r="C635" s="133" t="s">
        <v>468</v>
      </c>
      <c r="D635" s="133" t="s">
        <v>393</v>
      </c>
      <c r="E635" s="132">
        <v>6</v>
      </c>
      <c r="F635" s="132" t="s">
        <v>342</v>
      </c>
      <c r="G635" s="133" t="s">
        <v>376</v>
      </c>
      <c r="H635" s="133">
        <v>15</v>
      </c>
      <c r="I635" s="133" t="s">
        <v>469</v>
      </c>
      <c r="J635" s="132" t="s">
        <v>342</v>
      </c>
      <c r="K635" s="132" t="s">
        <v>466</v>
      </c>
      <c r="L635" s="132"/>
      <c r="M635" s="135">
        <f>191.76*USD_Inflation_Factor</f>
        <v>262.14616719157226</v>
      </c>
      <c r="N635" s="136">
        <f t="shared" si="34"/>
        <v>3932.192507873584</v>
      </c>
      <c r="O635" s="136">
        <f t="shared" si="37"/>
        <v>447966936.98464811</v>
      </c>
    </row>
    <row r="636" spans="1:15">
      <c r="A636" s="132">
        <v>633</v>
      </c>
      <c r="B636" s="133" t="s">
        <v>389</v>
      </c>
      <c r="C636" s="133" t="s">
        <v>468</v>
      </c>
      <c r="D636" s="133" t="s">
        <v>441</v>
      </c>
      <c r="E636" s="132">
        <v>4</v>
      </c>
      <c r="F636" s="132" t="s">
        <v>342</v>
      </c>
      <c r="G636" s="133" t="s">
        <v>376</v>
      </c>
      <c r="H636" s="133">
        <v>1</v>
      </c>
      <c r="I636" s="133" t="s">
        <v>464</v>
      </c>
      <c r="J636" s="132" t="s">
        <v>342</v>
      </c>
      <c r="K636" s="132" t="s">
        <v>466</v>
      </c>
      <c r="L636" s="132"/>
      <c r="M636" s="135">
        <f>232.4*USD_Inflation_Factor</f>
        <v>317.70321889508443</v>
      </c>
      <c r="N636" s="136">
        <f t="shared" si="34"/>
        <v>317.70321889508443</v>
      </c>
      <c r="O636" s="136">
        <f t="shared" si="37"/>
        <v>36193685.215975605</v>
      </c>
    </row>
    <row r="637" spans="1:15">
      <c r="A637" s="132">
        <v>634</v>
      </c>
      <c r="B637" s="133" t="s">
        <v>389</v>
      </c>
      <c r="C637" s="133" t="s">
        <v>468</v>
      </c>
      <c r="D637" s="133" t="s">
        <v>441</v>
      </c>
      <c r="E637" s="132">
        <v>2</v>
      </c>
      <c r="F637" s="132" t="s">
        <v>342</v>
      </c>
      <c r="G637" s="133" t="s">
        <v>376</v>
      </c>
      <c r="H637" s="133">
        <v>2</v>
      </c>
      <c r="I637" s="133" t="s">
        <v>377</v>
      </c>
      <c r="J637" s="132" t="s">
        <v>391</v>
      </c>
      <c r="K637" s="132" t="s">
        <v>392</v>
      </c>
      <c r="L637" s="132"/>
      <c r="M637" s="135">
        <f>3.44*USD_Inflation_Factor</f>
        <v>4.7026638252972912</v>
      </c>
      <c r="N637" s="136">
        <f t="shared" si="34"/>
        <v>9.4053276505945824</v>
      </c>
      <c r="O637" s="136">
        <f t="shared" si="37"/>
        <v>1071482.5915917046</v>
      </c>
    </row>
    <row r="638" spans="1:15">
      <c r="A638" s="132">
        <v>635</v>
      </c>
      <c r="B638" s="133" t="s">
        <v>389</v>
      </c>
      <c r="C638" s="133" t="s">
        <v>468</v>
      </c>
      <c r="D638" s="133" t="s">
        <v>396</v>
      </c>
      <c r="E638" s="132">
        <v>8</v>
      </c>
      <c r="F638" s="132">
        <v>1</v>
      </c>
      <c r="G638" s="133" t="s">
        <v>376</v>
      </c>
      <c r="H638" s="133">
        <v>8</v>
      </c>
      <c r="I638" s="133" t="s">
        <v>464</v>
      </c>
      <c r="J638" s="132" t="s">
        <v>342</v>
      </c>
      <c r="K638" s="132" t="s">
        <v>466</v>
      </c>
      <c r="L638" s="132"/>
      <c r="M638" s="135">
        <f>232.64*USD_Inflation_Factor</f>
        <v>318.03131172010518</v>
      </c>
      <c r="N638" s="136">
        <f t="shared" si="34"/>
        <v>2544.2504937608414</v>
      </c>
      <c r="O638" s="136">
        <f t="shared" si="37"/>
        <v>289848500.1254583</v>
      </c>
    </row>
    <row r="639" spans="1:15">
      <c r="A639" s="132">
        <v>636</v>
      </c>
      <c r="B639" s="133" t="s">
        <v>389</v>
      </c>
      <c r="C639" s="133" t="s">
        <v>468</v>
      </c>
      <c r="D639" s="133" t="s">
        <v>396</v>
      </c>
      <c r="E639" s="132">
        <v>8</v>
      </c>
      <c r="F639" s="132" t="s">
        <v>446</v>
      </c>
      <c r="G639" s="133" t="s">
        <v>376</v>
      </c>
      <c r="H639" s="133">
        <v>4</v>
      </c>
      <c r="I639" s="133" t="s">
        <v>464</v>
      </c>
      <c r="J639" s="132" t="s">
        <v>342</v>
      </c>
      <c r="K639" s="132" t="s">
        <v>466</v>
      </c>
      <c r="L639" s="132"/>
      <c r="M639" s="135">
        <f>232.64*USD_Inflation_Factor</f>
        <v>318.03131172010518</v>
      </c>
      <c r="N639" s="136">
        <f t="shared" si="34"/>
        <v>1272.1252468804207</v>
      </c>
      <c r="O639" s="136">
        <f t="shared" si="37"/>
        <v>144924250.06272915</v>
      </c>
    </row>
    <row r="640" spans="1:15">
      <c r="A640" s="132">
        <v>637</v>
      </c>
      <c r="B640" s="133" t="s">
        <v>389</v>
      </c>
      <c r="C640" s="133" t="s">
        <v>468</v>
      </c>
      <c r="D640" s="133" t="s">
        <v>396</v>
      </c>
      <c r="E640" s="132">
        <v>10</v>
      </c>
      <c r="F640" s="132">
        <v>1</v>
      </c>
      <c r="G640" s="133" t="s">
        <v>376</v>
      </c>
      <c r="H640" s="133">
        <v>7</v>
      </c>
      <c r="I640" s="133" t="s">
        <v>464</v>
      </c>
      <c r="J640" s="132" t="s">
        <v>342</v>
      </c>
      <c r="K640" s="132" t="s">
        <v>466</v>
      </c>
      <c r="L640" s="132"/>
      <c r="M640" s="135">
        <f>279.168*USD_Inflation_Factor</f>
        <v>381.63757406412623</v>
      </c>
      <c r="N640" s="136">
        <f t="shared" si="34"/>
        <v>2671.4630184488838</v>
      </c>
      <c r="O640" s="136">
        <f t="shared" si="37"/>
        <v>304340925.13173121</v>
      </c>
    </row>
    <row r="641" spans="1:15">
      <c r="A641" s="132">
        <v>638</v>
      </c>
      <c r="B641" s="133" t="s">
        <v>389</v>
      </c>
      <c r="C641" s="133" t="s">
        <v>468</v>
      </c>
      <c r="D641" s="133" t="s">
        <v>396</v>
      </c>
      <c r="E641" s="132">
        <v>10</v>
      </c>
      <c r="F641" s="132" t="s">
        <v>446</v>
      </c>
      <c r="G641" s="133" t="s">
        <v>376</v>
      </c>
      <c r="H641" s="133">
        <v>1</v>
      </c>
      <c r="I641" s="133" t="s">
        <v>464</v>
      </c>
      <c r="J641" s="132" t="s">
        <v>342</v>
      </c>
      <c r="K641" s="132" t="s">
        <v>466</v>
      </c>
      <c r="L641" s="132"/>
      <c r="M641" s="135">
        <f>279.168*USD_Inflation_Factor</f>
        <v>381.63757406412623</v>
      </c>
      <c r="N641" s="136">
        <f t="shared" si="34"/>
        <v>381.63757406412623</v>
      </c>
      <c r="O641" s="136">
        <f t="shared" si="37"/>
        <v>43477275.018818751</v>
      </c>
    </row>
    <row r="642" spans="1:15">
      <c r="A642" s="132">
        <v>639</v>
      </c>
      <c r="B642" s="133" t="s">
        <v>389</v>
      </c>
      <c r="C642" s="133" t="s">
        <v>468</v>
      </c>
      <c r="D642" s="133" t="s">
        <v>396</v>
      </c>
      <c r="E642" s="132">
        <v>8</v>
      </c>
      <c r="F642" s="132">
        <v>1</v>
      </c>
      <c r="G642" s="133" t="s">
        <v>376</v>
      </c>
      <c r="H642" s="133">
        <v>2</v>
      </c>
      <c r="I642" s="133" t="s">
        <v>469</v>
      </c>
      <c r="J642" s="132" t="s">
        <v>342</v>
      </c>
      <c r="K642" s="132" t="s">
        <v>466</v>
      </c>
      <c r="L642" s="132"/>
      <c r="M642" s="135">
        <f>232.64*USD_Inflation_Factor</f>
        <v>318.03131172010518</v>
      </c>
      <c r="N642" s="136">
        <f t="shared" si="34"/>
        <v>636.06262344021036</v>
      </c>
      <c r="O642" s="136">
        <f t="shared" si="37"/>
        <v>72462125.031364575</v>
      </c>
    </row>
    <row r="643" spans="1:15">
      <c r="A643" s="132">
        <v>640</v>
      </c>
      <c r="B643" s="133" t="s">
        <v>389</v>
      </c>
      <c r="C643" s="133" t="s">
        <v>468</v>
      </c>
      <c r="D643" s="133" t="s">
        <v>396</v>
      </c>
      <c r="E643" s="132">
        <v>8</v>
      </c>
      <c r="F643" s="132" t="s">
        <v>446</v>
      </c>
      <c r="G643" s="133" t="s">
        <v>376</v>
      </c>
      <c r="H643" s="133">
        <v>2</v>
      </c>
      <c r="I643" s="133" t="s">
        <v>469</v>
      </c>
      <c r="J643" s="132" t="s">
        <v>342</v>
      </c>
      <c r="K643" s="132" t="s">
        <v>466</v>
      </c>
      <c r="L643" s="132"/>
      <c r="M643" s="135">
        <f>232.64*USD_Inflation_Factor</f>
        <v>318.03131172010518</v>
      </c>
      <c r="N643" s="136">
        <f t="shared" si="34"/>
        <v>636.06262344021036</v>
      </c>
      <c r="O643" s="136">
        <f t="shared" si="37"/>
        <v>72462125.031364575</v>
      </c>
    </row>
    <row r="644" spans="1:15">
      <c r="A644" s="132">
        <v>641</v>
      </c>
      <c r="B644" s="133" t="s">
        <v>389</v>
      </c>
      <c r="C644" s="133" t="s">
        <v>468</v>
      </c>
      <c r="D644" s="133" t="s">
        <v>394</v>
      </c>
      <c r="E644" s="132">
        <v>1</v>
      </c>
      <c r="F644" s="132" t="s">
        <v>342</v>
      </c>
      <c r="G644" s="133" t="s">
        <v>376</v>
      </c>
      <c r="H644" s="133">
        <v>67</v>
      </c>
      <c r="I644" s="133" t="s">
        <v>464</v>
      </c>
      <c r="J644" s="132" t="s">
        <v>342</v>
      </c>
      <c r="K644" s="132" t="s">
        <v>443</v>
      </c>
      <c r="L644" s="132"/>
      <c r="M644" s="135">
        <f t="shared" ref="M644:M649" si="38">1*USD_Inflation_Factor</f>
        <v>1.3670534375864218</v>
      </c>
      <c r="N644" s="136">
        <f t="shared" ref="N644:N707" si="39">M644*H644</f>
        <v>91.59258031829026</v>
      </c>
      <c r="O644" s="136">
        <f t="shared" si="37"/>
        <v>10434496.16811689</v>
      </c>
    </row>
    <row r="645" spans="1:15">
      <c r="A645" s="132">
        <v>642</v>
      </c>
      <c r="B645" s="133" t="s">
        <v>389</v>
      </c>
      <c r="C645" s="133" t="s">
        <v>468</v>
      </c>
      <c r="D645" s="133" t="s">
        <v>394</v>
      </c>
      <c r="E645" s="132" t="s">
        <v>446</v>
      </c>
      <c r="F645" s="132" t="s">
        <v>342</v>
      </c>
      <c r="G645" s="133" t="s">
        <v>376</v>
      </c>
      <c r="H645" s="133">
        <v>1</v>
      </c>
      <c r="I645" s="133" t="s">
        <v>464</v>
      </c>
      <c r="J645" s="132" t="s">
        <v>342</v>
      </c>
      <c r="K645" s="132" t="s">
        <v>443</v>
      </c>
      <c r="L645" s="132"/>
      <c r="M645" s="135">
        <f t="shared" si="38"/>
        <v>1.3670534375864218</v>
      </c>
      <c r="N645" s="136">
        <f t="shared" si="39"/>
        <v>1.3670534375864218</v>
      </c>
      <c r="O645" s="136">
        <f t="shared" si="37"/>
        <v>155738.74877786404</v>
      </c>
    </row>
    <row r="646" spans="1:15">
      <c r="A646" s="132">
        <v>643</v>
      </c>
      <c r="B646" s="133" t="s">
        <v>389</v>
      </c>
      <c r="C646" s="133" t="s">
        <v>468</v>
      </c>
      <c r="D646" s="133" t="s">
        <v>394</v>
      </c>
      <c r="E646" s="132" t="s">
        <v>383</v>
      </c>
      <c r="F646" s="132" t="s">
        <v>342</v>
      </c>
      <c r="G646" s="133" t="s">
        <v>376</v>
      </c>
      <c r="H646" s="133">
        <v>8</v>
      </c>
      <c r="I646" s="133" t="s">
        <v>464</v>
      </c>
      <c r="J646" s="132" t="s">
        <v>342</v>
      </c>
      <c r="K646" s="132" t="s">
        <v>443</v>
      </c>
      <c r="L646" s="132"/>
      <c r="M646" s="135">
        <f t="shared" si="38"/>
        <v>1.3670534375864218</v>
      </c>
      <c r="N646" s="136">
        <f t="shared" si="39"/>
        <v>10.936427500691375</v>
      </c>
      <c r="O646" s="136">
        <f t="shared" si="37"/>
        <v>1245909.9902229123</v>
      </c>
    </row>
    <row r="647" spans="1:15">
      <c r="A647" s="132">
        <v>644</v>
      </c>
      <c r="B647" s="133" t="s">
        <v>389</v>
      </c>
      <c r="C647" s="133" t="s">
        <v>468</v>
      </c>
      <c r="D647" s="133" t="s">
        <v>394</v>
      </c>
      <c r="E647" s="132">
        <v>1</v>
      </c>
      <c r="F647" s="132" t="s">
        <v>342</v>
      </c>
      <c r="G647" s="133" t="s">
        <v>376</v>
      </c>
      <c r="H647" s="133">
        <v>14</v>
      </c>
      <c r="I647" s="133" t="s">
        <v>377</v>
      </c>
      <c r="J647" s="132" t="s">
        <v>391</v>
      </c>
      <c r="K647" s="132" t="s">
        <v>392</v>
      </c>
      <c r="L647" s="132"/>
      <c r="M647" s="135">
        <f t="shared" si="38"/>
        <v>1.3670534375864218</v>
      </c>
      <c r="N647" s="136">
        <f t="shared" si="39"/>
        <v>19.138748126209904</v>
      </c>
      <c r="O647" s="136">
        <f t="shared" si="37"/>
        <v>2180342.482890096</v>
      </c>
    </row>
    <row r="648" spans="1:15">
      <c r="A648" s="132">
        <v>645</v>
      </c>
      <c r="B648" s="133" t="s">
        <v>389</v>
      </c>
      <c r="C648" s="133" t="s">
        <v>468</v>
      </c>
      <c r="D648" s="133" t="s">
        <v>394</v>
      </c>
      <c r="E648" s="132" t="s">
        <v>446</v>
      </c>
      <c r="F648" s="132" t="s">
        <v>342</v>
      </c>
      <c r="G648" s="133" t="s">
        <v>376</v>
      </c>
      <c r="H648" s="133">
        <v>2</v>
      </c>
      <c r="I648" s="133" t="s">
        <v>377</v>
      </c>
      <c r="J648" s="132" t="s">
        <v>391</v>
      </c>
      <c r="K648" s="132" t="s">
        <v>392</v>
      </c>
      <c r="L648" s="132"/>
      <c r="M648" s="135">
        <f t="shared" si="38"/>
        <v>1.3670534375864218</v>
      </c>
      <c r="N648" s="136">
        <f t="shared" si="39"/>
        <v>2.7341068751728437</v>
      </c>
      <c r="O648" s="136">
        <f t="shared" si="37"/>
        <v>311477.49755572807</v>
      </c>
    </row>
    <row r="649" spans="1:15">
      <c r="A649" s="132">
        <v>646</v>
      </c>
      <c r="B649" s="133" t="s">
        <v>389</v>
      </c>
      <c r="C649" s="133" t="s">
        <v>468</v>
      </c>
      <c r="D649" s="133" t="s">
        <v>394</v>
      </c>
      <c r="E649" s="132">
        <v>1</v>
      </c>
      <c r="F649" s="132" t="s">
        <v>342</v>
      </c>
      <c r="G649" s="133" t="s">
        <v>376</v>
      </c>
      <c r="H649" s="133">
        <v>32</v>
      </c>
      <c r="I649" s="133" t="s">
        <v>469</v>
      </c>
      <c r="J649" s="132" t="s">
        <v>342</v>
      </c>
      <c r="K649" s="132" t="s">
        <v>466</v>
      </c>
      <c r="L649" s="132"/>
      <c r="M649" s="135">
        <f t="shared" si="38"/>
        <v>1.3670534375864218</v>
      </c>
      <c r="N649" s="136">
        <f t="shared" si="39"/>
        <v>43.745710002765499</v>
      </c>
      <c r="O649" s="136">
        <f t="shared" si="37"/>
        <v>4983639.9608916491</v>
      </c>
    </row>
    <row r="650" spans="1:15">
      <c r="A650" s="132">
        <v>647</v>
      </c>
      <c r="B650" s="133" t="s">
        <v>389</v>
      </c>
      <c r="C650" s="133" t="s">
        <v>468</v>
      </c>
      <c r="D650" s="133" t="s">
        <v>457</v>
      </c>
      <c r="E650" s="132" t="s">
        <v>383</v>
      </c>
      <c r="F650" s="132" t="s">
        <v>342</v>
      </c>
      <c r="G650" s="133" t="s">
        <v>376</v>
      </c>
      <c r="H650" s="133">
        <v>2</v>
      </c>
      <c r="I650" s="133" t="s">
        <v>464</v>
      </c>
      <c r="J650" s="132"/>
      <c r="K650" s="132" t="s">
        <v>400</v>
      </c>
      <c r="L650" s="132"/>
      <c r="M650" s="135">
        <f>1.55*USD_Inflation_Factor</f>
        <v>2.1189328282589539</v>
      </c>
      <c r="N650" s="136">
        <f t="shared" si="39"/>
        <v>4.2378656565179078</v>
      </c>
      <c r="O650" s="136">
        <f t="shared" si="37"/>
        <v>482790.12121137849</v>
      </c>
    </row>
    <row r="651" spans="1:15">
      <c r="A651" s="132">
        <v>648</v>
      </c>
      <c r="B651" s="133" t="s">
        <v>389</v>
      </c>
      <c r="C651" s="133" t="s">
        <v>468</v>
      </c>
      <c r="D651" s="133" t="s">
        <v>395</v>
      </c>
      <c r="E651" s="132">
        <v>4</v>
      </c>
      <c r="F651" s="132">
        <v>3</v>
      </c>
      <c r="G651" s="133" t="s">
        <v>376</v>
      </c>
      <c r="H651" s="133">
        <v>11</v>
      </c>
      <c r="I651" s="133" t="s">
        <v>464</v>
      </c>
      <c r="J651" s="132" t="s">
        <v>342</v>
      </c>
      <c r="K651" s="132" t="s">
        <v>466</v>
      </c>
      <c r="L651" s="132"/>
      <c r="M651" s="135">
        <f>145.6*USD_Inflation_Factor</f>
        <v>199.042980512583</v>
      </c>
      <c r="N651" s="136">
        <f t="shared" si="39"/>
        <v>2189.4727856384129</v>
      </c>
      <c r="O651" s="136">
        <f t="shared" si="37"/>
        <v>249431180.04262701</v>
      </c>
    </row>
    <row r="652" spans="1:15">
      <c r="A652" s="132">
        <v>649</v>
      </c>
      <c r="B652" s="133" t="s">
        <v>389</v>
      </c>
      <c r="C652" s="133" t="s">
        <v>468</v>
      </c>
      <c r="D652" s="133" t="s">
        <v>395</v>
      </c>
      <c r="E652" s="132">
        <v>6</v>
      </c>
      <c r="F652" s="132">
        <v>4</v>
      </c>
      <c r="G652" s="133" t="s">
        <v>376</v>
      </c>
      <c r="H652" s="133">
        <v>3</v>
      </c>
      <c r="I652" s="133" t="s">
        <v>464</v>
      </c>
      <c r="J652" s="132" t="s">
        <v>342</v>
      </c>
      <c r="K652" s="132" t="s">
        <v>466</v>
      </c>
      <c r="L652" s="132"/>
      <c r="M652" s="135">
        <f>205.84*USD_Inflation_Factor</f>
        <v>281.39427959278908</v>
      </c>
      <c r="N652" s="136">
        <f t="shared" si="39"/>
        <v>844.18283877836723</v>
      </c>
      <c r="O652" s="136">
        <f t="shared" si="37"/>
        <v>96171792.145306602</v>
      </c>
    </row>
    <row r="653" spans="1:15">
      <c r="A653" s="132">
        <v>650</v>
      </c>
      <c r="B653" s="133" t="s">
        <v>389</v>
      </c>
      <c r="C653" s="133" t="s">
        <v>468</v>
      </c>
      <c r="D653" s="133" t="s">
        <v>395</v>
      </c>
      <c r="E653" s="132">
        <v>10</v>
      </c>
      <c r="F653" s="132">
        <v>6</v>
      </c>
      <c r="G653" s="133" t="s">
        <v>376</v>
      </c>
      <c r="H653" s="133">
        <v>2</v>
      </c>
      <c r="I653" s="133" t="s">
        <v>464</v>
      </c>
      <c r="J653" s="132" t="s">
        <v>342</v>
      </c>
      <c r="K653" s="132" t="s">
        <v>466</v>
      </c>
      <c r="L653" s="132"/>
      <c r="M653" s="135">
        <f>380.36*USD_Inflation_Factor</f>
        <v>519.97244552037148</v>
      </c>
      <c r="N653" s="136">
        <f t="shared" si="39"/>
        <v>1039.944891040743</v>
      </c>
      <c r="O653" s="136">
        <f t="shared" si="37"/>
        <v>118473580.97029674</v>
      </c>
    </row>
    <row r="654" spans="1:15">
      <c r="A654" s="132">
        <v>651</v>
      </c>
      <c r="B654" s="133" t="s">
        <v>389</v>
      </c>
      <c r="C654" s="133" t="s">
        <v>468</v>
      </c>
      <c r="D654" s="133" t="s">
        <v>395</v>
      </c>
      <c r="E654" s="132">
        <v>12</v>
      </c>
      <c r="F654" s="132">
        <v>8</v>
      </c>
      <c r="G654" s="133" t="s">
        <v>376</v>
      </c>
      <c r="H654" s="133">
        <v>2</v>
      </c>
      <c r="I654" s="133" t="s">
        <v>464</v>
      </c>
      <c r="J654" s="132" t="s">
        <v>342</v>
      </c>
      <c r="K654" s="132" t="s">
        <v>466</v>
      </c>
      <c r="L654" s="132"/>
      <c r="M654" s="135">
        <f>456.432*USD_Inflation_Factor</f>
        <v>623.96693462444568</v>
      </c>
      <c r="N654" s="136">
        <f t="shared" si="39"/>
        <v>1247.9338692488914</v>
      </c>
      <c r="O654" s="136">
        <f t="shared" si="37"/>
        <v>142168297.16435605</v>
      </c>
    </row>
    <row r="655" spans="1:15">
      <c r="A655" s="132">
        <v>652</v>
      </c>
      <c r="B655" s="133" t="s">
        <v>389</v>
      </c>
      <c r="C655" s="133" t="s">
        <v>468</v>
      </c>
      <c r="D655" s="133" t="s">
        <v>395</v>
      </c>
      <c r="E655" s="132">
        <v>3</v>
      </c>
      <c r="F655" s="132">
        <v>2</v>
      </c>
      <c r="G655" s="133" t="s">
        <v>376</v>
      </c>
      <c r="H655" s="133">
        <v>1</v>
      </c>
      <c r="I655" s="133" t="s">
        <v>377</v>
      </c>
      <c r="J655" s="132" t="s">
        <v>391</v>
      </c>
      <c r="K655" s="132" t="s">
        <v>392</v>
      </c>
      <c r="L655" s="132"/>
      <c r="M655" s="135">
        <f>8.85*USD_Inflation_Factor</f>
        <v>12.098422922639832</v>
      </c>
      <c r="N655" s="136">
        <f t="shared" si="39"/>
        <v>12.098422922639832</v>
      </c>
      <c r="O655" s="136">
        <f t="shared" ref="O655:O686" si="40">0.25*N655*USD_Change_IRR * per_Euro</f>
        <v>1378287.9266840967</v>
      </c>
    </row>
    <row r="656" spans="1:15">
      <c r="A656" s="132">
        <v>653</v>
      </c>
      <c r="B656" s="133" t="s">
        <v>389</v>
      </c>
      <c r="C656" s="133" t="s">
        <v>468</v>
      </c>
      <c r="D656" s="133" t="s">
        <v>395</v>
      </c>
      <c r="E656" s="132">
        <v>3</v>
      </c>
      <c r="F656" s="132" t="s">
        <v>458</v>
      </c>
      <c r="G656" s="133" t="s">
        <v>376</v>
      </c>
      <c r="H656" s="133">
        <v>1</v>
      </c>
      <c r="I656" s="133" t="s">
        <v>377</v>
      </c>
      <c r="J656" s="132" t="s">
        <v>391</v>
      </c>
      <c r="K656" s="132" t="s">
        <v>392</v>
      </c>
      <c r="L656" s="132"/>
      <c r="M656" s="135">
        <f>8.85*USD_Inflation_Factor</f>
        <v>12.098422922639832</v>
      </c>
      <c r="N656" s="136">
        <f t="shared" si="39"/>
        <v>12.098422922639832</v>
      </c>
      <c r="O656" s="136">
        <f t="shared" si="40"/>
        <v>1378287.9266840967</v>
      </c>
    </row>
    <row r="657" spans="1:15">
      <c r="A657" s="132">
        <v>654</v>
      </c>
      <c r="B657" s="133" t="s">
        <v>389</v>
      </c>
      <c r="C657" s="133" t="s">
        <v>468</v>
      </c>
      <c r="D657" s="133" t="s">
        <v>395</v>
      </c>
      <c r="E657" s="132">
        <v>4</v>
      </c>
      <c r="F657" s="132">
        <v>3</v>
      </c>
      <c r="G657" s="133" t="s">
        <v>376</v>
      </c>
      <c r="H657" s="133">
        <v>3</v>
      </c>
      <c r="I657" s="133" t="s">
        <v>469</v>
      </c>
      <c r="J657" s="132" t="s">
        <v>342</v>
      </c>
      <c r="K657" s="132" t="s">
        <v>466</v>
      </c>
      <c r="L657" s="132"/>
      <c r="M657" s="135">
        <f>4.18*USD_Inflation_Factor</f>
        <v>5.7142833691112429</v>
      </c>
      <c r="N657" s="136">
        <f t="shared" si="39"/>
        <v>17.142850107333729</v>
      </c>
      <c r="O657" s="136">
        <f t="shared" si="40"/>
        <v>1952963.9096744149</v>
      </c>
    </row>
    <row r="658" spans="1:15">
      <c r="A658" s="132">
        <v>655</v>
      </c>
      <c r="B658" s="133" t="s">
        <v>389</v>
      </c>
      <c r="C658" s="133" t="s">
        <v>468</v>
      </c>
      <c r="D658" s="133" t="s">
        <v>395</v>
      </c>
      <c r="E658" s="132">
        <v>6</v>
      </c>
      <c r="F658" s="132">
        <v>4</v>
      </c>
      <c r="G658" s="133" t="s">
        <v>376</v>
      </c>
      <c r="H658" s="133">
        <v>3</v>
      </c>
      <c r="I658" s="133" t="s">
        <v>469</v>
      </c>
      <c r="J658" s="132" t="s">
        <v>342</v>
      </c>
      <c r="K658" s="132" t="s">
        <v>466</v>
      </c>
      <c r="L658" s="132"/>
      <c r="M658" s="135">
        <f>9.13*USD_Inflation_Factor</f>
        <v>12.481197885164033</v>
      </c>
      <c r="N658" s="136">
        <f t="shared" si="39"/>
        <v>37.443593655492094</v>
      </c>
      <c r="O658" s="136">
        <f t="shared" si="40"/>
        <v>4265684.329025696</v>
      </c>
    </row>
    <row r="659" spans="1:15">
      <c r="A659" s="132">
        <v>656</v>
      </c>
      <c r="B659" s="133" t="s">
        <v>389</v>
      </c>
      <c r="C659" s="133" t="s">
        <v>468</v>
      </c>
      <c r="D659" s="133" t="s">
        <v>396</v>
      </c>
      <c r="E659" s="132">
        <v>3</v>
      </c>
      <c r="F659" s="132">
        <v>1</v>
      </c>
      <c r="G659" s="133" t="s">
        <v>376</v>
      </c>
      <c r="H659" s="133">
        <v>2</v>
      </c>
      <c r="I659" s="133" t="s">
        <v>464</v>
      </c>
      <c r="J659" s="132" t="s">
        <v>342</v>
      </c>
      <c r="K659" s="132" t="s">
        <v>466</v>
      </c>
      <c r="L659" s="132"/>
      <c r="M659" s="135">
        <f>153.48*USD_Inflation_Factor</f>
        <v>209.81536160076402</v>
      </c>
      <c r="N659" s="136">
        <f t="shared" si="39"/>
        <v>419.63072320152804</v>
      </c>
      <c r="O659" s="136">
        <f t="shared" si="40"/>
        <v>47805566.324853145</v>
      </c>
    </row>
    <row r="660" spans="1:15">
      <c r="A660" s="132">
        <v>657</v>
      </c>
      <c r="B660" s="133" t="s">
        <v>389</v>
      </c>
      <c r="C660" s="133" t="s">
        <v>468</v>
      </c>
      <c r="D660" s="133" t="s">
        <v>396</v>
      </c>
      <c r="E660" s="132">
        <v>3</v>
      </c>
      <c r="F660" s="132" t="s">
        <v>383</v>
      </c>
      <c r="G660" s="133" t="s">
        <v>376</v>
      </c>
      <c r="H660" s="133">
        <v>4</v>
      </c>
      <c r="I660" s="133" t="s">
        <v>464</v>
      </c>
      <c r="J660" s="132" t="s">
        <v>342</v>
      </c>
      <c r="K660" s="132" t="s">
        <v>466</v>
      </c>
      <c r="L660" s="132"/>
      <c r="M660" s="135">
        <f>153.48*USD_Inflation_Factor</f>
        <v>209.81536160076402</v>
      </c>
      <c r="N660" s="136">
        <f t="shared" si="39"/>
        <v>839.26144640305608</v>
      </c>
      <c r="O660" s="136">
        <f t="shared" si="40"/>
        <v>95611132.649706289</v>
      </c>
    </row>
    <row r="661" spans="1:15">
      <c r="A661" s="132">
        <v>658</v>
      </c>
      <c r="B661" s="133" t="s">
        <v>389</v>
      </c>
      <c r="C661" s="133" t="s">
        <v>468</v>
      </c>
      <c r="D661" s="133" t="s">
        <v>396</v>
      </c>
      <c r="E661" s="132">
        <v>4</v>
      </c>
      <c r="F661" s="132">
        <v>1</v>
      </c>
      <c r="G661" s="133" t="s">
        <v>376</v>
      </c>
      <c r="H661" s="133">
        <v>27</v>
      </c>
      <c r="I661" s="133" t="s">
        <v>464</v>
      </c>
      <c r="J661" s="132" t="s">
        <v>342</v>
      </c>
      <c r="K661" s="132" t="s">
        <v>466</v>
      </c>
      <c r="L661" s="132"/>
      <c r="M661" s="135">
        <f>155.8*USD_Inflation_Factor</f>
        <v>212.98692557596453</v>
      </c>
      <c r="N661" s="136">
        <f t="shared" si="39"/>
        <v>5750.6469905510421</v>
      </c>
      <c r="O661" s="136">
        <f t="shared" si="40"/>
        <v>655130620.60896289</v>
      </c>
    </row>
    <row r="662" spans="1:15">
      <c r="A662" s="132">
        <v>659</v>
      </c>
      <c r="B662" s="133" t="s">
        <v>389</v>
      </c>
      <c r="C662" s="133" t="s">
        <v>468</v>
      </c>
      <c r="D662" s="133" t="s">
        <v>396</v>
      </c>
      <c r="E662" s="132">
        <v>6</v>
      </c>
      <c r="F662" s="132">
        <v>1</v>
      </c>
      <c r="G662" s="133" t="s">
        <v>376</v>
      </c>
      <c r="H662" s="133">
        <v>18</v>
      </c>
      <c r="I662" s="133" t="s">
        <v>464</v>
      </c>
      <c r="J662" s="132" t="s">
        <v>342</v>
      </c>
      <c r="K662" s="132" t="s">
        <v>466</v>
      </c>
      <c r="L662" s="132"/>
      <c r="M662" s="135">
        <f>173.68*USD_Inflation_Factor</f>
        <v>237.42984104000976</v>
      </c>
      <c r="N662" s="136">
        <f t="shared" si="39"/>
        <v>4273.7371387201756</v>
      </c>
      <c r="O662" s="136">
        <f t="shared" si="40"/>
        <v>486876705.97930968</v>
      </c>
    </row>
    <row r="663" spans="1:15">
      <c r="A663" s="132">
        <v>660</v>
      </c>
      <c r="B663" s="133" t="s">
        <v>389</v>
      </c>
      <c r="C663" s="133" t="s">
        <v>468</v>
      </c>
      <c r="D663" s="133" t="s">
        <v>396</v>
      </c>
      <c r="E663" s="132">
        <v>8</v>
      </c>
      <c r="F663" s="132">
        <v>1</v>
      </c>
      <c r="G663" s="133" t="s">
        <v>376</v>
      </c>
      <c r="H663" s="133">
        <v>8</v>
      </c>
      <c r="I663" s="133" t="s">
        <v>464</v>
      </c>
      <c r="J663" s="132" t="s">
        <v>342</v>
      </c>
      <c r="K663" s="132" t="s">
        <v>466</v>
      </c>
      <c r="L663" s="132"/>
      <c r="M663" s="135">
        <f>232.64*USD_Inflation_Factor</f>
        <v>318.03131172010518</v>
      </c>
      <c r="N663" s="136">
        <f t="shared" si="39"/>
        <v>2544.2504937608414</v>
      </c>
      <c r="O663" s="136">
        <f t="shared" si="40"/>
        <v>289848500.1254583</v>
      </c>
    </row>
    <row r="664" spans="1:15">
      <c r="A664" s="132">
        <v>661</v>
      </c>
      <c r="B664" s="133" t="s">
        <v>389</v>
      </c>
      <c r="C664" s="133" t="s">
        <v>468</v>
      </c>
      <c r="D664" s="133" t="s">
        <v>396</v>
      </c>
      <c r="E664" s="132">
        <v>8</v>
      </c>
      <c r="F664" s="132" t="s">
        <v>383</v>
      </c>
      <c r="G664" s="133" t="s">
        <v>376</v>
      </c>
      <c r="H664" s="133">
        <v>4</v>
      </c>
      <c r="I664" s="133" t="s">
        <v>464</v>
      </c>
      <c r="J664" s="132" t="s">
        <v>342</v>
      </c>
      <c r="K664" s="132" t="s">
        <v>466</v>
      </c>
      <c r="L664" s="132"/>
      <c r="M664" s="135">
        <f>232.64*USD_Inflation_Factor</f>
        <v>318.03131172010518</v>
      </c>
      <c r="N664" s="136">
        <f t="shared" si="39"/>
        <v>1272.1252468804207</v>
      </c>
      <c r="O664" s="136">
        <f t="shared" si="40"/>
        <v>144924250.06272915</v>
      </c>
    </row>
    <row r="665" spans="1:15">
      <c r="A665" s="132">
        <v>662</v>
      </c>
      <c r="B665" s="133" t="s">
        <v>389</v>
      </c>
      <c r="C665" s="133" t="s">
        <v>468</v>
      </c>
      <c r="D665" s="133" t="s">
        <v>396</v>
      </c>
      <c r="E665" s="132">
        <v>12</v>
      </c>
      <c r="F665" s="132">
        <v>1</v>
      </c>
      <c r="G665" s="133" t="s">
        <v>376</v>
      </c>
      <c r="H665" s="133">
        <v>2</v>
      </c>
      <c r="I665" s="133" t="s">
        <v>464</v>
      </c>
      <c r="J665" s="132" t="s">
        <v>342</v>
      </c>
      <c r="K665" s="132" t="s">
        <v>466</v>
      </c>
      <c r="L665" s="132"/>
      <c r="M665" s="135">
        <f>325.696*USD_Inflation_Factor</f>
        <v>445.24383640814727</v>
      </c>
      <c r="N665" s="136">
        <f t="shared" si="39"/>
        <v>890.48767281629455</v>
      </c>
      <c r="O665" s="136">
        <f t="shared" si="40"/>
        <v>101446975.04391041</v>
      </c>
    </row>
    <row r="666" spans="1:15">
      <c r="A666" s="132">
        <v>663</v>
      </c>
      <c r="B666" s="133" t="s">
        <v>389</v>
      </c>
      <c r="C666" s="133" t="s">
        <v>468</v>
      </c>
      <c r="D666" s="133" t="s">
        <v>396</v>
      </c>
      <c r="E666" s="132">
        <v>2</v>
      </c>
      <c r="F666" s="132">
        <v>1</v>
      </c>
      <c r="G666" s="133" t="s">
        <v>376</v>
      </c>
      <c r="H666" s="133">
        <v>5</v>
      </c>
      <c r="I666" s="133" t="s">
        <v>377</v>
      </c>
      <c r="J666" s="132" t="s">
        <v>391</v>
      </c>
      <c r="K666" s="132" t="s">
        <v>392</v>
      </c>
      <c r="L666" s="132"/>
      <c r="M666" s="135">
        <f>26.4*USD_Inflation_Factor</f>
        <v>36.090210752281536</v>
      </c>
      <c r="N666" s="136">
        <f t="shared" si="39"/>
        <v>180.45105376140768</v>
      </c>
      <c r="O666" s="136">
        <f t="shared" si="40"/>
        <v>20557514.838678051</v>
      </c>
    </row>
    <row r="667" spans="1:15">
      <c r="A667" s="132">
        <v>664</v>
      </c>
      <c r="B667" s="133" t="s">
        <v>389</v>
      </c>
      <c r="C667" s="133" t="s">
        <v>468</v>
      </c>
      <c r="D667" s="133" t="s">
        <v>396</v>
      </c>
      <c r="E667" s="132">
        <v>4</v>
      </c>
      <c r="F667" s="132">
        <v>1</v>
      </c>
      <c r="G667" s="133" t="s">
        <v>376</v>
      </c>
      <c r="H667" s="133">
        <v>1</v>
      </c>
      <c r="I667" s="133" t="s">
        <v>377</v>
      </c>
      <c r="J667" s="132" t="s">
        <v>391</v>
      </c>
      <c r="K667" s="132" t="s">
        <v>392</v>
      </c>
      <c r="L667" s="132"/>
      <c r="M667" s="135">
        <f>33*USD_Inflation_Factor</f>
        <v>45.11276344035192</v>
      </c>
      <c r="N667" s="136">
        <f t="shared" si="39"/>
        <v>45.11276344035192</v>
      </c>
      <c r="O667" s="136">
        <f t="shared" si="40"/>
        <v>5139378.7096695127</v>
      </c>
    </row>
    <row r="668" spans="1:15">
      <c r="A668" s="132">
        <v>665</v>
      </c>
      <c r="B668" s="133" t="s">
        <v>389</v>
      </c>
      <c r="C668" s="133" t="s">
        <v>468</v>
      </c>
      <c r="D668" s="133" t="s">
        <v>396</v>
      </c>
      <c r="E668" s="132">
        <v>4</v>
      </c>
      <c r="F668" s="132">
        <v>1</v>
      </c>
      <c r="G668" s="133" t="s">
        <v>376</v>
      </c>
      <c r="H668" s="133">
        <v>12</v>
      </c>
      <c r="I668" s="133" t="s">
        <v>469</v>
      </c>
      <c r="J668" s="132" t="s">
        <v>342</v>
      </c>
      <c r="K668" s="132" t="s">
        <v>466</v>
      </c>
      <c r="L668" s="132"/>
      <c r="M668" s="135">
        <f>155.8*USD_Inflation_Factor</f>
        <v>212.98692557596453</v>
      </c>
      <c r="N668" s="136">
        <f t="shared" si="39"/>
        <v>2555.8431069115745</v>
      </c>
      <c r="O668" s="136">
        <f t="shared" si="40"/>
        <v>291169164.71509463</v>
      </c>
    </row>
    <row r="669" spans="1:15">
      <c r="A669" s="132">
        <v>666</v>
      </c>
      <c r="B669" s="133" t="s">
        <v>389</v>
      </c>
      <c r="C669" s="133" t="s">
        <v>468</v>
      </c>
      <c r="D669" s="133" t="s">
        <v>396</v>
      </c>
      <c r="E669" s="132">
        <v>5</v>
      </c>
      <c r="F669" s="132">
        <v>1</v>
      </c>
      <c r="G669" s="133" t="s">
        <v>376</v>
      </c>
      <c r="H669" s="133">
        <v>6</v>
      </c>
      <c r="I669" s="133" t="s">
        <v>469</v>
      </c>
      <c r="J669" s="132" t="s">
        <v>342</v>
      </c>
      <c r="K669" s="132" t="s">
        <v>466</v>
      </c>
      <c r="L669" s="132"/>
      <c r="M669" s="135">
        <f>166*USD_Inflation_Factor</f>
        <v>226.93087063934601</v>
      </c>
      <c r="N669" s="136">
        <f t="shared" si="39"/>
        <v>1361.585223836076</v>
      </c>
      <c r="O669" s="136">
        <f t="shared" si="40"/>
        <v>155115793.78275254</v>
      </c>
    </row>
    <row r="670" spans="1:15">
      <c r="A670" s="132">
        <v>667</v>
      </c>
      <c r="B670" s="133" t="s">
        <v>389</v>
      </c>
      <c r="C670" s="133" t="s">
        <v>468</v>
      </c>
      <c r="D670" s="133" t="s">
        <v>396</v>
      </c>
      <c r="E670" s="132">
        <v>6</v>
      </c>
      <c r="F670" s="132">
        <v>1</v>
      </c>
      <c r="G670" s="133" t="s">
        <v>376</v>
      </c>
      <c r="H670" s="133">
        <v>12</v>
      </c>
      <c r="I670" s="133" t="s">
        <v>469</v>
      </c>
      <c r="J670" s="132" t="s">
        <v>342</v>
      </c>
      <c r="K670" s="132" t="s">
        <v>466</v>
      </c>
      <c r="L670" s="132"/>
      <c r="M670" s="135">
        <f>173.68*USD_Inflation_Factor</f>
        <v>237.42984104000976</v>
      </c>
      <c r="N670" s="136">
        <f t="shared" si="39"/>
        <v>2849.1580924801174</v>
      </c>
      <c r="O670" s="136">
        <f t="shared" si="40"/>
        <v>324584470.65287316</v>
      </c>
    </row>
    <row r="671" spans="1:15">
      <c r="A671" s="132">
        <v>668</v>
      </c>
      <c r="B671" s="133" t="s">
        <v>389</v>
      </c>
      <c r="C671" s="133" t="s">
        <v>468</v>
      </c>
      <c r="D671" s="133" t="s">
        <v>397</v>
      </c>
      <c r="E671" s="132">
        <v>3</v>
      </c>
      <c r="F671" s="132">
        <v>3</v>
      </c>
      <c r="G671" s="133" t="s">
        <v>376</v>
      </c>
      <c r="H671" s="133">
        <v>6</v>
      </c>
      <c r="I671" s="133" t="s">
        <v>464</v>
      </c>
      <c r="J671" s="132" t="s">
        <v>342</v>
      </c>
      <c r="K671" s="132" t="s">
        <v>466</v>
      </c>
      <c r="L671" s="132"/>
      <c r="M671" s="135">
        <f>140*USD_Inflation_Factor</f>
        <v>191.38748126209904</v>
      </c>
      <c r="N671" s="136">
        <f t="shared" si="39"/>
        <v>1148.3248875725942</v>
      </c>
      <c r="O671" s="136">
        <f t="shared" si="40"/>
        <v>130820548.97340576</v>
      </c>
    </row>
    <row r="672" spans="1:15">
      <c r="A672" s="132">
        <v>669</v>
      </c>
      <c r="B672" s="133" t="s">
        <v>389</v>
      </c>
      <c r="C672" s="133" t="s">
        <v>468</v>
      </c>
      <c r="D672" s="133" t="s">
        <v>397</v>
      </c>
      <c r="E672" s="132">
        <v>4</v>
      </c>
      <c r="F672" s="132">
        <v>3</v>
      </c>
      <c r="G672" s="133" t="s">
        <v>376</v>
      </c>
      <c r="H672" s="133">
        <v>4</v>
      </c>
      <c r="I672" s="133" t="s">
        <v>464</v>
      </c>
      <c r="J672" s="132" t="s">
        <v>342</v>
      </c>
      <c r="K672" s="132" t="s">
        <v>466</v>
      </c>
      <c r="L672" s="132"/>
      <c r="M672" s="135">
        <f>157.08*USD_Inflation_Factor</f>
        <v>214.73675397607516</v>
      </c>
      <c r="N672" s="136">
        <f t="shared" si="39"/>
        <v>858.94701590430066</v>
      </c>
      <c r="O672" s="136">
        <f t="shared" si="40"/>
        <v>97853770.632107541</v>
      </c>
    </row>
    <row r="673" spans="1:15">
      <c r="A673" s="132">
        <v>670</v>
      </c>
      <c r="B673" s="133" t="s">
        <v>389</v>
      </c>
      <c r="C673" s="133" t="s">
        <v>468</v>
      </c>
      <c r="D673" s="133" t="s">
        <v>397</v>
      </c>
      <c r="E673" s="132">
        <v>4</v>
      </c>
      <c r="F673" s="132">
        <v>4</v>
      </c>
      <c r="G673" s="133" t="s">
        <v>376</v>
      </c>
      <c r="H673" s="133">
        <v>6</v>
      </c>
      <c r="I673" s="133" t="s">
        <v>464</v>
      </c>
      <c r="J673" s="132" t="s">
        <v>342</v>
      </c>
      <c r="K673" s="132" t="s">
        <v>466</v>
      </c>
      <c r="L673" s="132"/>
      <c r="M673" s="135">
        <f>157.08*USD_Inflation_Factor</f>
        <v>214.73675397607516</v>
      </c>
      <c r="N673" s="136">
        <f t="shared" si="39"/>
        <v>1288.4205238564509</v>
      </c>
      <c r="O673" s="136">
        <f t="shared" si="40"/>
        <v>146780655.94816127</v>
      </c>
    </row>
    <row r="674" spans="1:15">
      <c r="A674" s="132">
        <v>671</v>
      </c>
      <c r="B674" s="133" t="s">
        <v>389</v>
      </c>
      <c r="C674" s="133" t="s">
        <v>468</v>
      </c>
      <c r="D674" s="133" t="s">
        <v>396</v>
      </c>
      <c r="E674" s="132">
        <v>8</v>
      </c>
      <c r="F674" s="132">
        <v>2</v>
      </c>
      <c r="G674" s="133" t="s">
        <v>376</v>
      </c>
      <c r="H674" s="133">
        <v>2</v>
      </c>
      <c r="I674" s="133" t="s">
        <v>464</v>
      </c>
      <c r="J674" s="132" t="s">
        <v>342</v>
      </c>
      <c r="K674" s="132" t="s">
        <v>466</v>
      </c>
      <c r="L674" s="132"/>
      <c r="M674" s="135">
        <f>232.64*USD_Inflation_Factor</f>
        <v>318.03131172010518</v>
      </c>
      <c r="N674" s="136">
        <f t="shared" si="39"/>
        <v>636.06262344021036</v>
      </c>
      <c r="O674" s="136">
        <f t="shared" si="40"/>
        <v>72462125.031364575</v>
      </c>
    </row>
    <row r="675" spans="1:15">
      <c r="A675" s="132">
        <v>672</v>
      </c>
      <c r="B675" s="133" t="s">
        <v>389</v>
      </c>
      <c r="C675" s="133" t="s">
        <v>468</v>
      </c>
      <c r="D675" s="133" t="s">
        <v>397</v>
      </c>
      <c r="E675" s="132">
        <v>8</v>
      </c>
      <c r="F675" s="132">
        <v>4</v>
      </c>
      <c r="G675" s="133" t="s">
        <v>376</v>
      </c>
      <c r="H675" s="133">
        <v>8</v>
      </c>
      <c r="I675" s="133" t="s">
        <v>464</v>
      </c>
      <c r="J675" s="132" t="s">
        <v>342</v>
      </c>
      <c r="K675" s="132" t="s">
        <v>466</v>
      </c>
      <c r="L675" s="132"/>
      <c r="M675" s="135">
        <f>331.4*USD_Inflation_Factor</f>
        <v>453.04150921614018</v>
      </c>
      <c r="N675" s="136">
        <f t="shared" si="39"/>
        <v>3624.3320737291215</v>
      </c>
      <c r="O675" s="136">
        <f t="shared" si="40"/>
        <v>412894570.75987315</v>
      </c>
    </row>
    <row r="676" spans="1:15">
      <c r="A676" s="132">
        <v>673</v>
      </c>
      <c r="B676" s="133" t="s">
        <v>389</v>
      </c>
      <c r="C676" s="133" t="s">
        <v>468</v>
      </c>
      <c r="D676" s="133" t="s">
        <v>397</v>
      </c>
      <c r="E676" s="132">
        <v>8</v>
      </c>
      <c r="F676" s="132">
        <v>8</v>
      </c>
      <c r="G676" s="133" t="s">
        <v>376</v>
      </c>
      <c r="H676" s="133">
        <v>2</v>
      </c>
      <c r="I676" s="133" t="s">
        <v>464</v>
      </c>
      <c r="J676" s="132" t="s">
        <v>342</v>
      </c>
      <c r="K676" s="132" t="s">
        <v>466</v>
      </c>
      <c r="L676" s="132"/>
      <c r="M676" s="135">
        <f>331.4*USD_Inflation_Factor</f>
        <v>453.04150921614018</v>
      </c>
      <c r="N676" s="136">
        <f t="shared" si="39"/>
        <v>906.08301843228037</v>
      </c>
      <c r="O676" s="136">
        <f t="shared" si="40"/>
        <v>103223642.68996829</v>
      </c>
    </row>
    <row r="677" spans="1:15">
      <c r="A677" s="132">
        <v>674</v>
      </c>
      <c r="B677" s="133" t="s">
        <v>389</v>
      </c>
      <c r="C677" s="133" t="s">
        <v>468</v>
      </c>
      <c r="D677" s="133" t="s">
        <v>396</v>
      </c>
      <c r="E677" s="132">
        <v>10</v>
      </c>
      <c r="F677" s="132">
        <v>1</v>
      </c>
      <c r="G677" s="133" t="s">
        <v>376</v>
      </c>
      <c r="H677" s="133">
        <v>4</v>
      </c>
      <c r="I677" s="133" t="s">
        <v>464</v>
      </c>
      <c r="J677" s="132" t="s">
        <v>342</v>
      </c>
      <c r="K677" s="132" t="s">
        <v>466</v>
      </c>
      <c r="L677" s="132"/>
      <c r="M677" s="135">
        <f>279.168*USD_Inflation_Factor</f>
        <v>381.63757406412623</v>
      </c>
      <c r="N677" s="136">
        <f t="shared" si="39"/>
        <v>1526.5502962565049</v>
      </c>
      <c r="O677" s="136">
        <f t="shared" si="40"/>
        <v>173909100.075275</v>
      </c>
    </row>
    <row r="678" spans="1:15">
      <c r="A678" s="132">
        <v>675</v>
      </c>
      <c r="B678" s="133" t="s">
        <v>389</v>
      </c>
      <c r="C678" s="133" t="s">
        <v>468</v>
      </c>
      <c r="D678" s="133" t="s">
        <v>396</v>
      </c>
      <c r="E678" s="132">
        <v>10</v>
      </c>
      <c r="F678" s="132">
        <v>2</v>
      </c>
      <c r="G678" s="133" t="s">
        <v>376</v>
      </c>
      <c r="H678" s="133">
        <v>2</v>
      </c>
      <c r="I678" s="133" t="s">
        <v>464</v>
      </c>
      <c r="J678" s="132" t="s">
        <v>342</v>
      </c>
      <c r="K678" s="132" t="s">
        <v>466</v>
      </c>
      <c r="L678" s="132"/>
      <c r="M678" s="135">
        <f>244.28*USD_Inflation_Factor</f>
        <v>333.94381373361114</v>
      </c>
      <c r="N678" s="136">
        <f t="shared" si="39"/>
        <v>667.88762746722227</v>
      </c>
      <c r="O678" s="136">
        <f t="shared" si="40"/>
        <v>76087723.10291326</v>
      </c>
    </row>
    <row r="679" spans="1:15">
      <c r="A679" s="132">
        <v>676</v>
      </c>
      <c r="B679" s="133" t="s">
        <v>389</v>
      </c>
      <c r="C679" s="133" t="s">
        <v>468</v>
      </c>
      <c r="D679" s="133" t="s">
        <v>396</v>
      </c>
      <c r="E679" s="132">
        <v>10</v>
      </c>
      <c r="F679" s="132">
        <v>3</v>
      </c>
      <c r="G679" s="133" t="s">
        <v>376</v>
      </c>
      <c r="H679" s="133">
        <v>2</v>
      </c>
      <c r="I679" s="133" t="s">
        <v>464</v>
      </c>
      <c r="J679" s="132" t="s">
        <v>342</v>
      </c>
      <c r="K679" s="132" t="s">
        <v>466</v>
      </c>
      <c r="L679" s="132"/>
      <c r="M679" s="135">
        <f>293.136*USD_Inflation_Factor</f>
        <v>400.73257648033336</v>
      </c>
      <c r="N679" s="136">
        <f t="shared" si="39"/>
        <v>801.46515296066673</v>
      </c>
      <c r="O679" s="136">
        <f t="shared" si="40"/>
        <v>91305267.723495901</v>
      </c>
    </row>
    <row r="680" spans="1:15">
      <c r="A680" s="132">
        <v>677</v>
      </c>
      <c r="B680" s="133" t="s">
        <v>389</v>
      </c>
      <c r="C680" s="133" t="s">
        <v>468</v>
      </c>
      <c r="D680" s="133" t="s">
        <v>397</v>
      </c>
      <c r="E680" s="132">
        <v>10</v>
      </c>
      <c r="F680" s="132">
        <v>4</v>
      </c>
      <c r="G680" s="133" t="s">
        <v>376</v>
      </c>
      <c r="H680" s="133">
        <v>8</v>
      </c>
      <c r="I680" s="133" t="s">
        <v>464</v>
      </c>
      <c r="J680" s="132" t="s">
        <v>342</v>
      </c>
      <c r="K680" s="132" t="s">
        <v>466</v>
      </c>
      <c r="L680" s="132"/>
      <c r="M680" s="135">
        <f>354.24*USD_Inflation_Factor</f>
        <v>484.26500973061411</v>
      </c>
      <c r="N680" s="136">
        <f t="shared" si="39"/>
        <v>3874.1200778449129</v>
      </c>
      <c r="O680" s="136">
        <f t="shared" si="40"/>
        <v>441351154.93656445</v>
      </c>
    </row>
    <row r="681" spans="1:15">
      <c r="A681" s="132">
        <v>678</v>
      </c>
      <c r="B681" s="133" t="s">
        <v>389</v>
      </c>
      <c r="C681" s="133" t="s">
        <v>468</v>
      </c>
      <c r="D681" s="133" t="s">
        <v>397</v>
      </c>
      <c r="E681" s="132">
        <v>10</v>
      </c>
      <c r="F681" s="132">
        <v>6</v>
      </c>
      <c r="G681" s="133" t="s">
        <v>376</v>
      </c>
      <c r="H681" s="133">
        <v>4</v>
      </c>
      <c r="I681" s="133" t="s">
        <v>464</v>
      </c>
      <c r="J681" s="132" t="s">
        <v>342</v>
      </c>
      <c r="K681" s="132" t="s">
        <v>466</v>
      </c>
      <c r="L681" s="132"/>
      <c r="M681" s="135">
        <f>354.24*USD_Inflation_Factor</f>
        <v>484.26500973061411</v>
      </c>
      <c r="N681" s="136">
        <f t="shared" si="39"/>
        <v>1937.0600389224564</v>
      </c>
      <c r="O681" s="136">
        <f t="shared" si="40"/>
        <v>220675577.46828222</v>
      </c>
    </row>
    <row r="682" spans="1:15">
      <c r="A682" s="132">
        <v>679</v>
      </c>
      <c r="B682" s="133" t="s">
        <v>389</v>
      </c>
      <c r="C682" s="133" t="s">
        <v>468</v>
      </c>
      <c r="D682" s="133" t="s">
        <v>397</v>
      </c>
      <c r="E682" s="132">
        <v>10</v>
      </c>
      <c r="F682" s="132">
        <v>8</v>
      </c>
      <c r="G682" s="133" t="s">
        <v>376</v>
      </c>
      <c r="H682" s="133">
        <v>4</v>
      </c>
      <c r="I682" s="133" t="s">
        <v>464</v>
      </c>
      <c r="J682" s="132" t="s">
        <v>342</v>
      </c>
      <c r="K682" s="132" t="s">
        <v>466</v>
      </c>
      <c r="L682" s="132"/>
      <c r="M682" s="135">
        <f>354.24*USD_Inflation_Factor</f>
        <v>484.26500973061411</v>
      </c>
      <c r="N682" s="136">
        <f t="shared" si="39"/>
        <v>1937.0600389224564</v>
      </c>
      <c r="O682" s="136">
        <f t="shared" si="40"/>
        <v>220675577.46828222</v>
      </c>
    </row>
    <row r="683" spans="1:15">
      <c r="A683" s="132">
        <v>680</v>
      </c>
      <c r="B683" s="133" t="s">
        <v>389</v>
      </c>
      <c r="C683" s="133" t="s">
        <v>468</v>
      </c>
      <c r="D683" s="133" t="s">
        <v>397</v>
      </c>
      <c r="E683" s="132">
        <v>10</v>
      </c>
      <c r="F683" s="132">
        <v>10</v>
      </c>
      <c r="G683" s="133" t="s">
        <v>376</v>
      </c>
      <c r="H683" s="133">
        <v>6</v>
      </c>
      <c r="I683" s="133" t="s">
        <v>464</v>
      </c>
      <c r="J683" s="132" t="s">
        <v>342</v>
      </c>
      <c r="K683" s="132" t="s">
        <v>466</v>
      </c>
      <c r="L683" s="132"/>
      <c r="M683" s="135">
        <f>354.24*USD_Inflation_Factor</f>
        <v>484.26500973061411</v>
      </c>
      <c r="N683" s="136">
        <f t="shared" si="39"/>
        <v>2905.5900583836847</v>
      </c>
      <c r="O683" s="136">
        <f t="shared" si="40"/>
        <v>331013366.20242333</v>
      </c>
    </row>
    <row r="684" spans="1:15">
      <c r="A684" s="132">
        <v>681</v>
      </c>
      <c r="B684" s="133" t="s">
        <v>389</v>
      </c>
      <c r="C684" s="133" t="s">
        <v>468</v>
      </c>
      <c r="D684" s="133" t="s">
        <v>396</v>
      </c>
      <c r="E684" s="132">
        <v>10</v>
      </c>
      <c r="F684" s="132" t="s">
        <v>446</v>
      </c>
      <c r="G684" s="133" t="s">
        <v>376</v>
      </c>
      <c r="H684" s="133">
        <v>1</v>
      </c>
      <c r="I684" s="133" t="s">
        <v>464</v>
      </c>
      <c r="J684" s="132" t="s">
        <v>342</v>
      </c>
      <c r="K684" s="132" t="s">
        <v>466</v>
      </c>
      <c r="L684" s="132"/>
      <c r="M684" s="135">
        <f>279.168*USD_Inflation_Factor</f>
        <v>381.63757406412623</v>
      </c>
      <c r="N684" s="136">
        <f t="shared" si="39"/>
        <v>381.63757406412623</v>
      </c>
      <c r="O684" s="136">
        <f t="shared" si="40"/>
        <v>43477275.018818751</v>
      </c>
    </row>
    <row r="685" spans="1:15">
      <c r="A685" s="132">
        <v>682</v>
      </c>
      <c r="B685" s="133" t="s">
        <v>389</v>
      </c>
      <c r="C685" s="133" t="s">
        <v>468</v>
      </c>
      <c r="D685" s="133" t="s">
        <v>397</v>
      </c>
      <c r="E685" s="132">
        <v>12</v>
      </c>
      <c r="F685" s="132">
        <v>6</v>
      </c>
      <c r="G685" s="133" t="s">
        <v>376</v>
      </c>
      <c r="H685" s="133">
        <v>2</v>
      </c>
      <c r="I685" s="133" t="s">
        <v>464</v>
      </c>
      <c r="J685" s="132" t="s">
        <v>342</v>
      </c>
      <c r="K685" s="132" t="s">
        <v>466</v>
      </c>
      <c r="L685" s="132"/>
      <c r="M685" s="135">
        <f>424.8*USD_Inflation_Factor</f>
        <v>580.72430028671204</v>
      </c>
      <c r="N685" s="136">
        <f t="shared" si="39"/>
        <v>1161.4486005734241</v>
      </c>
      <c r="O685" s="136">
        <f t="shared" si="40"/>
        <v>132315640.96167329</v>
      </c>
    </row>
    <row r="686" spans="1:15">
      <c r="A686" s="132">
        <v>683</v>
      </c>
      <c r="B686" s="133" t="s">
        <v>389</v>
      </c>
      <c r="C686" s="133" t="s">
        <v>468</v>
      </c>
      <c r="D686" s="133" t="s">
        <v>397</v>
      </c>
      <c r="E686" s="132">
        <v>12</v>
      </c>
      <c r="F686" s="132">
        <v>8</v>
      </c>
      <c r="G686" s="133" t="s">
        <v>376</v>
      </c>
      <c r="H686" s="133">
        <v>1</v>
      </c>
      <c r="I686" s="133" t="s">
        <v>464</v>
      </c>
      <c r="J686" s="132" t="s">
        <v>342</v>
      </c>
      <c r="K686" s="132" t="s">
        <v>466</v>
      </c>
      <c r="L686" s="132"/>
      <c r="M686" s="135">
        <f>424.8*USD_Inflation_Factor</f>
        <v>580.72430028671204</v>
      </c>
      <c r="N686" s="136">
        <f t="shared" si="39"/>
        <v>580.72430028671204</v>
      </c>
      <c r="O686" s="136">
        <f t="shared" si="40"/>
        <v>66157820.480836645</v>
      </c>
    </row>
    <row r="687" spans="1:15">
      <c r="A687" s="132">
        <v>684</v>
      </c>
      <c r="B687" s="133" t="s">
        <v>389</v>
      </c>
      <c r="C687" s="133" t="s">
        <v>468</v>
      </c>
      <c r="D687" s="133" t="s">
        <v>397</v>
      </c>
      <c r="E687" s="132">
        <v>12</v>
      </c>
      <c r="F687" s="132">
        <v>10</v>
      </c>
      <c r="G687" s="133" t="s">
        <v>376</v>
      </c>
      <c r="H687" s="133">
        <v>2</v>
      </c>
      <c r="I687" s="133" t="s">
        <v>464</v>
      </c>
      <c r="J687" s="132" t="s">
        <v>342</v>
      </c>
      <c r="K687" s="132" t="s">
        <v>466</v>
      </c>
      <c r="L687" s="132"/>
      <c r="M687" s="135">
        <f>424.8*USD_Inflation_Factor</f>
        <v>580.72430028671204</v>
      </c>
      <c r="N687" s="136">
        <f t="shared" si="39"/>
        <v>1161.4486005734241</v>
      </c>
      <c r="O687" s="136">
        <f t="shared" ref="O687:O718" si="41">0.25*N687*USD_Change_IRR * per_Euro</f>
        <v>132315640.96167329</v>
      </c>
    </row>
    <row r="688" spans="1:15">
      <c r="A688" s="132">
        <v>685</v>
      </c>
      <c r="B688" s="133" t="s">
        <v>389</v>
      </c>
      <c r="C688" s="133" t="s">
        <v>468</v>
      </c>
      <c r="D688" s="133" t="s">
        <v>397</v>
      </c>
      <c r="E688" s="132">
        <v>2</v>
      </c>
      <c r="F688" s="132">
        <v>1</v>
      </c>
      <c r="G688" s="133" t="s">
        <v>376</v>
      </c>
      <c r="H688" s="133">
        <v>4</v>
      </c>
      <c r="I688" s="133" t="s">
        <v>377</v>
      </c>
      <c r="J688" s="132" t="s">
        <v>391</v>
      </c>
      <c r="K688" s="132" t="s">
        <v>392</v>
      </c>
      <c r="L688" s="132"/>
      <c r="M688" s="135">
        <f>9.5*USD_Inflation_Factor</f>
        <v>12.987007657071008</v>
      </c>
      <c r="N688" s="136">
        <f t="shared" si="39"/>
        <v>51.94803062828403</v>
      </c>
      <c r="O688" s="136">
        <f t="shared" si="41"/>
        <v>5918072.4535588333</v>
      </c>
    </row>
    <row r="689" spans="1:15">
      <c r="A689" s="132">
        <v>686</v>
      </c>
      <c r="B689" s="133" t="s">
        <v>389</v>
      </c>
      <c r="C689" s="133" t="s">
        <v>468</v>
      </c>
      <c r="D689" s="133" t="s">
        <v>397</v>
      </c>
      <c r="E689" s="132">
        <v>2</v>
      </c>
      <c r="F689" s="132">
        <v>2</v>
      </c>
      <c r="G689" s="133" t="s">
        <v>376</v>
      </c>
      <c r="H689" s="133">
        <v>15</v>
      </c>
      <c r="I689" s="133" t="s">
        <v>377</v>
      </c>
      <c r="J689" s="132" t="s">
        <v>391</v>
      </c>
      <c r="K689" s="132" t="s">
        <v>392</v>
      </c>
      <c r="L689" s="132"/>
      <c r="M689" s="135">
        <f>9.5*USD_Inflation_Factor</f>
        <v>12.987007657071008</v>
      </c>
      <c r="N689" s="136">
        <f t="shared" si="39"/>
        <v>194.8051148560651</v>
      </c>
      <c r="O689" s="136">
        <f t="shared" si="41"/>
        <v>22192771.700845622</v>
      </c>
    </row>
    <row r="690" spans="1:15">
      <c r="A690" s="132">
        <v>687</v>
      </c>
      <c r="B690" s="133" t="s">
        <v>389</v>
      </c>
      <c r="C690" s="133" t="s">
        <v>468</v>
      </c>
      <c r="D690" s="133" t="s">
        <v>397</v>
      </c>
      <c r="E690" s="132">
        <v>3</v>
      </c>
      <c r="F690" s="132">
        <v>1</v>
      </c>
      <c r="G690" s="133" t="s">
        <v>376</v>
      </c>
      <c r="H690" s="133">
        <v>7</v>
      </c>
      <c r="I690" s="133" t="s">
        <v>377</v>
      </c>
      <c r="J690" s="132" t="s">
        <v>391</v>
      </c>
      <c r="K690" s="132" t="s">
        <v>392</v>
      </c>
      <c r="L690" s="132"/>
      <c r="M690" s="135">
        <f>15.21*USD_Inflation_Factor</f>
        <v>20.792882785689478</v>
      </c>
      <c r="N690" s="136">
        <f t="shared" si="39"/>
        <v>145.55017949982636</v>
      </c>
      <c r="O690" s="136">
        <f t="shared" si="41"/>
        <v>16581504.582379185</v>
      </c>
    </row>
    <row r="691" spans="1:15">
      <c r="A691" s="132">
        <v>688</v>
      </c>
      <c r="B691" s="133" t="s">
        <v>389</v>
      </c>
      <c r="C691" s="133" t="s">
        <v>468</v>
      </c>
      <c r="D691" s="133" t="s">
        <v>397</v>
      </c>
      <c r="E691" s="132">
        <v>3</v>
      </c>
      <c r="F691" s="132">
        <v>3</v>
      </c>
      <c r="G691" s="133" t="s">
        <v>376</v>
      </c>
      <c r="H691" s="133">
        <v>2</v>
      </c>
      <c r="I691" s="133" t="s">
        <v>377</v>
      </c>
      <c r="J691" s="132" t="s">
        <v>391</v>
      </c>
      <c r="K691" s="132" t="s">
        <v>392</v>
      </c>
      <c r="L691" s="132"/>
      <c r="M691" s="135">
        <f>15.21*USD_Inflation_Factor</f>
        <v>20.792882785689478</v>
      </c>
      <c r="N691" s="136">
        <f t="shared" si="39"/>
        <v>41.585765571378957</v>
      </c>
      <c r="O691" s="136">
        <f t="shared" si="41"/>
        <v>4737572.7378226249</v>
      </c>
    </row>
    <row r="692" spans="1:15">
      <c r="A692" s="132">
        <v>689</v>
      </c>
      <c r="B692" s="133" t="s">
        <v>389</v>
      </c>
      <c r="C692" s="133" t="s">
        <v>468</v>
      </c>
      <c r="D692" s="133" t="s">
        <v>397</v>
      </c>
      <c r="E692" s="132">
        <v>6</v>
      </c>
      <c r="F692" s="132">
        <v>1</v>
      </c>
      <c r="G692" s="133" t="s">
        <v>376</v>
      </c>
      <c r="H692" s="133">
        <v>6</v>
      </c>
      <c r="I692" s="133" t="s">
        <v>377</v>
      </c>
      <c r="J692" s="132" t="s">
        <v>391</v>
      </c>
      <c r="K692" s="132" t="s">
        <v>392</v>
      </c>
      <c r="L692" s="132"/>
      <c r="M692" s="135">
        <f>59.51*USD_Inflation_Factor</f>
        <v>81.353350070767959</v>
      </c>
      <c r="N692" s="136">
        <f t="shared" si="39"/>
        <v>488.12010042460776</v>
      </c>
      <c r="O692" s="136">
        <f t="shared" si="41"/>
        <v>55608077.638624124</v>
      </c>
    </row>
    <row r="693" spans="1:15">
      <c r="A693" s="132">
        <v>690</v>
      </c>
      <c r="B693" s="133" t="s">
        <v>389</v>
      </c>
      <c r="C693" s="133" t="s">
        <v>468</v>
      </c>
      <c r="D693" s="133" t="s">
        <v>397</v>
      </c>
      <c r="E693" s="132">
        <v>6</v>
      </c>
      <c r="F693" s="132">
        <v>2</v>
      </c>
      <c r="G693" s="133" t="s">
        <v>376</v>
      </c>
      <c r="H693" s="133">
        <v>2</v>
      </c>
      <c r="I693" s="133" t="s">
        <v>377</v>
      </c>
      <c r="J693" s="132" t="s">
        <v>391</v>
      </c>
      <c r="K693" s="132" t="s">
        <v>392</v>
      </c>
      <c r="L693" s="132"/>
      <c r="M693" s="135">
        <f>59.51*USD_Inflation_Factor</f>
        <v>81.353350070767959</v>
      </c>
      <c r="N693" s="136">
        <f t="shared" si="39"/>
        <v>162.70670014153592</v>
      </c>
      <c r="O693" s="136">
        <f t="shared" si="41"/>
        <v>18536025.879541375</v>
      </c>
    </row>
    <row r="694" spans="1:15">
      <c r="A694" s="132">
        <v>691</v>
      </c>
      <c r="B694" s="133" t="s">
        <v>389</v>
      </c>
      <c r="C694" s="133" t="s">
        <v>468</v>
      </c>
      <c r="D694" s="133" t="s">
        <v>397</v>
      </c>
      <c r="E694" s="132">
        <v>6</v>
      </c>
      <c r="F694" s="132">
        <v>4</v>
      </c>
      <c r="G694" s="133" t="s">
        <v>376</v>
      </c>
      <c r="H694" s="133">
        <v>4</v>
      </c>
      <c r="I694" s="133" t="s">
        <v>377</v>
      </c>
      <c r="J694" s="132" t="s">
        <v>391</v>
      </c>
      <c r="K694" s="132" t="s">
        <v>392</v>
      </c>
      <c r="L694" s="132"/>
      <c r="M694" s="135">
        <f>59.51*USD_Inflation_Factor</f>
        <v>81.353350070767959</v>
      </c>
      <c r="N694" s="136">
        <f t="shared" si="39"/>
        <v>325.41340028307184</v>
      </c>
      <c r="O694" s="136">
        <f t="shared" si="41"/>
        <v>37072051.759082749</v>
      </c>
    </row>
    <row r="695" spans="1:15">
      <c r="A695" s="132">
        <v>692</v>
      </c>
      <c r="B695" s="133" t="s">
        <v>389</v>
      </c>
      <c r="C695" s="133" t="s">
        <v>468</v>
      </c>
      <c r="D695" s="133" t="s">
        <v>397</v>
      </c>
      <c r="E695" s="132">
        <v>6</v>
      </c>
      <c r="F695" s="132">
        <v>6</v>
      </c>
      <c r="G695" s="133" t="s">
        <v>376</v>
      </c>
      <c r="H695" s="133">
        <v>2</v>
      </c>
      <c r="I695" s="133" t="s">
        <v>377</v>
      </c>
      <c r="J695" s="132" t="s">
        <v>391</v>
      </c>
      <c r="K695" s="132" t="s">
        <v>392</v>
      </c>
      <c r="L695" s="132"/>
      <c r="M695" s="135">
        <f>59.51*USD_Inflation_Factor</f>
        <v>81.353350070767959</v>
      </c>
      <c r="N695" s="136">
        <f t="shared" si="39"/>
        <v>162.70670014153592</v>
      </c>
      <c r="O695" s="136">
        <f t="shared" si="41"/>
        <v>18536025.879541375</v>
      </c>
    </row>
    <row r="696" spans="1:15">
      <c r="A696" s="132">
        <v>693</v>
      </c>
      <c r="B696" s="133" t="s">
        <v>389</v>
      </c>
      <c r="C696" s="133" t="s">
        <v>468</v>
      </c>
      <c r="D696" s="133" t="s">
        <v>397</v>
      </c>
      <c r="E696" s="132">
        <v>6</v>
      </c>
      <c r="F696" s="132" t="s">
        <v>446</v>
      </c>
      <c r="G696" s="133" t="s">
        <v>376</v>
      </c>
      <c r="H696" s="133">
        <v>2</v>
      </c>
      <c r="I696" s="133" t="s">
        <v>377</v>
      </c>
      <c r="J696" s="132" t="s">
        <v>391</v>
      </c>
      <c r="K696" s="132" t="s">
        <v>392</v>
      </c>
      <c r="L696" s="132"/>
      <c r="M696" s="135">
        <f>59.51*USD_Inflation_Factor</f>
        <v>81.353350070767959</v>
      </c>
      <c r="N696" s="136">
        <f t="shared" si="39"/>
        <v>162.70670014153592</v>
      </c>
      <c r="O696" s="136">
        <f t="shared" si="41"/>
        <v>18536025.879541375</v>
      </c>
    </row>
    <row r="697" spans="1:15">
      <c r="A697" s="132">
        <v>694</v>
      </c>
      <c r="B697" s="133" t="s">
        <v>389</v>
      </c>
      <c r="C697" s="133" t="s">
        <v>468</v>
      </c>
      <c r="D697" s="133" t="s">
        <v>397</v>
      </c>
      <c r="E697" s="132">
        <v>4</v>
      </c>
      <c r="F697" s="132">
        <v>4</v>
      </c>
      <c r="G697" s="133" t="s">
        <v>376</v>
      </c>
      <c r="H697" s="133">
        <v>6</v>
      </c>
      <c r="I697" s="133" t="s">
        <v>469</v>
      </c>
      <c r="J697" s="132" t="s">
        <v>342</v>
      </c>
      <c r="K697" s="132" t="s">
        <v>466</v>
      </c>
      <c r="L697" s="132"/>
      <c r="M697" s="135">
        <f>12.99*USD_Inflation_Factor</f>
        <v>17.758024154247622</v>
      </c>
      <c r="N697" s="136">
        <f t="shared" si="39"/>
        <v>106.54814492548573</v>
      </c>
      <c r="O697" s="136">
        <f t="shared" si="41"/>
        <v>12138278.079746723</v>
      </c>
    </row>
    <row r="698" spans="1:15">
      <c r="A698" s="132">
        <v>695</v>
      </c>
      <c r="B698" s="133" t="s">
        <v>389</v>
      </c>
      <c r="C698" s="133" t="s">
        <v>468</v>
      </c>
      <c r="D698" s="133" t="s">
        <v>397</v>
      </c>
      <c r="E698" s="132">
        <v>6</v>
      </c>
      <c r="F698" s="132">
        <v>6</v>
      </c>
      <c r="G698" s="133" t="s">
        <v>376</v>
      </c>
      <c r="H698" s="133">
        <v>6</v>
      </c>
      <c r="I698" s="133" t="s">
        <v>469</v>
      </c>
      <c r="J698" s="132" t="s">
        <v>342</v>
      </c>
      <c r="K698" s="132" t="s">
        <v>466</v>
      </c>
      <c r="L698" s="132"/>
      <c r="M698" s="135">
        <f>94.5*USD_Inflation_Factor</f>
        <v>129.18654985191685</v>
      </c>
      <c r="N698" s="136">
        <f t="shared" si="39"/>
        <v>775.11929911150105</v>
      </c>
      <c r="O698" s="136">
        <f t="shared" si="41"/>
        <v>88303870.557048902</v>
      </c>
    </row>
    <row r="699" spans="1:15">
      <c r="A699" s="132">
        <v>696</v>
      </c>
      <c r="B699" s="133" t="s">
        <v>389</v>
      </c>
      <c r="C699" s="133" t="s">
        <v>468</v>
      </c>
      <c r="D699" s="133" t="s">
        <v>397</v>
      </c>
      <c r="E699" s="132">
        <v>8</v>
      </c>
      <c r="F699" s="132">
        <v>3</v>
      </c>
      <c r="G699" s="133" t="s">
        <v>376</v>
      </c>
      <c r="H699" s="133">
        <v>2</v>
      </c>
      <c r="I699" s="133" t="s">
        <v>469</v>
      </c>
      <c r="J699" s="132" t="s">
        <v>342</v>
      </c>
      <c r="K699" s="132" t="s">
        <v>466</v>
      </c>
      <c r="L699" s="132"/>
      <c r="M699" s="135">
        <f>54.02*USD_Inflation_Factor</f>
        <v>73.848226698418515</v>
      </c>
      <c r="N699" s="136">
        <f t="shared" si="39"/>
        <v>147.69645339683703</v>
      </c>
      <c r="O699" s="136">
        <f t="shared" si="41"/>
        <v>16826014.417960431</v>
      </c>
    </row>
    <row r="700" spans="1:15">
      <c r="A700" s="132">
        <v>697</v>
      </c>
      <c r="B700" s="133" t="s">
        <v>389</v>
      </c>
      <c r="C700" s="133" t="s">
        <v>468</v>
      </c>
      <c r="D700" s="133" t="s">
        <v>397</v>
      </c>
      <c r="E700" s="132">
        <v>8</v>
      </c>
      <c r="F700" s="132">
        <v>4</v>
      </c>
      <c r="G700" s="133" t="s">
        <v>376</v>
      </c>
      <c r="H700" s="133">
        <v>8</v>
      </c>
      <c r="I700" s="133" t="s">
        <v>469</v>
      </c>
      <c r="J700" s="132" t="s">
        <v>342</v>
      </c>
      <c r="K700" s="132" t="s">
        <v>466</v>
      </c>
      <c r="L700" s="132"/>
      <c r="M700" s="135">
        <f>54.02*USD_Inflation_Factor</f>
        <v>73.848226698418515</v>
      </c>
      <c r="N700" s="136">
        <f t="shared" si="39"/>
        <v>590.78581358734812</v>
      </c>
      <c r="O700" s="136">
        <f t="shared" si="41"/>
        <v>67304057.671841726</v>
      </c>
    </row>
    <row r="701" spans="1:15">
      <c r="A701" s="132">
        <v>698</v>
      </c>
      <c r="B701" s="133" t="s">
        <v>389</v>
      </c>
      <c r="C701" s="133" t="s">
        <v>468</v>
      </c>
      <c r="D701" s="133" t="s">
        <v>397</v>
      </c>
      <c r="E701" s="132">
        <v>8</v>
      </c>
      <c r="F701" s="132">
        <v>5</v>
      </c>
      <c r="G701" s="133" t="s">
        <v>376</v>
      </c>
      <c r="H701" s="133">
        <v>6</v>
      </c>
      <c r="I701" s="133" t="s">
        <v>469</v>
      </c>
      <c r="J701" s="132" t="s">
        <v>342</v>
      </c>
      <c r="K701" s="132" t="s">
        <v>466</v>
      </c>
      <c r="L701" s="132"/>
      <c r="M701" s="135">
        <f>54.02*USD_Inflation_Factor</f>
        <v>73.848226698418515</v>
      </c>
      <c r="N701" s="136">
        <f t="shared" si="39"/>
        <v>443.08936019051112</v>
      </c>
      <c r="O701" s="136">
        <f t="shared" si="41"/>
        <v>50478043.253881298</v>
      </c>
    </row>
    <row r="702" spans="1:15">
      <c r="A702" s="132">
        <v>699</v>
      </c>
      <c r="B702" s="133" t="s">
        <v>389</v>
      </c>
      <c r="C702" s="133" t="s">
        <v>468</v>
      </c>
      <c r="D702" s="133" t="s">
        <v>397</v>
      </c>
      <c r="E702" s="132">
        <v>8</v>
      </c>
      <c r="F702" s="132">
        <v>6</v>
      </c>
      <c r="G702" s="133" t="s">
        <v>376</v>
      </c>
      <c r="H702" s="133">
        <v>6</v>
      </c>
      <c r="I702" s="133" t="s">
        <v>469</v>
      </c>
      <c r="J702" s="132" t="s">
        <v>342</v>
      </c>
      <c r="K702" s="132" t="s">
        <v>466</v>
      </c>
      <c r="L702" s="132"/>
      <c r="M702" s="135">
        <f>54.02*USD_Inflation_Factor</f>
        <v>73.848226698418515</v>
      </c>
      <c r="N702" s="136">
        <f t="shared" si="39"/>
        <v>443.08936019051112</v>
      </c>
      <c r="O702" s="136">
        <f t="shared" si="41"/>
        <v>50478043.253881298</v>
      </c>
    </row>
    <row r="703" spans="1:15">
      <c r="A703" s="132">
        <v>700</v>
      </c>
      <c r="B703" s="133" t="s">
        <v>389</v>
      </c>
      <c r="C703" s="133" t="s">
        <v>468</v>
      </c>
      <c r="D703" s="133" t="s">
        <v>396</v>
      </c>
      <c r="E703" s="132">
        <v>4</v>
      </c>
      <c r="F703" s="132" t="s">
        <v>446</v>
      </c>
      <c r="G703" s="133" t="s">
        <v>376</v>
      </c>
      <c r="H703" s="133">
        <v>3</v>
      </c>
      <c r="I703" s="133" t="s">
        <v>464</v>
      </c>
      <c r="J703" s="132" t="s">
        <v>342</v>
      </c>
      <c r="K703" s="132" t="s">
        <v>466</v>
      </c>
      <c r="L703" s="132"/>
      <c r="M703" s="135">
        <f>155.8*USD_Inflation_Factor</f>
        <v>212.98692557596453</v>
      </c>
      <c r="N703" s="136">
        <f t="shared" si="39"/>
        <v>638.96077672789363</v>
      </c>
      <c r="O703" s="136">
        <f t="shared" si="41"/>
        <v>72792291.178773656</v>
      </c>
    </row>
    <row r="704" spans="1:15">
      <c r="A704" s="132">
        <v>701</v>
      </c>
      <c r="B704" s="133" t="s">
        <v>389</v>
      </c>
      <c r="C704" s="133" t="s">
        <v>468</v>
      </c>
      <c r="D704" s="133" t="s">
        <v>396</v>
      </c>
      <c r="E704" s="132">
        <v>6</v>
      </c>
      <c r="F704" s="132" t="s">
        <v>446</v>
      </c>
      <c r="G704" s="133" t="s">
        <v>376</v>
      </c>
      <c r="H704" s="133">
        <v>3</v>
      </c>
      <c r="I704" s="133" t="s">
        <v>464</v>
      </c>
      <c r="J704" s="132" t="s">
        <v>342</v>
      </c>
      <c r="K704" s="132" t="s">
        <v>466</v>
      </c>
      <c r="L704" s="132"/>
      <c r="M704" s="135">
        <f>173.68*USD_Inflation_Factor</f>
        <v>237.42984104000976</v>
      </c>
      <c r="N704" s="136">
        <f t="shared" si="39"/>
        <v>712.28952312002934</v>
      </c>
      <c r="O704" s="136">
        <f t="shared" si="41"/>
        <v>81146117.66321829</v>
      </c>
    </row>
    <row r="705" spans="1:15">
      <c r="A705" s="132">
        <v>702</v>
      </c>
      <c r="B705" s="133" t="s">
        <v>389</v>
      </c>
      <c r="C705" s="133" t="s">
        <v>468</v>
      </c>
      <c r="D705" s="133" t="s">
        <v>396</v>
      </c>
      <c r="E705" s="132">
        <v>8</v>
      </c>
      <c r="F705" s="132" t="s">
        <v>446</v>
      </c>
      <c r="G705" s="133" t="s">
        <v>376</v>
      </c>
      <c r="H705" s="133">
        <v>2</v>
      </c>
      <c r="I705" s="133" t="s">
        <v>464</v>
      </c>
      <c r="J705" s="132" t="s">
        <v>342</v>
      </c>
      <c r="K705" s="132" t="s">
        <v>466</v>
      </c>
      <c r="L705" s="132"/>
      <c r="M705" s="135">
        <f>232.64*USD_Inflation_Factor</f>
        <v>318.03131172010518</v>
      </c>
      <c r="N705" s="136">
        <f t="shared" si="39"/>
        <v>636.06262344021036</v>
      </c>
      <c r="O705" s="136">
        <f t="shared" si="41"/>
        <v>72462125.031364575</v>
      </c>
    </row>
    <row r="706" spans="1:15">
      <c r="A706" s="132">
        <v>703</v>
      </c>
      <c r="B706" s="133" t="s">
        <v>389</v>
      </c>
      <c r="C706" s="133" t="s">
        <v>468</v>
      </c>
      <c r="D706" s="133" t="s">
        <v>396</v>
      </c>
      <c r="E706" s="132">
        <v>5</v>
      </c>
      <c r="F706" s="132" t="s">
        <v>446</v>
      </c>
      <c r="G706" s="133" t="s">
        <v>376</v>
      </c>
      <c r="H706" s="133">
        <v>2</v>
      </c>
      <c r="I706" s="133" t="s">
        <v>469</v>
      </c>
      <c r="J706" s="132" t="s">
        <v>342</v>
      </c>
      <c r="K706" s="132" t="s">
        <v>466</v>
      </c>
      <c r="L706" s="132"/>
      <c r="M706" s="135">
        <f>166*USD_Inflation_Factor</f>
        <v>226.93087063934601</v>
      </c>
      <c r="N706" s="136">
        <f t="shared" si="39"/>
        <v>453.86174127869202</v>
      </c>
      <c r="O706" s="136">
        <f t="shared" si="41"/>
        <v>51705264.594250858</v>
      </c>
    </row>
    <row r="707" spans="1:15">
      <c r="A707" s="132">
        <v>704</v>
      </c>
      <c r="B707" s="133" t="s">
        <v>399</v>
      </c>
      <c r="C707" s="133" t="s">
        <v>468</v>
      </c>
      <c r="D707" s="133" t="s">
        <v>399</v>
      </c>
      <c r="E707" s="132">
        <v>2</v>
      </c>
      <c r="F707" s="132" t="s">
        <v>342</v>
      </c>
      <c r="G707" s="133" t="s">
        <v>376</v>
      </c>
      <c r="H707" s="133">
        <v>8</v>
      </c>
      <c r="I707" s="133" t="s">
        <v>464</v>
      </c>
      <c r="J707" s="132" t="s">
        <v>342</v>
      </c>
      <c r="K707" s="132" t="s">
        <v>400</v>
      </c>
      <c r="L707" s="132"/>
      <c r="M707" s="135">
        <f>8.22*USD_Inflation_Factor</f>
        <v>11.237179256960388</v>
      </c>
      <c r="N707" s="136">
        <f t="shared" si="39"/>
        <v>89.897434055683107</v>
      </c>
      <c r="O707" s="136">
        <f t="shared" si="41"/>
        <v>10241380.119632339</v>
      </c>
    </row>
    <row r="708" spans="1:15">
      <c r="A708" s="132">
        <v>705</v>
      </c>
      <c r="B708" s="133" t="s">
        <v>399</v>
      </c>
      <c r="C708" s="133" t="s">
        <v>468</v>
      </c>
      <c r="D708" s="133" t="s">
        <v>399</v>
      </c>
      <c r="E708" s="132">
        <v>3</v>
      </c>
      <c r="F708" s="132" t="s">
        <v>342</v>
      </c>
      <c r="G708" s="133" t="s">
        <v>376</v>
      </c>
      <c r="H708" s="133">
        <v>50</v>
      </c>
      <c r="I708" s="133" t="s">
        <v>464</v>
      </c>
      <c r="J708" s="132" t="s">
        <v>342</v>
      </c>
      <c r="K708" s="132" t="s">
        <v>400</v>
      </c>
      <c r="L708" s="132"/>
      <c r="M708" s="135">
        <f>16.78*USD_Inflation_Factor</f>
        <v>22.939156682700158</v>
      </c>
      <c r="N708" s="136">
        <f t="shared" ref="N708:N771" si="42">M708*H708</f>
        <v>1146.9578341350079</v>
      </c>
      <c r="O708" s="136">
        <f t="shared" si="41"/>
        <v>130664810.22462793</v>
      </c>
    </row>
    <row r="709" spans="1:15">
      <c r="A709" s="132">
        <v>706</v>
      </c>
      <c r="B709" s="133" t="s">
        <v>399</v>
      </c>
      <c r="C709" s="133" t="s">
        <v>468</v>
      </c>
      <c r="D709" s="133" t="s">
        <v>399</v>
      </c>
      <c r="E709" s="132">
        <v>4</v>
      </c>
      <c r="F709" s="132" t="s">
        <v>342</v>
      </c>
      <c r="G709" s="133" t="s">
        <v>376</v>
      </c>
      <c r="H709" s="133">
        <v>69</v>
      </c>
      <c r="I709" s="133" t="s">
        <v>464</v>
      </c>
      <c r="J709" s="132" t="s">
        <v>342</v>
      </c>
      <c r="K709" s="132" t="s">
        <v>400</v>
      </c>
      <c r="L709" s="132"/>
      <c r="M709" s="135">
        <f>22.26*USD_Inflation_Factor</f>
        <v>30.430609520673752</v>
      </c>
      <c r="N709" s="136">
        <f t="shared" si="42"/>
        <v>2099.7120569264889</v>
      </c>
      <c r="O709" s="136">
        <f t="shared" si="41"/>
        <v>239205373.79787248</v>
      </c>
    </row>
    <row r="710" spans="1:15">
      <c r="A710" s="132">
        <v>707</v>
      </c>
      <c r="B710" s="133" t="s">
        <v>399</v>
      </c>
      <c r="C710" s="133" t="s">
        <v>468</v>
      </c>
      <c r="D710" s="133" t="s">
        <v>399</v>
      </c>
      <c r="E710" s="132">
        <v>6</v>
      </c>
      <c r="F710" s="132" t="s">
        <v>342</v>
      </c>
      <c r="G710" s="133" t="s">
        <v>376</v>
      </c>
      <c r="H710" s="133">
        <v>15</v>
      </c>
      <c r="I710" s="133" t="s">
        <v>464</v>
      </c>
      <c r="J710" s="132" t="s">
        <v>342</v>
      </c>
      <c r="K710" s="132" t="s">
        <v>400</v>
      </c>
      <c r="L710" s="132"/>
      <c r="M710" s="135">
        <f>34.19*USD_Inflation_Factor</f>
        <v>46.739557031079762</v>
      </c>
      <c r="N710" s="136">
        <f t="shared" si="42"/>
        <v>701.09335546619639</v>
      </c>
      <c r="O710" s="136">
        <f t="shared" si="41"/>
        <v>79870617.310727566</v>
      </c>
    </row>
    <row r="711" spans="1:15">
      <c r="A711" s="132">
        <v>708</v>
      </c>
      <c r="B711" s="133" t="s">
        <v>399</v>
      </c>
      <c r="C711" s="133" t="s">
        <v>468</v>
      </c>
      <c r="D711" s="133" t="s">
        <v>399</v>
      </c>
      <c r="E711" s="132">
        <v>8</v>
      </c>
      <c r="F711" s="132" t="s">
        <v>342</v>
      </c>
      <c r="G711" s="133" t="s">
        <v>376</v>
      </c>
      <c r="H711" s="133">
        <v>30</v>
      </c>
      <c r="I711" s="133" t="s">
        <v>464</v>
      </c>
      <c r="J711" s="132" t="s">
        <v>342</v>
      </c>
      <c r="K711" s="132" t="s">
        <v>400</v>
      </c>
      <c r="L711" s="132"/>
      <c r="M711" s="135">
        <f>53.62*USD_Inflation_Factor</f>
        <v>73.301405323383932</v>
      </c>
      <c r="N711" s="136">
        <f t="shared" si="42"/>
        <v>2199.0421597015179</v>
      </c>
      <c r="O711" s="136">
        <f t="shared" si="41"/>
        <v>250521351.28407204</v>
      </c>
    </row>
    <row r="712" spans="1:15">
      <c r="A712" s="132">
        <v>709</v>
      </c>
      <c r="B712" s="133" t="s">
        <v>399</v>
      </c>
      <c r="C712" s="133" t="s">
        <v>468</v>
      </c>
      <c r="D712" s="133" t="s">
        <v>399</v>
      </c>
      <c r="E712" s="132">
        <v>10</v>
      </c>
      <c r="F712" s="132" t="s">
        <v>342</v>
      </c>
      <c r="G712" s="133" t="s">
        <v>376</v>
      </c>
      <c r="H712" s="133">
        <v>35</v>
      </c>
      <c r="I712" s="133" t="s">
        <v>464</v>
      </c>
      <c r="J712" s="132" t="s">
        <v>342</v>
      </c>
      <c r="K712" s="132" t="s">
        <v>400</v>
      </c>
      <c r="L712" s="132"/>
      <c r="M712" s="135">
        <f>71.71*USD_Inflation_Factor</f>
        <v>98.031402009322306</v>
      </c>
      <c r="N712" s="136">
        <f t="shared" si="42"/>
        <v>3431.0990703262805</v>
      </c>
      <c r="O712" s="136">
        <f t="shared" si="41"/>
        <v>390880898.62012202</v>
      </c>
    </row>
    <row r="713" spans="1:15">
      <c r="A713" s="132">
        <v>710</v>
      </c>
      <c r="B713" s="133" t="s">
        <v>399</v>
      </c>
      <c r="C713" s="133" t="s">
        <v>468</v>
      </c>
      <c r="D713" s="133" t="s">
        <v>399</v>
      </c>
      <c r="E713" s="132">
        <v>12</v>
      </c>
      <c r="F713" s="132" t="s">
        <v>342</v>
      </c>
      <c r="G713" s="133" t="s">
        <v>376</v>
      </c>
      <c r="H713" s="133">
        <v>7</v>
      </c>
      <c r="I713" s="133" t="s">
        <v>464</v>
      </c>
      <c r="J713" s="132" t="s">
        <v>342</v>
      </c>
      <c r="K713" s="132" t="s">
        <v>400</v>
      </c>
      <c r="L713" s="132"/>
      <c r="M713" s="135">
        <f>100*USD_Inflation_Factor</f>
        <v>136.70534375864219</v>
      </c>
      <c r="N713" s="136">
        <f t="shared" si="42"/>
        <v>956.93740631049536</v>
      </c>
      <c r="O713" s="136">
        <f t="shared" si="41"/>
        <v>109017124.14450483</v>
      </c>
    </row>
    <row r="714" spans="1:15">
      <c r="A714" s="132">
        <v>711</v>
      </c>
      <c r="B714" s="133" t="s">
        <v>399</v>
      </c>
      <c r="C714" s="133" t="s">
        <v>468</v>
      </c>
      <c r="D714" s="133" t="s">
        <v>399</v>
      </c>
      <c r="E714" s="132" t="s">
        <v>446</v>
      </c>
      <c r="F714" s="132" t="s">
        <v>342</v>
      </c>
      <c r="G714" s="133" t="s">
        <v>376</v>
      </c>
      <c r="H714" s="133">
        <v>14</v>
      </c>
      <c r="I714" s="133" t="s">
        <v>464</v>
      </c>
      <c r="J714" s="132" t="s">
        <v>342</v>
      </c>
      <c r="K714" s="132" t="s">
        <v>400</v>
      </c>
      <c r="L714" s="132"/>
      <c r="M714" s="135">
        <f>4.45*USD_Inflation_Factor</f>
        <v>6.0833877972595776</v>
      </c>
      <c r="N714" s="136">
        <f t="shared" si="42"/>
        <v>85.167429161634089</v>
      </c>
      <c r="O714" s="136">
        <f t="shared" si="41"/>
        <v>9702524.0488609299</v>
      </c>
    </row>
    <row r="715" spans="1:15">
      <c r="A715" s="132">
        <v>712</v>
      </c>
      <c r="B715" s="133" t="s">
        <v>399</v>
      </c>
      <c r="C715" s="133" t="s">
        <v>468</v>
      </c>
      <c r="D715" s="133" t="s">
        <v>399</v>
      </c>
      <c r="E715" s="132">
        <v>2</v>
      </c>
      <c r="F715" s="132" t="s">
        <v>342</v>
      </c>
      <c r="G715" s="133" t="s">
        <v>376</v>
      </c>
      <c r="H715" s="133">
        <v>36</v>
      </c>
      <c r="I715" s="133" t="s">
        <v>377</v>
      </c>
      <c r="J715" s="132" t="s">
        <v>391</v>
      </c>
      <c r="K715" s="132" t="s">
        <v>400</v>
      </c>
      <c r="L715" s="132"/>
      <c r="M715" s="135">
        <f>8.22*USD_Inflation_Factor</f>
        <v>11.237179256960388</v>
      </c>
      <c r="N715" s="136">
        <f t="shared" si="42"/>
        <v>404.53845325057398</v>
      </c>
      <c r="O715" s="136">
        <f t="shared" si="41"/>
        <v>46086210.538345531</v>
      </c>
    </row>
    <row r="716" spans="1:15">
      <c r="A716" s="132">
        <v>713</v>
      </c>
      <c r="B716" s="133" t="s">
        <v>399</v>
      </c>
      <c r="C716" s="133" t="s">
        <v>468</v>
      </c>
      <c r="D716" s="133" t="s">
        <v>399</v>
      </c>
      <c r="E716" s="132">
        <v>3</v>
      </c>
      <c r="F716" s="132" t="s">
        <v>342</v>
      </c>
      <c r="G716" s="133" t="s">
        <v>376</v>
      </c>
      <c r="H716" s="133">
        <v>10</v>
      </c>
      <c r="I716" s="133" t="s">
        <v>377</v>
      </c>
      <c r="J716" s="132" t="s">
        <v>391</v>
      </c>
      <c r="K716" s="132" t="s">
        <v>400</v>
      </c>
      <c r="L716" s="132"/>
      <c r="M716" s="135">
        <f>16.78*USD_Inflation_Factor</f>
        <v>22.939156682700158</v>
      </c>
      <c r="N716" s="136">
        <f t="shared" si="42"/>
        <v>229.39156682700158</v>
      </c>
      <c r="O716" s="136">
        <f t="shared" si="41"/>
        <v>26132962.044925585</v>
      </c>
    </row>
    <row r="717" spans="1:15">
      <c r="A717" s="132">
        <v>714</v>
      </c>
      <c r="B717" s="133" t="s">
        <v>399</v>
      </c>
      <c r="C717" s="133" t="s">
        <v>468</v>
      </c>
      <c r="D717" s="133" t="s">
        <v>399</v>
      </c>
      <c r="E717" s="132">
        <v>4</v>
      </c>
      <c r="F717" s="132" t="s">
        <v>342</v>
      </c>
      <c r="G717" s="133" t="s">
        <v>376</v>
      </c>
      <c r="H717" s="133">
        <v>5</v>
      </c>
      <c r="I717" s="133" t="s">
        <v>377</v>
      </c>
      <c r="J717" s="132" t="s">
        <v>391</v>
      </c>
      <c r="K717" s="132" t="s">
        <v>400</v>
      </c>
      <c r="L717" s="132"/>
      <c r="M717" s="135">
        <f>22.26*USD_Inflation_Factor</f>
        <v>30.430609520673752</v>
      </c>
      <c r="N717" s="136">
        <f t="shared" si="42"/>
        <v>152.15304760336875</v>
      </c>
      <c r="O717" s="136">
        <f t="shared" si="41"/>
        <v>17333722.738976266</v>
      </c>
    </row>
    <row r="718" spans="1:15">
      <c r="A718" s="132">
        <v>715</v>
      </c>
      <c r="B718" s="133" t="s">
        <v>399</v>
      </c>
      <c r="C718" s="133" t="s">
        <v>468</v>
      </c>
      <c r="D718" s="133" t="s">
        <v>399</v>
      </c>
      <c r="E718" s="132">
        <v>6</v>
      </c>
      <c r="F718" s="132" t="s">
        <v>342</v>
      </c>
      <c r="G718" s="133" t="s">
        <v>376</v>
      </c>
      <c r="H718" s="133">
        <v>12</v>
      </c>
      <c r="I718" s="133" t="s">
        <v>377</v>
      </c>
      <c r="J718" s="132" t="s">
        <v>391</v>
      </c>
      <c r="K718" s="132" t="s">
        <v>400</v>
      </c>
      <c r="L718" s="132"/>
      <c r="M718" s="135">
        <f>34.19*USD_Inflation_Factor</f>
        <v>46.739557031079762</v>
      </c>
      <c r="N718" s="136">
        <f t="shared" si="42"/>
        <v>560.87468437295718</v>
      </c>
      <c r="O718" s="136">
        <f t="shared" si="41"/>
        <v>63896493.848582059</v>
      </c>
    </row>
    <row r="719" spans="1:15">
      <c r="A719" s="132">
        <v>716</v>
      </c>
      <c r="B719" s="133" t="s">
        <v>399</v>
      </c>
      <c r="C719" s="133" t="s">
        <v>468</v>
      </c>
      <c r="D719" s="133" t="s">
        <v>399</v>
      </c>
      <c r="E719" s="132" t="s">
        <v>446</v>
      </c>
      <c r="F719" s="132" t="s">
        <v>342</v>
      </c>
      <c r="G719" s="133" t="s">
        <v>376</v>
      </c>
      <c r="H719" s="133">
        <v>2</v>
      </c>
      <c r="I719" s="133" t="s">
        <v>377</v>
      </c>
      <c r="J719" s="132" t="s">
        <v>391</v>
      </c>
      <c r="K719" s="132" t="s">
        <v>400</v>
      </c>
      <c r="L719" s="132"/>
      <c r="M719" s="135">
        <f>4.45*USD_Inflation_Factor</f>
        <v>6.0833877972595776</v>
      </c>
      <c r="N719" s="136">
        <f t="shared" si="42"/>
        <v>12.166775594519155</v>
      </c>
      <c r="O719" s="136">
        <f t="shared" ref="O719:O735" si="43">0.25*N719*USD_Change_IRR * per_Euro</f>
        <v>1386074.8641229898</v>
      </c>
    </row>
    <row r="720" spans="1:15">
      <c r="A720" s="132">
        <v>717</v>
      </c>
      <c r="B720" s="133" t="s">
        <v>399</v>
      </c>
      <c r="C720" s="133" t="s">
        <v>468</v>
      </c>
      <c r="D720" s="133" t="s">
        <v>399</v>
      </c>
      <c r="E720" s="132" t="s">
        <v>458</v>
      </c>
      <c r="F720" s="132" t="s">
        <v>342</v>
      </c>
      <c r="G720" s="133" t="s">
        <v>376</v>
      </c>
      <c r="H720" s="133">
        <v>1</v>
      </c>
      <c r="I720" s="133" t="s">
        <v>377</v>
      </c>
      <c r="J720" s="132" t="s">
        <v>391</v>
      </c>
      <c r="K720" s="132" t="s">
        <v>400</v>
      </c>
      <c r="L720" s="132"/>
      <c r="M720" s="135">
        <f>14*USD_Inflation_Factor</f>
        <v>19.138748126209904</v>
      </c>
      <c r="N720" s="136">
        <f t="shared" si="42"/>
        <v>19.138748126209904</v>
      </c>
      <c r="O720" s="136">
        <f t="shared" si="43"/>
        <v>2180342.482890096</v>
      </c>
    </row>
    <row r="721" spans="1:15">
      <c r="A721" s="132">
        <v>718</v>
      </c>
      <c r="B721" s="133" t="s">
        <v>399</v>
      </c>
      <c r="C721" s="133" t="s">
        <v>468</v>
      </c>
      <c r="D721" s="133" t="s">
        <v>399</v>
      </c>
      <c r="E721" s="132">
        <v>3</v>
      </c>
      <c r="F721" s="132" t="s">
        <v>342</v>
      </c>
      <c r="G721" s="133" t="s">
        <v>376</v>
      </c>
      <c r="H721" s="133">
        <v>3</v>
      </c>
      <c r="I721" s="133" t="s">
        <v>469</v>
      </c>
      <c r="J721" s="132" t="s">
        <v>342</v>
      </c>
      <c r="K721" s="132" t="s">
        <v>400</v>
      </c>
      <c r="L721" s="132"/>
      <c r="M721" s="135">
        <f>29.58*USD_Inflation_Factor</f>
        <v>40.437440683806358</v>
      </c>
      <c r="N721" s="136">
        <f t="shared" si="42"/>
        <v>121.31232205141907</v>
      </c>
      <c r="O721" s="136">
        <f t="shared" si="43"/>
        <v>13820256.566547653</v>
      </c>
    </row>
    <row r="722" spans="1:15">
      <c r="A722" s="132">
        <v>719</v>
      </c>
      <c r="B722" s="133" t="s">
        <v>399</v>
      </c>
      <c r="C722" s="133" t="s">
        <v>468</v>
      </c>
      <c r="D722" s="133" t="s">
        <v>399</v>
      </c>
      <c r="E722" s="132">
        <v>4</v>
      </c>
      <c r="F722" s="132" t="s">
        <v>342</v>
      </c>
      <c r="G722" s="133" t="s">
        <v>376</v>
      </c>
      <c r="H722" s="133">
        <v>21</v>
      </c>
      <c r="I722" s="133" t="s">
        <v>469</v>
      </c>
      <c r="J722" s="132" t="s">
        <v>342</v>
      </c>
      <c r="K722" s="132" t="s">
        <v>400</v>
      </c>
      <c r="L722" s="132"/>
      <c r="M722" s="135">
        <f>150*USD_Inflation_Factor</f>
        <v>205.05801563796328</v>
      </c>
      <c r="N722" s="136">
        <f t="shared" si="42"/>
        <v>4306.218328397229</v>
      </c>
      <c r="O722" s="136">
        <f t="shared" si="43"/>
        <v>490577058.65027171</v>
      </c>
    </row>
    <row r="723" spans="1:15">
      <c r="A723" s="132">
        <v>720</v>
      </c>
      <c r="B723" s="133" t="s">
        <v>399</v>
      </c>
      <c r="C723" s="133" t="s">
        <v>468</v>
      </c>
      <c r="D723" s="133" t="s">
        <v>399</v>
      </c>
      <c r="E723" s="132">
        <v>5</v>
      </c>
      <c r="F723" s="132" t="s">
        <v>342</v>
      </c>
      <c r="G723" s="133" t="s">
        <v>376</v>
      </c>
      <c r="H723" s="133">
        <v>32</v>
      </c>
      <c r="I723" s="133" t="s">
        <v>469</v>
      </c>
      <c r="J723" s="132" t="s">
        <v>342</v>
      </c>
      <c r="K723" s="132" t="s">
        <v>400</v>
      </c>
      <c r="L723" s="132"/>
      <c r="M723" s="135">
        <f>300*USD_Inflation_Factor</f>
        <v>410.11603127592656</v>
      </c>
      <c r="N723" s="136">
        <f t="shared" si="42"/>
        <v>13123.71300082965</v>
      </c>
      <c r="O723" s="136">
        <f t="shared" si="43"/>
        <v>1495091988.2674947</v>
      </c>
    </row>
    <row r="724" spans="1:15">
      <c r="A724" s="132">
        <v>721</v>
      </c>
      <c r="B724" s="133" t="s">
        <v>399</v>
      </c>
      <c r="C724" s="133" t="s">
        <v>468</v>
      </c>
      <c r="D724" s="133" t="s">
        <v>399</v>
      </c>
      <c r="E724" s="132">
        <v>6</v>
      </c>
      <c r="F724" s="132" t="s">
        <v>342</v>
      </c>
      <c r="G724" s="133" t="s">
        <v>376</v>
      </c>
      <c r="H724" s="133">
        <v>18</v>
      </c>
      <c r="I724" s="133" t="s">
        <v>469</v>
      </c>
      <c r="J724" s="132" t="s">
        <v>342</v>
      </c>
      <c r="K724" s="132" t="s">
        <v>400</v>
      </c>
      <c r="L724" s="132"/>
      <c r="M724" s="135">
        <f>117.7*USD_Inflation_Factor</f>
        <v>160.90218960392184</v>
      </c>
      <c r="N724" s="136">
        <f t="shared" si="42"/>
        <v>2896.2394128705932</v>
      </c>
      <c r="O724" s="136">
        <f t="shared" si="43"/>
        <v>329948113.16078275</v>
      </c>
    </row>
    <row r="725" spans="1:15">
      <c r="A725" s="132">
        <v>722</v>
      </c>
      <c r="B725" s="133" t="s">
        <v>399</v>
      </c>
      <c r="C725" s="133" t="s">
        <v>468</v>
      </c>
      <c r="D725" s="133" t="s">
        <v>399</v>
      </c>
      <c r="E725" s="132">
        <v>8</v>
      </c>
      <c r="F725" s="132" t="s">
        <v>342</v>
      </c>
      <c r="G725" s="133" t="s">
        <v>376</v>
      </c>
      <c r="H725" s="133">
        <v>8</v>
      </c>
      <c r="I725" s="133" t="s">
        <v>469</v>
      </c>
      <c r="J725" s="132" t="s">
        <v>342</v>
      </c>
      <c r="K725" s="132" t="s">
        <v>400</v>
      </c>
      <c r="L725" s="132"/>
      <c r="M725" s="135">
        <f>250*USD_Inflation_Factor</f>
        <v>341.76335939660544</v>
      </c>
      <c r="N725" s="136">
        <f t="shared" si="42"/>
        <v>2734.1068751728435</v>
      </c>
      <c r="O725" s="136">
        <f t="shared" si="43"/>
        <v>311477497.55572802</v>
      </c>
    </row>
    <row r="726" spans="1:15">
      <c r="A726" s="132">
        <v>723</v>
      </c>
      <c r="B726" s="133" t="s">
        <v>399</v>
      </c>
      <c r="C726" s="133" t="s">
        <v>468</v>
      </c>
      <c r="D726" s="133" t="s">
        <v>399</v>
      </c>
      <c r="E726" s="132" t="s">
        <v>446</v>
      </c>
      <c r="F726" s="132" t="s">
        <v>342</v>
      </c>
      <c r="G726" s="133" t="s">
        <v>376</v>
      </c>
      <c r="H726" s="133">
        <v>4</v>
      </c>
      <c r="I726" s="133" t="s">
        <v>469</v>
      </c>
      <c r="J726" s="132" t="s">
        <v>342</v>
      </c>
      <c r="K726" s="132" t="s">
        <v>400</v>
      </c>
      <c r="L726" s="132"/>
      <c r="M726" s="135">
        <f>11.69*USD_Inflation_Factor</f>
        <v>15.980854685385271</v>
      </c>
      <c r="N726" s="136">
        <f t="shared" si="42"/>
        <v>63.923418741541084</v>
      </c>
      <c r="O726" s="136">
        <f t="shared" si="43"/>
        <v>7282343.892852922</v>
      </c>
    </row>
    <row r="727" spans="1:15">
      <c r="A727" s="132">
        <v>724</v>
      </c>
      <c r="B727" s="133" t="s">
        <v>399</v>
      </c>
      <c r="C727" s="133" t="s">
        <v>468</v>
      </c>
      <c r="D727" s="133" t="s">
        <v>447</v>
      </c>
      <c r="E727" s="132">
        <v>3</v>
      </c>
      <c r="F727" s="132" t="s">
        <v>342</v>
      </c>
      <c r="G727" s="133" t="s">
        <v>376</v>
      </c>
      <c r="H727" s="133">
        <v>2</v>
      </c>
      <c r="I727" s="133" t="s">
        <v>464</v>
      </c>
      <c r="J727" s="132" t="s">
        <v>342</v>
      </c>
      <c r="K727" s="132" t="s">
        <v>448</v>
      </c>
      <c r="L727" s="132"/>
      <c r="M727" s="135">
        <f>25.15*USD_Inflation_Factor</f>
        <v>34.381393955298506</v>
      </c>
      <c r="N727" s="136">
        <f t="shared" si="42"/>
        <v>68.762787910597012</v>
      </c>
      <c r="O727" s="136">
        <f t="shared" si="43"/>
        <v>7833659.0635265596</v>
      </c>
    </row>
    <row r="728" spans="1:15">
      <c r="A728" s="132">
        <v>725</v>
      </c>
      <c r="B728" s="133" t="s">
        <v>399</v>
      </c>
      <c r="C728" s="133" t="s">
        <v>468</v>
      </c>
      <c r="D728" s="133" t="s">
        <v>447</v>
      </c>
      <c r="E728" s="132">
        <v>4</v>
      </c>
      <c r="F728" s="132" t="s">
        <v>342</v>
      </c>
      <c r="G728" s="133" t="s">
        <v>376</v>
      </c>
      <c r="H728" s="133">
        <v>7</v>
      </c>
      <c r="I728" s="133" t="s">
        <v>464</v>
      </c>
      <c r="J728" s="132" t="s">
        <v>342</v>
      </c>
      <c r="K728" s="132" t="s">
        <v>448</v>
      </c>
      <c r="L728" s="132"/>
      <c r="M728" s="135">
        <f>41.92*USD_Inflation_Factor</f>
        <v>57.306880103622802</v>
      </c>
      <c r="N728" s="136">
        <f t="shared" si="42"/>
        <v>401.14816072535962</v>
      </c>
      <c r="O728" s="136">
        <f t="shared" si="43"/>
        <v>45699978.441376418</v>
      </c>
    </row>
    <row r="729" spans="1:15">
      <c r="A729" s="132">
        <v>726</v>
      </c>
      <c r="B729" s="133" t="s">
        <v>399</v>
      </c>
      <c r="C729" s="133" t="s">
        <v>468</v>
      </c>
      <c r="D729" s="133" t="s">
        <v>447</v>
      </c>
      <c r="E729" s="132">
        <v>6</v>
      </c>
      <c r="F729" s="132" t="s">
        <v>342</v>
      </c>
      <c r="G729" s="133" t="s">
        <v>376</v>
      </c>
      <c r="H729" s="133">
        <v>6</v>
      </c>
      <c r="I729" s="133" t="s">
        <v>464</v>
      </c>
      <c r="J729" s="132" t="s">
        <v>342</v>
      </c>
      <c r="K729" s="132" t="s">
        <v>448</v>
      </c>
      <c r="L729" s="132"/>
      <c r="M729" s="135">
        <f>83.83*USD_Inflation_Factor</f>
        <v>114.60008967286974</v>
      </c>
      <c r="N729" s="136">
        <f t="shared" si="42"/>
        <v>687.60053803721848</v>
      </c>
      <c r="O729" s="136">
        <f t="shared" si="43"/>
        <v>78333475.860290051</v>
      </c>
    </row>
    <row r="730" spans="1:15">
      <c r="A730" s="132">
        <v>727</v>
      </c>
      <c r="B730" s="133" t="s">
        <v>399</v>
      </c>
      <c r="C730" s="133" t="s">
        <v>468</v>
      </c>
      <c r="D730" s="133" t="s">
        <v>447</v>
      </c>
      <c r="E730" s="132">
        <v>8</v>
      </c>
      <c r="F730" s="132" t="s">
        <v>342</v>
      </c>
      <c r="G730" s="133" t="s">
        <v>376</v>
      </c>
      <c r="H730" s="133">
        <v>2</v>
      </c>
      <c r="I730" s="133" t="s">
        <v>464</v>
      </c>
      <c r="J730" s="132" t="s">
        <v>342</v>
      </c>
      <c r="K730" s="132" t="s">
        <v>448</v>
      </c>
      <c r="L730" s="132"/>
      <c r="M730" s="135">
        <f>216.56*USD_Inflation_Factor</f>
        <v>296.04909244371549</v>
      </c>
      <c r="N730" s="136">
        <f t="shared" si="42"/>
        <v>592.09818488743099</v>
      </c>
      <c r="O730" s="136">
        <f t="shared" si="43"/>
        <v>67453566.870668471</v>
      </c>
    </row>
    <row r="731" spans="1:15">
      <c r="A731" s="132">
        <v>728</v>
      </c>
      <c r="B731" s="133" t="s">
        <v>399</v>
      </c>
      <c r="C731" s="133" t="s">
        <v>468</v>
      </c>
      <c r="D731" s="133" t="s">
        <v>447</v>
      </c>
      <c r="E731" s="132">
        <v>10</v>
      </c>
      <c r="F731" s="132" t="s">
        <v>342</v>
      </c>
      <c r="G731" s="133" t="s">
        <v>376</v>
      </c>
      <c r="H731" s="133">
        <v>3</v>
      </c>
      <c r="I731" s="133" t="s">
        <v>464</v>
      </c>
      <c r="J731" s="132" t="s">
        <v>342</v>
      </c>
      <c r="K731" s="132" t="s">
        <v>448</v>
      </c>
      <c r="L731" s="132"/>
      <c r="M731" s="135">
        <f>132.45*USD_Inflation_Factor</f>
        <v>181.06622780832157</v>
      </c>
      <c r="N731" s="136">
        <f t="shared" si="42"/>
        <v>543.19868342496466</v>
      </c>
      <c r="O731" s="136">
        <f t="shared" si="43"/>
        <v>61882791.82688427</v>
      </c>
    </row>
    <row r="732" spans="1:15">
      <c r="A732" s="132">
        <v>729</v>
      </c>
      <c r="B732" s="133" t="s">
        <v>399</v>
      </c>
      <c r="C732" s="133" t="s">
        <v>468</v>
      </c>
      <c r="D732" s="133" t="s">
        <v>447</v>
      </c>
      <c r="E732" s="132">
        <v>12</v>
      </c>
      <c r="F732" s="132" t="s">
        <v>342</v>
      </c>
      <c r="G732" s="133" t="s">
        <v>376</v>
      </c>
      <c r="H732" s="133">
        <v>1</v>
      </c>
      <c r="I732" s="133" t="s">
        <v>464</v>
      </c>
      <c r="J732" s="132" t="s">
        <v>342</v>
      </c>
      <c r="K732" s="132" t="s">
        <v>448</v>
      </c>
      <c r="L732" s="132"/>
      <c r="M732" s="135">
        <f>671.34*USD_Inflation_Factor</f>
        <v>917.75765478926849</v>
      </c>
      <c r="N732" s="136">
        <f t="shared" si="42"/>
        <v>917.75765478926849</v>
      </c>
      <c r="O732" s="136">
        <f t="shared" si="43"/>
        <v>104553651.60453124</v>
      </c>
    </row>
    <row r="733" spans="1:15">
      <c r="A733" s="132">
        <v>730</v>
      </c>
      <c r="B733" s="133" t="s">
        <v>399</v>
      </c>
      <c r="C733" s="133" t="s">
        <v>468</v>
      </c>
      <c r="D733" s="133" t="s">
        <v>447</v>
      </c>
      <c r="E733" s="132">
        <v>6</v>
      </c>
      <c r="F733" s="132" t="s">
        <v>342</v>
      </c>
      <c r="G733" s="133" t="s">
        <v>376</v>
      </c>
      <c r="H733" s="133">
        <v>1</v>
      </c>
      <c r="I733" s="133" t="s">
        <v>377</v>
      </c>
      <c r="J733" s="132" t="s">
        <v>391</v>
      </c>
      <c r="K733" s="132" t="s">
        <v>448</v>
      </c>
      <c r="L733" s="132"/>
      <c r="M733" s="135">
        <f>83.83*USD_Inflation_Factor</f>
        <v>114.60008967286974</v>
      </c>
      <c r="N733" s="136">
        <f t="shared" si="42"/>
        <v>114.60008967286974</v>
      </c>
      <c r="O733" s="136">
        <f t="shared" si="43"/>
        <v>13055579.310048342</v>
      </c>
    </row>
    <row r="734" spans="1:15">
      <c r="A734" s="132">
        <v>731</v>
      </c>
      <c r="B734" s="133" t="s">
        <v>399</v>
      </c>
      <c r="C734" s="133" t="s">
        <v>468</v>
      </c>
      <c r="D734" s="133" t="s">
        <v>447</v>
      </c>
      <c r="E734" s="132">
        <v>4</v>
      </c>
      <c r="F734" s="132" t="s">
        <v>342</v>
      </c>
      <c r="G734" s="133" t="s">
        <v>376</v>
      </c>
      <c r="H734" s="133">
        <v>3</v>
      </c>
      <c r="I734" s="133" t="s">
        <v>469</v>
      </c>
      <c r="J734" s="132" t="s">
        <v>342</v>
      </c>
      <c r="K734" s="132" t="s">
        <v>448</v>
      </c>
      <c r="L734" s="132"/>
      <c r="M734" s="135">
        <f>41.92*USD_Inflation_Factor</f>
        <v>57.306880103622802</v>
      </c>
      <c r="N734" s="136">
        <f t="shared" si="42"/>
        <v>171.92064031086841</v>
      </c>
      <c r="O734" s="136">
        <f t="shared" si="43"/>
        <v>19585705.046304181</v>
      </c>
    </row>
    <row r="735" spans="1:15">
      <c r="A735" s="132">
        <v>732</v>
      </c>
      <c r="B735" s="133" t="s">
        <v>399</v>
      </c>
      <c r="C735" s="133" t="s">
        <v>468</v>
      </c>
      <c r="D735" s="133" t="s">
        <v>447</v>
      </c>
      <c r="E735" s="132">
        <v>6</v>
      </c>
      <c r="F735" s="132" t="s">
        <v>342</v>
      </c>
      <c r="G735" s="133" t="s">
        <v>376</v>
      </c>
      <c r="H735" s="133">
        <v>3</v>
      </c>
      <c r="I735" s="133" t="s">
        <v>469</v>
      </c>
      <c r="J735" s="132" t="s">
        <v>342</v>
      </c>
      <c r="K735" s="132" t="s">
        <v>448</v>
      </c>
      <c r="L735" s="132"/>
      <c r="M735" s="135">
        <f>240*USD_Inflation_Factor</f>
        <v>328.09282502074126</v>
      </c>
      <c r="N735" s="136">
        <f t="shared" si="42"/>
        <v>984.27847506222383</v>
      </c>
      <c r="O735" s="136">
        <f t="shared" si="43"/>
        <v>112131899.12006211</v>
      </c>
    </row>
    <row r="736" spans="1:15">
      <c r="A736" s="132">
        <v>733</v>
      </c>
      <c r="B736" s="133" t="s">
        <v>401</v>
      </c>
      <c r="C736" s="133" t="s">
        <v>468</v>
      </c>
      <c r="D736" s="133" t="s">
        <v>342</v>
      </c>
      <c r="E736" s="132">
        <v>2</v>
      </c>
      <c r="F736" s="132" t="s">
        <v>342</v>
      </c>
      <c r="G736" s="133" t="s">
        <v>376</v>
      </c>
      <c r="H736" s="133">
        <v>6</v>
      </c>
      <c r="I736" s="133" t="s">
        <v>464</v>
      </c>
      <c r="J736" s="132" t="s">
        <v>342</v>
      </c>
      <c r="K736" s="132" t="s">
        <v>402</v>
      </c>
      <c r="L736" s="132"/>
      <c r="M736" s="135">
        <f>1.03*USD_Inflation_Factor</f>
        <v>1.4080650407140145</v>
      </c>
      <c r="N736" s="136">
        <f t="shared" si="42"/>
        <v>8.4483902442840879</v>
      </c>
      <c r="O736" s="136">
        <f t="shared" ref="O736:O752" si="44">0.4*N736*USD_Change_IRR * per_Euro</f>
        <v>1539944.7479155199</v>
      </c>
    </row>
    <row r="737" spans="1:15">
      <c r="A737" s="132">
        <v>734</v>
      </c>
      <c r="B737" s="133" t="s">
        <v>401</v>
      </c>
      <c r="C737" s="133" t="s">
        <v>468</v>
      </c>
      <c r="D737" s="133" t="s">
        <v>342</v>
      </c>
      <c r="E737" s="132">
        <v>3</v>
      </c>
      <c r="F737" s="132" t="s">
        <v>342</v>
      </c>
      <c r="G737" s="133" t="s">
        <v>376</v>
      </c>
      <c r="H737" s="133">
        <v>54</v>
      </c>
      <c r="I737" s="133" t="s">
        <v>464</v>
      </c>
      <c r="J737" s="132" t="s">
        <v>342</v>
      </c>
      <c r="K737" s="132" t="s">
        <v>402</v>
      </c>
      <c r="L737" s="132"/>
      <c r="M737" s="135">
        <f>1.53*USD_Inflation_Factor</f>
        <v>2.0915917595072253</v>
      </c>
      <c r="N737" s="136">
        <f t="shared" si="42"/>
        <v>112.94595501339016</v>
      </c>
      <c r="O737" s="136">
        <f t="shared" si="44"/>
        <v>20587416.678443402</v>
      </c>
    </row>
    <row r="738" spans="1:15">
      <c r="A738" s="132">
        <v>735</v>
      </c>
      <c r="B738" s="133" t="s">
        <v>401</v>
      </c>
      <c r="C738" s="133" t="s">
        <v>468</v>
      </c>
      <c r="D738" s="133" t="s">
        <v>342</v>
      </c>
      <c r="E738" s="132">
        <v>4</v>
      </c>
      <c r="F738" s="132" t="s">
        <v>342</v>
      </c>
      <c r="G738" s="133" t="s">
        <v>376</v>
      </c>
      <c r="H738" s="133">
        <v>74</v>
      </c>
      <c r="I738" s="133" t="s">
        <v>464</v>
      </c>
      <c r="J738" s="132" t="s">
        <v>342</v>
      </c>
      <c r="K738" s="132" t="s">
        <v>402</v>
      </c>
      <c r="L738" s="132"/>
      <c r="M738" s="135">
        <f>2.47*USD_Inflation_Factor</f>
        <v>3.376621990838462</v>
      </c>
      <c r="N738" s="136">
        <f t="shared" si="42"/>
        <v>249.87002732204618</v>
      </c>
      <c r="O738" s="136">
        <f t="shared" si="44"/>
        <v>45545485.60258878</v>
      </c>
    </row>
    <row r="739" spans="1:15">
      <c r="A739" s="132">
        <v>736</v>
      </c>
      <c r="B739" s="133" t="s">
        <v>401</v>
      </c>
      <c r="C739" s="133" t="s">
        <v>468</v>
      </c>
      <c r="D739" s="133" t="s">
        <v>342</v>
      </c>
      <c r="E739" s="132">
        <v>6</v>
      </c>
      <c r="F739" s="132" t="s">
        <v>342</v>
      </c>
      <c r="G739" s="133" t="s">
        <v>376</v>
      </c>
      <c r="H739" s="133">
        <v>21</v>
      </c>
      <c r="I739" s="133" t="s">
        <v>464</v>
      </c>
      <c r="J739" s="132" t="s">
        <v>342</v>
      </c>
      <c r="K739" s="132" t="s">
        <v>402</v>
      </c>
      <c r="L739" s="132"/>
      <c r="M739" s="135">
        <f>2.95*USD_Inflation_Factor</f>
        <v>4.0328076408799447</v>
      </c>
      <c r="N739" s="136">
        <f t="shared" si="42"/>
        <v>84.688960458478846</v>
      </c>
      <c r="O739" s="136">
        <f t="shared" si="44"/>
        <v>15436824.778861886</v>
      </c>
    </row>
    <row r="740" spans="1:15">
      <c r="A740" s="132">
        <v>737</v>
      </c>
      <c r="B740" s="133" t="s">
        <v>401</v>
      </c>
      <c r="C740" s="133" t="s">
        <v>468</v>
      </c>
      <c r="D740" s="133" t="s">
        <v>342</v>
      </c>
      <c r="E740" s="132">
        <v>8</v>
      </c>
      <c r="F740" s="132" t="s">
        <v>342</v>
      </c>
      <c r="G740" s="133" t="s">
        <v>376</v>
      </c>
      <c r="H740" s="133">
        <v>40</v>
      </c>
      <c r="I740" s="133" t="s">
        <v>464</v>
      </c>
      <c r="J740" s="132" t="s">
        <v>342</v>
      </c>
      <c r="K740" s="132" t="s">
        <v>402</v>
      </c>
      <c r="L740" s="132"/>
      <c r="M740" s="135">
        <f>4.19*USD_Inflation_Factor</f>
        <v>5.7279539034871076</v>
      </c>
      <c r="N740" s="136">
        <f t="shared" si="42"/>
        <v>229.11815613948431</v>
      </c>
      <c r="O740" s="136">
        <f t="shared" si="44"/>
        <v>41762902.872272022</v>
      </c>
    </row>
    <row r="741" spans="1:15">
      <c r="A741" s="132">
        <v>738</v>
      </c>
      <c r="B741" s="133" t="s">
        <v>401</v>
      </c>
      <c r="C741" s="133" t="s">
        <v>468</v>
      </c>
      <c r="D741" s="133" t="s">
        <v>342</v>
      </c>
      <c r="E741" s="132">
        <v>10</v>
      </c>
      <c r="F741" s="132" t="s">
        <v>342</v>
      </c>
      <c r="G741" s="133" t="s">
        <v>376</v>
      </c>
      <c r="H741" s="133">
        <v>38</v>
      </c>
      <c r="I741" s="133" t="s">
        <v>464</v>
      </c>
      <c r="J741" s="132" t="s">
        <v>342</v>
      </c>
      <c r="K741" s="132" t="s">
        <v>402</v>
      </c>
      <c r="L741" s="132"/>
      <c r="M741" s="135">
        <f>22.16*USD_Inflation_Factor</f>
        <v>30.29390417691511</v>
      </c>
      <c r="N741" s="136">
        <f t="shared" si="42"/>
        <v>1151.1683587227742</v>
      </c>
      <c r="O741" s="136">
        <f t="shared" si="44"/>
        <v>209831176.91338202</v>
      </c>
    </row>
    <row r="742" spans="1:15">
      <c r="A742" s="132">
        <v>739</v>
      </c>
      <c r="B742" s="133" t="s">
        <v>401</v>
      </c>
      <c r="C742" s="133" t="s">
        <v>468</v>
      </c>
      <c r="D742" s="133" t="s">
        <v>342</v>
      </c>
      <c r="E742" s="132">
        <v>12</v>
      </c>
      <c r="F742" s="132" t="s">
        <v>342</v>
      </c>
      <c r="G742" s="133" t="s">
        <v>376</v>
      </c>
      <c r="H742" s="133">
        <v>8</v>
      </c>
      <c r="I742" s="133" t="s">
        <v>464</v>
      </c>
      <c r="J742" s="132" t="s">
        <v>342</v>
      </c>
      <c r="K742" s="132" t="s">
        <v>402</v>
      </c>
      <c r="L742" s="132"/>
      <c r="M742" s="135">
        <f>30.34*USD_Inflation_Factor</f>
        <v>41.476401296372039</v>
      </c>
      <c r="N742" s="136">
        <f t="shared" si="42"/>
        <v>331.81121037097631</v>
      </c>
      <c r="O742" s="136">
        <f t="shared" si="44"/>
        <v>60481454.565381058</v>
      </c>
    </row>
    <row r="743" spans="1:15">
      <c r="A743" s="132">
        <v>740</v>
      </c>
      <c r="B743" s="133" t="s">
        <v>401</v>
      </c>
      <c r="C743" s="133" t="s">
        <v>468</v>
      </c>
      <c r="D743" s="133" t="s">
        <v>342</v>
      </c>
      <c r="E743" s="132">
        <v>2</v>
      </c>
      <c r="F743" s="132" t="s">
        <v>342</v>
      </c>
      <c r="G743" s="133" t="s">
        <v>376</v>
      </c>
      <c r="H743" s="133">
        <v>35</v>
      </c>
      <c r="I743" s="133" t="s">
        <v>377</v>
      </c>
      <c r="J743" s="132" t="s">
        <v>391</v>
      </c>
      <c r="K743" s="132" t="s">
        <v>402</v>
      </c>
      <c r="L743" s="132"/>
      <c r="M743" s="135">
        <f>1.03*USD_Inflation_Factor</f>
        <v>1.4080650407140145</v>
      </c>
      <c r="N743" s="136">
        <f t="shared" si="42"/>
        <v>49.282276424990506</v>
      </c>
      <c r="O743" s="136">
        <f t="shared" si="44"/>
        <v>8983011.0295071974</v>
      </c>
    </row>
    <row r="744" spans="1:15">
      <c r="A744" s="132">
        <v>741</v>
      </c>
      <c r="B744" s="133" t="s">
        <v>401</v>
      </c>
      <c r="C744" s="133" t="s">
        <v>468</v>
      </c>
      <c r="D744" s="133" t="s">
        <v>342</v>
      </c>
      <c r="E744" s="132">
        <v>3</v>
      </c>
      <c r="F744" s="132" t="s">
        <v>342</v>
      </c>
      <c r="G744" s="133" t="s">
        <v>376</v>
      </c>
      <c r="H744" s="133">
        <v>17</v>
      </c>
      <c r="I744" s="133" t="s">
        <v>377</v>
      </c>
      <c r="J744" s="132" t="s">
        <v>391</v>
      </c>
      <c r="K744" s="132" t="s">
        <v>402</v>
      </c>
      <c r="L744" s="132"/>
      <c r="M744" s="135">
        <f>1.53*USD_Inflation_Factor</f>
        <v>2.0915917595072253</v>
      </c>
      <c r="N744" s="136">
        <f t="shared" si="42"/>
        <v>35.557059911622829</v>
      </c>
      <c r="O744" s="136">
        <f t="shared" si="44"/>
        <v>6481223.7691395897</v>
      </c>
    </row>
    <row r="745" spans="1:15">
      <c r="A745" s="132">
        <v>742</v>
      </c>
      <c r="B745" s="133" t="s">
        <v>401</v>
      </c>
      <c r="C745" s="133" t="s">
        <v>468</v>
      </c>
      <c r="D745" s="133" t="s">
        <v>342</v>
      </c>
      <c r="E745" s="132">
        <v>4</v>
      </c>
      <c r="F745" s="132" t="s">
        <v>342</v>
      </c>
      <c r="G745" s="133" t="s">
        <v>376</v>
      </c>
      <c r="H745" s="133">
        <v>5</v>
      </c>
      <c r="I745" s="133" t="s">
        <v>377</v>
      </c>
      <c r="J745" s="132" t="s">
        <v>391</v>
      </c>
      <c r="K745" s="132" t="s">
        <v>402</v>
      </c>
      <c r="L745" s="132"/>
      <c r="M745" s="135">
        <f>2.47*USD_Inflation_Factor</f>
        <v>3.376621990838462</v>
      </c>
      <c r="N745" s="136">
        <f t="shared" si="42"/>
        <v>16.88310995419231</v>
      </c>
      <c r="O745" s="136">
        <f t="shared" si="44"/>
        <v>3077397.6758505935</v>
      </c>
    </row>
    <row r="746" spans="1:15">
      <c r="A746" s="132">
        <v>743</v>
      </c>
      <c r="B746" s="133" t="s">
        <v>401</v>
      </c>
      <c r="C746" s="133" t="s">
        <v>468</v>
      </c>
      <c r="D746" s="133" t="s">
        <v>342</v>
      </c>
      <c r="E746" s="132">
        <v>6</v>
      </c>
      <c r="F746" s="132" t="s">
        <v>342</v>
      </c>
      <c r="G746" s="133" t="s">
        <v>376</v>
      </c>
      <c r="H746" s="133">
        <v>14</v>
      </c>
      <c r="I746" s="133" t="s">
        <v>377</v>
      </c>
      <c r="J746" s="132" t="s">
        <v>391</v>
      </c>
      <c r="K746" s="132" t="s">
        <v>402</v>
      </c>
      <c r="L746" s="132"/>
      <c r="M746" s="135">
        <f>2.95*USD_Inflation_Factor</f>
        <v>4.0328076408799447</v>
      </c>
      <c r="N746" s="136">
        <f t="shared" si="42"/>
        <v>56.459306972319226</v>
      </c>
      <c r="O746" s="136">
        <f t="shared" si="44"/>
        <v>10291216.519241257</v>
      </c>
    </row>
    <row r="747" spans="1:15">
      <c r="A747" s="132">
        <v>744</v>
      </c>
      <c r="B747" s="133" t="s">
        <v>401</v>
      </c>
      <c r="C747" s="133" t="s">
        <v>468</v>
      </c>
      <c r="D747" s="133" t="s">
        <v>342</v>
      </c>
      <c r="E747" s="132" t="s">
        <v>458</v>
      </c>
      <c r="F747" s="132" t="s">
        <v>342</v>
      </c>
      <c r="G747" s="133" t="s">
        <v>376</v>
      </c>
      <c r="H747" s="133">
        <v>1</v>
      </c>
      <c r="I747" s="133" t="s">
        <v>377</v>
      </c>
      <c r="J747" s="132" t="s">
        <v>391</v>
      </c>
      <c r="K747" s="132" t="s">
        <v>402</v>
      </c>
      <c r="L747" s="132"/>
      <c r="M747" s="135">
        <f>1.4*USD_Inflation_Factor</f>
        <v>1.9138748126209904</v>
      </c>
      <c r="N747" s="136">
        <f t="shared" si="42"/>
        <v>1.9138748126209904</v>
      </c>
      <c r="O747" s="136">
        <f t="shared" si="44"/>
        <v>348854.79726241535</v>
      </c>
    </row>
    <row r="748" spans="1:15">
      <c r="A748" s="132">
        <v>745</v>
      </c>
      <c r="B748" s="133" t="s">
        <v>401</v>
      </c>
      <c r="C748" s="133" t="s">
        <v>468</v>
      </c>
      <c r="D748" s="133" t="s">
        <v>342</v>
      </c>
      <c r="E748" s="132">
        <v>3</v>
      </c>
      <c r="F748" s="132" t="s">
        <v>342</v>
      </c>
      <c r="G748" s="133" t="s">
        <v>376</v>
      </c>
      <c r="H748" s="133">
        <v>3</v>
      </c>
      <c r="I748" s="133" t="s">
        <v>469</v>
      </c>
      <c r="J748" s="132" t="s">
        <v>342</v>
      </c>
      <c r="K748" s="132" t="s">
        <v>449</v>
      </c>
      <c r="L748" s="132"/>
      <c r="M748" s="135">
        <f>8.36*USD_Inflation_Factor</f>
        <v>11.428566738222486</v>
      </c>
      <c r="N748" s="136">
        <f t="shared" si="42"/>
        <v>34.285700214667457</v>
      </c>
      <c r="O748" s="136">
        <f t="shared" si="44"/>
        <v>6249484.5109581267</v>
      </c>
    </row>
    <row r="749" spans="1:15">
      <c r="A749" s="132">
        <v>746</v>
      </c>
      <c r="B749" s="133" t="s">
        <v>401</v>
      </c>
      <c r="C749" s="133" t="s">
        <v>468</v>
      </c>
      <c r="D749" s="133" t="s">
        <v>342</v>
      </c>
      <c r="E749" s="132">
        <v>4</v>
      </c>
      <c r="F749" s="132" t="s">
        <v>342</v>
      </c>
      <c r="G749" s="133" t="s">
        <v>376</v>
      </c>
      <c r="H749" s="133">
        <v>27</v>
      </c>
      <c r="I749" s="133" t="s">
        <v>469</v>
      </c>
      <c r="J749" s="132" t="s">
        <v>342</v>
      </c>
      <c r="K749" s="132" t="s">
        <v>449</v>
      </c>
      <c r="L749" s="132"/>
      <c r="M749" s="135">
        <f>8.36*USD_Inflation_Factor</f>
        <v>11.428566738222486</v>
      </c>
      <c r="N749" s="136">
        <f t="shared" si="42"/>
        <v>308.57130193200715</v>
      </c>
      <c r="O749" s="136">
        <f t="shared" si="44"/>
        <v>56245360.598623157</v>
      </c>
    </row>
    <row r="750" spans="1:15">
      <c r="A750" s="132">
        <v>747</v>
      </c>
      <c r="B750" s="133" t="s">
        <v>401</v>
      </c>
      <c r="C750" s="133" t="s">
        <v>468</v>
      </c>
      <c r="D750" s="133" t="s">
        <v>342</v>
      </c>
      <c r="E750" s="132">
        <v>5</v>
      </c>
      <c r="F750" s="132" t="s">
        <v>342</v>
      </c>
      <c r="G750" s="133" t="s">
        <v>376</v>
      </c>
      <c r="H750" s="133">
        <v>20</v>
      </c>
      <c r="I750" s="133" t="s">
        <v>469</v>
      </c>
      <c r="J750" s="132" t="s">
        <v>342</v>
      </c>
      <c r="K750" s="132" t="s">
        <v>449</v>
      </c>
      <c r="L750" s="132"/>
      <c r="M750" s="135">
        <f>19.74*USD_Inflation_Factor</f>
        <v>26.985634857955965</v>
      </c>
      <c r="N750" s="136">
        <f t="shared" si="42"/>
        <v>539.71269715911933</v>
      </c>
      <c r="O750" s="136">
        <f t="shared" si="44"/>
        <v>98377052.828001156</v>
      </c>
    </row>
    <row r="751" spans="1:15">
      <c r="A751" s="132">
        <v>748</v>
      </c>
      <c r="B751" s="133" t="s">
        <v>401</v>
      </c>
      <c r="C751" s="133" t="s">
        <v>468</v>
      </c>
      <c r="D751" s="133" t="s">
        <v>342</v>
      </c>
      <c r="E751" s="132">
        <v>6</v>
      </c>
      <c r="F751" s="132" t="s">
        <v>342</v>
      </c>
      <c r="G751" s="133" t="s">
        <v>376</v>
      </c>
      <c r="H751" s="133">
        <v>24</v>
      </c>
      <c r="I751" s="133" t="s">
        <v>469</v>
      </c>
      <c r="J751" s="132" t="s">
        <v>342</v>
      </c>
      <c r="K751" s="132" t="s">
        <v>449</v>
      </c>
      <c r="L751" s="132"/>
      <c r="M751" s="135">
        <f>13.67*USD_Inflation_Factor</f>
        <v>18.687620491806385</v>
      </c>
      <c r="N751" s="136">
        <f t="shared" si="42"/>
        <v>448.50289180335324</v>
      </c>
      <c r="O751" s="136">
        <f t="shared" si="44"/>
        <v>81751629.918466598</v>
      </c>
    </row>
    <row r="752" spans="1:15">
      <c r="A752" s="132">
        <v>749</v>
      </c>
      <c r="B752" s="133" t="s">
        <v>401</v>
      </c>
      <c r="C752" s="133" t="s">
        <v>468</v>
      </c>
      <c r="D752" s="133" t="s">
        <v>342</v>
      </c>
      <c r="E752" s="132">
        <v>8</v>
      </c>
      <c r="F752" s="132" t="s">
        <v>342</v>
      </c>
      <c r="G752" s="133" t="s">
        <v>376</v>
      </c>
      <c r="H752" s="133">
        <v>6</v>
      </c>
      <c r="I752" s="133" t="s">
        <v>469</v>
      </c>
      <c r="J752" s="132" t="s">
        <v>342</v>
      </c>
      <c r="K752" s="132" t="s">
        <v>449</v>
      </c>
      <c r="L752" s="132"/>
      <c r="M752" s="135">
        <f>19.74*USD_Inflation_Factor</f>
        <v>26.985634857955965</v>
      </c>
      <c r="N752" s="136">
        <f t="shared" si="42"/>
        <v>161.91380914773578</v>
      </c>
      <c r="O752" s="136">
        <f t="shared" si="44"/>
        <v>29513115.848400343</v>
      </c>
    </row>
    <row r="753" spans="1:15">
      <c r="A753" s="132">
        <v>750</v>
      </c>
      <c r="B753" s="133" t="s">
        <v>403</v>
      </c>
      <c r="C753" s="133" t="s">
        <v>468</v>
      </c>
      <c r="D753" s="133" t="s">
        <v>342</v>
      </c>
      <c r="E753" s="132">
        <v>3</v>
      </c>
      <c r="F753" s="132" t="s">
        <v>342</v>
      </c>
      <c r="G753" s="133" t="s">
        <v>404</v>
      </c>
      <c r="H753" s="133">
        <v>263</v>
      </c>
      <c r="I753" s="133" t="s">
        <v>464</v>
      </c>
      <c r="J753" s="132" t="s">
        <v>342</v>
      </c>
      <c r="K753" s="132" t="s">
        <v>466</v>
      </c>
      <c r="L753" s="132"/>
      <c r="M753" s="135">
        <f>30.76*USD_Inflation_Factor</f>
        <v>42.050563740158339</v>
      </c>
      <c r="N753" s="136">
        <f t="shared" si="42"/>
        <v>11059.298263661643</v>
      </c>
      <c r="O753" s="136">
        <f t="shared" ref="O753:O766" si="45">0.15*N753*USD_Change_IRR * per_Euro</f>
        <v>755944673.37783992</v>
      </c>
    </row>
    <row r="754" spans="1:15">
      <c r="A754" s="132">
        <v>751</v>
      </c>
      <c r="B754" s="133" t="s">
        <v>403</v>
      </c>
      <c r="C754" s="133" t="s">
        <v>468</v>
      </c>
      <c r="D754" s="133" t="s">
        <v>342</v>
      </c>
      <c r="E754" s="132">
        <v>4</v>
      </c>
      <c r="F754" s="132" t="s">
        <v>342</v>
      </c>
      <c r="G754" s="133" t="s">
        <v>404</v>
      </c>
      <c r="H754" s="133">
        <v>1439</v>
      </c>
      <c r="I754" s="133" t="s">
        <v>464</v>
      </c>
      <c r="J754" s="132" t="s">
        <v>342</v>
      </c>
      <c r="K754" s="132" t="s">
        <v>466</v>
      </c>
      <c r="L754" s="132"/>
      <c r="M754" s="135">
        <f>32.48*USD_Inflation_Factor</f>
        <v>44.401895652806978</v>
      </c>
      <c r="N754" s="136">
        <f t="shared" si="42"/>
        <v>63894.327844389241</v>
      </c>
      <c r="O754" s="136">
        <f t="shared" si="45"/>
        <v>4367417863.3673573</v>
      </c>
    </row>
    <row r="755" spans="1:15">
      <c r="A755" s="132">
        <v>752</v>
      </c>
      <c r="B755" s="133" t="s">
        <v>403</v>
      </c>
      <c r="C755" s="133" t="s">
        <v>468</v>
      </c>
      <c r="D755" s="133" t="s">
        <v>342</v>
      </c>
      <c r="E755" s="132">
        <v>6</v>
      </c>
      <c r="F755" s="132" t="s">
        <v>342</v>
      </c>
      <c r="G755" s="133" t="s">
        <v>404</v>
      </c>
      <c r="H755" s="133">
        <v>98</v>
      </c>
      <c r="I755" s="133" t="s">
        <v>464</v>
      </c>
      <c r="J755" s="132" t="s">
        <v>342</v>
      </c>
      <c r="K755" s="132" t="s">
        <v>466</v>
      </c>
      <c r="L755" s="132"/>
      <c r="M755" s="135">
        <f>34.28*USD_Inflation_Factor</f>
        <v>46.862591840462542</v>
      </c>
      <c r="N755" s="136">
        <f t="shared" si="42"/>
        <v>4592.5340003653291</v>
      </c>
      <c r="O755" s="136">
        <f t="shared" si="45"/>
        <v>313916989.31658447</v>
      </c>
    </row>
    <row r="756" spans="1:15">
      <c r="A756" s="132">
        <v>753</v>
      </c>
      <c r="B756" s="133" t="s">
        <v>403</v>
      </c>
      <c r="C756" s="133" t="s">
        <v>468</v>
      </c>
      <c r="D756" s="133" t="s">
        <v>342</v>
      </c>
      <c r="E756" s="132">
        <v>8</v>
      </c>
      <c r="F756" s="132" t="s">
        <v>342</v>
      </c>
      <c r="G756" s="133" t="s">
        <v>404</v>
      </c>
      <c r="H756" s="133">
        <v>56.9</v>
      </c>
      <c r="I756" s="133" t="s">
        <v>464</v>
      </c>
      <c r="J756" s="132" t="s">
        <v>342</v>
      </c>
      <c r="K756" s="132" t="s">
        <v>466</v>
      </c>
      <c r="L756" s="132"/>
      <c r="M756" s="135">
        <f>39.36*USD_Inflation_Factor</f>
        <v>53.807223303401564</v>
      </c>
      <c r="N756" s="136">
        <f t="shared" si="42"/>
        <v>3061.6310059635489</v>
      </c>
      <c r="O756" s="136">
        <f t="shared" si="45"/>
        <v>209274005.9657543</v>
      </c>
    </row>
    <row r="757" spans="1:15">
      <c r="A757" s="132">
        <v>754</v>
      </c>
      <c r="B757" s="133" t="s">
        <v>403</v>
      </c>
      <c r="C757" s="133" t="s">
        <v>468</v>
      </c>
      <c r="D757" s="133" t="s">
        <v>342</v>
      </c>
      <c r="E757" s="132">
        <v>10</v>
      </c>
      <c r="F757" s="132" t="s">
        <v>342</v>
      </c>
      <c r="G757" s="133" t="s">
        <v>404</v>
      </c>
      <c r="H757" s="133">
        <v>1444</v>
      </c>
      <c r="I757" s="133" t="s">
        <v>464</v>
      </c>
      <c r="J757" s="132" t="s">
        <v>342</v>
      </c>
      <c r="K757" s="132" t="s">
        <v>466</v>
      </c>
      <c r="L757" s="132"/>
      <c r="M757" s="135">
        <f>47.232*USD_Inflation_Factor</f>
        <v>64.568667964081882</v>
      </c>
      <c r="N757" s="136">
        <f t="shared" si="42"/>
        <v>93237.156540134238</v>
      </c>
      <c r="O757" s="136">
        <f t="shared" si="45"/>
        <v>6373110677.2839909</v>
      </c>
    </row>
    <row r="758" spans="1:15">
      <c r="A758" s="132">
        <v>755</v>
      </c>
      <c r="B758" s="133" t="s">
        <v>403</v>
      </c>
      <c r="C758" s="133" t="s">
        <v>468</v>
      </c>
      <c r="D758" s="133" t="s">
        <v>342</v>
      </c>
      <c r="E758" s="132">
        <v>12</v>
      </c>
      <c r="F758" s="132" t="s">
        <v>342</v>
      </c>
      <c r="G758" s="133" t="s">
        <v>404</v>
      </c>
      <c r="H758" s="133">
        <v>9</v>
      </c>
      <c r="I758" s="133" t="s">
        <v>464</v>
      </c>
      <c r="J758" s="132" t="s">
        <v>342</v>
      </c>
      <c r="K758" s="132" t="s">
        <v>466</v>
      </c>
      <c r="L758" s="132"/>
      <c r="M758" s="135">
        <f>56.64*USD_Inflation_Factor</f>
        <v>77.429906704894933</v>
      </c>
      <c r="N758" s="136">
        <f t="shared" si="42"/>
        <v>696.86916034405442</v>
      </c>
      <c r="O758" s="136">
        <f t="shared" si="45"/>
        <v>47633630.746202379</v>
      </c>
    </row>
    <row r="759" spans="1:15">
      <c r="A759" s="132">
        <v>756</v>
      </c>
      <c r="B759" s="133" t="s">
        <v>403</v>
      </c>
      <c r="C759" s="133" t="s">
        <v>468</v>
      </c>
      <c r="D759" s="133" t="s">
        <v>342</v>
      </c>
      <c r="E759" s="132">
        <v>2</v>
      </c>
      <c r="F759" s="132" t="s">
        <v>342</v>
      </c>
      <c r="G759" s="133" t="s">
        <v>404</v>
      </c>
      <c r="H759" s="133">
        <v>1241.5</v>
      </c>
      <c r="I759" s="133" t="s">
        <v>377</v>
      </c>
      <c r="J759" s="132" t="s">
        <v>405</v>
      </c>
      <c r="K759" s="132" t="s">
        <v>392</v>
      </c>
      <c r="L759" s="132"/>
      <c r="M759" s="135">
        <f>1.070928*USD_Inflation_Factor</f>
        <v>1.4640158038075517</v>
      </c>
      <c r="N759" s="136">
        <f t="shared" si="42"/>
        <v>1817.5756204270754</v>
      </c>
      <c r="O759" s="136">
        <f t="shared" si="45"/>
        <v>124238136.63095427</v>
      </c>
    </row>
    <row r="760" spans="1:15">
      <c r="A760" s="132">
        <v>757</v>
      </c>
      <c r="B760" s="133" t="s">
        <v>403</v>
      </c>
      <c r="C760" s="133" t="s">
        <v>468</v>
      </c>
      <c r="D760" s="133" t="s">
        <v>342</v>
      </c>
      <c r="E760" s="132">
        <v>3</v>
      </c>
      <c r="F760" s="132" t="s">
        <v>342</v>
      </c>
      <c r="G760" s="133" t="s">
        <v>404</v>
      </c>
      <c r="H760" s="133">
        <v>35</v>
      </c>
      <c r="I760" s="133" t="s">
        <v>377</v>
      </c>
      <c r="J760" s="132" t="s">
        <v>405</v>
      </c>
      <c r="K760" s="132" t="s">
        <v>392</v>
      </c>
      <c r="L760" s="132"/>
      <c r="M760" s="135">
        <f>3.40896*USD_Inflation_Factor</f>
        <v>4.6602304865946085</v>
      </c>
      <c r="N760" s="136">
        <f t="shared" si="42"/>
        <v>163.1080670308113</v>
      </c>
      <c r="O760" s="136">
        <f t="shared" si="45"/>
        <v>11149050.465709535</v>
      </c>
    </row>
    <row r="761" spans="1:15">
      <c r="A761" s="132">
        <v>758</v>
      </c>
      <c r="B761" s="133" t="s">
        <v>403</v>
      </c>
      <c r="C761" s="133" t="s">
        <v>468</v>
      </c>
      <c r="D761" s="133" t="s">
        <v>342</v>
      </c>
      <c r="E761" s="132">
        <v>4</v>
      </c>
      <c r="F761" s="132" t="s">
        <v>342</v>
      </c>
      <c r="G761" s="133" t="s">
        <v>404</v>
      </c>
      <c r="H761" s="133">
        <v>55</v>
      </c>
      <c r="I761" s="133" t="s">
        <v>377</v>
      </c>
      <c r="J761" s="132" t="s">
        <v>405</v>
      </c>
      <c r="K761" s="132" t="s">
        <v>392</v>
      </c>
      <c r="L761" s="132"/>
      <c r="M761" s="135">
        <f>5.04912*USD_Inflation_Factor</f>
        <v>6.902416852786355</v>
      </c>
      <c r="N761" s="136">
        <f t="shared" si="42"/>
        <v>379.63292690324954</v>
      </c>
      <c r="O761" s="136">
        <f t="shared" si="45"/>
        <v>25949339.830566537</v>
      </c>
    </row>
    <row r="762" spans="1:15">
      <c r="A762" s="132">
        <v>759</v>
      </c>
      <c r="B762" s="133" t="s">
        <v>403</v>
      </c>
      <c r="C762" s="133" t="s">
        <v>468</v>
      </c>
      <c r="D762" s="133" t="s">
        <v>342</v>
      </c>
      <c r="E762" s="132">
        <v>6</v>
      </c>
      <c r="F762" s="132" t="s">
        <v>342</v>
      </c>
      <c r="G762" s="133" t="s">
        <v>404</v>
      </c>
      <c r="H762" s="133">
        <v>83.5</v>
      </c>
      <c r="I762" s="133" t="s">
        <v>377</v>
      </c>
      <c r="J762" s="132" t="s">
        <v>405</v>
      </c>
      <c r="K762" s="132" t="s">
        <v>392</v>
      </c>
      <c r="L762" s="132"/>
      <c r="M762" s="135">
        <f>10.72536*USD_Inflation_Factor</f>
        <v>14.662140257351906</v>
      </c>
      <c r="N762" s="136">
        <f t="shared" si="42"/>
        <v>1224.2887114888842</v>
      </c>
      <c r="O762" s="136">
        <f t="shared" si="45"/>
        <v>83684742.744266823</v>
      </c>
    </row>
    <row r="763" spans="1:15">
      <c r="A763" s="132">
        <v>760</v>
      </c>
      <c r="B763" s="133" t="s">
        <v>403</v>
      </c>
      <c r="C763" s="133" t="s">
        <v>468</v>
      </c>
      <c r="D763" s="133" t="s">
        <v>342</v>
      </c>
      <c r="E763" s="132">
        <v>4</v>
      </c>
      <c r="F763" s="132" t="s">
        <v>342</v>
      </c>
      <c r="G763" s="133" t="s">
        <v>404</v>
      </c>
      <c r="H763" s="133">
        <v>36</v>
      </c>
      <c r="I763" s="133" t="s">
        <v>469</v>
      </c>
      <c r="J763" s="132" t="s">
        <v>342</v>
      </c>
      <c r="K763" s="132" t="s">
        <v>466</v>
      </c>
      <c r="L763" s="132"/>
      <c r="M763" s="135">
        <f>32.48*USD_Inflation_Factor</f>
        <v>44.401895652806978</v>
      </c>
      <c r="N763" s="136">
        <f t="shared" si="42"/>
        <v>1598.4682435010511</v>
      </c>
      <c r="O763" s="136">
        <f t="shared" si="45"/>
        <v>109261322.5025885</v>
      </c>
    </row>
    <row r="764" spans="1:15">
      <c r="A764" s="132">
        <v>761</v>
      </c>
      <c r="B764" s="133" t="s">
        <v>403</v>
      </c>
      <c r="C764" s="133" t="s">
        <v>468</v>
      </c>
      <c r="D764" s="133" t="s">
        <v>342</v>
      </c>
      <c r="E764" s="132">
        <v>5</v>
      </c>
      <c r="F764" s="132" t="s">
        <v>342</v>
      </c>
      <c r="G764" s="133" t="s">
        <v>404</v>
      </c>
      <c r="H764" s="133">
        <v>430</v>
      </c>
      <c r="I764" s="133" t="s">
        <v>469</v>
      </c>
      <c r="J764" s="132" t="s">
        <v>342</v>
      </c>
      <c r="K764" s="132" t="s">
        <v>466</v>
      </c>
      <c r="L764" s="132"/>
      <c r="M764" s="135">
        <f>33.6*USD_Inflation_Factor</f>
        <v>45.932995502903779</v>
      </c>
      <c r="N764" s="136">
        <f t="shared" si="42"/>
        <v>19751.188066248626</v>
      </c>
      <c r="O764" s="136">
        <f t="shared" si="45"/>
        <v>1350068065.4055479</v>
      </c>
    </row>
    <row r="765" spans="1:15">
      <c r="A765" s="132">
        <v>762</v>
      </c>
      <c r="B765" s="133" t="s">
        <v>403</v>
      </c>
      <c r="C765" s="133" t="s">
        <v>468</v>
      </c>
      <c r="D765" s="133" t="s">
        <v>342</v>
      </c>
      <c r="E765" s="132">
        <v>6</v>
      </c>
      <c r="F765" s="132" t="s">
        <v>342</v>
      </c>
      <c r="G765" s="133" t="s">
        <v>404</v>
      </c>
      <c r="H765" s="133">
        <v>36</v>
      </c>
      <c r="I765" s="133" t="s">
        <v>469</v>
      </c>
      <c r="J765" s="132" t="s">
        <v>342</v>
      </c>
      <c r="K765" s="132" t="s">
        <v>466</v>
      </c>
      <c r="L765" s="132"/>
      <c r="M765" s="135">
        <f>34.28*USD_Inflation_Factor</f>
        <v>46.862591840462542</v>
      </c>
      <c r="N765" s="136">
        <f t="shared" si="42"/>
        <v>1687.0533062566515</v>
      </c>
      <c r="O765" s="136">
        <f t="shared" si="45"/>
        <v>115316445.05507186</v>
      </c>
    </row>
    <row r="766" spans="1:15">
      <c r="A766" s="132">
        <v>763</v>
      </c>
      <c r="B766" s="133" t="s">
        <v>403</v>
      </c>
      <c r="C766" s="133" t="s">
        <v>468</v>
      </c>
      <c r="D766" s="133" t="s">
        <v>342</v>
      </c>
      <c r="E766" s="132">
        <v>8</v>
      </c>
      <c r="F766" s="132" t="s">
        <v>342</v>
      </c>
      <c r="G766" s="133" t="s">
        <v>404</v>
      </c>
      <c r="H766" s="133">
        <v>54</v>
      </c>
      <c r="I766" s="133" t="s">
        <v>469</v>
      </c>
      <c r="J766" s="132" t="s">
        <v>342</v>
      </c>
      <c r="K766" s="132" t="s">
        <v>466</v>
      </c>
      <c r="L766" s="132"/>
      <c r="M766" s="135">
        <f>39.36*USD_Inflation_Factor</f>
        <v>53.807223303401564</v>
      </c>
      <c r="N766" s="136">
        <f t="shared" si="42"/>
        <v>2905.5900583836847</v>
      </c>
      <c r="O766" s="136">
        <f t="shared" si="45"/>
        <v>198608019.72145402</v>
      </c>
    </row>
    <row r="767" spans="1:15">
      <c r="A767" s="132">
        <v>764</v>
      </c>
      <c r="B767" s="133" t="s">
        <v>406</v>
      </c>
      <c r="C767" s="133" t="s">
        <v>468</v>
      </c>
      <c r="D767" s="133" t="s">
        <v>407</v>
      </c>
      <c r="E767" s="132">
        <v>4</v>
      </c>
      <c r="F767" s="132" t="s">
        <v>342</v>
      </c>
      <c r="G767" s="133" t="s">
        <v>376</v>
      </c>
      <c r="H767" s="133">
        <v>5</v>
      </c>
      <c r="I767" s="133" t="s">
        <v>464</v>
      </c>
      <c r="J767" s="132" t="s">
        <v>342</v>
      </c>
      <c r="K767" s="132" t="s">
        <v>408</v>
      </c>
      <c r="L767" s="132"/>
      <c r="M767" s="135">
        <f>386*USD_Inflation_Factor</f>
        <v>527.68262690835888</v>
      </c>
      <c r="N767" s="136">
        <f t="shared" si="42"/>
        <v>2638.4131345417945</v>
      </c>
      <c r="O767" s="136">
        <f t="shared" ref="O767:O775" si="46">0.25*N767*USD_Change_IRR * per_Euro</f>
        <v>300575785.14127767</v>
      </c>
    </row>
    <row r="768" spans="1:15">
      <c r="A768" s="132">
        <v>765</v>
      </c>
      <c r="B768" s="133" t="s">
        <v>406</v>
      </c>
      <c r="C768" s="133" t="s">
        <v>468</v>
      </c>
      <c r="D768" s="133" t="s">
        <v>407</v>
      </c>
      <c r="E768" s="132">
        <v>6</v>
      </c>
      <c r="F768" s="132" t="s">
        <v>342</v>
      </c>
      <c r="G768" s="133" t="s">
        <v>376</v>
      </c>
      <c r="H768" s="133">
        <v>3</v>
      </c>
      <c r="I768" s="133" t="s">
        <v>464</v>
      </c>
      <c r="J768" s="132" t="s">
        <v>342</v>
      </c>
      <c r="K768" s="132" t="s">
        <v>408</v>
      </c>
      <c r="L768" s="132"/>
      <c r="M768" s="135">
        <f>420*USD_Inflation_Factor</f>
        <v>574.16244378629722</v>
      </c>
      <c r="N768" s="136">
        <f t="shared" si="42"/>
        <v>1722.4873313588917</v>
      </c>
      <c r="O768" s="136">
        <f t="shared" si="46"/>
        <v>196230823.4601087</v>
      </c>
    </row>
    <row r="769" spans="1:15">
      <c r="A769" s="132">
        <v>766</v>
      </c>
      <c r="B769" s="133" t="s">
        <v>406</v>
      </c>
      <c r="C769" s="133" t="s">
        <v>468</v>
      </c>
      <c r="D769" s="133" t="s">
        <v>407</v>
      </c>
      <c r="E769" s="132">
        <v>3</v>
      </c>
      <c r="F769" s="132" t="s">
        <v>342</v>
      </c>
      <c r="G769" s="133" t="s">
        <v>376</v>
      </c>
      <c r="H769" s="133">
        <v>1</v>
      </c>
      <c r="I769" s="133" t="s">
        <v>377</v>
      </c>
      <c r="J769" s="132" t="s">
        <v>342</v>
      </c>
      <c r="K769" s="132" t="s">
        <v>408</v>
      </c>
      <c r="L769" s="132"/>
      <c r="M769" s="135">
        <f>286*USD_Inflation_Factor</f>
        <v>390.97728314971664</v>
      </c>
      <c r="N769" s="136">
        <f t="shared" si="42"/>
        <v>390.97728314971664</v>
      </c>
      <c r="O769" s="136">
        <f t="shared" si="46"/>
        <v>44541282.150469109</v>
      </c>
    </row>
    <row r="770" spans="1:15">
      <c r="A770" s="132">
        <v>767</v>
      </c>
      <c r="B770" s="133" t="s">
        <v>406</v>
      </c>
      <c r="C770" s="133" t="s">
        <v>468</v>
      </c>
      <c r="D770" s="133" t="s">
        <v>409</v>
      </c>
      <c r="E770" s="132">
        <v>8</v>
      </c>
      <c r="F770" s="132" t="s">
        <v>342</v>
      </c>
      <c r="G770" s="133" t="s">
        <v>376</v>
      </c>
      <c r="H770" s="133">
        <v>4</v>
      </c>
      <c r="I770" s="133" t="s">
        <v>464</v>
      </c>
      <c r="J770" s="132" t="s">
        <v>342</v>
      </c>
      <c r="K770" s="132" t="s">
        <v>400</v>
      </c>
      <c r="L770" s="132"/>
      <c r="M770" s="135">
        <f>53.62*USD_Inflation_Factor</f>
        <v>73.301405323383932</v>
      </c>
      <c r="N770" s="136">
        <f t="shared" si="42"/>
        <v>293.20562129353573</v>
      </c>
      <c r="O770" s="136">
        <f t="shared" si="46"/>
        <v>33402846.837876275</v>
      </c>
    </row>
    <row r="771" spans="1:15">
      <c r="A771" s="132">
        <v>768</v>
      </c>
      <c r="B771" s="133" t="s">
        <v>406</v>
      </c>
      <c r="C771" s="133" t="s">
        <v>468</v>
      </c>
      <c r="D771" s="133" t="s">
        <v>409</v>
      </c>
      <c r="E771" s="132">
        <v>6</v>
      </c>
      <c r="F771" s="132" t="s">
        <v>342</v>
      </c>
      <c r="G771" s="133" t="s">
        <v>376</v>
      </c>
      <c r="H771" s="133">
        <v>2</v>
      </c>
      <c r="I771" s="133" t="s">
        <v>377</v>
      </c>
      <c r="J771" s="132" t="s">
        <v>391</v>
      </c>
      <c r="K771" s="132" t="s">
        <v>400</v>
      </c>
      <c r="L771" s="132"/>
      <c r="M771" s="135">
        <f>34.19*USD_Inflation_Factor</f>
        <v>46.739557031079762</v>
      </c>
      <c r="N771" s="136">
        <f t="shared" si="42"/>
        <v>93.479114062159525</v>
      </c>
      <c r="O771" s="136">
        <f t="shared" si="46"/>
        <v>10649415.641430343</v>
      </c>
    </row>
    <row r="772" spans="1:15">
      <c r="A772" s="132">
        <v>769</v>
      </c>
      <c r="B772" s="133" t="s">
        <v>406</v>
      </c>
      <c r="C772" s="133" t="s">
        <v>468</v>
      </c>
      <c r="D772" s="133" t="s">
        <v>409</v>
      </c>
      <c r="E772" s="132">
        <v>4</v>
      </c>
      <c r="F772" s="132" t="s">
        <v>342</v>
      </c>
      <c r="G772" s="133" t="s">
        <v>376</v>
      </c>
      <c r="H772" s="133">
        <v>6</v>
      </c>
      <c r="I772" s="133" t="s">
        <v>469</v>
      </c>
      <c r="J772" s="132" t="s">
        <v>342</v>
      </c>
      <c r="K772" s="132" t="s">
        <v>400</v>
      </c>
      <c r="L772" s="132"/>
      <c r="M772" s="135">
        <f>150*USD_Inflation_Factor</f>
        <v>205.05801563796328</v>
      </c>
      <c r="N772" s="136">
        <f t="shared" ref="N772:N808" si="47">M772*H772</f>
        <v>1230.3480938277796</v>
      </c>
      <c r="O772" s="136">
        <f t="shared" si="46"/>
        <v>140164873.90007764</v>
      </c>
    </row>
    <row r="773" spans="1:15">
      <c r="A773" s="132">
        <v>770</v>
      </c>
      <c r="B773" s="133" t="s">
        <v>406</v>
      </c>
      <c r="C773" s="133" t="s">
        <v>468</v>
      </c>
      <c r="D773" s="133" t="s">
        <v>409</v>
      </c>
      <c r="E773" s="132">
        <v>5</v>
      </c>
      <c r="F773" s="132" t="s">
        <v>342</v>
      </c>
      <c r="G773" s="133" t="s">
        <v>376</v>
      </c>
      <c r="H773" s="133">
        <v>4</v>
      </c>
      <c r="I773" s="133" t="s">
        <v>469</v>
      </c>
      <c r="J773" s="132" t="s">
        <v>342</v>
      </c>
      <c r="K773" s="132" t="s">
        <v>400</v>
      </c>
      <c r="L773" s="132"/>
      <c r="M773" s="135">
        <f>300*USD_Inflation_Factor</f>
        <v>410.11603127592656</v>
      </c>
      <c r="N773" s="136">
        <f t="shared" si="47"/>
        <v>1640.4641251037062</v>
      </c>
      <c r="O773" s="136">
        <f t="shared" si="46"/>
        <v>186886498.53343683</v>
      </c>
    </row>
    <row r="774" spans="1:15">
      <c r="A774" s="132">
        <v>771</v>
      </c>
      <c r="B774" s="133" t="s">
        <v>406</v>
      </c>
      <c r="C774" s="133" t="s">
        <v>468</v>
      </c>
      <c r="D774" s="133" t="s">
        <v>409</v>
      </c>
      <c r="E774" s="132">
        <v>6</v>
      </c>
      <c r="F774" s="132" t="s">
        <v>342</v>
      </c>
      <c r="G774" s="133" t="s">
        <v>376</v>
      </c>
      <c r="H774" s="133">
        <v>6</v>
      </c>
      <c r="I774" s="133" t="s">
        <v>469</v>
      </c>
      <c r="J774" s="132" t="s">
        <v>342</v>
      </c>
      <c r="K774" s="132" t="s">
        <v>400</v>
      </c>
      <c r="L774" s="132"/>
      <c r="M774" s="135">
        <f>117.7*USD_Inflation_Factor</f>
        <v>160.90218960392184</v>
      </c>
      <c r="N774" s="136">
        <f t="shared" si="47"/>
        <v>965.41313762353104</v>
      </c>
      <c r="O774" s="136">
        <f t="shared" si="46"/>
        <v>109982704.38692757</v>
      </c>
    </row>
    <row r="775" spans="1:15">
      <c r="A775" s="132">
        <v>772</v>
      </c>
      <c r="B775" s="133" t="s">
        <v>406</v>
      </c>
      <c r="C775" s="133" t="s">
        <v>468</v>
      </c>
      <c r="D775" s="133" t="s">
        <v>410</v>
      </c>
      <c r="E775" s="132">
        <v>3</v>
      </c>
      <c r="F775" s="132" t="s">
        <v>458</v>
      </c>
      <c r="G775" s="133" t="s">
        <v>376</v>
      </c>
      <c r="H775" s="133">
        <v>1</v>
      </c>
      <c r="I775" s="133" t="s">
        <v>377</v>
      </c>
      <c r="J775" s="132" t="s">
        <v>391</v>
      </c>
      <c r="K775" s="132" t="s">
        <v>400</v>
      </c>
      <c r="L775" s="132"/>
      <c r="M775" s="135">
        <f>110*USD_Inflation_Factor</f>
        <v>150.37587813450639</v>
      </c>
      <c r="N775" s="136">
        <f t="shared" si="47"/>
        <v>150.37587813450639</v>
      </c>
      <c r="O775" s="136">
        <f t="shared" si="46"/>
        <v>17131262.365565043</v>
      </c>
    </row>
    <row r="776" spans="1:15">
      <c r="A776" s="132">
        <v>773</v>
      </c>
      <c r="B776" s="133" t="s">
        <v>411</v>
      </c>
      <c r="C776" s="133" t="s">
        <v>468</v>
      </c>
      <c r="D776" s="133" t="s">
        <v>412</v>
      </c>
      <c r="E776" s="132">
        <v>1</v>
      </c>
      <c r="F776" s="132" t="s">
        <v>342</v>
      </c>
      <c r="G776" s="133" t="s">
        <v>376</v>
      </c>
      <c r="H776" s="133">
        <v>5</v>
      </c>
      <c r="I776" s="133" t="s">
        <v>464</v>
      </c>
      <c r="J776" s="132" t="s">
        <v>342</v>
      </c>
      <c r="K776" s="132" t="s">
        <v>413</v>
      </c>
      <c r="L776" s="132"/>
      <c r="M776" s="135">
        <f>150*USD_Inflation_Factor</f>
        <v>205.05801563796328</v>
      </c>
      <c r="N776" s="136">
        <f t="shared" si="47"/>
        <v>1025.2900781898163</v>
      </c>
      <c r="O776" s="136">
        <f t="shared" ref="O776:O806" si="48">0.15*N776*USD_Change_IRR * per_Euro</f>
        <v>70082436.950038821</v>
      </c>
    </row>
    <row r="777" spans="1:15">
      <c r="A777" s="132">
        <v>774</v>
      </c>
      <c r="B777" s="133" t="s">
        <v>411</v>
      </c>
      <c r="C777" s="133" t="s">
        <v>468</v>
      </c>
      <c r="D777" s="133" t="s">
        <v>412</v>
      </c>
      <c r="E777" s="132">
        <v>3</v>
      </c>
      <c r="F777" s="132" t="s">
        <v>342</v>
      </c>
      <c r="G777" s="133" t="s">
        <v>376</v>
      </c>
      <c r="H777" s="133">
        <v>1</v>
      </c>
      <c r="I777" s="133" t="s">
        <v>464</v>
      </c>
      <c r="J777" s="132" t="s">
        <v>342</v>
      </c>
      <c r="K777" s="132" t="s">
        <v>413</v>
      </c>
      <c r="L777" s="132"/>
      <c r="M777" s="135">
        <f>778*USD_Inflation_Factor</f>
        <v>1063.5675744422363</v>
      </c>
      <c r="N777" s="136">
        <f t="shared" si="47"/>
        <v>1063.5675744422363</v>
      </c>
      <c r="O777" s="136">
        <f t="shared" si="48"/>
        <v>72698847.929506928</v>
      </c>
    </row>
    <row r="778" spans="1:15">
      <c r="A778" s="132">
        <v>775</v>
      </c>
      <c r="B778" s="133" t="s">
        <v>411</v>
      </c>
      <c r="C778" s="133" t="s">
        <v>468</v>
      </c>
      <c r="D778" s="133" t="s">
        <v>412</v>
      </c>
      <c r="E778" s="132">
        <v>4</v>
      </c>
      <c r="F778" s="132" t="s">
        <v>342</v>
      </c>
      <c r="G778" s="133" t="s">
        <v>376</v>
      </c>
      <c r="H778" s="133">
        <v>5</v>
      </c>
      <c r="I778" s="133" t="s">
        <v>464</v>
      </c>
      <c r="J778" s="132" t="s">
        <v>342</v>
      </c>
      <c r="K778" s="132" t="s">
        <v>413</v>
      </c>
      <c r="L778" s="132"/>
      <c r="M778" s="135">
        <f>1068.1*USD_Inflation_Factor</f>
        <v>1460.1497766860571</v>
      </c>
      <c r="N778" s="136">
        <f t="shared" si="47"/>
        <v>7300.7488834302858</v>
      </c>
      <c r="O778" s="136">
        <f t="shared" si="48"/>
        <v>499033672.70890975</v>
      </c>
    </row>
    <row r="779" spans="1:15">
      <c r="A779" s="132">
        <v>776</v>
      </c>
      <c r="B779" s="133" t="s">
        <v>411</v>
      </c>
      <c r="C779" s="133" t="s">
        <v>468</v>
      </c>
      <c r="D779" s="133" t="s">
        <v>412</v>
      </c>
      <c r="E779" s="132">
        <v>10</v>
      </c>
      <c r="F779" s="132" t="s">
        <v>342</v>
      </c>
      <c r="G779" s="133" t="s">
        <v>376</v>
      </c>
      <c r="H779" s="133">
        <v>1</v>
      </c>
      <c r="I779" s="133" t="s">
        <v>464</v>
      </c>
      <c r="J779" s="132" t="s">
        <v>342</v>
      </c>
      <c r="K779" s="132" t="s">
        <v>413</v>
      </c>
      <c r="L779" s="132"/>
      <c r="M779" s="135">
        <f>3000*USD_Inflation_Factor</f>
        <v>4101.1603127592653</v>
      </c>
      <c r="N779" s="136">
        <f t="shared" si="47"/>
        <v>4101.1603127592653</v>
      </c>
      <c r="O779" s="136">
        <f t="shared" si="48"/>
        <v>280329747.80015528</v>
      </c>
    </row>
    <row r="780" spans="1:15">
      <c r="A780" s="132">
        <v>777</v>
      </c>
      <c r="B780" s="133" t="s">
        <v>411</v>
      </c>
      <c r="C780" s="133" t="s">
        <v>468</v>
      </c>
      <c r="D780" s="133" t="s">
        <v>412</v>
      </c>
      <c r="E780" s="132">
        <v>3</v>
      </c>
      <c r="F780" s="132" t="s">
        <v>342</v>
      </c>
      <c r="G780" s="133" t="s">
        <v>376</v>
      </c>
      <c r="H780" s="133">
        <v>2</v>
      </c>
      <c r="I780" s="133" t="s">
        <v>377</v>
      </c>
      <c r="J780" s="132" t="s">
        <v>342</v>
      </c>
      <c r="K780" s="132" t="s">
        <v>413</v>
      </c>
      <c r="L780" s="132"/>
      <c r="M780" s="135">
        <f>778*USD_Inflation_Factor</f>
        <v>1063.5675744422363</v>
      </c>
      <c r="N780" s="136">
        <f t="shared" si="47"/>
        <v>2127.1351488844725</v>
      </c>
      <c r="O780" s="136">
        <f t="shared" si="48"/>
        <v>145397695.85901386</v>
      </c>
    </row>
    <row r="781" spans="1:15">
      <c r="A781" s="132">
        <v>778</v>
      </c>
      <c r="B781" s="133" t="s">
        <v>411</v>
      </c>
      <c r="C781" s="133" t="s">
        <v>468</v>
      </c>
      <c r="D781" s="133" t="s">
        <v>412</v>
      </c>
      <c r="E781" s="132">
        <v>4</v>
      </c>
      <c r="F781" s="132" t="s">
        <v>342</v>
      </c>
      <c r="G781" s="133" t="s">
        <v>376</v>
      </c>
      <c r="H781" s="133">
        <v>3</v>
      </c>
      <c r="I781" s="133" t="s">
        <v>469</v>
      </c>
      <c r="J781" s="132" t="s">
        <v>342</v>
      </c>
      <c r="K781" s="132" t="s">
        <v>413</v>
      </c>
      <c r="L781" s="132"/>
      <c r="M781" s="135">
        <f>460*USD_Inflation_Factor</f>
        <v>628.84458128975405</v>
      </c>
      <c r="N781" s="136">
        <f t="shared" si="47"/>
        <v>1886.5337438692623</v>
      </c>
      <c r="O781" s="136">
        <f t="shared" si="48"/>
        <v>128951683.98807141</v>
      </c>
    </row>
    <row r="782" spans="1:15">
      <c r="A782" s="132">
        <v>779</v>
      </c>
      <c r="B782" s="133" t="s">
        <v>411</v>
      </c>
      <c r="C782" s="133" t="s">
        <v>468</v>
      </c>
      <c r="D782" s="133" t="s">
        <v>412</v>
      </c>
      <c r="E782" s="132">
        <v>6</v>
      </c>
      <c r="F782" s="132" t="s">
        <v>342</v>
      </c>
      <c r="G782" s="133" t="s">
        <v>376</v>
      </c>
      <c r="H782" s="133">
        <v>3</v>
      </c>
      <c r="I782" s="133" t="s">
        <v>469</v>
      </c>
      <c r="J782" s="132" t="s">
        <v>342</v>
      </c>
      <c r="K782" s="132" t="s">
        <v>413</v>
      </c>
      <c r="L782" s="132"/>
      <c r="M782" s="135">
        <f>2500*USD_Inflation_Factor</f>
        <v>3417.6335939660544</v>
      </c>
      <c r="N782" s="136">
        <f t="shared" si="47"/>
        <v>10252.900781898163</v>
      </c>
      <c r="O782" s="136">
        <f t="shared" si="48"/>
        <v>700824369.50038803</v>
      </c>
    </row>
    <row r="783" spans="1:15">
      <c r="A783" s="132">
        <v>780</v>
      </c>
      <c r="B783" s="133" t="s">
        <v>411</v>
      </c>
      <c r="C783" s="133" t="s">
        <v>468</v>
      </c>
      <c r="D783" s="133" t="s">
        <v>414</v>
      </c>
      <c r="E783" s="132">
        <v>1</v>
      </c>
      <c r="F783" s="132" t="s">
        <v>342</v>
      </c>
      <c r="G783" s="133" t="s">
        <v>376</v>
      </c>
      <c r="H783" s="133">
        <v>67</v>
      </c>
      <c r="I783" s="133" t="s">
        <v>464</v>
      </c>
      <c r="J783" s="132" t="s">
        <v>342</v>
      </c>
      <c r="K783" s="132" t="s">
        <v>413</v>
      </c>
      <c r="L783" s="132"/>
      <c r="M783" s="135">
        <f>260*USD_Inflation_Factor</f>
        <v>355.43389377246967</v>
      </c>
      <c r="N783" s="136">
        <f t="shared" si="47"/>
        <v>23814.07088275547</v>
      </c>
      <c r="O783" s="136">
        <f t="shared" si="48"/>
        <v>1627781402.2262349</v>
      </c>
    </row>
    <row r="784" spans="1:15">
      <c r="A784" s="132">
        <v>781</v>
      </c>
      <c r="B784" s="133" t="s">
        <v>411</v>
      </c>
      <c r="C784" s="133" t="s">
        <v>468</v>
      </c>
      <c r="D784" s="133" t="s">
        <v>414</v>
      </c>
      <c r="E784" s="132">
        <v>2</v>
      </c>
      <c r="F784" s="132" t="s">
        <v>342</v>
      </c>
      <c r="G784" s="133" t="s">
        <v>376</v>
      </c>
      <c r="H784" s="133">
        <v>2</v>
      </c>
      <c r="I784" s="133" t="s">
        <v>464</v>
      </c>
      <c r="J784" s="132" t="s">
        <v>342</v>
      </c>
      <c r="K784" s="132" t="s">
        <v>413</v>
      </c>
      <c r="L784" s="132"/>
      <c r="M784" s="135">
        <f>510*USD_Inflation_Factor</f>
        <v>697.19725316907511</v>
      </c>
      <c r="N784" s="136">
        <f t="shared" si="47"/>
        <v>1394.3945063381502</v>
      </c>
      <c r="O784" s="136">
        <f t="shared" si="48"/>
        <v>95312114.252052784</v>
      </c>
    </row>
    <row r="785" spans="1:15">
      <c r="A785" s="132">
        <v>782</v>
      </c>
      <c r="B785" s="133" t="s">
        <v>411</v>
      </c>
      <c r="C785" s="133" t="s">
        <v>468</v>
      </c>
      <c r="D785" s="133" t="s">
        <v>414</v>
      </c>
      <c r="E785" s="132">
        <v>3</v>
      </c>
      <c r="F785" s="132" t="s">
        <v>342</v>
      </c>
      <c r="G785" s="133" t="s">
        <v>376</v>
      </c>
      <c r="H785" s="133">
        <v>6</v>
      </c>
      <c r="I785" s="133" t="s">
        <v>464</v>
      </c>
      <c r="J785" s="132" t="s">
        <v>342</v>
      </c>
      <c r="K785" s="132" t="s">
        <v>413</v>
      </c>
      <c r="L785" s="132"/>
      <c r="M785" s="135">
        <f>810*USD_Inflation_Factor</f>
        <v>1107.3132844450017</v>
      </c>
      <c r="N785" s="136">
        <f t="shared" si="47"/>
        <v>6643.8797066700099</v>
      </c>
      <c r="O785" s="136">
        <f t="shared" si="48"/>
        <v>454134191.43625152</v>
      </c>
    </row>
    <row r="786" spans="1:15">
      <c r="A786" s="132">
        <v>783</v>
      </c>
      <c r="B786" s="133" t="s">
        <v>411</v>
      </c>
      <c r="C786" s="133" t="s">
        <v>468</v>
      </c>
      <c r="D786" s="133" t="s">
        <v>414</v>
      </c>
      <c r="E786" s="132">
        <v>4</v>
      </c>
      <c r="F786" s="132" t="s">
        <v>342</v>
      </c>
      <c r="G786" s="133" t="s">
        <v>376</v>
      </c>
      <c r="H786" s="133">
        <v>16</v>
      </c>
      <c r="I786" s="133" t="s">
        <v>464</v>
      </c>
      <c r="J786" s="132" t="s">
        <v>342</v>
      </c>
      <c r="K786" s="132" t="s">
        <v>413</v>
      </c>
      <c r="L786" s="132"/>
      <c r="M786" s="135">
        <f>1050*USD_Inflation_Factor</f>
        <v>1435.4061094657429</v>
      </c>
      <c r="N786" s="136">
        <f t="shared" si="47"/>
        <v>22966.497751451887</v>
      </c>
      <c r="O786" s="136">
        <f t="shared" si="48"/>
        <v>1569846587.6808693</v>
      </c>
    </row>
    <row r="787" spans="1:15">
      <c r="A787" s="132">
        <v>784</v>
      </c>
      <c r="B787" s="133" t="s">
        <v>411</v>
      </c>
      <c r="C787" s="133" t="s">
        <v>468</v>
      </c>
      <c r="D787" s="133" t="s">
        <v>414</v>
      </c>
      <c r="E787" s="132">
        <v>6</v>
      </c>
      <c r="F787" s="132" t="s">
        <v>342</v>
      </c>
      <c r="G787" s="133" t="s">
        <v>376</v>
      </c>
      <c r="H787" s="133">
        <v>6</v>
      </c>
      <c r="I787" s="133" t="s">
        <v>464</v>
      </c>
      <c r="J787" s="132" t="s">
        <v>342</v>
      </c>
      <c r="K787" s="132" t="s">
        <v>413</v>
      </c>
      <c r="L787" s="132"/>
      <c r="M787" s="135">
        <f>1500*USD_Inflation_Factor</f>
        <v>2050.5801563796326</v>
      </c>
      <c r="N787" s="136">
        <f t="shared" si="47"/>
        <v>12303.480938277797</v>
      </c>
      <c r="O787" s="136">
        <f t="shared" si="48"/>
        <v>840989243.40046573</v>
      </c>
    </row>
    <row r="788" spans="1:15">
      <c r="A788" s="132">
        <v>785</v>
      </c>
      <c r="B788" s="133" t="s">
        <v>411</v>
      </c>
      <c r="C788" s="133" t="s">
        <v>468</v>
      </c>
      <c r="D788" s="133" t="s">
        <v>414</v>
      </c>
      <c r="E788" s="132">
        <v>8</v>
      </c>
      <c r="F788" s="132" t="s">
        <v>342</v>
      </c>
      <c r="G788" s="133" t="s">
        <v>376</v>
      </c>
      <c r="H788" s="133">
        <v>7</v>
      </c>
      <c r="I788" s="133" t="s">
        <v>464</v>
      </c>
      <c r="J788" s="132" t="s">
        <v>342</v>
      </c>
      <c r="K788" s="132" t="s">
        <v>413</v>
      </c>
      <c r="L788" s="132"/>
      <c r="M788" s="135">
        <f>1600*USD_Inflation_Factor</f>
        <v>2187.285500138275</v>
      </c>
      <c r="N788" s="136">
        <f t="shared" si="47"/>
        <v>15310.998500967926</v>
      </c>
      <c r="O788" s="136">
        <f t="shared" si="48"/>
        <v>1046564391.7872465</v>
      </c>
    </row>
    <row r="789" spans="1:15">
      <c r="A789" s="132">
        <v>786</v>
      </c>
      <c r="B789" s="133" t="s">
        <v>411</v>
      </c>
      <c r="C789" s="133" t="s">
        <v>468</v>
      </c>
      <c r="D789" s="133" t="s">
        <v>414</v>
      </c>
      <c r="E789" s="132">
        <v>10</v>
      </c>
      <c r="F789" s="132" t="s">
        <v>342</v>
      </c>
      <c r="G789" s="133" t="s">
        <v>376</v>
      </c>
      <c r="H789" s="133">
        <v>1</v>
      </c>
      <c r="I789" s="133" t="s">
        <v>464</v>
      </c>
      <c r="J789" s="132" t="s">
        <v>342</v>
      </c>
      <c r="K789" s="132" t="s">
        <v>413</v>
      </c>
      <c r="L789" s="132"/>
      <c r="M789" s="135">
        <f>2850*USD_Inflation_Factor</f>
        <v>3896.1022971213024</v>
      </c>
      <c r="N789" s="136">
        <f t="shared" si="47"/>
        <v>3896.1022971213024</v>
      </c>
      <c r="O789" s="136">
        <f t="shared" si="48"/>
        <v>266313260.41014752</v>
      </c>
    </row>
    <row r="790" spans="1:15">
      <c r="A790" s="132">
        <v>787</v>
      </c>
      <c r="B790" s="133" t="s">
        <v>411</v>
      </c>
      <c r="C790" s="133" t="s">
        <v>468</v>
      </c>
      <c r="D790" s="133" t="s">
        <v>414</v>
      </c>
      <c r="E790" s="132">
        <v>10</v>
      </c>
      <c r="F790" s="132" t="s">
        <v>342</v>
      </c>
      <c r="G790" s="133" t="s">
        <v>376</v>
      </c>
      <c r="H790" s="133">
        <v>6</v>
      </c>
      <c r="I790" s="133" t="s">
        <v>464</v>
      </c>
      <c r="J790" s="132" t="s">
        <v>342</v>
      </c>
      <c r="K790" s="132" t="s">
        <v>413</v>
      </c>
      <c r="L790" s="132"/>
      <c r="M790" s="135">
        <f>2850*USD_Inflation_Factor</f>
        <v>3896.1022971213024</v>
      </c>
      <c r="N790" s="136">
        <f t="shared" si="47"/>
        <v>23376.613782727814</v>
      </c>
      <c r="O790" s="136">
        <f t="shared" si="48"/>
        <v>1597879562.4608853</v>
      </c>
    </row>
    <row r="791" spans="1:15">
      <c r="A791" s="132">
        <v>788</v>
      </c>
      <c r="B791" s="133" t="s">
        <v>411</v>
      </c>
      <c r="C791" s="133" t="s">
        <v>468</v>
      </c>
      <c r="D791" s="133" t="s">
        <v>414</v>
      </c>
      <c r="E791" s="132">
        <v>12</v>
      </c>
      <c r="F791" s="132" t="s">
        <v>342</v>
      </c>
      <c r="G791" s="133" t="s">
        <v>376</v>
      </c>
      <c r="H791" s="133">
        <v>3</v>
      </c>
      <c r="I791" s="133" t="s">
        <v>464</v>
      </c>
      <c r="J791" s="132" t="s">
        <v>342</v>
      </c>
      <c r="K791" s="132" t="s">
        <v>413</v>
      </c>
      <c r="L791" s="132"/>
      <c r="M791" s="135">
        <f>3860*USD_Inflation_Factor</f>
        <v>5276.8262690835882</v>
      </c>
      <c r="N791" s="136">
        <f t="shared" si="47"/>
        <v>15830.478807250765</v>
      </c>
      <c r="O791" s="136">
        <f t="shared" si="48"/>
        <v>1082072826.5085993</v>
      </c>
    </row>
    <row r="792" spans="1:15">
      <c r="A792" s="132">
        <v>789</v>
      </c>
      <c r="B792" s="133" t="s">
        <v>411</v>
      </c>
      <c r="C792" s="133" t="s">
        <v>468</v>
      </c>
      <c r="D792" s="133" t="s">
        <v>414</v>
      </c>
      <c r="E792" s="132" t="s">
        <v>383</v>
      </c>
      <c r="F792" s="132" t="s">
        <v>342</v>
      </c>
      <c r="G792" s="133" t="s">
        <v>376</v>
      </c>
      <c r="H792" s="133">
        <v>8</v>
      </c>
      <c r="I792" s="133" t="s">
        <v>464</v>
      </c>
      <c r="J792" s="132" t="s">
        <v>342</v>
      </c>
      <c r="K792" s="132" t="s">
        <v>413</v>
      </c>
      <c r="L792" s="132"/>
      <c r="M792" s="135">
        <f>181*USD_Inflation_Factor</f>
        <v>247.43667220314236</v>
      </c>
      <c r="N792" s="136">
        <f t="shared" si="47"/>
        <v>1979.4933776251389</v>
      </c>
      <c r="O792" s="136">
        <f t="shared" si="48"/>
        <v>135305824.93820828</v>
      </c>
    </row>
    <row r="793" spans="1:15">
      <c r="A793" s="132">
        <v>790</v>
      </c>
      <c r="B793" s="133" t="s">
        <v>411</v>
      </c>
      <c r="C793" s="133" t="s">
        <v>468</v>
      </c>
      <c r="D793" s="133" t="s">
        <v>414</v>
      </c>
      <c r="E793" s="132">
        <v>1</v>
      </c>
      <c r="F793" s="132" t="s">
        <v>342</v>
      </c>
      <c r="G793" s="133" t="s">
        <v>376</v>
      </c>
      <c r="H793" s="133">
        <v>14</v>
      </c>
      <c r="I793" s="133" t="s">
        <v>377</v>
      </c>
      <c r="J793" s="132" t="s">
        <v>342</v>
      </c>
      <c r="K793" s="132" t="s">
        <v>413</v>
      </c>
      <c r="L793" s="132"/>
      <c r="M793" s="135">
        <f>260*USD_Inflation_Factor</f>
        <v>355.43389377246967</v>
      </c>
      <c r="N793" s="136">
        <f t="shared" si="47"/>
        <v>4976.0745128145754</v>
      </c>
      <c r="O793" s="136">
        <f t="shared" si="48"/>
        <v>340133427.33085507</v>
      </c>
    </row>
    <row r="794" spans="1:15">
      <c r="A794" s="132">
        <v>791</v>
      </c>
      <c r="B794" s="133" t="s">
        <v>411</v>
      </c>
      <c r="C794" s="133" t="s">
        <v>468</v>
      </c>
      <c r="D794" s="133" t="s">
        <v>414</v>
      </c>
      <c r="E794" s="132">
        <v>2</v>
      </c>
      <c r="F794" s="132" t="s">
        <v>342</v>
      </c>
      <c r="G794" s="133" t="s">
        <v>376</v>
      </c>
      <c r="H794" s="133">
        <v>14</v>
      </c>
      <c r="I794" s="133" t="s">
        <v>377</v>
      </c>
      <c r="J794" s="132" t="s">
        <v>342</v>
      </c>
      <c r="K794" s="132" t="s">
        <v>413</v>
      </c>
      <c r="L794" s="132"/>
      <c r="M794" s="135">
        <f>510*USD_Inflation_Factor</f>
        <v>697.19725316907511</v>
      </c>
      <c r="N794" s="136">
        <f t="shared" si="47"/>
        <v>9760.7615443670511</v>
      </c>
      <c r="O794" s="136">
        <f t="shared" si="48"/>
        <v>667184799.76436937</v>
      </c>
    </row>
    <row r="795" spans="1:15">
      <c r="A795" s="132">
        <v>792</v>
      </c>
      <c r="B795" s="133" t="s">
        <v>411</v>
      </c>
      <c r="C795" s="133" t="s">
        <v>468</v>
      </c>
      <c r="D795" s="133" t="s">
        <v>414</v>
      </c>
      <c r="E795" s="132">
        <v>3</v>
      </c>
      <c r="F795" s="132" t="s">
        <v>342</v>
      </c>
      <c r="G795" s="133" t="s">
        <v>376</v>
      </c>
      <c r="H795" s="133">
        <v>5</v>
      </c>
      <c r="I795" s="133" t="s">
        <v>377</v>
      </c>
      <c r="J795" s="132" t="s">
        <v>342</v>
      </c>
      <c r="K795" s="132" t="s">
        <v>413</v>
      </c>
      <c r="L795" s="132"/>
      <c r="M795" s="135">
        <f>810*USD_Inflation_Factor</f>
        <v>1107.3132844450017</v>
      </c>
      <c r="N795" s="136">
        <f t="shared" si="47"/>
        <v>5536.5664222250089</v>
      </c>
      <c r="O795" s="136">
        <f t="shared" si="48"/>
        <v>378445159.5302096</v>
      </c>
    </row>
    <row r="796" spans="1:15">
      <c r="A796" s="132">
        <v>793</v>
      </c>
      <c r="B796" s="133" t="s">
        <v>411</v>
      </c>
      <c r="C796" s="133" t="s">
        <v>468</v>
      </c>
      <c r="D796" s="133" t="s">
        <v>414</v>
      </c>
      <c r="E796" s="132">
        <v>4</v>
      </c>
      <c r="F796" s="132" t="s">
        <v>342</v>
      </c>
      <c r="G796" s="133" t="s">
        <v>376</v>
      </c>
      <c r="H796" s="133">
        <v>2</v>
      </c>
      <c r="I796" s="133" t="s">
        <v>377</v>
      </c>
      <c r="J796" s="132" t="s">
        <v>342</v>
      </c>
      <c r="K796" s="132" t="s">
        <v>413</v>
      </c>
      <c r="L796" s="132"/>
      <c r="M796" s="135">
        <f>1050*USD_Inflation_Factor</f>
        <v>1435.4061094657429</v>
      </c>
      <c r="N796" s="136">
        <f t="shared" si="47"/>
        <v>2870.8122189314859</v>
      </c>
      <c r="O796" s="136">
        <f t="shared" si="48"/>
        <v>196230823.46010867</v>
      </c>
    </row>
    <row r="797" spans="1:15">
      <c r="A797" s="132">
        <v>794</v>
      </c>
      <c r="B797" s="133" t="s">
        <v>411</v>
      </c>
      <c r="C797" s="133" t="s">
        <v>468</v>
      </c>
      <c r="D797" s="133" t="s">
        <v>414</v>
      </c>
      <c r="E797" s="132">
        <v>6</v>
      </c>
      <c r="F797" s="132" t="s">
        <v>342</v>
      </c>
      <c r="G797" s="133" t="s">
        <v>376</v>
      </c>
      <c r="H797" s="133">
        <v>4</v>
      </c>
      <c r="I797" s="133" t="s">
        <v>377</v>
      </c>
      <c r="J797" s="132" t="s">
        <v>342</v>
      </c>
      <c r="K797" s="132" t="s">
        <v>413</v>
      </c>
      <c r="L797" s="132"/>
      <c r="M797" s="135">
        <f>1500*USD_Inflation_Factor</f>
        <v>2050.5801563796326</v>
      </c>
      <c r="N797" s="136">
        <f t="shared" si="47"/>
        <v>8202.3206255185305</v>
      </c>
      <c r="O797" s="136">
        <f t="shared" si="48"/>
        <v>560659495.60031056</v>
      </c>
    </row>
    <row r="798" spans="1:15">
      <c r="A798" s="132">
        <v>795</v>
      </c>
      <c r="B798" s="133" t="s">
        <v>411</v>
      </c>
      <c r="C798" s="133" t="s">
        <v>468</v>
      </c>
      <c r="D798" s="133" t="s">
        <v>414</v>
      </c>
      <c r="E798" s="132">
        <v>1</v>
      </c>
      <c r="F798" s="132" t="s">
        <v>342</v>
      </c>
      <c r="G798" s="133" t="s">
        <v>376</v>
      </c>
      <c r="H798" s="133">
        <v>32</v>
      </c>
      <c r="I798" s="133" t="s">
        <v>469</v>
      </c>
      <c r="J798" s="132" t="s">
        <v>342</v>
      </c>
      <c r="K798" s="132" t="s">
        <v>413</v>
      </c>
      <c r="L798" s="132"/>
      <c r="M798" s="135">
        <f>40*USD_Inflation_Factor</f>
        <v>54.682137503456872</v>
      </c>
      <c r="N798" s="136">
        <f t="shared" si="47"/>
        <v>1749.8284001106199</v>
      </c>
      <c r="O798" s="136">
        <f t="shared" si="48"/>
        <v>119607359.06139955</v>
      </c>
    </row>
    <row r="799" spans="1:15">
      <c r="A799" s="132">
        <v>796</v>
      </c>
      <c r="B799" s="133" t="s">
        <v>411</v>
      </c>
      <c r="C799" s="133" t="s">
        <v>468</v>
      </c>
      <c r="D799" s="133" t="s">
        <v>414</v>
      </c>
      <c r="E799" s="132">
        <v>4</v>
      </c>
      <c r="F799" s="132" t="s">
        <v>342</v>
      </c>
      <c r="G799" s="133" t="s">
        <v>376</v>
      </c>
      <c r="H799" s="133">
        <v>3</v>
      </c>
      <c r="I799" s="133" t="s">
        <v>469</v>
      </c>
      <c r="J799" s="132" t="s">
        <v>342</v>
      </c>
      <c r="K799" s="132" t="s">
        <v>413</v>
      </c>
      <c r="L799" s="132"/>
      <c r="M799" s="135">
        <f>540*USD_Inflation_Factor</f>
        <v>738.20885629666782</v>
      </c>
      <c r="N799" s="136">
        <f t="shared" si="47"/>
        <v>2214.6265688900035</v>
      </c>
      <c r="O799" s="136">
        <f t="shared" si="48"/>
        <v>151378063.81208384</v>
      </c>
    </row>
    <row r="800" spans="1:15">
      <c r="A800" s="132">
        <v>797</v>
      </c>
      <c r="B800" s="133" t="s">
        <v>411</v>
      </c>
      <c r="C800" s="133" t="s">
        <v>468</v>
      </c>
      <c r="D800" s="133" t="s">
        <v>414</v>
      </c>
      <c r="E800" s="132">
        <v>5</v>
      </c>
      <c r="F800" s="132" t="s">
        <v>342</v>
      </c>
      <c r="G800" s="133" t="s">
        <v>376</v>
      </c>
      <c r="H800" s="133">
        <v>10</v>
      </c>
      <c r="I800" s="133" t="s">
        <v>469</v>
      </c>
      <c r="J800" s="132" t="s">
        <v>342</v>
      </c>
      <c r="K800" s="132" t="s">
        <v>413</v>
      </c>
      <c r="L800" s="132"/>
      <c r="M800" s="135">
        <f>1500*USD_Inflation_Factor</f>
        <v>2050.5801563796326</v>
      </c>
      <c r="N800" s="136">
        <f t="shared" si="47"/>
        <v>20505.801563796325</v>
      </c>
      <c r="O800" s="136">
        <f t="shared" si="48"/>
        <v>1401648739.0007761</v>
      </c>
    </row>
    <row r="801" spans="1:16">
      <c r="A801" s="132">
        <v>798</v>
      </c>
      <c r="B801" s="133" t="s">
        <v>411</v>
      </c>
      <c r="C801" s="133" t="s">
        <v>468</v>
      </c>
      <c r="D801" s="133" t="s">
        <v>414</v>
      </c>
      <c r="E801" s="132">
        <v>6</v>
      </c>
      <c r="F801" s="132" t="s">
        <v>342</v>
      </c>
      <c r="G801" s="133" t="s">
        <v>376</v>
      </c>
      <c r="H801" s="133">
        <v>3</v>
      </c>
      <c r="I801" s="133" t="s">
        <v>469</v>
      </c>
      <c r="J801" s="132" t="s">
        <v>342</v>
      </c>
      <c r="K801" s="132" t="s">
        <v>413</v>
      </c>
      <c r="L801" s="132"/>
      <c r="M801" s="135">
        <f>1100*USD_Inflation_Factor</f>
        <v>1503.7587813450641</v>
      </c>
      <c r="N801" s="136">
        <f t="shared" si="47"/>
        <v>4511.2763440351919</v>
      </c>
      <c r="O801" s="136">
        <f t="shared" si="48"/>
        <v>308362722.58017081</v>
      </c>
    </row>
    <row r="802" spans="1:16">
      <c r="A802" s="132">
        <v>799</v>
      </c>
      <c r="B802" s="133" t="s">
        <v>411</v>
      </c>
      <c r="C802" s="133" t="s">
        <v>468</v>
      </c>
      <c r="D802" s="133" t="s">
        <v>414</v>
      </c>
      <c r="E802" s="132">
        <v>8</v>
      </c>
      <c r="F802" s="132" t="s">
        <v>342</v>
      </c>
      <c r="G802" s="133" t="s">
        <v>376</v>
      </c>
      <c r="H802" s="133">
        <v>2</v>
      </c>
      <c r="I802" s="133" t="s">
        <v>469</v>
      </c>
      <c r="J802" s="132" t="s">
        <v>342</v>
      </c>
      <c r="K802" s="132" t="s">
        <v>413</v>
      </c>
      <c r="L802" s="132"/>
      <c r="M802" s="135">
        <f>1800*USD_Inflation_Factor</f>
        <v>2460.6961876555592</v>
      </c>
      <c r="N802" s="136">
        <f t="shared" si="47"/>
        <v>4921.3923753111185</v>
      </c>
      <c r="O802" s="136">
        <f t="shared" si="48"/>
        <v>336395697.36018628</v>
      </c>
    </row>
    <row r="803" spans="1:16">
      <c r="A803" s="132">
        <v>800</v>
      </c>
      <c r="B803" s="133" t="s">
        <v>411</v>
      </c>
      <c r="C803" s="133" t="s">
        <v>468</v>
      </c>
      <c r="D803" s="133" t="s">
        <v>415</v>
      </c>
      <c r="E803" s="132">
        <v>3</v>
      </c>
      <c r="F803" s="132" t="s">
        <v>342</v>
      </c>
      <c r="G803" s="133" t="s">
        <v>376</v>
      </c>
      <c r="H803" s="133">
        <v>6</v>
      </c>
      <c r="I803" s="133" t="s">
        <v>464</v>
      </c>
      <c r="J803" s="132" t="s">
        <v>342</v>
      </c>
      <c r="K803" s="132" t="s">
        <v>413</v>
      </c>
      <c r="L803" s="132"/>
      <c r="M803" s="135">
        <f>1025*USD_Inflation_Factor</f>
        <v>1401.2297735260825</v>
      </c>
      <c r="N803" s="136">
        <f t="shared" si="47"/>
        <v>8407.3786411564943</v>
      </c>
      <c r="O803" s="136">
        <f t="shared" si="48"/>
        <v>574675982.99031818</v>
      </c>
    </row>
    <row r="804" spans="1:16">
      <c r="A804" s="132">
        <v>801</v>
      </c>
      <c r="B804" s="133" t="s">
        <v>411</v>
      </c>
      <c r="C804" s="133" t="s">
        <v>468</v>
      </c>
      <c r="D804" s="133" t="s">
        <v>415</v>
      </c>
      <c r="E804" s="132">
        <v>6</v>
      </c>
      <c r="F804" s="132" t="s">
        <v>342</v>
      </c>
      <c r="G804" s="133" t="s">
        <v>376</v>
      </c>
      <c r="H804" s="133">
        <v>1</v>
      </c>
      <c r="I804" s="133" t="s">
        <v>464</v>
      </c>
      <c r="J804" s="132" t="s">
        <v>342</v>
      </c>
      <c r="K804" s="132" t="s">
        <v>413</v>
      </c>
      <c r="L804" s="132"/>
      <c r="M804" s="135">
        <f>2304.5*USD_Inflation_Factor</f>
        <v>3150.3746469179091</v>
      </c>
      <c r="N804" s="136">
        <f t="shared" si="47"/>
        <v>3150.3746469179091</v>
      </c>
      <c r="O804" s="136">
        <f t="shared" si="48"/>
        <v>215339967.93515259</v>
      </c>
    </row>
    <row r="805" spans="1:16">
      <c r="A805" s="132">
        <v>802</v>
      </c>
      <c r="B805" s="133" t="s">
        <v>411</v>
      </c>
      <c r="C805" s="133" t="s">
        <v>468</v>
      </c>
      <c r="D805" s="133" t="s">
        <v>415</v>
      </c>
      <c r="E805" s="132">
        <v>6</v>
      </c>
      <c r="F805" s="132" t="s">
        <v>342</v>
      </c>
      <c r="G805" s="133" t="s">
        <v>376</v>
      </c>
      <c r="H805" s="133">
        <v>1</v>
      </c>
      <c r="I805" s="133" t="s">
        <v>377</v>
      </c>
      <c r="J805" s="132" t="s">
        <v>342</v>
      </c>
      <c r="K805" s="132" t="s">
        <v>413</v>
      </c>
      <c r="L805" s="132"/>
      <c r="M805" s="135">
        <f>2304.5*USD_Inflation_Factor</f>
        <v>3150.3746469179091</v>
      </c>
      <c r="N805" s="136">
        <f t="shared" si="47"/>
        <v>3150.3746469179091</v>
      </c>
      <c r="O805" s="136">
        <f t="shared" si="48"/>
        <v>215339967.93515259</v>
      </c>
    </row>
    <row r="806" spans="1:16">
      <c r="A806" s="132">
        <v>803</v>
      </c>
      <c r="B806" s="133" t="s">
        <v>411</v>
      </c>
      <c r="C806" s="133" t="s">
        <v>468</v>
      </c>
      <c r="D806" s="133" t="s">
        <v>415</v>
      </c>
      <c r="E806" s="132">
        <v>5</v>
      </c>
      <c r="F806" s="132" t="s">
        <v>342</v>
      </c>
      <c r="G806" s="133" t="s">
        <v>376</v>
      </c>
      <c r="H806" s="133">
        <v>2</v>
      </c>
      <c r="I806" s="133" t="s">
        <v>469</v>
      </c>
      <c r="J806" s="132" t="s">
        <v>342</v>
      </c>
      <c r="K806" s="132" t="s">
        <v>413</v>
      </c>
      <c r="L806" s="132"/>
      <c r="M806" s="135">
        <f>1800*USD_Inflation_Factor</f>
        <v>2460.6961876555592</v>
      </c>
      <c r="N806" s="136">
        <f t="shared" si="47"/>
        <v>4921.3923753111185</v>
      </c>
      <c r="O806" s="136">
        <f t="shared" si="48"/>
        <v>336395697.36018628</v>
      </c>
    </row>
    <row r="807" spans="1:16" ht="15.75">
      <c r="A807" s="140">
        <v>804</v>
      </c>
      <c r="B807" s="141"/>
      <c r="C807" s="142" t="s">
        <v>476</v>
      </c>
      <c r="D807" s="143"/>
      <c r="E807" s="132"/>
      <c r="F807" s="132"/>
      <c r="G807" s="133" t="s">
        <v>923</v>
      </c>
      <c r="H807" s="133">
        <v>1</v>
      </c>
      <c r="I807" s="133"/>
      <c r="J807" s="132"/>
      <c r="K807" s="132"/>
      <c r="L807" s="132"/>
      <c r="M807" s="136">
        <f>500000*USD_Inflation_Factor</f>
        <v>683526.71879321092</v>
      </c>
      <c r="N807" s="136">
        <f t="shared" si="47"/>
        <v>683526.71879321092</v>
      </c>
      <c r="O807" s="136">
        <f>0.2*N807*USD_Change_IRR * per_Euro</f>
        <v>62295499511.145607</v>
      </c>
    </row>
    <row r="808" spans="1:16">
      <c r="A808" s="140">
        <v>805</v>
      </c>
      <c r="B808" s="141" t="s">
        <v>4496</v>
      </c>
      <c r="C808" s="133" t="s">
        <v>4495</v>
      </c>
      <c r="D808" s="143"/>
      <c r="E808" s="132"/>
      <c r="F808" s="132"/>
      <c r="G808" s="133" t="s">
        <v>923</v>
      </c>
      <c r="H808" s="133">
        <v>1</v>
      </c>
      <c r="I808" s="133"/>
      <c r="J808" s="132"/>
      <c r="K808" s="132"/>
      <c r="L808" s="132"/>
      <c r="M808" s="136">
        <f>0.1*SUM(M4:M807)</f>
        <v>98977.188680086125</v>
      </c>
      <c r="N808" s="136">
        <f t="shared" si="47"/>
        <v>98977.188680086125</v>
      </c>
      <c r="O808" s="136"/>
    </row>
    <row r="809" spans="1:16" ht="54">
      <c r="A809" s="140">
        <v>806</v>
      </c>
      <c r="B809" s="132" t="s">
        <v>4497</v>
      </c>
      <c r="C809" s="1026" t="s">
        <v>4332</v>
      </c>
      <c r="D809" s="1028"/>
      <c r="E809" s="1027"/>
      <c r="F809" s="1027"/>
      <c r="G809" s="1027" t="s">
        <v>923</v>
      </c>
      <c r="H809" s="1027">
        <v>1</v>
      </c>
      <c r="I809" s="1028"/>
      <c r="J809" s="1027"/>
      <c r="K809" s="1027"/>
      <c r="L809" s="1027"/>
      <c r="M809" s="1555">
        <v>700000</v>
      </c>
      <c r="N809" s="1555">
        <f t="shared" ref="N809" si="49">M809*H809</f>
        <v>700000</v>
      </c>
      <c r="O809" s="1555">
        <f>0.2*N809*USD_Change_IRR * per_Euro</f>
        <v>63796847231.943275</v>
      </c>
    </row>
    <row r="810" spans="1:16">
      <c r="A810" s="140">
        <v>807</v>
      </c>
      <c r="B810" s="133" t="s">
        <v>403</v>
      </c>
      <c r="C810" s="133" t="s">
        <v>477</v>
      </c>
      <c r="D810" s="133" t="s">
        <v>342</v>
      </c>
      <c r="E810" s="132">
        <v>4</v>
      </c>
      <c r="F810" s="132" t="s">
        <v>342</v>
      </c>
      <c r="G810" s="133" t="s">
        <v>404</v>
      </c>
      <c r="H810" s="133">
        <v>500</v>
      </c>
      <c r="I810" s="133" t="s">
        <v>419</v>
      </c>
      <c r="J810" s="132" t="s">
        <v>435</v>
      </c>
      <c r="K810" s="132" t="s">
        <v>443</v>
      </c>
      <c r="L810" s="132" t="s">
        <v>436</v>
      </c>
      <c r="M810" s="135">
        <f>25*USD_Inflation_Factor</f>
        <v>34.176335939660547</v>
      </c>
      <c r="N810" s="136">
        <f>M810*H810</f>
        <v>17088.167969830272</v>
      </c>
      <c r="O810" s="136">
        <f>0.15*N810*USD_Change_IRR * per_Euro</f>
        <v>1168040615.8339801</v>
      </c>
    </row>
    <row r="811" spans="1:16" ht="15.75">
      <c r="A811" s="140">
        <v>808</v>
      </c>
      <c r="B811" s="141"/>
      <c r="C811" s="142" t="s">
        <v>478</v>
      </c>
      <c r="D811" s="143"/>
      <c r="E811" s="144"/>
      <c r="F811" s="144"/>
      <c r="G811" s="145"/>
      <c r="H811" s="145"/>
      <c r="I811" s="145"/>
      <c r="J811" s="144"/>
      <c r="K811" s="144"/>
      <c r="L811" s="144"/>
      <c r="M811" s="146"/>
      <c r="N811" s="38">
        <f>SUBTOTAL(9,N776:N809,N600:N605,N504:N563,N183:N198,N62:N72)*0.05</f>
        <v>123983.172177559</v>
      </c>
      <c r="O811" s="147"/>
    </row>
    <row r="812" spans="1:16" ht="16.5" thickBot="1">
      <c r="A812" s="140">
        <v>809</v>
      </c>
      <c r="B812" s="148"/>
      <c r="C812" s="149" t="s">
        <v>479</v>
      </c>
      <c r="D812" s="150"/>
      <c r="E812" s="151"/>
      <c r="F812" s="151"/>
      <c r="G812" s="151"/>
      <c r="H812" s="152"/>
      <c r="I812" s="152"/>
      <c r="J812" s="152"/>
      <c r="K812" s="152"/>
      <c r="L812" s="152"/>
      <c r="M812" s="153"/>
      <c r="N812" s="154"/>
      <c r="O812" s="155">
        <f>190*8500000*IRR_Inflation_Factor</f>
        <v>30000293079.296936</v>
      </c>
    </row>
    <row r="814" spans="1:16" ht="15.75" thickBot="1">
      <c r="A814"/>
      <c r="B814"/>
      <c r="N814"/>
    </row>
    <row r="815" spans="1:16" ht="15.75">
      <c r="A815"/>
      <c r="B815"/>
      <c r="C815" s="156" t="s">
        <v>136</v>
      </c>
      <c r="F815"/>
      <c r="G815"/>
      <c r="H815"/>
      <c r="I815" s="158">
        <f>N811</f>
        <v>123983.172177559</v>
      </c>
      <c r="J815" s="159">
        <f>SUM(N4:N810)</f>
        <v>4824605.2954566535</v>
      </c>
      <c r="K815" s="159">
        <f>O812</f>
        <v>30000293079.296936</v>
      </c>
      <c r="L815" s="159">
        <f>SUM(O4:O811)</f>
        <v>426282640073.05841</v>
      </c>
      <c r="N815"/>
      <c r="P815" s="332"/>
    </row>
    <row r="816" spans="1:16" ht="15.75">
      <c r="A816"/>
      <c r="B816"/>
      <c r="E816"/>
      <c r="F816"/>
      <c r="G816"/>
      <c r="H816"/>
      <c r="I816" s="160" t="s">
        <v>112</v>
      </c>
      <c r="J816" s="161" t="s">
        <v>112</v>
      </c>
      <c r="K816" s="161"/>
      <c r="L816" s="162" t="s">
        <v>111</v>
      </c>
      <c r="N816"/>
      <c r="P816" s="332"/>
    </row>
    <row r="817" spans="1:23" ht="16.5" thickBot="1">
      <c r="A817"/>
      <c r="B817"/>
      <c r="F817"/>
      <c r="G817"/>
      <c r="H817"/>
      <c r="I817" s="163" t="s">
        <v>355</v>
      </c>
      <c r="J817" s="164"/>
      <c r="K817" s="164" t="s">
        <v>110</v>
      </c>
      <c r="L817" s="165" t="s">
        <v>4516</v>
      </c>
      <c r="N817"/>
      <c r="P817" s="332"/>
    </row>
    <row r="818" spans="1:23" ht="16.5" thickBot="1">
      <c r="A818"/>
      <c r="B818"/>
      <c r="F818"/>
      <c r="G818"/>
      <c r="H818"/>
      <c r="I818" s="2288" t="s">
        <v>107</v>
      </c>
      <c r="J818" s="2289"/>
      <c r="K818" s="2289"/>
      <c r="L818" s="2290"/>
      <c r="M818" s="166"/>
      <c r="N818"/>
      <c r="O818" s="38"/>
    </row>
    <row r="821" spans="1:23" ht="15.75">
      <c r="L821" s="332"/>
    </row>
    <row r="822" spans="1:23">
      <c r="A822"/>
      <c r="B822"/>
      <c r="N822"/>
      <c r="T822" s="2291" t="s">
        <v>481</v>
      </c>
      <c r="U822" s="2292"/>
      <c r="V822" s="167">
        <v>45000</v>
      </c>
      <c r="W822" s="168" t="s">
        <v>356</v>
      </c>
    </row>
    <row r="823" spans="1:23">
      <c r="A823"/>
      <c r="B823"/>
      <c r="N823"/>
      <c r="T823" s="2293" t="s">
        <v>482</v>
      </c>
      <c r="U823" s="2293"/>
      <c r="V823" s="167" t="s">
        <v>360</v>
      </c>
      <c r="W823" s="168" t="s">
        <v>356</v>
      </c>
    </row>
    <row r="824" spans="1:23">
      <c r="A824"/>
      <c r="B824"/>
      <c r="T824" s="2293" t="s">
        <v>483</v>
      </c>
      <c r="U824" s="2293"/>
      <c r="V824" s="169">
        <v>0.2</v>
      </c>
      <c r="W824" s="168"/>
    </row>
    <row r="825" spans="1:23">
      <c r="A825"/>
      <c r="B825"/>
      <c r="L825"/>
      <c r="N825"/>
    </row>
    <row r="828" spans="1:23" ht="15.75" thickBot="1">
      <c r="A828"/>
      <c r="B828"/>
    </row>
    <row r="829" spans="1:23">
      <c r="A829"/>
      <c r="B829"/>
      <c r="C829"/>
      <c r="D829"/>
      <c r="E829"/>
      <c r="F829"/>
      <c r="G829"/>
      <c r="H829"/>
      <c r="I829"/>
      <c r="J829"/>
      <c r="K829"/>
      <c r="L829"/>
      <c r="N829"/>
      <c r="T829" s="170" t="s">
        <v>357</v>
      </c>
      <c r="U829" s="171" t="s">
        <v>484</v>
      </c>
    </row>
    <row r="830" spans="1:23" ht="15.75" thickBot="1">
      <c r="A830"/>
      <c r="B830"/>
      <c r="C830"/>
      <c r="D830"/>
      <c r="E830"/>
      <c r="F830"/>
      <c r="G830"/>
      <c r="H830"/>
      <c r="I830"/>
      <c r="J830"/>
      <c r="K830"/>
      <c r="L830"/>
      <c r="N830"/>
      <c r="T830" s="172">
        <f>Procurement!G2</f>
        <v>18.576032866437732</v>
      </c>
      <c r="U830" s="70">
        <f>Procurement!G1</f>
        <v>420000</v>
      </c>
    </row>
    <row r="831" spans="1:23">
      <c r="U831" s="70"/>
    </row>
  </sheetData>
  <mergeCells count="20">
    <mergeCell ref="I818:L818"/>
    <mergeCell ref="T822:U822"/>
    <mergeCell ref="T823:U823"/>
    <mergeCell ref="T824:U824"/>
    <mergeCell ref="M1:M2"/>
    <mergeCell ref="N1:O1"/>
    <mergeCell ref="I2:I3"/>
    <mergeCell ref="J2:J3"/>
    <mergeCell ref="K2:K3"/>
    <mergeCell ref="A1:A3"/>
    <mergeCell ref="B1:B3"/>
    <mergeCell ref="C1:C3"/>
    <mergeCell ref="D1:J1"/>
    <mergeCell ref="K1:L1"/>
    <mergeCell ref="L2:L3"/>
    <mergeCell ref="D2:D3"/>
    <mergeCell ref="E2:E3"/>
    <mergeCell ref="F2:F3"/>
    <mergeCell ref="G2:G3"/>
    <mergeCell ref="H2:H3"/>
  </mergeCells>
  <printOptions horizontalCentered="1"/>
  <pageMargins left="0" right="0" top="0" bottom="0" header="0.11811023622047245" footer="0.11811023622047245"/>
  <pageSetup paperSize="9" scale="65" orientation="landscape" horizontalDpi="4294967294"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11">
    <tabColor theme="0" tint="-0.14999847407452621"/>
  </sheetPr>
  <dimension ref="A1:L35"/>
  <sheetViews>
    <sheetView rightToLeft="1" zoomScale="85" zoomScaleNormal="85" workbookViewId="0">
      <selection activeCell="A4" sqref="A1:XFD1048576"/>
    </sheetView>
  </sheetViews>
  <sheetFormatPr defaultColWidth="9.140625" defaultRowHeight="15"/>
  <cols>
    <col min="1" max="1" width="5.85546875" style="23" customWidth="1"/>
    <col min="2" max="2" width="63.5703125" style="199" bestFit="1" customWidth="1"/>
    <col min="3" max="3" width="14.28515625" style="23" bestFit="1" customWidth="1"/>
    <col min="4" max="4" width="18.7109375" style="23" bestFit="1" customWidth="1"/>
    <col min="5" max="5" width="17.28515625" style="23" bestFit="1" customWidth="1"/>
    <col min="6" max="6" width="26.140625" style="23" bestFit="1" customWidth="1"/>
    <col min="7" max="7" width="22.140625" style="48" bestFit="1" customWidth="1"/>
    <col min="8" max="8" width="11.5703125" style="48" bestFit="1" customWidth="1"/>
    <col min="9" max="9" width="18.5703125" style="48" bestFit="1" customWidth="1"/>
    <col min="10" max="10" width="17.28515625" style="48" bestFit="1" customWidth="1"/>
    <col min="12" max="12" width="17.140625" customWidth="1"/>
  </cols>
  <sheetData>
    <row r="1" spans="1:10" ht="15.75">
      <c r="A1" s="2299" t="s">
        <v>100</v>
      </c>
      <c r="B1" s="2300" t="s">
        <v>364</v>
      </c>
      <c r="C1" s="2300"/>
      <c r="D1" s="2300" t="s">
        <v>485</v>
      </c>
      <c r="E1" s="2300"/>
      <c r="F1" s="2301" t="s">
        <v>365</v>
      </c>
      <c r="G1" s="2302" t="s">
        <v>486</v>
      </c>
      <c r="H1" s="2303" t="s">
        <v>107</v>
      </c>
      <c r="I1" s="2303"/>
      <c r="J1" s="2304"/>
    </row>
    <row r="2" spans="1:10" ht="15.75">
      <c r="A2" s="2299"/>
      <c r="B2" s="2300"/>
      <c r="C2" s="2300"/>
      <c r="D2" s="2300"/>
      <c r="E2" s="2300"/>
      <c r="F2" s="2301"/>
      <c r="G2" s="2302"/>
      <c r="H2" s="49" t="s">
        <v>108</v>
      </c>
      <c r="I2" s="49" t="s">
        <v>109</v>
      </c>
      <c r="J2" s="50" t="s">
        <v>110</v>
      </c>
    </row>
    <row r="3" spans="1:10" ht="26.25" customHeight="1">
      <c r="A3" s="2299"/>
      <c r="B3" s="174" t="s">
        <v>487</v>
      </c>
      <c r="C3" s="174" t="s">
        <v>488</v>
      </c>
      <c r="D3" s="175" t="s">
        <v>489</v>
      </c>
      <c r="E3" s="175" t="s">
        <v>490</v>
      </c>
      <c r="F3" s="2301"/>
      <c r="G3" s="49" t="s">
        <v>112</v>
      </c>
      <c r="H3" s="49" t="s">
        <v>112</v>
      </c>
      <c r="I3" s="49" t="s">
        <v>111</v>
      </c>
      <c r="J3" s="50" t="s">
        <v>111</v>
      </c>
    </row>
    <row r="4" spans="1:10" s="180" customFormat="1" ht="31.5">
      <c r="A4" s="176">
        <v>1</v>
      </c>
      <c r="B4" s="1543" t="s">
        <v>491</v>
      </c>
      <c r="C4" s="177" t="s">
        <v>492</v>
      </c>
      <c r="D4" s="177">
        <v>400</v>
      </c>
      <c r="E4" s="177" t="s">
        <v>404</v>
      </c>
      <c r="F4" s="178" t="s">
        <v>493</v>
      </c>
      <c r="G4" s="179">
        <f>220*USD_Inflation_Factor</f>
        <v>300.75175626901279</v>
      </c>
      <c r="H4" s="70">
        <f>G4*D4</f>
        <v>120300.70250760512</v>
      </c>
      <c r="I4" s="70">
        <f>H4*USD_Change_IRR * per_Euro*0.3</f>
        <v>16446011870.942442</v>
      </c>
      <c r="J4" s="71">
        <f>100000000*IRR_Inflation_Factor</f>
        <v>1857603286.6437731</v>
      </c>
    </row>
    <row r="5" spans="1:10" s="180" customFormat="1" ht="47.25">
      <c r="A5" s="176">
        <v>2</v>
      </c>
      <c r="B5" s="1543" t="s">
        <v>494</v>
      </c>
      <c r="C5" s="177" t="s">
        <v>492</v>
      </c>
      <c r="D5" s="177">
        <v>400</v>
      </c>
      <c r="E5" s="177" t="s">
        <v>404</v>
      </c>
      <c r="F5" s="178" t="s">
        <v>493</v>
      </c>
      <c r="G5" s="179">
        <f>220*USD_Inflation_Factor</f>
        <v>300.75175626901279</v>
      </c>
      <c r="H5" s="70">
        <f>G5*D5</f>
        <v>120300.70250760512</v>
      </c>
      <c r="I5" s="70">
        <f>H5*USD_Change_IRR * per_Euro*0.3</f>
        <v>16446011870.942442</v>
      </c>
      <c r="J5" s="71">
        <f>100000000*IRR_Inflation_Factor</f>
        <v>1857603286.6437731</v>
      </c>
    </row>
    <row r="6" spans="1:10" s="180" customFormat="1" ht="66" customHeight="1">
      <c r="A6" s="176"/>
      <c r="B6" s="181" t="s">
        <v>495</v>
      </c>
      <c r="C6" s="182"/>
      <c r="D6" s="177">
        <v>2500</v>
      </c>
      <c r="E6" s="177" t="s">
        <v>496</v>
      </c>
      <c r="F6" s="178" t="s">
        <v>497</v>
      </c>
      <c r="G6" s="183"/>
      <c r="H6" s="182"/>
      <c r="I6" s="182"/>
      <c r="J6" s="71">
        <f>75000000*IRR_Inflation_Factor</f>
        <v>1393202464.9828298</v>
      </c>
    </row>
    <row r="7" spans="1:10" s="187" customFormat="1" ht="62.25" customHeight="1">
      <c r="A7" s="176">
        <v>3</v>
      </c>
      <c r="B7" s="1524" t="s">
        <v>498</v>
      </c>
      <c r="C7" s="177" t="s">
        <v>499</v>
      </c>
      <c r="D7" s="177">
        <v>17000</v>
      </c>
      <c r="E7" s="177" t="s">
        <v>404</v>
      </c>
      <c r="F7" s="177" t="s">
        <v>500</v>
      </c>
      <c r="G7" s="186">
        <f>155*USD_Inflation_Factor</f>
        <v>211.8932828258954</v>
      </c>
      <c r="H7" s="70">
        <f>G7*D7</f>
        <v>3602185.8080402217</v>
      </c>
      <c r="I7" s="70">
        <f t="shared" ref="I7:I14" si="0">H7*USD_Change_IRR * per_Euro*0.15</f>
        <v>246222961817.80304</v>
      </c>
      <c r="J7" s="71">
        <f>900000000*IRR_Inflation_Factor</f>
        <v>16718429579.793959</v>
      </c>
    </row>
    <row r="8" spans="1:10" s="187" customFormat="1" ht="66" customHeight="1">
      <c r="A8" s="176"/>
      <c r="B8" s="181" t="s">
        <v>501</v>
      </c>
      <c r="C8" s="188"/>
      <c r="D8" s="177">
        <v>8000</v>
      </c>
      <c r="E8" s="177" t="s">
        <v>496</v>
      </c>
      <c r="F8" s="188"/>
      <c r="G8" s="183"/>
      <c r="H8" s="188"/>
      <c r="I8" s="70">
        <f t="shared" si="0"/>
        <v>0</v>
      </c>
      <c r="J8" s="71">
        <f>187500000*IRR_Inflation_Factor</f>
        <v>3483006162.4570746</v>
      </c>
    </row>
    <row r="9" spans="1:10" s="189" customFormat="1" ht="96.75" customHeight="1">
      <c r="A9" s="176">
        <v>4</v>
      </c>
      <c r="B9" s="1543" t="s">
        <v>502</v>
      </c>
      <c r="C9" s="177" t="s">
        <v>332</v>
      </c>
      <c r="D9" s="177">
        <v>1900</v>
      </c>
      <c r="E9" s="177" t="s">
        <v>404</v>
      </c>
      <c r="F9" s="178" t="s">
        <v>503</v>
      </c>
      <c r="G9" s="179">
        <f>23*USD_Inflation_Factor</f>
        <v>31.442229064487702</v>
      </c>
      <c r="H9" s="70">
        <f>G9*D9</f>
        <v>59740.23522252663</v>
      </c>
      <c r="I9" s="70">
        <f t="shared" si="0"/>
        <v>4083469992.9555945</v>
      </c>
      <c r="J9" s="71">
        <f>37500000*IRR_Inflation_Factor</f>
        <v>696601232.4914149</v>
      </c>
    </row>
    <row r="10" spans="1:10" s="189" customFormat="1" ht="47.25">
      <c r="A10" s="176">
        <v>5</v>
      </c>
      <c r="B10" s="1544" t="s">
        <v>504</v>
      </c>
      <c r="C10" s="177" t="s">
        <v>329</v>
      </c>
      <c r="D10" s="177">
        <v>500</v>
      </c>
      <c r="E10" s="177" t="s">
        <v>404</v>
      </c>
      <c r="F10" s="178" t="s">
        <v>503</v>
      </c>
      <c r="G10" s="179">
        <f>52*USD_Inflation_Factor</f>
        <v>71.086778754493935</v>
      </c>
      <c r="H10" s="70">
        <f>G10*D10</f>
        <v>35543.389377246967</v>
      </c>
      <c r="I10" s="70">
        <f t="shared" si="0"/>
        <v>2429524480.9346786</v>
      </c>
      <c r="J10" s="71">
        <f>52500000*IRR_Inflation_Factor</f>
        <v>975241725.48798096</v>
      </c>
    </row>
    <row r="11" spans="1:10" s="189" customFormat="1" ht="31.5">
      <c r="A11" s="176">
        <v>6</v>
      </c>
      <c r="B11" s="1543" t="s">
        <v>505</v>
      </c>
      <c r="C11" s="177" t="s">
        <v>329</v>
      </c>
      <c r="D11" s="177">
        <v>2000</v>
      </c>
      <c r="E11" s="177" t="s">
        <v>404</v>
      </c>
      <c r="F11" s="178" t="s">
        <v>506</v>
      </c>
      <c r="G11" s="179">
        <f>52*USD_Inflation_Factor</f>
        <v>71.086778754493935</v>
      </c>
      <c r="H11" s="70">
        <f>G11*D11</f>
        <v>142173.55750898787</v>
      </c>
      <c r="I11" s="70">
        <f t="shared" si="0"/>
        <v>9718097923.7387142</v>
      </c>
      <c r="J11" s="71">
        <f>100000000*IRR_Inflation_Factor</f>
        <v>1857603286.6437731</v>
      </c>
    </row>
    <row r="12" spans="1:10" s="189" customFormat="1" ht="89.25" customHeight="1">
      <c r="A12" s="176">
        <v>7</v>
      </c>
      <c r="B12" s="1543" t="s">
        <v>507</v>
      </c>
      <c r="C12" s="177" t="s">
        <v>332</v>
      </c>
      <c r="D12" s="177">
        <v>500</v>
      </c>
      <c r="E12" s="177"/>
      <c r="F12" s="178" t="s">
        <v>508</v>
      </c>
      <c r="G12" s="179">
        <f>98*USD_Inflation_Factor</f>
        <v>133.97123688346935</v>
      </c>
      <c r="H12" s="70">
        <f>G12*D12</f>
        <v>66985.618441734667</v>
      </c>
      <c r="I12" s="70">
        <f t="shared" si="0"/>
        <v>4578719214.0692024</v>
      </c>
      <c r="J12" s="71">
        <f>40000000*IRR_Inflation_Factor</f>
        <v>743041314.65750933</v>
      </c>
    </row>
    <row r="13" spans="1:10" s="189" customFormat="1" ht="96.75" customHeight="1">
      <c r="A13" s="176"/>
      <c r="B13" s="181" t="s">
        <v>501</v>
      </c>
      <c r="C13" s="185"/>
      <c r="D13" s="177">
        <v>1500</v>
      </c>
      <c r="E13" s="177" t="s">
        <v>496</v>
      </c>
      <c r="F13" s="178" t="s">
        <v>508</v>
      </c>
      <c r="G13" s="183"/>
      <c r="H13" s="70"/>
      <c r="I13" s="70">
        <f t="shared" si="0"/>
        <v>0</v>
      </c>
      <c r="J13" s="71">
        <f>187500000*IRR_Inflation_Factor</f>
        <v>3483006162.4570746</v>
      </c>
    </row>
    <row r="14" spans="1:10" ht="60.75" customHeight="1">
      <c r="A14" s="176">
        <v>8</v>
      </c>
      <c r="B14" s="1543" t="s">
        <v>509</v>
      </c>
      <c r="C14" s="177" t="s">
        <v>510</v>
      </c>
      <c r="D14" s="177">
        <v>6000</v>
      </c>
      <c r="E14" s="177" t="s">
        <v>404</v>
      </c>
      <c r="F14" s="178" t="s">
        <v>508</v>
      </c>
      <c r="G14" s="179">
        <f>110*USD_Inflation_Factor</f>
        <v>150.37587813450639</v>
      </c>
      <c r="H14" s="70">
        <f>G14*D14*2</f>
        <v>1804510.5376140766</v>
      </c>
      <c r="I14" s="70">
        <f t="shared" si="0"/>
        <v>123345089032.06831</v>
      </c>
      <c r="J14" s="71">
        <f>1000000000*IRR_Inflation_Factor</f>
        <v>18576032866.437733</v>
      </c>
    </row>
    <row r="15" spans="1:10" ht="60.75" customHeight="1">
      <c r="A15" s="176"/>
      <c r="B15" s="190" t="s">
        <v>511</v>
      </c>
      <c r="C15" s="191"/>
      <c r="D15" s="177">
        <v>6000</v>
      </c>
      <c r="E15" s="177" t="s">
        <v>404</v>
      </c>
      <c r="F15" s="191"/>
      <c r="G15" s="185"/>
      <c r="H15" s="70">
        <f>G15*D15*2</f>
        <v>0</v>
      </c>
      <c r="I15" s="191"/>
      <c r="J15" s="71"/>
    </row>
    <row r="16" spans="1:10" ht="60.75" customHeight="1">
      <c r="A16" s="176">
        <v>9</v>
      </c>
      <c r="B16" s="1543" t="s">
        <v>512</v>
      </c>
      <c r="C16" s="177" t="s">
        <v>329</v>
      </c>
      <c r="D16" s="177">
        <v>8500</v>
      </c>
      <c r="E16" s="177" t="s">
        <v>404</v>
      </c>
      <c r="F16" s="178" t="s">
        <v>513</v>
      </c>
      <c r="G16" s="192">
        <f>10.73*USD_Inflation_Factor</f>
        <v>14.668483385302308</v>
      </c>
      <c r="H16" s="70">
        <f>G16*D16</f>
        <v>124682.10877506962</v>
      </c>
      <c r="I16" s="75"/>
      <c r="J16" s="71">
        <f>100000000*IRR_Inflation_Factor</f>
        <v>1857603286.6437731</v>
      </c>
    </row>
    <row r="17" spans="1:12" ht="60.75" customHeight="1" thickBot="1">
      <c r="A17" s="193">
        <v>10</v>
      </c>
      <c r="B17" s="1545" t="s">
        <v>514</v>
      </c>
      <c r="C17" s="194" t="s">
        <v>499</v>
      </c>
      <c r="D17" s="194">
        <v>500</v>
      </c>
      <c r="E17" s="194" t="s">
        <v>404</v>
      </c>
      <c r="F17" s="195" t="s">
        <v>513</v>
      </c>
      <c r="G17" s="196">
        <f>26.05*USD_Inflation_Factor</f>
        <v>35.611742049126292</v>
      </c>
      <c r="H17" s="115">
        <f>G17*D17</f>
        <v>17805.871024563145</v>
      </c>
      <c r="I17" s="116"/>
      <c r="J17" s="197">
        <f>100000000*IRR_Inflation_Factor</f>
        <v>1857603286.6437731</v>
      </c>
      <c r="L17" s="198"/>
    </row>
    <row r="20" spans="1:12" ht="15.75" thickBot="1">
      <c r="J20" s="198"/>
    </row>
    <row r="21" spans="1:12">
      <c r="C21" s="119">
        <f>SUM(H4:H17)</f>
        <v>6094228.5310196374</v>
      </c>
      <c r="D21" s="61">
        <f>SUM(I4:I17)</f>
        <v>423269886203.45441</v>
      </c>
      <c r="E21" s="62">
        <f>SUM(J4:J17)</f>
        <v>55356577941.984436</v>
      </c>
      <c r="J21"/>
    </row>
    <row r="22" spans="1:12" ht="15.75">
      <c r="C22" s="1519" t="s">
        <v>112</v>
      </c>
      <c r="D22" s="49" t="s">
        <v>111</v>
      </c>
      <c r="E22" s="50" t="s">
        <v>111</v>
      </c>
      <c r="J22"/>
    </row>
    <row r="23" spans="1:12" ht="16.5" thickBot="1">
      <c r="C23" s="266" t="s">
        <v>108</v>
      </c>
      <c r="D23" s="120" t="s">
        <v>480</v>
      </c>
      <c r="E23" s="121" t="s">
        <v>110</v>
      </c>
      <c r="J23"/>
    </row>
    <row r="24" spans="1:12" ht="15.75">
      <c r="C24" s="1532"/>
      <c r="D24" s="1532"/>
      <c r="E24" s="1532"/>
      <c r="F24" s="1532"/>
      <c r="J24"/>
    </row>
    <row r="25" spans="1:12">
      <c r="F25" s="48"/>
      <c r="J25"/>
    </row>
    <row r="26" spans="1:12">
      <c r="C26" s="2305" t="s">
        <v>358</v>
      </c>
      <c r="D26" s="2306"/>
      <c r="E26" s="1521" t="s">
        <v>359</v>
      </c>
      <c r="J26"/>
    </row>
    <row r="27" spans="1:12">
      <c r="C27" s="2305"/>
      <c r="D27" s="2306"/>
      <c r="E27" s="1521"/>
      <c r="J27"/>
    </row>
    <row r="28" spans="1:12">
      <c r="C28" s="2305" t="s">
        <v>515</v>
      </c>
      <c r="D28" s="2306"/>
      <c r="E28" s="123">
        <v>0.2</v>
      </c>
      <c r="J28"/>
    </row>
    <row r="29" spans="1:12">
      <c r="C29" s="2305" t="s">
        <v>516</v>
      </c>
      <c r="D29" s="2306"/>
      <c r="E29" s="123">
        <v>0.05</v>
      </c>
      <c r="J29"/>
    </row>
    <row r="30" spans="1:12">
      <c r="A30" s="199"/>
      <c r="B30" s="118"/>
      <c r="F30" s="48"/>
      <c r="J30"/>
    </row>
    <row r="31" spans="1:12">
      <c r="B31" s="48"/>
      <c r="C31" s="48"/>
      <c r="F31" s="48"/>
      <c r="J31"/>
    </row>
    <row r="32" spans="1:12">
      <c r="B32" s="48"/>
      <c r="C32" s="48"/>
      <c r="F32" s="48"/>
      <c r="J32"/>
    </row>
    <row r="33" spans="2:10">
      <c r="B33" s="331"/>
      <c r="C33" s="48"/>
      <c r="F33" s="48"/>
      <c r="J33"/>
    </row>
    <row r="34" spans="2:10">
      <c r="B34" s="48"/>
      <c r="C34" s="48"/>
      <c r="F34" s="48"/>
      <c r="J34"/>
    </row>
    <row r="35" spans="2:10">
      <c r="F35" s="48"/>
      <c r="J35"/>
    </row>
  </sheetData>
  <mergeCells count="10">
    <mergeCell ref="H1:J1"/>
    <mergeCell ref="C27:D27"/>
    <mergeCell ref="C28:D28"/>
    <mergeCell ref="C29:D29"/>
    <mergeCell ref="C26:D26"/>
    <mergeCell ref="A1:A3"/>
    <mergeCell ref="B1:C2"/>
    <mergeCell ref="D1:E2"/>
    <mergeCell ref="F1:F3"/>
    <mergeCell ref="G1:G2"/>
  </mergeCells>
  <printOptions horizontalCentered="1"/>
  <pageMargins left="0" right="0" top="0.59055118110236227" bottom="0.39370078740157483" header="0.11811023622047245" footer="0.11811023622047245"/>
  <pageSetup paperSize="9" scale="65" orientation="landscape" horizontalDpi="4294967294"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2">
    <tabColor theme="0" tint="-0.14999847407452621"/>
  </sheetPr>
  <dimension ref="A1:I49"/>
  <sheetViews>
    <sheetView rightToLeft="1" zoomScaleNormal="100" workbookViewId="0">
      <selection activeCell="F3" sqref="F3"/>
    </sheetView>
  </sheetViews>
  <sheetFormatPr defaultColWidth="9.140625" defaultRowHeight="15"/>
  <cols>
    <col min="1" max="1" width="4.28515625" style="23" customWidth="1"/>
    <col min="2" max="2" width="50.140625" style="23" bestFit="1" customWidth="1"/>
    <col min="3" max="3" width="14" style="23" customWidth="1"/>
    <col min="4" max="4" width="15.7109375" style="23" customWidth="1"/>
    <col min="5" max="5" width="17.85546875" style="48" customWidth="1"/>
    <col min="6" max="6" width="17.7109375" style="48" customWidth="1"/>
    <col min="7" max="7" width="13.7109375" style="48" customWidth="1"/>
    <col min="8" max="8" width="18" style="48" customWidth="1"/>
    <col min="10" max="10" width="10.140625" customWidth="1"/>
  </cols>
  <sheetData>
    <row r="1" spans="1:9" ht="15.75">
      <c r="A1" s="200"/>
      <c r="B1"/>
      <c r="C1"/>
      <c r="D1" s="2262" t="s">
        <v>106</v>
      </c>
      <c r="E1" s="2262"/>
      <c r="F1" s="2263" t="s">
        <v>107</v>
      </c>
      <c r="G1" s="2308"/>
    </row>
    <row r="2" spans="1:9" ht="15.75">
      <c r="A2" s="201"/>
      <c r="B2" s="202"/>
      <c r="C2" s="202"/>
      <c r="D2" s="2242" t="s">
        <v>108</v>
      </c>
      <c r="E2" s="2242"/>
      <c r="F2" s="2261" t="s">
        <v>108</v>
      </c>
      <c r="G2" s="2307"/>
    </row>
    <row r="3" spans="1:9" ht="33.75" customHeight="1">
      <c r="A3" s="203"/>
      <c r="B3" s="49" t="s">
        <v>364</v>
      </c>
      <c r="C3" s="49" t="s">
        <v>517</v>
      </c>
      <c r="D3" s="49" t="s">
        <v>111</v>
      </c>
      <c r="E3" s="49" t="s">
        <v>112</v>
      </c>
      <c r="F3" s="49" t="s">
        <v>111</v>
      </c>
      <c r="G3" s="50" t="s">
        <v>112</v>
      </c>
      <c r="H3"/>
    </row>
    <row r="4" spans="1:9" ht="15" customHeight="1">
      <c r="A4" s="204">
        <v>1</v>
      </c>
      <c r="B4" s="205" t="s">
        <v>518</v>
      </c>
      <c r="C4" s="206">
        <v>1</v>
      </c>
      <c r="D4" s="207"/>
      <c r="E4" s="70">
        <f>30000*USD_Inflation_Factor</f>
        <v>41011.603127592658</v>
      </c>
      <c r="F4" s="207"/>
      <c r="G4" s="71">
        <f t="shared" ref="G4:G20" si="0">E4*C4</f>
        <v>41011.603127592658</v>
      </c>
      <c r="H4"/>
    </row>
    <row r="5" spans="1:9" ht="15" customHeight="1">
      <c r="A5" s="208">
        <v>2</v>
      </c>
      <c r="B5" s="205" t="s">
        <v>519</v>
      </c>
      <c r="C5" s="206">
        <v>1</v>
      </c>
      <c r="D5" s="207"/>
      <c r="E5" s="70">
        <f>13750*USD_Inflation_Factor</f>
        <v>18796.984766813301</v>
      </c>
      <c r="F5" s="207"/>
      <c r="G5" s="71">
        <f t="shared" si="0"/>
        <v>18796.984766813301</v>
      </c>
      <c r="H5"/>
    </row>
    <row r="6" spans="1:9" ht="15" customHeight="1">
      <c r="A6" s="204">
        <v>3</v>
      </c>
      <c r="B6" s="205" t="s">
        <v>520</v>
      </c>
      <c r="C6" s="206">
        <v>2</v>
      </c>
      <c r="D6" s="207"/>
      <c r="E6" s="70">
        <f>1260*USD_Inflation_Factor</f>
        <v>1722.4873313588914</v>
      </c>
      <c r="F6" s="207"/>
      <c r="G6" s="71">
        <f t="shared" si="0"/>
        <v>3444.9746627177828</v>
      </c>
      <c r="H6"/>
    </row>
    <row r="7" spans="1:9" ht="15" customHeight="1">
      <c r="A7" s="208">
        <v>4</v>
      </c>
      <c r="B7" s="205" t="s">
        <v>521</v>
      </c>
      <c r="C7" s="206">
        <v>2</v>
      </c>
      <c r="D7" s="207"/>
      <c r="E7" s="70">
        <f>2860*USD_Inflation_Factor</f>
        <v>3909.7728314971664</v>
      </c>
      <c r="F7" s="207"/>
      <c r="G7" s="71">
        <f t="shared" si="0"/>
        <v>7819.5456629943328</v>
      </c>
      <c r="H7"/>
    </row>
    <row r="8" spans="1:9" ht="15" customHeight="1">
      <c r="A8" s="204">
        <v>5</v>
      </c>
      <c r="B8" s="205" t="s">
        <v>522</v>
      </c>
      <c r="C8" s="206">
        <v>2</v>
      </c>
      <c r="D8" s="207"/>
      <c r="E8" s="70">
        <f>25500*USD_Inflation_Factor</f>
        <v>34859.862658453756</v>
      </c>
      <c r="F8" s="207"/>
      <c r="G8" s="71">
        <f t="shared" si="0"/>
        <v>69719.725316907512</v>
      </c>
      <c r="H8"/>
    </row>
    <row r="9" spans="1:9" ht="15.75" customHeight="1">
      <c r="A9" s="208">
        <v>6</v>
      </c>
      <c r="B9" s="205" t="s">
        <v>523</v>
      </c>
      <c r="C9" s="206">
        <v>5</v>
      </c>
      <c r="D9" s="207"/>
      <c r="E9" s="70">
        <f>20500*USD_Inflation_Factor</f>
        <v>28024.595470521646</v>
      </c>
      <c r="F9" s="207"/>
      <c r="G9" s="71">
        <f t="shared" si="0"/>
        <v>140122.97735260823</v>
      </c>
      <c r="H9"/>
    </row>
    <row r="10" spans="1:9" ht="15" customHeight="1">
      <c r="A10" s="204">
        <v>7</v>
      </c>
      <c r="B10" s="205" t="s">
        <v>524</v>
      </c>
      <c r="C10" s="206">
        <v>2</v>
      </c>
      <c r="D10" s="184"/>
      <c r="E10" s="70">
        <f>1200*USD_Inflation_Factor</f>
        <v>1640.4641251037062</v>
      </c>
      <c r="F10" s="184"/>
      <c r="G10" s="71">
        <f t="shared" si="0"/>
        <v>3280.9282502074125</v>
      </c>
      <c r="H10"/>
      <c r="I10" s="48"/>
    </row>
    <row r="11" spans="1:9" ht="15" customHeight="1">
      <c r="A11" s="208">
        <v>8</v>
      </c>
      <c r="B11" s="205" t="s">
        <v>525</v>
      </c>
      <c r="C11" s="206">
        <v>4</v>
      </c>
      <c r="D11" s="184"/>
      <c r="E11" s="70">
        <f>6700*USD_Inflation_Factor</f>
        <v>9159.2580318290256</v>
      </c>
      <c r="F11" s="184"/>
      <c r="G11" s="71">
        <f t="shared" si="0"/>
        <v>36637.032127316103</v>
      </c>
      <c r="H11"/>
    </row>
    <row r="12" spans="1:9" ht="15" customHeight="1">
      <c r="A12" s="204">
        <v>9</v>
      </c>
      <c r="B12" s="205" t="s">
        <v>526</v>
      </c>
      <c r="C12" s="206">
        <v>2</v>
      </c>
      <c r="D12" s="184"/>
      <c r="E12" s="70">
        <f>2500*USD_Inflation_Factor</f>
        <v>3417.6335939660544</v>
      </c>
      <c r="F12" s="184"/>
      <c r="G12" s="71">
        <f t="shared" si="0"/>
        <v>6835.2671879321088</v>
      </c>
      <c r="H12"/>
    </row>
    <row r="13" spans="1:9" ht="15" customHeight="1">
      <c r="A13" s="208">
        <v>10</v>
      </c>
      <c r="B13" s="205" t="s">
        <v>527</v>
      </c>
      <c r="C13" s="209">
        <v>2</v>
      </c>
      <c r="D13" s="207"/>
      <c r="E13" s="70">
        <f>6500*USD_Inflation_Factor</f>
        <v>8885.8473443117418</v>
      </c>
      <c r="F13" s="207"/>
      <c r="G13" s="71">
        <f t="shared" si="0"/>
        <v>17771.694688623484</v>
      </c>
      <c r="H13"/>
    </row>
    <row r="14" spans="1:9" ht="15.75" customHeight="1">
      <c r="A14" s="204">
        <v>11</v>
      </c>
      <c r="B14" s="205" t="s">
        <v>528</v>
      </c>
      <c r="C14" s="209">
        <v>2</v>
      </c>
      <c r="D14" s="210"/>
      <c r="E14" s="70">
        <f>55800*USD_Inflation_Factor</f>
        <v>76281.581817322338</v>
      </c>
      <c r="F14" s="210"/>
      <c r="G14" s="71">
        <f t="shared" si="0"/>
        <v>152563.16363464468</v>
      </c>
      <c r="H14"/>
      <c r="I14" s="48"/>
    </row>
    <row r="15" spans="1:9" ht="15" customHeight="1">
      <c r="A15" s="208">
        <v>12</v>
      </c>
      <c r="B15" s="205" t="s">
        <v>529</v>
      </c>
      <c r="C15" s="209">
        <v>2</v>
      </c>
      <c r="D15" s="207"/>
      <c r="E15" s="70">
        <f>5400*USD_Inflation_Factor</f>
        <v>7382.0885629666782</v>
      </c>
      <c r="F15" s="207"/>
      <c r="G15" s="71">
        <f t="shared" si="0"/>
        <v>14764.177125933356</v>
      </c>
      <c r="H15"/>
      <c r="I15" s="48"/>
    </row>
    <row r="16" spans="1:9" ht="15" customHeight="1">
      <c r="A16" s="204">
        <v>13</v>
      </c>
      <c r="B16" s="205" t="s">
        <v>530</v>
      </c>
      <c r="C16" s="209">
        <v>2</v>
      </c>
      <c r="D16" s="207"/>
      <c r="E16" s="70">
        <f>63300*USD_Inflation_Factor</f>
        <v>86534.482599220501</v>
      </c>
      <c r="F16" s="207"/>
      <c r="G16" s="71">
        <f t="shared" si="0"/>
        <v>173068.965198441</v>
      </c>
      <c r="H16"/>
    </row>
    <row r="17" spans="1:9" ht="15" customHeight="1">
      <c r="A17" s="208">
        <v>14</v>
      </c>
      <c r="B17" s="205" t="s">
        <v>531</v>
      </c>
      <c r="C17" s="209">
        <v>2</v>
      </c>
      <c r="D17" s="207"/>
      <c r="E17" s="70">
        <f>1260*USD_Inflation_Factor</f>
        <v>1722.4873313588914</v>
      </c>
      <c r="F17" s="207"/>
      <c r="G17" s="71">
        <f t="shared" si="0"/>
        <v>3444.9746627177828</v>
      </c>
      <c r="H17"/>
      <c r="I17" s="48"/>
    </row>
    <row r="18" spans="1:9" ht="15" customHeight="1">
      <c r="A18" s="204">
        <v>15</v>
      </c>
      <c r="B18" s="205" t="s">
        <v>532</v>
      </c>
      <c r="C18" s="209">
        <v>2</v>
      </c>
      <c r="D18" s="207"/>
      <c r="E18" s="70">
        <f>2860*USD_Inflation_Factor</f>
        <v>3909.7728314971664</v>
      </c>
      <c r="F18" s="207"/>
      <c r="G18" s="71">
        <f t="shared" si="0"/>
        <v>7819.5456629943328</v>
      </c>
      <c r="H18"/>
      <c r="I18" s="48"/>
    </row>
    <row r="19" spans="1:9" ht="15" customHeight="1">
      <c r="A19" s="208">
        <v>16</v>
      </c>
      <c r="B19" s="205" t="s">
        <v>533</v>
      </c>
      <c r="C19" s="209">
        <v>2</v>
      </c>
      <c r="D19" s="207"/>
      <c r="E19" s="70">
        <f>31000*USD_Inflation_Factor</f>
        <v>42378.656565179073</v>
      </c>
      <c r="F19" s="207"/>
      <c r="G19" s="71">
        <f t="shared" si="0"/>
        <v>84757.313130358147</v>
      </c>
      <c r="H19"/>
      <c r="I19" s="48"/>
    </row>
    <row r="20" spans="1:9" ht="15" customHeight="1">
      <c r="A20" s="204">
        <v>17</v>
      </c>
      <c r="B20" s="205" t="s">
        <v>534</v>
      </c>
      <c r="C20" s="206">
        <v>2</v>
      </c>
      <c r="D20" s="207"/>
      <c r="E20" s="70">
        <f>49000*USD_Inflation_Factor</f>
        <v>66985.618441734667</v>
      </c>
      <c r="F20" s="207"/>
      <c r="G20" s="71">
        <f t="shared" si="0"/>
        <v>133971.23688346933</v>
      </c>
      <c r="H20"/>
    </row>
    <row r="21" spans="1:9" ht="15" customHeight="1">
      <c r="A21" s="208">
        <v>18</v>
      </c>
      <c r="B21" s="205" t="s">
        <v>535</v>
      </c>
      <c r="C21" s="206">
        <v>1</v>
      </c>
      <c r="D21" s="211">
        <f>1050000000*IRR_Inflation_Factor</f>
        <v>19504834509.759617</v>
      </c>
      <c r="E21" s="70"/>
      <c r="F21" s="70">
        <f>D21*C21</f>
        <v>19504834509.759617</v>
      </c>
      <c r="G21" s="71"/>
      <c r="H21"/>
      <c r="I21" s="48"/>
    </row>
    <row r="22" spans="1:9" ht="15" customHeight="1">
      <c r="A22" s="204">
        <v>19</v>
      </c>
      <c r="B22" s="205" t="s">
        <v>536</v>
      </c>
      <c r="C22" s="206">
        <v>10</v>
      </c>
      <c r="D22" s="70" t="s">
        <v>537</v>
      </c>
      <c r="E22" s="70"/>
      <c r="F22" s="70" t="s">
        <v>537</v>
      </c>
      <c r="G22" s="71"/>
      <c r="H22"/>
      <c r="I22" s="48"/>
    </row>
    <row r="23" spans="1:9" ht="15.75" customHeight="1">
      <c r="A23" s="208">
        <v>20</v>
      </c>
      <c r="B23" s="205" t="s">
        <v>538</v>
      </c>
      <c r="C23" s="206">
        <v>1</v>
      </c>
      <c r="D23" s="70" t="s">
        <v>537</v>
      </c>
      <c r="E23" s="70"/>
      <c r="F23" s="70" t="s">
        <v>537</v>
      </c>
      <c r="G23" s="71"/>
      <c r="H23"/>
    </row>
    <row r="24" spans="1:9" ht="15" customHeight="1">
      <c r="A24" s="204">
        <v>21</v>
      </c>
      <c r="B24" s="205" t="s">
        <v>539</v>
      </c>
      <c r="C24" s="206">
        <v>4</v>
      </c>
      <c r="D24" s="70" t="s">
        <v>537</v>
      </c>
      <c r="E24" s="70"/>
      <c r="F24" s="70" t="s">
        <v>537</v>
      </c>
      <c r="G24" s="71"/>
      <c r="H24"/>
      <c r="I24" s="48"/>
    </row>
    <row r="25" spans="1:9" ht="15.75" customHeight="1">
      <c r="A25" s="208">
        <v>22</v>
      </c>
      <c r="B25" s="205" t="s">
        <v>540</v>
      </c>
      <c r="C25" s="206">
        <v>4</v>
      </c>
      <c r="D25" s="70" t="s">
        <v>537</v>
      </c>
      <c r="E25" s="70"/>
      <c r="F25" s="70" t="s">
        <v>537</v>
      </c>
      <c r="G25" s="71"/>
      <c r="H25"/>
      <c r="I25" s="48"/>
    </row>
    <row r="26" spans="1:9" ht="15.75" customHeight="1" thickBot="1">
      <c r="A26" s="212">
        <v>23</v>
      </c>
      <c r="B26" s="213" t="s">
        <v>541</v>
      </c>
      <c r="C26" s="214">
        <v>4</v>
      </c>
      <c r="D26" s="103" t="s">
        <v>537</v>
      </c>
      <c r="E26" s="103"/>
      <c r="F26" s="103" t="s">
        <v>537</v>
      </c>
      <c r="G26" s="215"/>
      <c r="H26"/>
    </row>
    <row r="27" spans="1:9" ht="15.75">
      <c r="B27" s="117"/>
      <c r="C27" s="117"/>
      <c r="D27" s="2311" t="s">
        <v>107</v>
      </c>
      <c r="E27" s="2312"/>
      <c r="F27" s="61">
        <f>SUM(F4:F26)</f>
        <v>19504834509.759617</v>
      </c>
      <c r="G27" s="62">
        <f>SUM(G4:G26)</f>
        <v>915830.10944227153</v>
      </c>
      <c r="H27"/>
    </row>
    <row r="28" spans="1:9" ht="16.5" thickBot="1">
      <c r="D28" s="2313"/>
      <c r="E28" s="2314"/>
      <c r="F28" s="120" t="s">
        <v>111</v>
      </c>
      <c r="G28" s="121" t="s">
        <v>112</v>
      </c>
    </row>
    <row r="29" spans="1:9" ht="39.75" customHeight="1" thickBot="1"/>
    <row r="30" spans="1:9" ht="45">
      <c r="A30" s="216" t="s">
        <v>100</v>
      </c>
      <c r="B30" s="217" t="s">
        <v>364</v>
      </c>
      <c r="C30" s="218" t="s">
        <v>542</v>
      </c>
      <c r="D30" s="218" t="s">
        <v>543</v>
      </c>
      <c r="E30" s="219" t="s">
        <v>544</v>
      </c>
      <c r="F30" s="2315" t="s">
        <v>545</v>
      </c>
      <c r="G30" s="2316"/>
    </row>
    <row r="31" spans="1:9">
      <c r="A31" s="204">
        <v>1</v>
      </c>
      <c r="B31" s="205" t="s">
        <v>546</v>
      </c>
      <c r="C31" s="220">
        <v>55000</v>
      </c>
      <c r="D31" s="220">
        <f>55000*IRR_Inflation_Factor</f>
        <v>1021681.8076540752</v>
      </c>
      <c r="E31" s="221">
        <f t="shared" ref="E31:E39" si="1">C31*D31</f>
        <v>56192499420.974136</v>
      </c>
      <c r="F31" s="2309"/>
      <c r="G31" s="2310"/>
    </row>
    <row r="32" spans="1:9">
      <c r="A32" s="208">
        <v>2</v>
      </c>
      <c r="B32" s="205" t="s">
        <v>547</v>
      </c>
      <c r="C32" s="220">
        <v>77500</v>
      </c>
      <c r="D32" s="220">
        <f>25000*IRR_Inflation_Factor</f>
        <v>464400.82166094327</v>
      </c>
      <c r="E32" s="221">
        <f t="shared" si="1"/>
        <v>35991063678.723106</v>
      </c>
      <c r="F32" s="2309"/>
      <c r="G32" s="2310"/>
    </row>
    <row r="33" spans="1:8">
      <c r="A33" s="204">
        <v>3</v>
      </c>
      <c r="B33" s="205" t="s">
        <v>548</v>
      </c>
      <c r="C33" s="220">
        <v>24000</v>
      </c>
      <c r="D33" s="220">
        <f>36000*IRR_Inflation_Factor</f>
        <v>668737.18319175835</v>
      </c>
      <c r="E33" s="221">
        <f t="shared" si="1"/>
        <v>16049692396.6022</v>
      </c>
      <c r="F33" s="2309"/>
      <c r="G33" s="2310"/>
    </row>
    <row r="34" spans="1:8">
      <c r="A34" s="208">
        <v>4</v>
      </c>
      <c r="B34" s="205" t="s">
        <v>549</v>
      </c>
      <c r="C34" s="220">
        <v>70080</v>
      </c>
      <c r="D34" s="220">
        <f>33000*IRR_Inflation_Factor</f>
        <v>613009.08459244517</v>
      </c>
      <c r="E34" s="221">
        <f t="shared" si="1"/>
        <v>42959676648.238556</v>
      </c>
      <c r="F34" s="2309"/>
      <c r="G34" s="2310"/>
    </row>
    <row r="35" spans="1:8">
      <c r="A35" s="204">
        <v>5</v>
      </c>
      <c r="B35" s="205" t="s">
        <v>550</v>
      </c>
      <c r="C35" s="220">
        <v>22000</v>
      </c>
      <c r="D35" s="220">
        <f>42000*IRR_Inflation_Factor</f>
        <v>780193.3803903847</v>
      </c>
      <c r="E35" s="221">
        <f t="shared" si="1"/>
        <v>17164254368.588463</v>
      </c>
      <c r="F35" s="2309"/>
      <c r="G35" s="2310"/>
    </row>
    <row r="36" spans="1:8">
      <c r="A36" s="204">
        <v>6</v>
      </c>
      <c r="B36" s="205" t="s">
        <v>551</v>
      </c>
      <c r="C36" s="220">
        <v>265500</v>
      </c>
      <c r="D36" s="220">
        <f>64000*IRR_Inflation_Factor</f>
        <v>1188866.1034520147</v>
      </c>
      <c r="E36" s="221">
        <f t="shared" si="1"/>
        <v>315643950466.50989</v>
      </c>
      <c r="F36" s="2309"/>
      <c r="G36" s="2310"/>
    </row>
    <row r="37" spans="1:8">
      <c r="A37" s="208">
        <v>7</v>
      </c>
      <c r="B37" s="205" t="s">
        <v>552</v>
      </c>
      <c r="C37" s="220">
        <v>146550</v>
      </c>
      <c r="D37" s="220">
        <f>26000*IRR_Inflation_Factor</f>
        <v>482976.85452738102</v>
      </c>
      <c r="E37" s="221">
        <f t="shared" si="1"/>
        <v>70780258030.987686</v>
      </c>
      <c r="F37" s="2309"/>
      <c r="G37" s="2310"/>
    </row>
    <row r="38" spans="1:8">
      <c r="A38" s="204">
        <v>8</v>
      </c>
      <c r="B38" s="205" t="s">
        <v>553</v>
      </c>
      <c r="C38" s="220">
        <v>43800</v>
      </c>
      <c r="D38" s="220">
        <f>42000*IRR_Inflation_Factor</f>
        <v>780193.3803903847</v>
      </c>
      <c r="E38" s="221">
        <f t="shared" si="1"/>
        <v>34172470061.09885</v>
      </c>
      <c r="F38" s="2309"/>
      <c r="G38" s="2310"/>
    </row>
    <row r="39" spans="1:8" ht="15.75" thickBot="1">
      <c r="A39" s="222">
        <v>9</v>
      </c>
      <c r="B39" s="213" t="s">
        <v>554</v>
      </c>
      <c r="C39" s="223">
        <v>1</v>
      </c>
      <c r="D39" s="223">
        <f>200000000*IRR_Inflation_Factor</f>
        <v>3715206573.2875462</v>
      </c>
      <c r="E39" s="221">
        <f t="shared" si="1"/>
        <v>3715206573.2875462</v>
      </c>
      <c r="F39" s="2317"/>
      <c r="G39" s="2318"/>
    </row>
    <row r="40" spans="1:8">
      <c r="C40" s="2319" t="s">
        <v>107</v>
      </c>
      <c r="D40" s="2320"/>
      <c r="E40" s="224">
        <f>SUM(E30:E39)</f>
        <v>592669071645.0105</v>
      </c>
      <c r="F40" s="2323"/>
      <c r="G40" s="2324"/>
    </row>
    <row r="41" spans="1:8" ht="16.5" thickBot="1">
      <c r="C41" s="2321"/>
      <c r="D41" s="2322"/>
      <c r="E41" s="120" t="s">
        <v>111</v>
      </c>
      <c r="F41" s="2325"/>
      <c r="G41" s="2326"/>
    </row>
    <row r="42" spans="1:8">
      <c r="G42"/>
      <c r="H42"/>
    </row>
    <row r="43" spans="1:8" ht="15.75">
      <c r="E43" s="336"/>
      <c r="G43"/>
      <c r="H43"/>
    </row>
    <row r="44" spans="1:8">
      <c r="H44"/>
    </row>
    <row r="45" spans="1:8">
      <c r="H45"/>
    </row>
    <row r="46" spans="1:8">
      <c r="H46"/>
    </row>
    <row r="47" spans="1:8">
      <c r="H47"/>
    </row>
    <row r="48" spans="1:8">
      <c r="H48"/>
    </row>
    <row r="49" spans="8:8">
      <c r="H49"/>
    </row>
  </sheetData>
  <mergeCells count="18">
    <mergeCell ref="F38:G38"/>
    <mergeCell ref="F39:G39"/>
    <mergeCell ref="C40:D41"/>
    <mergeCell ref="F40:G40"/>
    <mergeCell ref="F41:G41"/>
    <mergeCell ref="D2:E2"/>
    <mergeCell ref="F2:G2"/>
    <mergeCell ref="D1:E1"/>
    <mergeCell ref="F1:G1"/>
    <mergeCell ref="F37:G37"/>
    <mergeCell ref="D27:E28"/>
    <mergeCell ref="F30:G30"/>
    <mergeCell ref="F31:G31"/>
    <mergeCell ref="F32:G32"/>
    <mergeCell ref="F33:G33"/>
    <mergeCell ref="F34:G34"/>
    <mergeCell ref="F35:G35"/>
    <mergeCell ref="F36:G36"/>
  </mergeCells>
  <printOptions horizontalCentered="1"/>
  <pageMargins left="0" right="0" top="0" bottom="0" header="0.31496062992125984" footer="0.31496062992125984"/>
  <pageSetup paperSize="9" scale="85" orientation="portrait" horizontalDpi="4294967294"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6">
    <tabColor theme="0" tint="-0.14999847407452621"/>
  </sheetPr>
  <dimension ref="A1:E16"/>
  <sheetViews>
    <sheetView rightToLeft="1" workbookViewId="0">
      <selection activeCell="E16" sqref="E16"/>
    </sheetView>
  </sheetViews>
  <sheetFormatPr defaultColWidth="8.85546875" defaultRowHeight="12.75"/>
  <cols>
    <col min="1" max="1" width="8.85546875" style="661"/>
    <col min="2" max="2" width="34.140625" style="661" customWidth="1"/>
    <col min="3" max="16384" width="8.85546875" style="661"/>
  </cols>
  <sheetData>
    <row r="1" spans="1:5" ht="15.75">
      <c r="A1" s="701"/>
      <c r="B1" s="2327"/>
      <c r="C1" s="2327"/>
      <c r="D1" s="2327"/>
      <c r="E1" s="702"/>
    </row>
    <row r="2" spans="1:5" ht="21" thickBot="1">
      <c r="A2" s="2328" t="s">
        <v>2272</v>
      </c>
      <c r="B2" s="2329"/>
      <c r="C2" s="2329"/>
      <c r="D2" s="2329"/>
      <c r="E2" s="2330"/>
    </row>
    <row r="3" spans="1:5" ht="39" thickBot="1">
      <c r="A3" s="703" t="s">
        <v>2306</v>
      </c>
      <c r="B3" s="704" t="s">
        <v>2307</v>
      </c>
      <c r="C3" s="705" t="s">
        <v>2308</v>
      </c>
      <c r="D3" s="705" t="s">
        <v>2309</v>
      </c>
      <c r="E3" s="706" t="s">
        <v>2310</v>
      </c>
    </row>
    <row r="4" spans="1:5">
      <c r="A4" s="707">
        <v>1</v>
      </c>
      <c r="B4" s="708" t="s">
        <v>2311</v>
      </c>
      <c r="C4" s="709"/>
      <c r="D4" s="709"/>
      <c r="E4" s="710"/>
    </row>
    <row r="5" spans="1:5">
      <c r="A5" s="711">
        <v>1.1000000000000001</v>
      </c>
      <c r="B5" s="712" t="s">
        <v>2312</v>
      </c>
      <c r="C5" s="713"/>
      <c r="D5" s="713"/>
      <c r="E5" s="714">
        <v>600</v>
      </c>
    </row>
    <row r="6" spans="1:5">
      <c r="A6" s="711">
        <v>1.2</v>
      </c>
      <c r="B6" s="712" t="s">
        <v>2313</v>
      </c>
      <c r="C6" s="713"/>
      <c r="D6" s="713"/>
      <c r="E6" s="714">
        <v>500</v>
      </c>
    </row>
    <row r="7" spans="1:5">
      <c r="A7" s="711">
        <v>1.3</v>
      </c>
      <c r="B7" s="712" t="s">
        <v>2314</v>
      </c>
      <c r="C7" s="713"/>
      <c r="D7" s="713"/>
      <c r="E7" s="714">
        <v>400</v>
      </c>
    </row>
    <row r="8" spans="1:5">
      <c r="A8" s="711">
        <v>1.4</v>
      </c>
      <c r="B8" s="712" t="s">
        <v>2315</v>
      </c>
      <c r="C8" s="713"/>
      <c r="D8" s="713"/>
      <c r="E8" s="714">
        <v>400</v>
      </c>
    </row>
    <row r="9" spans="1:5">
      <c r="A9" s="711">
        <v>1.5</v>
      </c>
      <c r="B9" s="712" t="s">
        <v>2316</v>
      </c>
      <c r="C9" s="713"/>
      <c r="D9" s="713"/>
      <c r="E9" s="714">
        <v>400</v>
      </c>
    </row>
    <row r="10" spans="1:5">
      <c r="A10" s="711">
        <v>1.6</v>
      </c>
      <c r="B10" s="712" t="s">
        <v>2317</v>
      </c>
      <c r="C10" s="713"/>
      <c r="D10" s="713"/>
      <c r="E10" s="714">
        <v>600</v>
      </c>
    </row>
    <row r="11" spans="1:5">
      <c r="A11" s="711">
        <v>1.7</v>
      </c>
      <c r="B11" s="712" t="s">
        <v>2318</v>
      </c>
      <c r="C11" s="713"/>
      <c r="D11" s="713"/>
      <c r="E11" s="714">
        <v>400</v>
      </c>
    </row>
    <row r="12" spans="1:5">
      <c r="A12" s="711">
        <v>1.8</v>
      </c>
      <c r="B12" s="712" t="s">
        <v>2319</v>
      </c>
      <c r="C12" s="713"/>
      <c r="D12" s="713"/>
      <c r="E12" s="714">
        <v>400</v>
      </c>
    </row>
    <row r="13" spans="1:5">
      <c r="A13" s="711">
        <v>1.9</v>
      </c>
      <c r="B13" s="712" t="s">
        <v>2320</v>
      </c>
      <c r="C13" s="713"/>
      <c r="D13" s="713"/>
      <c r="E13" s="714">
        <v>500</v>
      </c>
    </row>
    <row r="14" spans="1:5">
      <c r="A14" s="715" t="s">
        <v>2321</v>
      </c>
      <c r="B14" s="712" t="s">
        <v>2322</v>
      </c>
      <c r="C14" s="713"/>
      <c r="D14" s="713"/>
      <c r="E14" s="714">
        <v>350</v>
      </c>
    </row>
    <row r="15" spans="1:5" ht="13.5" thickBot="1">
      <c r="A15" s="716" t="s">
        <v>2323</v>
      </c>
      <c r="B15" s="717" t="s">
        <v>2324</v>
      </c>
      <c r="C15" s="718"/>
      <c r="D15" s="718"/>
      <c r="E15" s="714">
        <v>400</v>
      </c>
    </row>
    <row r="16" spans="1:5" ht="13.5" thickBot="1">
      <c r="A16" s="719"/>
      <c r="B16" s="720" t="s">
        <v>2325</v>
      </c>
      <c r="C16" s="721"/>
      <c r="D16" s="721"/>
      <c r="E16" s="722">
        <f>SUM(E5:E15)</f>
        <v>4950</v>
      </c>
    </row>
  </sheetData>
  <mergeCells count="2">
    <mergeCell ref="B1:D1"/>
    <mergeCell ref="A2:E2"/>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7"/>
  <dimension ref="A1:AC151"/>
  <sheetViews>
    <sheetView rightToLeft="1" workbookViewId="0">
      <selection activeCell="F32" sqref="F32"/>
    </sheetView>
  </sheetViews>
  <sheetFormatPr defaultColWidth="8.85546875" defaultRowHeight="12.75"/>
  <cols>
    <col min="1" max="1" width="5" style="661" bestFit="1" customWidth="1"/>
    <col min="2" max="2" width="62.85546875" style="661" customWidth="1"/>
    <col min="3" max="4" width="5" style="661" bestFit="1" customWidth="1"/>
    <col min="5" max="5" width="4" style="661" bestFit="1" customWidth="1"/>
    <col min="6" max="6" width="3" style="661" bestFit="1" customWidth="1"/>
    <col min="7" max="7" width="2.7109375" style="661" bestFit="1" customWidth="1"/>
    <col min="8" max="8" width="3" style="661" bestFit="1" customWidth="1"/>
    <col min="9" max="9" width="2.7109375" style="661" bestFit="1" customWidth="1"/>
    <col min="10" max="10" width="3" style="661" bestFit="1" customWidth="1"/>
    <col min="11" max="11" width="4" style="661" bestFit="1" customWidth="1"/>
    <col min="12" max="12" width="3" style="661" bestFit="1" customWidth="1"/>
    <col min="13" max="14" width="4" style="661" bestFit="1" customWidth="1"/>
    <col min="15" max="16" width="3" style="661" bestFit="1" customWidth="1"/>
    <col min="17" max="17" width="2.7109375" style="661" bestFit="1" customWidth="1"/>
    <col min="18" max="18" width="3" style="661" bestFit="1" customWidth="1"/>
    <col min="19" max="19" width="2.7109375" style="661" bestFit="1" customWidth="1"/>
    <col min="20" max="20" width="3" style="661" bestFit="1" customWidth="1"/>
    <col min="21" max="21" width="2.7109375" style="661" bestFit="1" customWidth="1"/>
    <col min="22" max="22" width="3" style="661" bestFit="1" customWidth="1"/>
    <col min="23" max="23" width="2.7109375" style="661" bestFit="1" customWidth="1"/>
    <col min="24" max="24" width="3" style="661" bestFit="1" customWidth="1"/>
    <col min="25" max="25" width="2.7109375" style="661" bestFit="1" customWidth="1"/>
    <col min="26" max="26" width="3" style="661" bestFit="1" customWidth="1"/>
    <col min="27" max="27" width="11.7109375" style="661" bestFit="1" customWidth="1"/>
    <col min="28" max="16384" width="8.85546875" style="661"/>
  </cols>
  <sheetData>
    <row r="1" spans="1:29" ht="18.75" thickBot="1">
      <c r="A1" s="723"/>
      <c r="B1" s="2333"/>
      <c r="C1" s="2333"/>
      <c r="D1" s="2333"/>
      <c r="E1" s="2333"/>
      <c r="F1" s="2333"/>
      <c r="G1" s="2333"/>
      <c r="H1" s="2333"/>
      <c r="I1" s="2333"/>
      <c r="J1" s="2333"/>
      <c r="K1" s="2333"/>
      <c r="L1" s="2333"/>
      <c r="M1" s="2333"/>
      <c r="N1" s="2333"/>
      <c r="O1" s="2333"/>
      <c r="P1" s="2333"/>
      <c r="Q1" s="2333"/>
      <c r="R1" s="2333"/>
      <c r="S1" s="2333"/>
      <c r="T1" s="2333"/>
      <c r="U1" s="2333"/>
      <c r="V1" s="2333"/>
      <c r="W1" s="2333"/>
      <c r="X1" s="2333"/>
      <c r="Y1" s="2334"/>
      <c r="Z1" s="2334"/>
      <c r="AA1" s="2335"/>
      <c r="AB1" s="724"/>
      <c r="AC1" s="724"/>
    </row>
    <row r="2" spans="1:29" ht="21" thickBot="1">
      <c r="A2" s="2336" t="s">
        <v>2312</v>
      </c>
      <c r="B2" s="2337"/>
      <c r="C2" s="2337"/>
      <c r="D2" s="2337"/>
      <c r="E2" s="2337"/>
      <c r="F2" s="2337"/>
      <c r="G2" s="2337"/>
      <c r="H2" s="2337"/>
      <c r="I2" s="2337"/>
      <c r="J2" s="2337"/>
      <c r="K2" s="2337"/>
      <c r="L2" s="2337"/>
      <c r="M2" s="2337"/>
      <c r="N2" s="2337"/>
      <c r="O2" s="2337"/>
      <c r="P2" s="2337"/>
      <c r="Q2" s="2337"/>
      <c r="R2" s="2337"/>
      <c r="S2" s="2337"/>
      <c r="T2" s="2337"/>
      <c r="U2" s="2337"/>
      <c r="V2" s="2337"/>
      <c r="W2" s="2337"/>
      <c r="X2" s="2337"/>
      <c r="Y2" s="2337"/>
      <c r="Z2" s="2337"/>
      <c r="AA2" s="2338"/>
      <c r="AB2" s="725"/>
      <c r="AC2" s="725"/>
    </row>
    <row r="3" spans="1:29">
      <c r="A3" s="2339" t="s">
        <v>2306</v>
      </c>
      <c r="B3" s="2341" t="s">
        <v>2307</v>
      </c>
      <c r="C3" s="2331" t="s">
        <v>2255</v>
      </c>
      <c r="D3" s="2332"/>
      <c r="E3" s="2331" t="s">
        <v>2256</v>
      </c>
      <c r="F3" s="2332"/>
      <c r="G3" s="2331" t="s">
        <v>2257</v>
      </c>
      <c r="H3" s="2332"/>
      <c r="I3" s="2331" t="s">
        <v>2258</v>
      </c>
      <c r="J3" s="2332"/>
      <c r="K3" s="2331" t="s">
        <v>2259</v>
      </c>
      <c r="L3" s="2332"/>
      <c r="M3" s="2331" t="s">
        <v>2260</v>
      </c>
      <c r="N3" s="2332"/>
      <c r="O3" s="2331" t="s">
        <v>2261</v>
      </c>
      <c r="P3" s="2332"/>
      <c r="Q3" s="2331" t="s">
        <v>2262</v>
      </c>
      <c r="R3" s="2332"/>
      <c r="S3" s="2331" t="s">
        <v>2263</v>
      </c>
      <c r="T3" s="2332"/>
      <c r="U3" s="2331" t="s">
        <v>2264</v>
      </c>
      <c r="V3" s="2332"/>
      <c r="W3" s="2331" t="s">
        <v>2265</v>
      </c>
      <c r="X3" s="2332"/>
      <c r="Y3" s="2331" t="s">
        <v>2266</v>
      </c>
      <c r="Z3" s="2332"/>
      <c r="AA3" s="2343" t="s">
        <v>2267</v>
      </c>
      <c r="AB3" s="725"/>
      <c r="AC3" s="725"/>
    </row>
    <row r="4" spans="1:29" ht="13.5" thickBot="1">
      <c r="A4" s="2340"/>
      <c r="B4" s="2342"/>
      <c r="C4" s="726" t="s">
        <v>2269</v>
      </c>
      <c r="D4" s="727" t="s">
        <v>2270</v>
      </c>
      <c r="E4" s="726" t="s">
        <v>2269</v>
      </c>
      <c r="F4" s="727" t="s">
        <v>2270</v>
      </c>
      <c r="G4" s="726" t="s">
        <v>2269</v>
      </c>
      <c r="H4" s="727" t="s">
        <v>2270</v>
      </c>
      <c r="I4" s="726" t="s">
        <v>2269</v>
      </c>
      <c r="J4" s="727" t="s">
        <v>2270</v>
      </c>
      <c r="K4" s="726" t="s">
        <v>2269</v>
      </c>
      <c r="L4" s="727" t="s">
        <v>2270</v>
      </c>
      <c r="M4" s="726" t="s">
        <v>2269</v>
      </c>
      <c r="N4" s="727" t="s">
        <v>2270</v>
      </c>
      <c r="O4" s="726" t="s">
        <v>2269</v>
      </c>
      <c r="P4" s="727" t="s">
        <v>2270</v>
      </c>
      <c r="Q4" s="726" t="s">
        <v>2269</v>
      </c>
      <c r="R4" s="727" t="s">
        <v>2270</v>
      </c>
      <c r="S4" s="726" t="s">
        <v>2269</v>
      </c>
      <c r="T4" s="727" t="s">
        <v>2270</v>
      </c>
      <c r="U4" s="726" t="s">
        <v>2269</v>
      </c>
      <c r="V4" s="727" t="s">
        <v>2270</v>
      </c>
      <c r="W4" s="726" t="s">
        <v>2269</v>
      </c>
      <c r="X4" s="727" t="s">
        <v>2270</v>
      </c>
      <c r="Y4" s="726" t="s">
        <v>2269</v>
      </c>
      <c r="Z4" s="727" t="s">
        <v>2270</v>
      </c>
      <c r="AA4" s="2344"/>
      <c r="AB4" s="724"/>
      <c r="AC4" s="724"/>
    </row>
    <row r="5" spans="1:29" ht="14.25">
      <c r="A5" s="728">
        <v>1</v>
      </c>
      <c r="B5" s="729" t="s">
        <v>2326</v>
      </c>
      <c r="C5" s="730"/>
      <c r="D5" s="731"/>
      <c r="E5" s="732"/>
      <c r="F5" s="731"/>
      <c r="G5" s="732"/>
      <c r="H5" s="731"/>
      <c r="I5" s="732"/>
      <c r="J5" s="731"/>
      <c r="K5" s="732"/>
      <c r="L5" s="731"/>
      <c r="M5" s="732"/>
      <c r="N5" s="731"/>
      <c r="O5" s="732"/>
      <c r="P5" s="731"/>
      <c r="Q5" s="732"/>
      <c r="R5" s="731"/>
      <c r="S5" s="732"/>
      <c r="T5" s="731"/>
      <c r="U5" s="732"/>
      <c r="V5" s="731"/>
      <c r="W5" s="732"/>
      <c r="X5" s="731"/>
      <c r="Y5" s="732"/>
      <c r="Z5" s="731"/>
      <c r="AA5" s="733">
        <f>SUM(AA6:AA11)</f>
        <v>0</v>
      </c>
      <c r="AB5" s="734"/>
      <c r="AC5" s="734"/>
    </row>
    <row r="6" spans="1:29" ht="14.25">
      <c r="A6" s="735">
        <v>1.1000000000000001</v>
      </c>
      <c r="B6" s="736" t="s">
        <v>2327</v>
      </c>
      <c r="C6" s="737"/>
      <c r="D6" s="738">
        <v>10</v>
      </c>
      <c r="E6" s="739"/>
      <c r="F6" s="738"/>
      <c r="G6" s="739"/>
      <c r="H6" s="738"/>
      <c r="I6" s="739"/>
      <c r="J6" s="738"/>
      <c r="K6" s="739"/>
      <c r="L6" s="738"/>
      <c r="M6" s="739"/>
      <c r="N6" s="738"/>
      <c r="O6" s="739"/>
      <c r="P6" s="738"/>
      <c r="Q6" s="739"/>
      <c r="R6" s="738"/>
      <c r="S6" s="739"/>
      <c r="T6" s="738"/>
      <c r="U6" s="739"/>
      <c r="V6" s="738"/>
      <c r="W6" s="739"/>
      <c r="X6" s="738"/>
      <c r="Y6" s="739"/>
      <c r="Z6" s="738"/>
      <c r="AA6" s="740"/>
      <c r="AB6" s="734"/>
      <c r="AC6" s="734"/>
    </row>
    <row r="7" spans="1:29" ht="14.25">
      <c r="A7" s="735">
        <v>1.2</v>
      </c>
      <c r="B7" s="736" t="s">
        <v>2328</v>
      </c>
      <c r="C7" s="737">
        <v>40</v>
      </c>
      <c r="D7" s="738">
        <v>20</v>
      </c>
      <c r="E7" s="739"/>
      <c r="F7" s="738"/>
      <c r="G7" s="739"/>
      <c r="H7" s="738"/>
      <c r="I7" s="739"/>
      <c r="J7" s="738"/>
      <c r="K7" s="739"/>
      <c r="L7" s="738"/>
      <c r="M7" s="739"/>
      <c r="N7" s="738"/>
      <c r="O7" s="739"/>
      <c r="P7" s="738"/>
      <c r="Q7" s="739"/>
      <c r="R7" s="738"/>
      <c r="S7" s="739"/>
      <c r="T7" s="738"/>
      <c r="U7" s="739"/>
      <c r="V7" s="738"/>
      <c r="W7" s="739"/>
      <c r="X7" s="738"/>
      <c r="Y7" s="739"/>
      <c r="Z7" s="738"/>
      <c r="AA7" s="740"/>
      <c r="AB7" s="734"/>
      <c r="AC7" s="734"/>
    </row>
    <row r="8" spans="1:29" ht="14.25">
      <c r="A8" s="735">
        <v>1.3</v>
      </c>
      <c r="B8" s="736" t="s">
        <v>2329</v>
      </c>
      <c r="C8" s="737">
        <v>40</v>
      </c>
      <c r="D8" s="738">
        <v>20</v>
      </c>
      <c r="E8" s="739"/>
      <c r="F8" s="738"/>
      <c r="G8" s="739"/>
      <c r="H8" s="738"/>
      <c r="I8" s="739"/>
      <c r="J8" s="738"/>
      <c r="K8" s="739"/>
      <c r="L8" s="738"/>
      <c r="M8" s="739"/>
      <c r="N8" s="738"/>
      <c r="O8" s="739"/>
      <c r="P8" s="738"/>
      <c r="Q8" s="739"/>
      <c r="R8" s="738"/>
      <c r="S8" s="739"/>
      <c r="T8" s="738"/>
      <c r="U8" s="739"/>
      <c r="V8" s="738"/>
      <c r="W8" s="739"/>
      <c r="X8" s="738"/>
      <c r="Y8" s="739"/>
      <c r="Z8" s="738"/>
      <c r="AA8" s="740"/>
      <c r="AB8" s="734"/>
      <c r="AC8" s="734"/>
    </row>
    <row r="9" spans="1:29" ht="14.25">
      <c r="A9" s="735">
        <v>1.4</v>
      </c>
      <c r="B9" s="736" t="s">
        <v>2330</v>
      </c>
      <c r="C9" s="737">
        <v>40</v>
      </c>
      <c r="D9" s="738">
        <v>20</v>
      </c>
      <c r="E9" s="739"/>
      <c r="F9" s="738"/>
      <c r="G9" s="739"/>
      <c r="H9" s="738"/>
      <c r="I9" s="739"/>
      <c r="J9" s="738"/>
      <c r="K9" s="739"/>
      <c r="L9" s="738"/>
      <c r="M9" s="739"/>
      <c r="N9" s="738"/>
      <c r="O9" s="739"/>
      <c r="P9" s="738"/>
      <c r="Q9" s="739"/>
      <c r="R9" s="738"/>
      <c r="S9" s="739"/>
      <c r="T9" s="738"/>
      <c r="U9" s="739"/>
      <c r="V9" s="738"/>
      <c r="W9" s="739"/>
      <c r="X9" s="738"/>
      <c r="Y9" s="739"/>
      <c r="Z9" s="738"/>
      <c r="AA9" s="740"/>
      <c r="AB9" s="734"/>
      <c r="AC9" s="734"/>
    </row>
    <row r="10" spans="1:29" ht="14.25">
      <c r="A10" s="735">
        <v>1.5</v>
      </c>
      <c r="B10" s="736" t="s">
        <v>2331</v>
      </c>
      <c r="C10" s="737">
        <v>20</v>
      </c>
      <c r="D10" s="738">
        <v>5</v>
      </c>
      <c r="E10" s="739">
        <v>5</v>
      </c>
      <c r="F10" s="738">
        <v>2</v>
      </c>
      <c r="G10" s="739"/>
      <c r="H10" s="738"/>
      <c r="I10" s="739"/>
      <c r="J10" s="738"/>
      <c r="K10" s="739">
        <v>5</v>
      </c>
      <c r="L10" s="738">
        <v>2</v>
      </c>
      <c r="M10" s="739">
        <v>10</v>
      </c>
      <c r="N10" s="738">
        <v>3</v>
      </c>
      <c r="O10" s="739">
        <v>10</v>
      </c>
      <c r="P10" s="738">
        <v>3</v>
      </c>
      <c r="Q10" s="739"/>
      <c r="R10" s="738"/>
      <c r="S10" s="739"/>
      <c r="T10" s="738"/>
      <c r="U10" s="739"/>
      <c r="V10" s="738"/>
      <c r="W10" s="739"/>
      <c r="X10" s="738"/>
      <c r="Y10" s="739"/>
      <c r="Z10" s="738"/>
      <c r="AA10" s="740"/>
      <c r="AB10" s="734"/>
      <c r="AC10" s="734"/>
    </row>
    <row r="11" spans="1:29" ht="14.25">
      <c r="A11" s="735">
        <v>1.6</v>
      </c>
      <c r="B11" s="741" t="s">
        <v>2332</v>
      </c>
      <c r="C11" s="737">
        <v>20</v>
      </c>
      <c r="D11" s="738">
        <v>5</v>
      </c>
      <c r="E11" s="739">
        <v>8</v>
      </c>
      <c r="F11" s="738">
        <v>4</v>
      </c>
      <c r="G11" s="739"/>
      <c r="H11" s="738"/>
      <c r="I11" s="739"/>
      <c r="J11" s="738"/>
      <c r="K11" s="739">
        <v>5</v>
      </c>
      <c r="L11" s="738">
        <v>2</v>
      </c>
      <c r="M11" s="739">
        <v>10</v>
      </c>
      <c r="N11" s="738">
        <v>3</v>
      </c>
      <c r="O11" s="739">
        <v>5</v>
      </c>
      <c r="P11" s="738">
        <v>2</v>
      </c>
      <c r="Q11" s="739"/>
      <c r="R11" s="738"/>
      <c r="S11" s="739"/>
      <c r="T11" s="738"/>
      <c r="U11" s="739"/>
      <c r="V11" s="738"/>
      <c r="W11" s="739"/>
      <c r="X11" s="738"/>
      <c r="Y11" s="739"/>
      <c r="Z11" s="738"/>
      <c r="AA11" s="740"/>
      <c r="AB11" s="734"/>
      <c r="AC11" s="734"/>
    </row>
    <row r="12" spans="1:29" ht="14.25">
      <c r="A12" s="742">
        <v>2</v>
      </c>
      <c r="B12" s="743" t="s">
        <v>2333</v>
      </c>
      <c r="C12" s="744"/>
      <c r="D12" s="745"/>
      <c r="E12" s="746"/>
      <c r="F12" s="745"/>
      <c r="G12" s="746"/>
      <c r="H12" s="745"/>
      <c r="I12" s="746"/>
      <c r="J12" s="745"/>
      <c r="K12" s="746"/>
      <c r="L12" s="745"/>
      <c r="M12" s="746"/>
      <c r="N12" s="745"/>
      <c r="O12" s="746"/>
      <c r="P12" s="745"/>
      <c r="Q12" s="746"/>
      <c r="R12" s="745"/>
      <c r="S12" s="746"/>
      <c r="T12" s="745"/>
      <c r="U12" s="746"/>
      <c r="V12" s="745"/>
      <c r="W12" s="746"/>
      <c r="X12" s="745"/>
      <c r="Y12" s="746"/>
      <c r="Z12" s="745"/>
      <c r="AA12" s="747">
        <f>SUM(AA13:AA18)</f>
        <v>0</v>
      </c>
      <c r="AB12" s="734"/>
      <c r="AC12" s="734"/>
    </row>
    <row r="13" spans="1:29" ht="14.25">
      <c r="A13" s="735">
        <v>2.1</v>
      </c>
      <c r="B13" s="736" t="s">
        <v>2334</v>
      </c>
      <c r="C13" s="737">
        <v>40</v>
      </c>
      <c r="D13" s="738">
        <v>10</v>
      </c>
      <c r="E13" s="739">
        <v>8</v>
      </c>
      <c r="F13" s="738">
        <v>3</v>
      </c>
      <c r="G13" s="739"/>
      <c r="H13" s="738"/>
      <c r="I13" s="739">
        <v>2</v>
      </c>
      <c r="J13" s="738">
        <v>1</v>
      </c>
      <c r="K13" s="739"/>
      <c r="L13" s="738"/>
      <c r="M13" s="739"/>
      <c r="N13" s="738"/>
      <c r="O13" s="739"/>
      <c r="P13" s="738"/>
      <c r="Q13" s="739"/>
      <c r="R13" s="738"/>
      <c r="S13" s="739"/>
      <c r="T13" s="738"/>
      <c r="U13" s="739"/>
      <c r="V13" s="738"/>
      <c r="W13" s="739"/>
      <c r="X13" s="738"/>
      <c r="Y13" s="739"/>
      <c r="Z13" s="738"/>
      <c r="AA13" s="740"/>
      <c r="AB13" s="734"/>
      <c r="AC13" s="734"/>
    </row>
    <row r="14" spans="1:29" ht="14.25">
      <c r="A14" s="735">
        <v>2.2000000000000002</v>
      </c>
      <c r="B14" s="736" t="s">
        <v>2335</v>
      </c>
      <c r="C14" s="737">
        <v>60</v>
      </c>
      <c r="D14" s="738">
        <v>15</v>
      </c>
      <c r="E14" s="739"/>
      <c r="F14" s="738"/>
      <c r="G14" s="739"/>
      <c r="H14" s="738"/>
      <c r="I14" s="739">
        <v>1</v>
      </c>
      <c r="J14" s="738"/>
      <c r="K14" s="739"/>
      <c r="L14" s="738"/>
      <c r="M14" s="739">
        <v>2</v>
      </c>
      <c r="N14" s="738">
        <v>1</v>
      </c>
      <c r="O14" s="739">
        <v>2</v>
      </c>
      <c r="P14" s="738">
        <v>1</v>
      </c>
      <c r="Q14" s="739"/>
      <c r="R14" s="738"/>
      <c r="S14" s="739"/>
      <c r="T14" s="738"/>
      <c r="U14" s="739"/>
      <c r="V14" s="738"/>
      <c r="W14" s="739"/>
      <c r="X14" s="738"/>
      <c r="Y14" s="739"/>
      <c r="Z14" s="738"/>
      <c r="AA14" s="740"/>
      <c r="AB14" s="734"/>
      <c r="AC14" s="734"/>
    </row>
    <row r="15" spans="1:29" ht="14.25">
      <c r="A15" s="735">
        <v>2.2999999999999998</v>
      </c>
      <c r="B15" s="736" t="s">
        <v>2336</v>
      </c>
      <c r="C15" s="737">
        <v>40</v>
      </c>
      <c r="D15" s="738">
        <v>5</v>
      </c>
      <c r="E15" s="739"/>
      <c r="F15" s="738"/>
      <c r="G15" s="739"/>
      <c r="H15" s="738"/>
      <c r="I15" s="739"/>
      <c r="J15" s="738"/>
      <c r="K15" s="739"/>
      <c r="L15" s="738"/>
      <c r="M15" s="739"/>
      <c r="N15" s="738">
        <v>1</v>
      </c>
      <c r="O15" s="739"/>
      <c r="P15" s="738"/>
      <c r="Q15" s="739"/>
      <c r="R15" s="738"/>
      <c r="S15" s="739"/>
      <c r="T15" s="738"/>
      <c r="U15" s="739"/>
      <c r="V15" s="738"/>
      <c r="W15" s="739"/>
      <c r="X15" s="738"/>
      <c r="Y15" s="739"/>
      <c r="Z15" s="738"/>
      <c r="AA15" s="740"/>
      <c r="AB15" s="734"/>
      <c r="AC15" s="734"/>
    </row>
    <row r="16" spans="1:29" ht="14.25">
      <c r="A16" s="735">
        <v>2.4</v>
      </c>
      <c r="B16" s="736" t="s">
        <v>2337</v>
      </c>
      <c r="C16" s="737">
        <v>10</v>
      </c>
      <c r="D16" s="738">
        <v>2</v>
      </c>
      <c r="E16" s="739"/>
      <c r="F16" s="738"/>
      <c r="G16" s="739"/>
      <c r="H16" s="738"/>
      <c r="I16" s="739"/>
      <c r="J16" s="738"/>
      <c r="K16" s="739"/>
      <c r="L16" s="738"/>
      <c r="M16" s="739"/>
      <c r="N16" s="738"/>
      <c r="O16" s="739"/>
      <c r="P16" s="738"/>
      <c r="Q16" s="739"/>
      <c r="R16" s="738"/>
      <c r="S16" s="739"/>
      <c r="T16" s="738"/>
      <c r="U16" s="739"/>
      <c r="V16" s="738"/>
      <c r="W16" s="739"/>
      <c r="X16" s="738"/>
      <c r="Y16" s="739"/>
      <c r="Z16" s="738"/>
      <c r="AA16" s="740"/>
      <c r="AB16" s="734"/>
      <c r="AC16" s="734"/>
    </row>
    <row r="17" spans="1:29" ht="14.25">
      <c r="A17" s="735">
        <v>2.5</v>
      </c>
      <c r="B17" s="736" t="s">
        <v>2338</v>
      </c>
      <c r="C17" s="737">
        <v>50</v>
      </c>
      <c r="D17" s="738">
        <v>10</v>
      </c>
      <c r="E17" s="739"/>
      <c r="F17" s="738"/>
      <c r="G17" s="739"/>
      <c r="H17" s="738"/>
      <c r="I17" s="739"/>
      <c r="J17" s="738"/>
      <c r="K17" s="739"/>
      <c r="L17" s="738"/>
      <c r="M17" s="739"/>
      <c r="N17" s="738"/>
      <c r="O17" s="739"/>
      <c r="P17" s="738"/>
      <c r="Q17" s="739"/>
      <c r="R17" s="738"/>
      <c r="S17" s="739"/>
      <c r="T17" s="738"/>
      <c r="U17" s="739"/>
      <c r="V17" s="738"/>
      <c r="W17" s="739"/>
      <c r="X17" s="738"/>
      <c r="Y17" s="739"/>
      <c r="Z17" s="738"/>
      <c r="AA17" s="740"/>
      <c r="AB17" s="734"/>
      <c r="AC17" s="734"/>
    </row>
    <row r="18" spans="1:29" ht="14.25">
      <c r="A18" s="735">
        <v>2.6</v>
      </c>
      <c r="B18" s="736" t="s">
        <v>2339</v>
      </c>
      <c r="C18" s="737">
        <v>60</v>
      </c>
      <c r="D18" s="738">
        <v>20</v>
      </c>
      <c r="E18" s="739"/>
      <c r="F18" s="738"/>
      <c r="G18" s="739"/>
      <c r="H18" s="738"/>
      <c r="I18" s="739"/>
      <c r="J18" s="738"/>
      <c r="K18" s="739"/>
      <c r="L18" s="738"/>
      <c r="M18" s="739">
        <v>40</v>
      </c>
      <c r="N18" s="738">
        <v>20</v>
      </c>
      <c r="O18" s="739"/>
      <c r="P18" s="738"/>
      <c r="Q18" s="739"/>
      <c r="R18" s="738"/>
      <c r="S18" s="739"/>
      <c r="T18" s="738"/>
      <c r="U18" s="739"/>
      <c r="V18" s="738"/>
      <c r="W18" s="739"/>
      <c r="X18" s="738"/>
      <c r="Y18" s="739"/>
      <c r="Z18" s="738"/>
      <c r="AA18" s="740"/>
      <c r="AB18" s="734"/>
      <c r="AC18" s="734"/>
    </row>
    <row r="19" spans="1:29" ht="14.25">
      <c r="A19" s="742">
        <v>3</v>
      </c>
      <c r="B19" s="743" t="s">
        <v>2340</v>
      </c>
      <c r="C19" s="744"/>
      <c r="D19" s="745"/>
      <c r="E19" s="746"/>
      <c r="F19" s="745"/>
      <c r="G19" s="746"/>
      <c r="H19" s="745"/>
      <c r="I19" s="746"/>
      <c r="J19" s="745"/>
      <c r="K19" s="746"/>
      <c r="L19" s="745"/>
      <c r="M19" s="746"/>
      <c r="N19" s="745"/>
      <c r="O19" s="746"/>
      <c r="P19" s="745"/>
      <c r="Q19" s="746"/>
      <c r="R19" s="745"/>
      <c r="S19" s="746"/>
      <c r="T19" s="745"/>
      <c r="U19" s="746"/>
      <c r="V19" s="745"/>
      <c r="W19" s="746"/>
      <c r="X19" s="745"/>
      <c r="Y19" s="746"/>
      <c r="Z19" s="745"/>
      <c r="AA19" s="747">
        <f>SUM(AA20:AA27)</f>
        <v>0</v>
      </c>
      <c r="AB19" s="734"/>
      <c r="AC19" s="734"/>
    </row>
    <row r="20" spans="1:29" ht="14.25">
      <c r="A20" s="735">
        <v>3.1</v>
      </c>
      <c r="B20" s="736" t="s">
        <v>2341</v>
      </c>
      <c r="C20" s="737">
        <v>120</v>
      </c>
      <c r="D20" s="738">
        <v>40</v>
      </c>
      <c r="E20" s="739"/>
      <c r="F20" s="738"/>
      <c r="G20" s="739"/>
      <c r="H20" s="738"/>
      <c r="I20" s="739"/>
      <c r="J20" s="738"/>
      <c r="K20" s="739"/>
      <c r="L20" s="738"/>
      <c r="M20" s="739"/>
      <c r="N20" s="738"/>
      <c r="O20" s="739"/>
      <c r="P20" s="738"/>
      <c r="Q20" s="739"/>
      <c r="R20" s="738"/>
      <c r="S20" s="739"/>
      <c r="T20" s="738"/>
      <c r="U20" s="739"/>
      <c r="V20" s="738"/>
      <c r="W20" s="739"/>
      <c r="X20" s="738"/>
      <c r="Y20" s="739"/>
      <c r="Z20" s="738"/>
      <c r="AA20" s="740"/>
      <c r="AB20" s="734"/>
      <c r="AC20" s="734"/>
    </row>
    <row r="21" spans="1:29" ht="14.25">
      <c r="A21" s="735">
        <v>3.2</v>
      </c>
      <c r="B21" s="736" t="s">
        <v>2342</v>
      </c>
      <c r="C21" s="737">
        <v>100</v>
      </c>
      <c r="D21" s="738">
        <v>40</v>
      </c>
      <c r="E21" s="739">
        <v>20</v>
      </c>
      <c r="F21" s="738"/>
      <c r="G21" s="739"/>
      <c r="H21" s="738"/>
      <c r="I21" s="739"/>
      <c r="J21" s="738"/>
      <c r="K21" s="739"/>
      <c r="L21" s="738"/>
      <c r="M21" s="739"/>
      <c r="N21" s="738"/>
      <c r="O21" s="739"/>
      <c r="P21" s="738"/>
      <c r="Q21" s="739"/>
      <c r="R21" s="738"/>
      <c r="S21" s="739"/>
      <c r="T21" s="738"/>
      <c r="U21" s="739"/>
      <c r="V21" s="738"/>
      <c r="W21" s="739"/>
      <c r="X21" s="738"/>
      <c r="Y21" s="739"/>
      <c r="Z21" s="738"/>
      <c r="AA21" s="740"/>
      <c r="AB21" s="734"/>
      <c r="AC21" s="734"/>
    </row>
    <row r="22" spans="1:29" ht="14.25">
      <c r="A22" s="735">
        <v>3.3</v>
      </c>
      <c r="B22" s="736" t="s">
        <v>2343</v>
      </c>
      <c r="C22" s="737">
        <v>150</v>
      </c>
      <c r="D22" s="738">
        <v>30</v>
      </c>
      <c r="E22" s="739"/>
      <c r="F22" s="738"/>
      <c r="G22" s="739"/>
      <c r="H22" s="738"/>
      <c r="I22" s="739"/>
      <c r="J22" s="738"/>
      <c r="K22" s="739">
        <v>20</v>
      </c>
      <c r="L22" s="738">
        <v>2</v>
      </c>
      <c r="M22" s="739"/>
      <c r="N22" s="738"/>
      <c r="O22" s="739"/>
      <c r="P22" s="738"/>
      <c r="Q22" s="739"/>
      <c r="R22" s="738"/>
      <c r="S22" s="739"/>
      <c r="T22" s="738"/>
      <c r="U22" s="739"/>
      <c r="V22" s="738"/>
      <c r="W22" s="739"/>
      <c r="X22" s="738"/>
      <c r="Y22" s="739"/>
      <c r="Z22" s="738"/>
      <c r="AA22" s="740"/>
      <c r="AB22" s="734"/>
      <c r="AC22" s="734"/>
    </row>
    <row r="23" spans="1:29" ht="14.25">
      <c r="A23" s="735">
        <v>3.4</v>
      </c>
      <c r="B23" s="736" t="s">
        <v>2344</v>
      </c>
      <c r="C23" s="737">
        <v>80</v>
      </c>
      <c r="D23" s="738">
        <v>20</v>
      </c>
      <c r="E23" s="739"/>
      <c r="F23" s="738">
        <v>2</v>
      </c>
      <c r="G23" s="739"/>
      <c r="H23" s="738"/>
      <c r="I23" s="739"/>
      <c r="J23" s="738"/>
      <c r="K23" s="739"/>
      <c r="L23" s="738"/>
      <c r="M23" s="739"/>
      <c r="N23" s="738"/>
      <c r="O23" s="739"/>
      <c r="P23" s="738"/>
      <c r="Q23" s="739"/>
      <c r="R23" s="738"/>
      <c r="S23" s="739"/>
      <c r="T23" s="738"/>
      <c r="U23" s="739"/>
      <c r="V23" s="738"/>
      <c r="W23" s="739"/>
      <c r="X23" s="738"/>
      <c r="Y23" s="739"/>
      <c r="Z23" s="738"/>
      <c r="AA23" s="740"/>
      <c r="AB23" s="734"/>
      <c r="AC23" s="734"/>
    </row>
    <row r="24" spans="1:29" ht="14.25">
      <c r="A24" s="735">
        <v>3.5</v>
      </c>
      <c r="B24" s="736" t="s">
        <v>2345</v>
      </c>
      <c r="C24" s="737">
        <v>60</v>
      </c>
      <c r="D24" s="738">
        <v>20</v>
      </c>
      <c r="E24" s="739"/>
      <c r="F24" s="738"/>
      <c r="G24" s="739"/>
      <c r="H24" s="738"/>
      <c r="I24" s="739"/>
      <c r="J24" s="738"/>
      <c r="K24" s="739"/>
      <c r="L24" s="738"/>
      <c r="M24" s="739"/>
      <c r="N24" s="738"/>
      <c r="O24" s="739"/>
      <c r="P24" s="738"/>
      <c r="Q24" s="739"/>
      <c r="R24" s="738"/>
      <c r="S24" s="739"/>
      <c r="T24" s="738"/>
      <c r="U24" s="739"/>
      <c r="V24" s="738"/>
      <c r="W24" s="739"/>
      <c r="X24" s="738"/>
      <c r="Y24" s="739"/>
      <c r="Z24" s="738"/>
      <c r="AA24" s="740"/>
      <c r="AB24" s="734"/>
      <c r="AC24" s="734"/>
    </row>
    <row r="25" spans="1:29" ht="14.25">
      <c r="A25" s="735">
        <v>3.6</v>
      </c>
      <c r="B25" s="736" t="s">
        <v>2346</v>
      </c>
      <c r="C25" s="737">
        <v>30</v>
      </c>
      <c r="D25" s="738">
        <v>10</v>
      </c>
      <c r="E25" s="739"/>
      <c r="F25" s="738"/>
      <c r="G25" s="739"/>
      <c r="H25" s="738"/>
      <c r="I25" s="739"/>
      <c r="J25" s="738"/>
      <c r="K25" s="739"/>
      <c r="L25" s="738"/>
      <c r="M25" s="739"/>
      <c r="N25" s="738"/>
      <c r="O25" s="739"/>
      <c r="P25" s="738"/>
      <c r="Q25" s="739"/>
      <c r="R25" s="738"/>
      <c r="S25" s="739"/>
      <c r="T25" s="738"/>
      <c r="U25" s="739"/>
      <c r="V25" s="738"/>
      <c r="W25" s="739"/>
      <c r="X25" s="738"/>
      <c r="Y25" s="739"/>
      <c r="Z25" s="738"/>
      <c r="AA25" s="740"/>
      <c r="AB25" s="734"/>
      <c r="AC25" s="734"/>
    </row>
    <row r="26" spans="1:29" ht="14.25">
      <c r="A26" s="735">
        <v>3.7</v>
      </c>
      <c r="B26" s="736" t="s">
        <v>2347</v>
      </c>
      <c r="C26" s="737">
        <v>150</v>
      </c>
      <c r="D26" s="738">
        <v>40</v>
      </c>
      <c r="E26" s="739"/>
      <c r="F26" s="738"/>
      <c r="G26" s="739"/>
      <c r="H26" s="738"/>
      <c r="I26" s="739"/>
      <c r="J26" s="738"/>
      <c r="K26" s="739">
        <v>20</v>
      </c>
      <c r="L26" s="738">
        <v>5</v>
      </c>
      <c r="M26" s="739"/>
      <c r="N26" s="738"/>
      <c r="O26" s="739"/>
      <c r="P26" s="738"/>
      <c r="Q26" s="739"/>
      <c r="R26" s="738"/>
      <c r="S26" s="739"/>
      <c r="T26" s="738"/>
      <c r="U26" s="739"/>
      <c r="V26" s="738"/>
      <c r="W26" s="739"/>
      <c r="X26" s="738"/>
      <c r="Y26" s="739"/>
      <c r="Z26" s="738"/>
      <c r="AA26" s="740"/>
      <c r="AB26" s="734"/>
      <c r="AC26" s="734"/>
    </row>
    <row r="27" spans="1:29" ht="14.25">
      <c r="A27" s="735">
        <v>3.8</v>
      </c>
      <c r="B27" s="736" t="s">
        <v>2348</v>
      </c>
      <c r="C27" s="737">
        <v>10</v>
      </c>
      <c r="D27" s="738">
        <v>5</v>
      </c>
      <c r="E27" s="739"/>
      <c r="F27" s="738">
        <v>2</v>
      </c>
      <c r="G27" s="739"/>
      <c r="H27" s="738"/>
      <c r="I27" s="739"/>
      <c r="J27" s="738"/>
      <c r="K27" s="739">
        <v>10</v>
      </c>
      <c r="L27" s="738">
        <v>2</v>
      </c>
      <c r="M27" s="739"/>
      <c r="N27" s="738"/>
      <c r="O27" s="739"/>
      <c r="P27" s="738"/>
      <c r="Q27" s="739"/>
      <c r="R27" s="738"/>
      <c r="S27" s="739"/>
      <c r="T27" s="738"/>
      <c r="U27" s="739"/>
      <c r="V27" s="738"/>
      <c r="W27" s="739"/>
      <c r="X27" s="738"/>
      <c r="Y27" s="739"/>
      <c r="Z27" s="738"/>
      <c r="AA27" s="740"/>
      <c r="AB27" s="734"/>
      <c r="AC27" s="734"/>
    </row>
    <row r="28" spans="1:29" ht="14.25">
      <c r="A28" s="742">
        <v>4</v>
      </c>
      <c r="B28" s="743" t="s">
        <v>2349</v>
      </c>
      <c r="C28" s="744"/>
      <c r="D28" s="745"/>
      <c r="E28" s="746"/>
      <c r="F28" s="745"/>
      <c r="G28" s="746"/>
      <c r="H28" s="745"/>
      <c r="I28" s="746"/>
      <c r="J28" s="745"/>
      <c r="K28" s="746"/>
      <c r="L28" s="745"/>
      <c r="M28" s="746"/>
      <c r="N28" s="745"/>
      <c r="O28" s="746"/>
      <c r="P28" s="745"/>
      <c r="Q28" s="746"/>
      <c r="R28" s="745"/>
      <c r="S28" s="746"/>
      <c r="T28" s="745"/>
      <c r="U28" s="746"/>
      <c r="V28" s="745"/>
      <c r="W28" s="746"/>
      <c r="X28" s="745"/>
      <c r="Y28" s="746"/>
      <c r="Z28" s="745"/>
      <c r="AA28" s="747">
        <f>SUM(AA29:AA30)</f>
        <v>10</v>
      </c>
      <c r="AB28" s="734"/>
      <c r="AC28" s="734"/>
    </row>
    <row r="29" spans="1:29" ht="14.25">
      <c r="A29" s="735">
        <v>4.0999999999999996</v>
      </c>
      <c r="B29" s="736" t="s">
        <v>2350</v>
      </c>
      <c r="C29" s="737">
        <v>10</v>
      </c>
      <c r="D29" s="738">
        <v>5</v>
      </c>
      <c r="E29" s="739"/>
      <c r="F29" s="738"/>
      <c r="G29" s="739"/>
      <c r="H29" s="738"/>
      <c r="I29" s="739"/>
      <c r="J29" s="738"/>
      <c r="K29" s="739"/>
      <c r="L29" s="738"/>
      <c r="M29" s="739"/>
      <c r="N29" s="738"/>
      <c r="O29" s="739"/>
      <c r="P29" s="738"/>
      <c r="Q29" s="739"/>
      <c r="R29" s="738"/>
      <c r="S29" s="739"/>
      <c r="T29" s="738"/>
      <c r="U29" s="739"/>
      <c r="V29" s="738"/>
      <c r="W29" s="739"/>
      <c r="X29" s="738"/>
      <c r="Y29" s="739"/>
      <c r="Z29" s="738"/>
      <c r="AA29" s="740">
        <v>5</v>
      </c>
      <c r="AB29" s="734"/>
      <c r="AC29" s="734"/>
    </row>
    <row r="30" spans="1:29" ht="14.25">
      <c r="A30" s="735">
        <v>4.2</v>
      </c>
      <c r="B30" s="736" t="s">
        <v>2351</v>
      </c>
      <c r="C30" s="737">
        <v>80</v>
      </c>
      <c r="D30" s="738">
        <v>40</v>
      </c>
      <c r="E30" s="739"/>
      <c r="F30" s="738"/>
      <c r="G30" s="739"/>
      <c r="H30" s="738"/>
      <c r="I30" s="739"/>
      <c r="J30" s="738"/>
      <c r="K30" s="739"/>
      <c r="L30" s="738"/>
      <c r="M30" s="739"/>
      <c r="N30" s="738"/>
      <c r="O30" s="739"/>
      <c r="P30" s="738"/>
      <c r="Q30" s="739"/>
      <c r="R30" s="738"/>
      <c r="S30" s="739"/>
      <c r="T30" s="738"/>
      <c r="U30" s="739"/>
      <c r="V30" s="738"/>
      <c r="W30" s="739"/>
      <c r="X30" s="738"/>
      <c r="Y30" s="739"/>
      <c r="Z30" s="738"/>
      <c r="AA30" s="740">
        <v>5</v>
      </c>
      <c r="AB30" s="734"/>
      <c r="AC30" s="734"/>
    </row>
    <row r="31" spans="1:29" ht="14.25">
      <c r="A31" s="742">
        <v>5</v>
      </c>
      <c r="B31" s="743" t="s">
        <v>2352</v>
      </c>
      <c r="C31" s="737"/>
      <c r="D31" s="738"/>
      <c r="E31" s="739"/>
      <c r="F31" s="738"/>
      <c r="G31" s="739"/>
      <c r="H31" s="738"/>
      <c r="I31" s="739"/>
      <c r="J31" s="738"/>
      <c r="K31" s="739"/>
      <c r="L31" s="738"/>
      <c r="M31" s="739"/>
      <c r="N31" s="738"/>
      <c r="O31" s="739"/>
      <c r="P31" s="738"/>
      <c r="Q31" s="739"/>
      <c r="R31" s="738"/>
      <c r="S31" s="739"/>
      <c r="T31" s="738"/>
      <c r="U31" s="739"/>
      <c r="V31" s="738"/>
      <c r="W31" s="739"/>
      <c r="X31" s="738"/>
      <c r="Y31" s="739"/>
      <c r="Z31" s="738"/>
      <c r="AA31" s="740">
        <f>SUM(AA32:AA37)</f>
        <v>30</v>
      </c>
      <c r="AB31" s="734"/>
      <c r="AC31" s="734"/>
    </row>
    <row r="32" spans="1:29" ht="14.25">
      <c r="A32" s="735">
        <v>5.0999999999999996</v>
      </c>
      <c r="B32" s="736" t="s">
        <v>2353</v>
      </c>
      <c r="C32" s="737">
        <v>40</v>
      </c>
      <c r="D32" s="738">
        <v>10</v>
      </c>
      <c r="E32" s="739"/>
      <c r="F32" s="738"/>
      <c r="G32" s="739"/>
      <c r="H32" s="738"/>
      <c r="I32" s="739"/>
      <c r="J32" s="738"/>
      <c r="K32" s="739"/>
      <c r="L32" s="738"/>
      <c r="M32" s="739"/>
      <c r="N32" s="738"/>
      <c r="O32" s="739"/>
      <c r="P32" s="738"/>
      <c r="Q32" s="739"/>
      <c r="R32" s="738"/>
      <c r="S32" s="739"/>
      <c r="T32" s="738"/>
      <c r="U32" s="739"/>
      <c r="V32" s="738"/>
      <c r="W32" s="739"/>
      <c r="X32" s="738"/>
      <c r="Y32" s="739"/>
      <c r="Z32" s="738"/>
      <c r="AA32" s="740">
        <v>5</v>
      </c>
      <c r="AB32" s="734"/>
      <c r="AC32" s="734"/>
    </row>
    <row r="33" spans="1:29" ht="14.25">
      <c r="A33" s="735">
        <v>5.2</v>
      </c>
      <c r="B33" s="736" t="s">
        <v>2354</v>
      </c>
      <c r="C33" s="737">
        <v>40</v>
      </c>
      <c r="D33" s="738">
        <v>10</v>
      </c>
      <c r="E33" s="739"/>
      <c r="F33" s="738"/>
      <c r="G33" s="739"/>
      <c r="H33" s="738"/>
      <c r="I33" s="739"/>
      <c r="J33" s="738"/>
      <c r="K33" s="739"/>
      <c r="L33" s="738"/>
      <c r="M33" s="739"/>
      <c r="N33" s="738"/>
      <c r="O33" s="739"/>
      <c r="P33" s="738"/>
      <c r="Q33" s="739"/>
      <c r="R33" s="738"/>
      <c r="S33" s="739"/>
      <c r="T33" s="738"/>
      <c r="U33" s="739"/>
      <c r="V33" s="738"/>
      <c r="W33" s="739"/>
      <c r="X33" s="738"/>
      <c r="Y33" s="739"/>
      <c r="Z33" s="738"/>
      <c r="AA33" s="740">
        <v>5</v>
      </c>
      <c r="AB33" s="734"/>
      <c r="AC33" s="734"/>
    </row>
    <row r="34" spans="1:29" ht="14.25">
      <c r="A34" s="735">
        <v>10</v>
      </c>
      <c r="B34" s="736" t="s">
        <v>2355</v>
      </c>
      <c r="C34" s="737">
        <v>40</v>
      </c>
      <c r="D34" s="738">
        <v>10</v>
      </c>
      <c r="E34" s="739"/>
      <c r="F34" s="738"/>
      <c r="G34" s="739"/>
      <c r="H34" s="738"/>
      <c r="I34" s="739"/>
      <c r="J34" s="738"/>
      <c r="K34" s="739"/>
      <c r="L34" s="738"/>
      <c r="M34" s="739"/>
      <c r="N34" s="738"/>
      <c r="O34" s="739"/>
      <c r="P34" s="738"/>
      <c r="Q34" s="739"/>
      <c r="R34" s="738"/>
      <c r="S34" s="739"/>
      <c r="T34" s="738"/>
      <c r="U34" s="739"/>
      <c r="V34" s="738"/>
      <c r="W34" s="739"/>
      <c r="X34" s="738"/>
      <c r="Y34" s="739"/>
      <c r="Z34" s="738"/>
      <c r="AA34" s="740">
        <v>5</v>
      </c>
      <c r="AB34" s="734"/>
      <c r="AC34" s="734"/>
    </row>
    <row r="35" spans="1:29" ht="14.25">
      <c r="A35" s="735">
        <v>11</v>
      </c>
      <c r="B35" s="736" t="s">
        <v>2356</v>
      </c>
      <c r="C35" s="737">
        <v>40</v>
      </c>
      <c r="D35" s="738">
        <v>10</v>
      </c>
      <c r="E35" s="739"/>
      <c r="F35" s="738"/>
      <c r="G35" s="739"/>
      <c r="H35" s="738"/>
      <c r="I35" s="739"/>
      <c r="J35" s="738"/>
      <c r="K35" s="739"/>
      <c r="L35" s="738"/>
      <c r="M35" s="739"/>
      <c r="N35" s="738"/>
      <c r="O35" s="739"/>
      <c r="P35" s="738"/>
      <c r="Q35" s="739"/>
      <c r="R35" s="738"/>
      <c r="S35" s="739"/>
      <c r="T35" s="738"/>
      <c r="U35" s="739"/>
      <c r="V35" s="738"/>
      <c r="W35" s="739"/>
      <c r="X35" s="738"/>
      <c r="Y35" s="739"/>
      <c r="Z35" s="738"/>
      <c r="AA35" s="740">
        <v>5</v>
      </c>
      <c r="AB35" s="734"/>
      <c r="AC35" s="734"/>
    </row>
    <row r="36" spans="1:29" ht="14.25">
      <c r="A36" s="748">
        <v>4</v>
      </c>
      <c r="B36" s="736" t="s">
        <v>2357</v>
      </c>
      <c r="C36" s="737">
        <v>40</v>
      </c>
      <c r="D36" s="738">
        <v>10</v>
      </c>
      <c r="E36" s="739"/>
      <c r="F36" s="738"/>
      <c r="G36" s="739"/>
      <c r="H36" s="738"/>
      <c r="I36" s="739"/>
      <c r="J36" s="738"/>
      <c r="K36" s="739"/>
      <c r="L36" s="738"/>
      <c r="M36" s="739"/>
      <c r="N36" s="738"/>
      <c r="O36" s="739"/>
      <c r="P36" s="738"/>
      <c r="Q36" s="739"/>
      <c r="R36" s="738"/>
      <c r="S36" s="739"/>
      <c r="T36" s="738"/>
      <c r="U36" s="739"/>
      <c r="V36" s="738"/>
      <c r="W36" s="739"/>
      <c r="X36" s="738"/>
      <c r="Y36" s="739"/>
      <c r="Z36" s="738"/>
      <c r="AA36" s="740">
        <v>5</v>
      </c>
      <c r="AB36" s="734"/>
      <c r="AC36" s="734"/>
    </row>
    <row r="37" spans="1:29" ht="14.25">
      <c r="A37" s="748">
        <v>5</v>
      </c>
      <c r="B37" s="736" t="s">
        <v>2358</v>
      </c>
      <c r="C37" s="737">
        <v>40</v>
      </c>
      <c r="D37" s="738">
        <v>10</v>
      </c>
      <c r="E37" s="739"/>
      <c r="F37" s="738"/>
      <c r="G37" s="739"/>
      <c r="H37" s="738"/>
      <c r="I37" s="739"/>
      <c r="J37" s="738"/>
      <c r="K37" s="739"/>
      <c r="L37" s="738"/>
      <c r="M37" s="739"/>
      <c r="N37" s="738"/>
      <c r="O37" s="739"/>
      <c r="P37" s="738"/>
      <c r="Q37" s="739"/>
      <c r="R37" s="738"/>
      <c r="S37" s="739"/>
      <c r="T37" s="738"/>
      <c r="U37" s="739"/>
      <c r="V37" s="738"/>
      <c r="W37" s="739"/>
      <c r="X37" s="738"/>
      <c r="Y37" s="739"/>
      <c r="Z37" s="738"/>
      <c r="AA37" s="740">
        <v>5</v>
      </c>
      <c r="AB37" s="734"/>
      <c r="AC37" s="734"/>
    </row>
    <row r="38" spans="1:29" ht="14.25">
      <c r="A38" s="742">
        <v>6</v>
      </c>
      <c r="B38" s="743" t="s">
        <v>2359</v>
      </c>
      <c r="C38" s="744"/>
      <c r="D38" s="745"/>
      <c r="E38" s="746"/>
      <c r="F38" s="745"/>
      <c r="G38" s="746"/>
      <c r="H38" s="745"/>
      <c r="I38" s="746"/>
      <c r="J38" s="745"/>
      <c r="K38" s="746"/>
      <c r="L38" s="745"/>
      <c r="M38" s="746"/>
      <c r="N38" s="745"/>
      <c r="O38" s="746"/>
      <c r="P38" s="745"/>
      <c r="Q38" s="746"/>
      <c r="R38" s="745"/>
      <c r="S38" s="746"/>
      <c r="T38" s="745"/>
      <c r="U38" s="746"/>
      <c r="V38" s="745"/>
      <c r="W38" s="746"/>
      <c r="X38" s="745"/>
      <c r="Y38" s="746"/>
      <c r="Z38" s="745"/>
      <c r="AA38" s="747">
        <f>SUM(AA39:AA68)</f>
        <v>255</v>
      </c>
      <c r="AB38" s="734"/>
      <c r="AC38" s="734"/>
    </row>
    <row r="39" spans="1:29" ht="14.25">
      <c r="A39" s="735">
        <v>6.1</v>
      </c>
      <c r="B39" s="736" t="s">
        <v>2360</v>
      </c>
      <c r="C39" s="737">
        <v>5</v>
      </c>
      <c r="D39" s="738">
        <v>5</v>
      </c>
      <c r="E39" s="739"/>
      <c r="F39" s="738"/>
      <c r="G39" s="739"/>
      <c r="H39" s="738"/>
      <c r="I39" s="739"/>
      <c r="J39" s="738"/>
      <c r="K39" s="739"/>
      <c r="L39" s="738"/>
      <c r="M39" s="739">
        <v>5</v>
      </c>
      <c r="N39" s="738"/>
      <c r="O39" s="739"/>
      <c r="P39" s="738"/>
      <c r="Q39" s="739"/>
      <c r="R39" s="738"/>
      <c r="S39" s="739"/>
      <c r="T39" s="738"/>
      <c r="U39" s="739"/>
      <c r="V39" s="738"/>
      <c r="W39" s="739"/>
      <c r="X39" s="738"/>
      <c r="Y39" s="739"/>
      <c r="Z39" s="738"/>
      <c r="AA39" s="740">
        <v>5</v>
      </c>
      <c r="AB39" s="734"/>
      <c r="AC39" s="734"/>
    </row>
    <row r="40" spans="1:29" ht="14.25">
      <c r="A40" s="735">
        <v>6.2</v>
      </c>
      <c r="B40" s="736" t="s">
        <v>2361</v>
      </c>
      <c r="C40" s="737">
        <v>5</v>
      </c>
      <c r="D40" s="738">
        <v>5</v>
      </c>
      <c r="E40" s="739"/>
      <c r="F40" s="738"/>
      <c r="G40" s="739"/>
      <c r="H40" s="738"/>
      <c r="I40" s="739"/>
      <c r="J40" s="738"/>
      <c r="K40" s="739"/>
      <c r="L40" s="738"/>
      <c r="M40" s="739"/>
      <c r="N40" s="738"/>
      <c r="O40" s="739"/>
      <c r="P40" s="738"/>
      <c r="Q40" s="739"/>
      <c r="R40" s="738"/>
      <c r="S40" s="739"/>
      <c r="T40" s="738"/>
      <c r="U40" s="739"/>
      <c r="V40" s="738"/>
      <c r="W40" s="739"/>
      <c r="X40" s="738"/>
      <c r="Y40" s="739"/>
      <c r="Z40" s="738"/>
      <c r="AA40" s="740">
        <v>5</v>
      </c>
      <c r="AB40" s="734"/>
      <c r="AC40" s="734"/>
    </row>
    <row r="41" spans="1:29" ht="14.25">
      <c r="A41" s="735">
        <v>6.3</v>
      </c>
      <c r="B41" s="736" t="s">
        <v>2362</v>
      </c>
      <c r="C41" s="737">
        <v>30</v>
      </c>
      <c r="D41" s="738">
        <v>5</v>
      </c>
      <c r="E41" s="739"/>
      <c r="F41" s="738"/>
      <c r="G41" s="739"/>
      <c r="H41" s="738"/>
      <c r="I41" s="739"/>
      <c r="J41" s="738"/>
      <c r="K41" s="739">
        <v>10</v>
      </c>
      <c r="L41" s="738">
        <v>3</v>
      </c>
      <c r="M41" s="739">
        <f>O41*1.5</f>
        <v>0</v>
      </c>
      <c r="N41" s="738">
        <v>3</v>
      </c>
      <c r="O41" s="739"/>
      <c r="P41" s="738"/>
      <c r="Q41" s="739"/>
      <c r="R41" s="738"/>
      <c r="S41" s="739"/>
      <c r="T41" s="738"/>
      <c r="U41" s="739"/>
      <c r="V41" s="738"/>
      <c r="W41" s="739"/>
      <c r="X41" s="738"/>
      <c r="Y41" s="739"/>
      <c r="Z41" s="738"/>
      <c r="AA41" s="740">
        <v>10</v>
      </c>
      <c r="AB41" s="734"/>
      <c r="AC41" s="734"/>
    </row>
    <row r="42" spans="1:29" ht="14.25">
      <c r="A42" s="735">
        <v>6.4</v>
      </c>
      <c r="B42" s="736" t="s">
        <v>2363</v>
      </c>
      <c r="C42" s="737">
        <v>50</v>
      </c>
      <c r="D42" s="738">
        <v>10</v>
      </c>
      <c r="E42" s="739"/>
      <c r="F42" s="738"/>
      <c r="G42" s="739"/>
      <c r="H42" s="738"/>
      <c r="I42" s="739"/>
      <c r="J42" s="738"/>
      <c r="K42" s="739">
        <v>20</v>
      </c>
      <c r="L42" s="738">
        <v>3</v>
      </c>
      <c r="M42" s="739">
        <f t="shared" ref="M42:M69" si="0">O42*1.5</f>
        <v>0</v>
      </c>
      <c r="N42" s="738">
        <v>3</v>
      </c>
      <c r="O42" s="739"/>
      <c r="P42" s="738"/>
      <c r="Q42" s="739"/>
      <c r="R42" s="738"/>
      <c r="S42" s="739"/>
      <c r="T42" s="738"/>
      <c r="U42" s="739"/>
      <c r="V42" s="738"/>
      <c r="W42" s="739"/>
      <c r="X42" s="738"/>
      <c r="Y42" s="739"/>
      <c r="Z42" s="738"/>
      <c r="AA42" s="740">
        <v>10</v>
      </c>
      <c r="AB42" s="734"/>
      <c r="AC42" s="734"/>
    </row>
    <row r="43" spans="1:29" ht="14.25">
      <c r="A43" s="735">
        <v>6.5</v>
      </c>
      <c r="B43" s="736" t="s">
        <v>2364</v>
      </c>
      <c r="C43" s="737">
        <v>50</v>
      </c>
      <c r="D43" s="738">
        <v>10</v>
      </c>
      <c r="E43" s="739"/>
      <c r="F43" s="738"/>
      <c r="G43" s="739"/>
      <c r="H43" s="738"/>
      <c r="I43" s="739"/>
      <c r="J43" s="738"/>
      <c r="K43" s="739">
        <v>20</v>
      </c>
      <c r="L43" s="738">
        <v>3</v>
      </c>
      <c r="M43" s="739">
        <f t="shared" si="0"/>
        <v>0</v>
      </c>
      <c r="N43" s="738">
        <v>3</v>
      </c>
      <c r="O43" s="739"/>
      <c r="P43" s="738"/>
      <c r="Q43" s="739"/>
      <c r="R43" s="738"/>
      <c r="S43" s="739"/>
      <c r="T43" s="738"/>
      <c r="U43" s="739"/>
      <c r="V43" s="738"/>
      <c r="W43" s="739"/>
      <c r="X43" s="738"/>
      <c r="Y43" s="739"/>
      <c r="Z43" s="738"/>
      <c r="AA43" s="740">
        <v>10</v>
      </c>
      <c r="AB43" s="734"/>
      <c r="AC43" s="734"/>
    </row>
    <row r="44" spans="1:29" ht="14.25">
      <c r="A44" s="735">
        <v>6.6</v>
      </c>
      <c r="B44" s="736" t="s">
        <v>2365</v>
      </c>
      <c r="C44" s="737">
        <v>50</v>
      </c>
      <c r="D44" s="738">
        <v>10</v>
      </c>
      <c r="E44" s="739"/>
      <c r="F44" s="738"/>
      <c r="G44" s="739"/>
      <c r="H44" s="738"/>
      <c r="I44" s="739"/>
      <c r="J44" s="738"/>
      <c r="K44" s="739">
        <v>20</v>
      </c>
      <c r="L44" s="738">
        <v>3</v>
      </c>
      <c r="M44" s="739">
        <f t="shared" si="0"/>
        <v>0</v>
      </c>
      <c r="N44" s="738">
        <v>3</v>
      </c>
      <c r="O44" s="739"/>
      <c r="P44" s="738"/>
      <c r="Q44" s="739"/>
      <c r="R44" s="738"/>
      <c r="S44" s="739"/>
      <c r="T44" s="738"/>
      <c r="U44" s="739"/>
      <c r="V44" s="738"/>
      <c r="W44" s="739"/>
      <c r="X44" s="738"/>
      <c r="Y44" s="739"/>
      <c r="Z44" s="738"/>
      <c r="AA44" s="740">
        <v>10</v>
      </c>
      <c r="AB44" s="734"/>
      <c r="AC44" s="734"/>
    </row>
    <row r="45" spans="1:29" ht="14.25">
      <c r="A45" s="735">
        <v>6.7</v>
      </c>
      <c r="B45" s="736" t="s">
        <v>2366</v>
      </c>
      <c r="C45" s="737">
        <v>50</v>
      </c>
      <c r="D45" s="738">
        <v>10</v>
      </c>
      <c r="E45" s="739"/>
      <c r="F45" s="738"/>
      <c r="G45" s="739"/>
      <c r="H45" s="738"/>
      <c r="I45" s="739"/>
      <c r="J45" s="738"/>
      <c r="K45" s="739">
        <v>20</v>
      </c>
      <c r="L45" s="738">
        <v>3</v>
      </c>
      <c r="M45" s="739">
        <f t="shared" si="0"/>
        <v>0</v>
      </c>
      <c r="N45" s="738">
        <v>3</v>
      </c>
      <c r="O45" s="739"/>
      <c r="P45" s="738"/>
      <c r="Q45" s="739"/>
      <c r="R45" s="738"/>
      <c r="S45" s="739"/>
      <c r="T45" s="738"/>
      <c r="U45" s="739"/>
      <c r="V45" s="738"/>
      <c r="W45" s="739"/>
      <c r="X45" s="738"/>
      <c r="Y45" s="739"/>
      <c r="Z45" s="738"/>
      <c r="AA45" s="740">
        <v>10</v>
      </c>
      <c r="AB45" s="734"/>
      <c r="AC45" s="734"/>
    </row>
    <row r="46" spans="1:29" ht="14.25">
      <c r="A46" s="735">
        <v>6.8</v>
      </c>
      <c r="B46" s="736" t="s">
        <v>2367</v>
      </c>
      <c r="C46" s="737">
        <v>50</v>
      </c>
      <c r="D46" s="738">
        <v>10</v>
      </c>
      <c r="E46" s="739"/>
      <c r="F46" s="738"/>
      <c r="G46" s="739"/>
      <c r="H46" s="738"/>
      <c r="I46" s="739"/>
      <c r="J46" s="738"/>
      <c r="K46" s="739">
        <v>20</v>
      </c>
      <c r="L46" s="738">
        <v>3</v>
      </c>
      <c r="M46" s="739">
        <f t="shared" si="0"/>
        <v>0</v>
      </c>
      <c r="N46" s="738">
        <v>3</v>
      </c>
      <c r="O46" s="739"/>
      <c r="P46" s="738"/>
      <c r="Q46" s="739"/>
      <c r="R46" s="738"/>
      <c r="S46" s="739"/>
      <c r="T46" s="738"/>
      <c r="U46" s="739"/>
      <c r="V46" s="738"/>
      <c r="W46" s="739"/>
      <c r="X46" s="738"/>
      <c r="Y46" s="739"/>
      <c r="Z46" s="738"/>
      <c r="AA46" s="740">
        <v>10</v>
      </c>
      <c r="AB46" s="734"/>
      <c r="AC46" s="734"/>
    </row>
    <row r="47" spans="1:29" ht="14.25">
      <c r="A47" s="735">
        <v>6.9</v>
      </c>
      <c r="B47" s="736" t="s">
        <v>2368</v>
      </c>
      <c r="C47" s="737">
        <v>40</v>
      </c>
      <c r="D47" s="738">
        <v>10</v>
      </c>
      <c r="E47" s="739"/>
      <c r="F47" s="738"/>
      <c r="G47" s="739"/>
      <c r="H47" s="738"/>
      <c r="I47" s="739"/>
      <c r="J47" s="738"/>
      <c r="K47" s="739">
        <v>20</v>
      </c>
      <c r="L47" s="738">
        <v>3</v>
      </c>
      <c r="M47" s="739">
        <f t="shared" si="0"/>
        <v>0</v>
      </c>
      <c r="N47" s="738">
        <v>3</v>
      </c>
      <c r="O47" s="739"/>
      <c r="P47" s="738"/>
      <c r="Q47" s="739"/>
      <c r="R47" s="738"/>
      <c r="S47" s="739"/>
      <c r="T47" s="738"/>
      <c r="U47" s="739"/>
      <c r="V47" s="738"/>
      <c r="W47" s="739"/>
      <c r="X47" s="738"/>
      <c r="Y47" s="739"/>
      <c r="Z47" s="738"/>
      <c r="AA47" s="740">
        <v>8</v>
      </c>
      <c r="AB47" s="734"/>
      <c r="AC47" s="734"/>
    </row>
    <row r="48" spans="1:29" ht="14.25">
      <c r="A48" s="749" t="s">
        <v>664</v>
      </c>
      <c r="B48" s="736" t="s">
        <v>2369</v>
      </c>
      <c r="C48" s="737">
        <v>50</v>
      </c>
      <c r="D48" s="738">
        <v>10</v>
      </c>
      <c r="E48" s="739"/>
      <c r="F48" s="738"/>
      <c r="G48" s="739"/>
      <c r="H48" s="738"/>
      <c r="I48" s="739"/>
      <c r="J48" s="738"/>
      <c r="K48" s="739">
        <v>20</v>
      </c>
      <c r="L48" s="738">
        <v>3</v>
      </c>
      <c r="M48" s="739">
        <f t="shared" si="0"/>
        <v>0</v>
      </c>
      <c r="N48" s="738">
        <v>3</v>
      </c>
      <c r="O48" s="739"/>
      <c r="P48" s="738"/>
      <c r="Q48" s="739"/>
      <c r="R48" s="738"/>
      <c r="S48" s="739"/>
      <c r="T48" s="738"/>
      <c r="U48" s="739"/>
      <c r="V48" s="738"/>
      <c r="W48" s="739"/>
      <c r="X48" s="738"/>
      <c r="Y48" s="739"/>
      <c r="Z48" s="738"/>
      <c r="AA48" s="740">
        <v>10</v>
      </c>
      <c r="AB48" s="734"/>
      <c r="AC48" s="734"/>
    </row>
    <row r="49" spans="1:29" ht="14.25">
      <c r="A49" s="735">
        <v>6.11</v>
      </c>
      <c r="B49" s="736" t="s">
        <v>2370</v>
      </c>
      <c r="C49" s="737">
        <v>50</v>
      </c>
      <c r="D49" s="738">
        <v>10</v>
      </c>
      <c r="E49" s="739"/>
      <c r="F49" s="738"/>
      <c r="G49" s="739"/>
      <c r="H49" s="738"/>
      <c r="I49" s="739"/>
      <c r="J49" s="738"/>
      <c r="K49" s="739">
        <v>20</v>
      </c>
      <c r="L49" s="738">
        <v>3</v>
      </c>
      <c r="M49" s="739">
        <f t="shared" si="0"/>
        <v>0</v>
      </c>
      <c r="N49" s="738">
        <v>3</v>
      </c>
      <c r="O49" s="739"/>
      <c r="P49" s="738"/>
      <c r="Q49" s="739"/>
      <c r="R49" s="738"/>
      <c r="S49" s="739"/>
      <c r="T49" s="738"/>
      <c r="U49" s="739"/>
      <c r="V49" s="738"/>
      <c r="W49" s="739"/>
      <c r="X49" s="738"/>
      <c r="Y49" s="739"/>
      <c r="Z49" s="738"/>
      <c r="AA49" s="740">
        <v>10</v>
      </c>
      <c r="AB49" s="734"/>
      <c r="AC49" s="734"/>
    </row>
    <row r="50" spans="1:29" ht="14.25">
      <c r="A50" s="735">
        <v>6.12</v>
      </c>
      <c r="B50" s="736" t="s">
        <v>2371</v>
      </c>
      <c r="C50" s="737">
        <v>30</v>
      </c>
      <c r="D50" s="738">
        <v>5</v>
      </c>
      <c r="E50" s="739"/>
      <c r="F50" s="738"/>
      <c r="G50" s="739"/>
      <c r="H50" s="738"/>
      <c r="I50" s="739"/>
      <c r="J50" s="738"/>
      <c r="K50" s="739">
        <v>20</v>
      </c>
      <c r="L50" s="738">
        <v>3</v>
      </c>
      <c r="M50" s="739">
        <f t="shared" si="0"/>
        <v>0</v>
      </c>
      <c r="N50" s="738">
        <v>3</v>
      </c>
      <c r="O50" s="739"/>
      <c r="P50" s="738"/>
      <c r="Q50" s="739"/>
      <c r="R50" s="738"/>
      <c r="S50" s="739"/>
      <c r="T50" s="738"/>
      <c r="U50" s="739"/>
      <c r="V50" s="738"/>
      <c r="W50" s="739"/>
      <c r="X50" s="738"/>
      <c r="Y50" s="739"/>
      <c r="Z50" s="738"/>
      <c r="AA50" s="740">
        <v>8</v>
      </c>
      <c r="AB50" s="734"/>
      <c r="AC50" s="734"/>
    </row>
    <row r="51" spans="1:29" ht="14.25">
      <c r="A51" s="735">
        <v>6.13</v>
      </c>
      <c r="B51" s="736" t="s">
        <v>2372</v>
      </c>
      <c r="C51" s="737">
        <v>50</v>
      </c>
      <c r="D51" s="738">
        <v>10</v>
      </c>
      <c r="E51" s="739"/>
      <c r="F51" s="738"/>
      <c r="G51" s="739"/>
      <c r="H51" s="738"/>
      <c r="I51" s="739"/>
      <c r="J51" s="738"/>
      <c r="K51" s="739">
        <v>20</v>
      </c>
      <c r="L51" s="738">
        <v>3</v>
      </c>
      <c r="M51" s="739">
        <f t="shared" si="0"/>
        <v>0</v>
      </c>
      <c r="N51" s="738">
        <v>3</v>
      </c>
      <c r="O51" s="739"/>
      <c r="P51" s="738"/>
      <c r="Q51" s="739"/>
      <c r="R51" s="738"/>
      <c r="S51" s="739"/>
      <c r="T51" s="738"/>
      <c r="U51" s="739"/>
      <c r="V51" s="738"/>
      <c r="W51" s="739"/>
      <c r="X51" s="738"/>
      <c r="Y51" s="739"/>
      <c r="Z51" s="738"/>
      <c r="AA51" s="740">
        <v>10</v>
      </c>
      <c r="AB51" s="734"/>
      <c r="AC51" s="734"/>
    </row>
    <row r="52" spans="1:29" ht="14.25">
      <c r="A52" s="735">
        <v>6.14</v>
      </c>
      <c r="B52" s="736" t="s">
        <v>2373</v>
      </c>
      <c r="C52" s="737">
        <v>60</v>
      </c>
      <c r="D52" s="738">
        <v>15</v>
      </c>
      <c r="E52" s="739"/>
      <c r="F52" s="738"/>
      <c r="G52" s="739"/>
      <c r="H52" s="738"/>
      <c r="I52" s="739"/>
      <c r="J52" s="738"/>
      <c r="K52" s="739">
        <v>20</v>
      </c>
      <c r="L52" s="738">
        <v>3</v>
      </c>
      <c r="M52" s="739">
        <f t="shared" si="0"/>
        <v>0</v>
      </c>
      <c r="N52" s="738">
        <v>3</v>
      </c>
      <c r="O52" s="739"/>
      <c r="P52" s="738"/>
      <c r="Q52" s="739"/>
      <c r="R52" s="738"/>
      <c r="S52" s="739"/>
      <c r="T52" s="738"/>
      <c r="U52" s="739"/>
      <c r="V52" s="738"/>
      <c r="W52" s="739"/>
      <c r="X52" s="738"/>
      <c r="Y52" s="739"/>
      <c r="Z52" s="738"/>
      <c r="AA52" s="740">
        <v>12</v>
      </c>
      <c r="AB52" s="734"/>
      <c r="AC52" s="734"/>
    </row>
    <row r="53" spans="1:29" ht="14.25">
      <c r="A53" s="735">
        <v>6.15</v>
      </c>
      <c r="B53" s="736" t="s">
        <v>2374</v>
      </c>
      <c r="C53" s="737">
        <v>50</v>
      </c>
      <c r="D53" s="738">
        <v>10</v>
      </c>
      <c r="E53" s="739"/>
      <c r="F53" s="738"/>
      <c r="G53" s="739"/>
      <c r="H53" s="738"/>
      <c r="I53" s="739"/>
      <c r="J53" s="738"/>
      <c r="K53" s="739">
        <v>20</v>
      </c>
      <c r="L53" s="738">
        <v>3</v>
      </c>
      <c r="M53" s="739">
        <f t="shared" si="0"/>
        <v>0</v>
      </c>
      <c r="N53" s="738">
        <v>3</v>
      </c>
      <c r="O53" s="739"/>
      <c r="P53" s="738"/>
      <c r="Q53" s="739"/>
      <c r="R53" s="738"/>
      <c r="S53" s="739"/>
      <c r="T53" s="738"/>
      <c r="U53" s="739"/>
      <c r="V53" s="738"/>
      <c r="W53" s="739"/>
      <c r="X53" s="738"/>
      <c r="Y53" s="739"/>
      <c r="Z53" s="738"/>
      <c r="AA53" s="740">
        <v>10</v>
      </c>
      <c r="AB53" s="734"/>
      <c r="AC53" s="734"/>
    </row>
    <row r="54" spans="1:29" ht="14.25">
      <c r="A54" s="735">
        <v>6.16</v>
      </c>
      <c r="B54" s="736" t="s">
        <v>2375</v>
      </c>
      <c r="C54" s="737">
        <v>50</v>
      </c>
      <c r="D54" s="738">
        <v>10</v>
      </c>
      <c r="E54" s="739"/>
      <c r="F54" s="738"/>
      <c r="G54" s="739"/>
      <c r="H54" s="738"/>
      <c r="I54" s="739"/>
      <c r="J54" s="738"/>
      <c r="K54" s="739">
        <v>20</v>
      </c>
      <c r="L54" s="738">
        <v>3</v>
      </c>
      <c r="M54" s="739">
        <f t="shared" si="0"/>
        <v>0</v>
      </c>
      <c r="N54" s="738">
        <v>3</v>
      </c>
      <c r="O54" s="739"/>
      <c r="P54" s="738"/>
      <c r="Q54" s="739"/>
      <c r="R54" s="738"/>
      <c r="S54" s="739"/>
      <c r="T54" s="738"/>
      <c r="U54" s="739"/>
      <c r="V54" s="738"/>
      <c r="W54" s="739"/>
      <c r="X54" s="738"/>
      <c r="Y54" s="739"/>
      <c r="Z54" s="738"/>
      <c r="AA54" s="740">
        <v>10</v>
      </c>
      <c r="AB54" s="734"/>
      <c r="AC54" s="734"/>
    </row>
    <row r="55" spans="1:29" ht="14.25">
      <c r="A55" s="735">
        <v>6.17</v>
      </c>
      <c r="B55" s="736" t="s">
        <v>2376</v>
      </c>
      <c r="C55" s="737">
        <v>40</v>
      </c>
      <c r="D55" s="738">
        <v>10</v>
      </c>
      <c r="E55" s="739"/>
      <c r="F55" s="738"/>
      <c r="G55" s="739"/>
      <c r="H55" s="738"/>
      <c r="I55" s="739"/>
      <c r="J55" s="738"/>
      <c r="K55" s="739">
        <v>20</v>
      </c>
      <c r="L55" s="738">
        <v>3</v>
      </c>
      <c r="M55" s="739">
        <f t="shared" si="0"/>
        <v>0</v>
      </c>
      <c r="N55" s="738">
        <v>3</v>
      </c>
      <c r="O55" s="739"/>
      <c r="P55" s="738"/>
      <c r="Q55" s="739"/>
      <c r="R55" s="738"/>
      <c r="S55" s="739"/>
      <c r="T55" s="738"/>
      <c r="U55" s="739"/>
      <c r="V55" s="738"/>
      <c r="W55" s="739"/>
      <c r="X55" s="738"/>
      <c r="Y55" s="739"/>
      <c r="Z55" s="738"/>
      <c r="AA55" s="740">
        <v>10</v>
      </c>
      <c r="AB55" s="734"/>
      <c r="AC55" s="734"/>
    </row>
    <row r="56" spans="1:29" ht="14.25">
      <c r="A56" s="735">
        <v>6.18</v>
      </c>
      <c r="B56" s="736" t="s">
        <v>2377</v>
      </c>
      <c r="C56" s="737">
        <v>20</v>
      </c>
      <c r="D56" s="738">
        <v>5</v>
      </c>
      <c r="E56" s="739"/>
      <c r="F56" s="738"/>
      <c r="G56" s="739"/>
      <c r="H56" s="738"/>
      <c r="I56" s="739"/>
      <c r="J56" s="738"/>
      <c r="K56" s="739">
        <v>5</v>
      </c>
      <c r="L56" s="738">
        <v>1</v>
      </c>
      <c r="M56" s="739">
        <f t="shared" si="0"/>
        <v>0</v>
      </c>
      <c r="N56" s="738">
        <v>1</v>
      </c>
      <c r="O56" s="739"/>
      <c r="P56" s="738"/>
      <c r="Q56" s="739"/>
      <c r="R56" s="738"/>
      <c r="S56" s="739"/>
      <c r="T56" s="738"/>
      <c r="U56" s="739"/>
      <c r="V56" s="738"/>
      <c r="W56" s="739"/>
      <c r="X56" s="738"/>
      <c r="Y56" s="739"/>
      <c r="Z56" s="738"/>
      <c r="AA56" s="740">
        <v>5</v>
      </c>
      <c r="AB56" s="734"/>
      <c r="AC56" s="734"/>
    </row>
    <row r="57" spans="1:29" ht="14.25">
      <c r="A57" s="735">
        <v>6.19</v>
      </c>
      <c r="B57" s="736" t="s">
        <v>2378</v>
      </c>
      <c r="C57" s="737">
        <v>20</v>
      </c>
      <c r="D57" s="738">
        <v>5</v>
      </c>
      <c r="E57" s="739"/>
      <c r="F57" s="738"/>
      <c r="G57" s="739"/>
      <c r="H57" s="738"/>
      <c r="I57" s="739"/>
      <c r="J57" s="738"/>
      <c r="K57" s="739">
        <v>5</v>
      </c>
      <c r="L57" s="738">
        <v>1</v>
      </c>
      <c r="M57" s="739">
        <f t="shared" si="0"/>
        <v>0</v>
      </c>
      <c r="N57" s="738">
        <v>1</v>
      </c>
      <c r="O57" s="739"/>
      <c r="P57" s="738"/>
      <c r="Q57" s="739"/>
      <c r="R57" s="738"/>
      <c r="S57" s="739"/>
      <c r="T57" s="738"/>
      <c r="U57" s="739"/>
      <c r="V57" s="738"/>
      <c r="W57" s="739"/>
      <c r="X57" s="738"/>
      <c r="Y57" s="739"/>
      <c r="Z57" s="738"/>
      <c r="AA57" s="740">
        <v>5</v>
      </c>
      <c r="AB57" s="734"/>
      <c r="AC57" s="734"/>
    </row>
    <row r="58" spans="1:29" ht="14.25">
      <c r="A58" s="749" t="s">
        <v>684</v>
      </c>
      <c r="B58" s="736" t="s">
        <v>2379</v>
      </c>
      <c r="C58" s="737">
        <v>20</v>
      </c>
      <c r="D58" s="738">
        <v>5</v>
      </c>
      <c r="E58" s="739"/>
      <c r="F58" s="738"/>
      <c r="G58" s="739"/>
      <c r="H58" s="738"/>
      <c r="I58" s="739"/>
      <c r="J58" s="738"/>
      <c r="K58" s="739">
        <v>5</v>
      </c>
      <c r="L58" s="738">
        <v>1</v>
      </c>
      <c r="M58" s="739">
        <f t="shared" si="0"/>
        <v>0</v>
      </c>
      <c r="N58" s="738">
        <v>1</v>
      </c>
      <c r="O58" s="739"/>
      <c r="P58" s="738"/>
      <c r="Q58" s="739"/>
      <c r="R58" s="738"/>
      <c r="S58" s="739"/>
      <c r="T58" s="738"/>
      <c r="U58" s="739"/>
      <c r="V58" s="738"/>
      <c r="W58" s="739"/>
      <c r="X58" s="738"/>
      <c r="Y58" s="739"/>
      <c r="Z58" s="738"/>
      <c r="AA58" s="740">
        <v>5</v>
      </c>
      <c r="AB58" s="734"/>
      <c r="AC58" s="734"/>
    </row>
    <row r="59" spans="1:29" ht="14.25">
      <c r="A59" s="735">
        <v>6.21</v>
      </c>
      <c r="B59" s="736" t="s">
        <v>2380</v>
      </c>
      <c r="C59" s="737">
        <v>40</v>
      </c>
      <c r="D59" s="738">
        <v>10</v>
      </c>
      <c r="E59" s="739"/>
      <c r="F59" s="738"/>
      <c r="G59" s="739"/>
      <c r="H59" s="738"/>
      <c r="I59" s="739"/>
      <c r="J59" s="738"/>
      <c r="K59" s="739">
        <v>10</v>
      </c>
      <c r="L59" s="738">
        <v>2</v>
      </c>
      <c r="M59" s="739">
        <f t="shared" si="0"/>
        <v>0</v>
      </c>
      <c r="N59" s="738">
        <v>2</v>
      </c>
      <c r="O59" s="739"/>
      <c r="P59" s="738"/>
      <c r="Q59" s="739"/>
      <c r="R59" s="738"/>
      <c r="S59" s="739"/>
      <c r="T59" s="738"/>
      <c r="U59" s="739"/>
      <c r="V59" s="738"/>
      <c r="W59" s="739"/>
      <c r="X59" s="738"/>
      <c r="Y59" s="739"/>
      <c r="Z59" s="738"/>
      <c r="AA59" s="740">
        <v>8</v>
      </c>
      <c r="AB59" s="734"/>
      <c r="AC59" s="734"/>
    </row>
    <row r="60" spans="1:29" ht="14.25">
      <c r="A60" s="735">
        <v>6.22</v>
      </c>
      <c r="B60" s="736" t="s">
        <v>2381</v>
      </c>
      <c r="C60" s="737">
        <v>20</v>
      </c>
      <c r="D60" s="738">
        <v>5</v>
      </c>
      <c r="E60" s="739"/>
      <c r="F60" s="738"/>
      <c r="G60" s="739"/>
      <c r="H60" s="738"/>
      <c r="I60" s="739"/>
      <c r="J60" s="738"/>
      <c r="K60" s="739">
        <v>5</v>
      </c>
      <c r="L60" s="738">
        <v>1</v>
      </c>
      <c r="M60" s="739">
        <f t="shared" si="0"/>
        <v>0</v>
      </c>
      <c r="N60" s="738">
        <v>1</v>
      </c>
      <c r="O60" s="739"/>
      <c r="P60" s="738"/>
      <c r="Q60" s="739"/>
      <c r="R60" s="738"/>
      <c r="S60" s="739"/>
      <c r="T60" s="738"/>
      <c r="U60" s="739"/>
      <c r="V60" s="738"/>
      <c r="W60" s="739"/>
      <c r="X60" s="738"/>
      <c r="Y60" s="739"/>
      <c r="Z60" s="738"/>
      <c r="AA60" s="740">
        <v>10</v>
      </c>
      <c r="AB60" s="734"/>
      <c r="AC60" s="734"/>
    </row>
    <row r="61" spans="1:29" ht="14.25">
      <c r="A61" s="735">
        <v>6.23</v>
      </c>
      <c r="B61" s="736" t="s">
        <v>2382</v>
      </c>
      <c r="C61" s="737">
        <v>30</v>
      </c>
      <c r="D61" s="738">
        <v>5</v>
      </c>
      <c r="E61" s="739"/>
      <c r="F61" s="738"/>
      <c r="G61" s="739"/>
      <c r="H61" s="738"/>
      <c r="I61" s="739"/>
      <c r="J61" s="738"/>
      <c r="K61" s="739">
        <v>5</v>
      </c>
      <c r="L61" s="738">
        <v>1</v>
      </c>
      <c r="M61" s="739">
        <f t="shared" si="0"/>
        <v>0</v>
      </c>
      <c r="N61" s="738">
        <v>1</v>
      </c>
      <c r="O61" s="739"/>
      <c r="P61" s="738"/>
      <c r="Q61" s="739"/>
      <c r="R61" s="738"/>
      <c r="S61" s="739"/>
      <c r="T61" s="738"/>
      <c r="U61" s="739"/>
      <c r="V61" s="738"/>
      <c r="W61" s="739"/>
      <c r="X61" s="738"/>
      <c r="Y61" s="739"/>
      <c r="Z61" s="738"/>
      <c r="AA61" s="740">
        <v>8</v>
      </c>
      <c r="AB61" s="734"/>
      <c r="AC61" s="734"/>
    </row>
    <row r="62" spans="1:29" ht="14.25">
      <c r="A62" s="735">
        <v>6.24</v>
      </c>
      <c r="B62" s="736" t="s">
        <v>2383</v>
      </c>
      <c r="C62" s="737">
        <v>30</v>
      </c>
      <c r="D62" s="738">
        <v>5</v>
      </c>
      <c r="E62" s="739"/>
      <c r="F62" s="738"/>
      <c r="G62" s="739"/>
      <c r="H62" s="738"/>
      <c r="I62" s="739"/>
      <c r="J62" s="738"/>
      <c r="K62" s="739">
        <v>5</v>
      </c>
      <c r="L62" s="738">
        <v>1</v>
      </c>
      <c r="M62" s="739">
        <f t="shared" si="0"/>
        <v>0</v>
      </c>
      <c r="N62" s="738">
        <v>1</v>
      </c>
      <c r="O62" s="739"/>
      <c r="P62" s="738"/>
      <c r="Q62" s="739"/>
      <c r="R62" s="738"/>
      <c r="S62" s="739"/>
      <c r="T62" s="738"/>
      <c r="U62" s="739"/>
      <c r="V62" s="738"/>
      <c r="W62" s="739"/>
      <c r="X62" s="738"/>
      <c r="Y62" s="739"/>
      <c r="Z62" s="738"/>
      <c r="AA62" s="740">
        <v>5</v>
      </c>
      <c r="AB62" s="734"/>
      <c r="AC62" s="734"/>
    </row>
    <row r="63" spans="1:29" ht="14.25">
      <c r="A63" s="735">
        <v>6.25</v>
      </c>
      <c r="B63" s="736" t="s">
        <v>2384</v>
      </c>
      <c r="C63" s="737">
        <v>40</v>
      </c>
      <c r="D63" s="738">
        <v>10</v>
      </c>
      <c r="E63" s="739"/>
      <c r="F63" s="738"/>
      <c r="G63" s="739"/>
      <c r="H63" s="738"/>
      <c r="I63" s="739"/>
      <c r="J63" s="738"/>
      <c r="K63" s="739">
        <v>5</v>
      </c>
      <c r="L63" s="738">
        <v>1</v>
      </c>
      <c r="M63" s="739">
        <f t="shared" si="0"/>
        <v>0</v>
      </c>
      <c r="N63" s="738">
        <v>1</v>
      </c>
      <c r="O63" s="739"/>
      <c r="P63" s="738"/>
      <c r="Q63" s="739"/>
      <c r="R63" s="738"/>
      <c r="S63" s="739"/>
      <c r="T63" s="738"/>
      <c r="U63" s="739"/>
      <c r="V63" s="738"/>
      <c r="W63" s="739"/>
      <c r="X63" s="738"/>
      <c r="Y63" s="739"/>
      <c r="Z63" s="738"/>
      <c r="AA63" s="740">
        <v>5</v>
      </c>
      <c r="AB63" s="734"/>
      <c r="AC63" s="734"/>
    </row>
    <row r="64" spans="1:29" ht="14.25">
      <c r="A64" s="735">
        <v>6.26</v>
      </c>
      <c r="B64" s="736" t="s">
        <v>2385</v>
      </c>
      <c r="C64" s="737">
        <v>50</v>
      </c>
      <c r="D64" s="738">
        <v>10</v>
      </c>
      <c r="E64" s="739"/>
      <c r="F64" s="738"/>
      <c r="G64" s="739"/>
      <c r="H64" s="738"/>
      <c r="I64" s="739"/>
      <c r="J64" s="738"/>
      <c r="K64" s="739">
        <v>5</v>
      </c>
      <c r="L64" s="738">
        <v>1</v>
      </c>
      <c r="M64" s="739">
        <f t="shared" si="0"/>
        <v>0</v>
      </c>
      <c r="N64" s="738">
        <v>1</v>
      </c>
      <c r="O64" s="739"/>
      <c r="P64" s="738"/>
      <c r="Q64" s="739"/>
      <c r="R64" s="738"/>
      <c r="S64" s="739"/>
      <c r="T64" s="738"/>
      <c r="U64" s="739"/>
      <c r="V64" s="738"/>
      <c r="W64" s="739"/>
      <c r="X64" s="738"/>
      <c r="Y64" s="739"/>
      <c r="Z64" s="738"/>
      <c r="AA64" s="740">
        <v>10</v>
      </c>
      <c r="AB64" s="734"/>
      <c r="AC64" s="734"/>
    </row>
    <row r="65" spans="1:29" ht="14.25">
      <c r="A65" s="735">
        <v>6.27</v>
      </c>
      <c r="B65" s="736" t="s">
        <v>2386</v>
      </c>
      <c r="C65" s="737">
        <v>40</v>
      </c>
      <c r="D65" s="738">
        <v>10</v>
      </c>
      <c r="E65" s="739"/>
      <c r="F65" s="738"/>
      <c r="G65" s="739"/>
      <c r="H65" s="738"/>
      <c r="I65" s="739"/>
      <c r="J65" s="738"/>
      <c r="K65" s="739">
        <v>5</v>
      </c>
      <c r="L65" s="738">
        <v>1</v>
      </c>
      <c r="M65" s="739">
        <f t="shared" si="0"/>
        <v>0</v>
      </c>
      <c r="N65" s="738">
        <v>1</v>
      </c>
      <c r="O65" s="739"/>
      <c r="P65" s="738"/>
      <c r="Q65" s="739"/>
      <c r="R65" s="738"/>
      <c r="S65" s="739"/>
      <c r="T65" s="738"/>
      <c r="U65" s="739"/>
      <c r="V65" s="738"/>
      <c r="W65" s="739"/>
      <c r="X65" s="738"/>
      <c r="Y65" s="739"/>
      <c r="Z65" s="738"/>
      <c r="AA65" s="740">
        <v>10</v>
      </c>
      <c r="AB65" s="734"/>
      <c r="AC65" s="734"/>
    </row>
    <row r="66" spans="1:29" ht="14.25">
      <c r="A66" s="735">
        <v>6.28</v>
      </c>
      <c r="B66" s="736" t="s">
        <v>2387</v>
      </c>
      <c r="C66" s="737">
        <v>40</v>
      </c>
      <c r="D66" s="738">
        <v>10</v>
      </c>
      <c r="E66" s="739"/>
      <c r="F66" s="738"/>
      <c r="G66" s="739"/>
      <c r="H66" s="738"/>
      <c r="I66" s="739"/>
      <c r="J66" s="738"/>
      <c r="K66" s="739">
        <v>5</v>
      </c>
      <c r="L66" s="738">
        <v>1</v>
      </c>
      <c r="M66" s="739">
        <f t="shared" si="0"/>
        <v>0</v>
      </c>
      <c r="N66" s="738">
        <v>1</v>
      </c>
      <c r="O66" s="739"/>
      <c r="P66" s="738"/>
      <c r="Q66" s="739"/>
      <c r="R66" s="738"/>
      <c r="S66" s="739"/>
      <c r="T66" s="738"/>
      <c r="U66" s="739"/>
      <c r="V66" s="738"/>
      <c r="W66" s="739"/>
      <c r="X66" s="738"/>
      <c r="Y66" s="739"/>
      <c r="Z66" s="738"/>
      <c r="AA66" s="740">
        <v>8</v>
      </c>
      <c r="AB66" s="734"/>
      <c r="AC66" s="734"/>
    </row>
    <row r="67" spans="1:29" ht="14.25">
      <c r="A67" s="735">
        <v>6.29</v>
      </c>
      <c r="B67" s="736" t="s">
        <v>2388</v>
      </c>
      <c r="C67" s="737">
        <v>30</v>
      </c>
      <c r="D67" s="738">
        <v>5</v>
      </c>
      <c r="E67" s="739"/>
      <c r="F67" s="738"/>
      <c r="G67" s="739"/>
      <c r="H67" s="738"/>
      <c r="I67" s="739"/>
      <c r="J67" s="738"/>
      <c r="K67" s="739">
        <v>5</v>
      </c>
      <c r="L67" s="738">
        <v>1</v>
      </c>
      <c r="M67" s="739">
        <f t="shared" si="0"/>
        <v>0</v>
      </c>
      <c r="N67" s="738">
        <v>1</v>
      </c>
      <c r="O67" s="739"/>
      <c r="P67" s="738"/>
      <c r="Q67" s="739"/>
      <c r="R67" s="738"/>
      <c r="S67" s="739"/>
      <c r="T67" s="738"/>
      <c r="U67" s="739"/>
      <c r="V67" s="738"/>
      <c r="W67" s="739"/>
      <c r="X67" s="738"/>
      <c r="Y67" s="739"/>
      <c r="Z67" s="738"/>
      <c r="AA67" s="740">
        <v>8</v>
      </c>
      <c r="AB67" s="734"/>
      <c r="AC67" s="734"/>
    </row>
    <row r="68" spans="1:29" ht="14.25">
      <c r="A68" s="749" t="s">
        <v>697</v>
      </c>
      <c r="B68" s="736" t="s">
        <v>2389</v>
      </c>
      <c r="C68" s="750">
        <v>80</v>
      </c>
      <c r="D68" s="738">
        <v>20</v>
      </c>
      <c r="E68" s="751"/>
      <c r="F68" s="738"/>
      <c r="G68" s="751"/>
      <c r="H68" s="738"/>
      <c r="I68" s="739"/>
      <c r="J68" s="738"/>
      <c r="K68" s="751">
        <v>5</v>
      </c>
      <c r="L68" s="738">
        <v>1</v>
      </c>
      <c r="M68" s="739">
        <f t="shared" si="0"/>
        <v>0</v>
      </c>
      <c r="N68" s="738">
        <v>1</v>
      </c>
      <c r="O68" s="751"/>
      <c r="P68" s="738"/>
      <c r="Q68" s="751"/>
      <c r="R68" s="738"/>
      <c r="S68" s="751"/>
      <c r="T68" s="738"/>
      <c r="U68" s="751"/>
      <c r="V68" s="738"/>
      <c r="W68" s="751"/>
      <c r="X68" s="738"/>
      <c r="Y68" s="751"/>
      <c r="Z68" s="738"/>
      <c r="AA68" s="752">
        <v>10</v>
      </c>
      <c r="AB68" s="734"/>
      <c r="AC68" s="734"/>
    </row>
    <row r="69" spans="1:29" ht="14.25">
      <c r="A69" s="749">
        <v>6.31</v>
      </c>
      <c r="B69" s="736" t="s">
        <v>2390</v>
      </c>
      <c r="C69" s="750">
        <v>25</v>
      </c>
      <c r="D69" s="738">
        <v>5</v>
      </c>
      <c r="E69" s="751"/>
      <c r="F69" s="738"/>
      <c r="G69" s="751"/>
      <c r="H69" s="738"/>
      <c r="I69" s="739"/>
      <c r="J69" s="738"/>
      <c r="K69" s="751">
        <v>5</v>
      </c>
      <c r="L69" s="738">
        <v>1</v>
      </c>
      <c r="M69" s="739">
        <f t="shared" si="0"/>
        <v>0</v>
      </c>
      <c r="N69" s="738">
        <v>1</v>
      </c>
      <c r="O69" s="751"/>
      <c r="P69" s="738"/>
      <c r="Q69" s="751"/>
      <c r="R69" s="738"/>
      <c r="S69" s="751"/>
      <c r="T69" s="738"/>
      <c r="U69" s="751"/>
      <c r="V69" s="738"/>
      <c r="W69" s="751"/>
      <c r="X69" s="738"/>
      <c r="Y69" s="751"/>
      <c r="Z69" s="738"/>
      <c r="AA69" s="752">
        <v>5</v>
      </c>
      <c r="AB69" s="734"/>
      <c r="AC69" s="734"/>
    </row>
    <row r="70" spans="1:29" ht="14.25">
      <c r="A70" s="742">
        <v>7</v>
      </c>
      <c r="B70" s="743" t="s">
        <v>2391</v>
      </c>
      <c r="C70" s="753"/>
      <c r="D70" s="754"/>
      <c r="E70" s="755"/>
      <c r="F70" s="754"/>
      <c r="G70" s="755"/>
      <c r="H70" s="754"/>
      <c r="I70" s="755"/>
      <c r="J70" s="754"/>
      <c r="K70" s="755"/>
      <c r="L70" s="754"/>
      <c r="M70" s="755"/>
      <c r="N70" s="754"/>
      <c r="O70" s="755"/>
      <c r="P70" s="754"/>
      <c r="Q70" s="755"/>
      <c r="R70" s="754"/>
      <c r="S70" s="755"/>
      <c r="T70" s="754"/>
      <c r="U70" s="755"/>
      <c r="V70" s="754"/>
      <c r="W70" s="755"/>
      <c r="X70" s="754"/>
      <c r="Y70" s="755"/>
      <c r="Z70" s="754"/>
      <c r="AA70" s="756"/>
      <c r="AB70" s="734"/>
      <c r="AC70" s="734"/>
    </row>
    <row r="71" spans="1:29" ht="14.25">
      <c r="A71" s="735">
        <v>7.1</v>
      </c>
      <c r="B71" s="757" t="s">
        <v>2392</v>
      </c>
      <c r="C71" s="737">
        <v>5</v>
      </c>
      <c r="D71" s="738">
        <v>2</v>
      </c>
      <c r="E71" s="739">
        <v>1</v>
      </c>
      <c r="F71" s="738"/>
      <c r="G71" s="739"/>
      <c r="H71" s="738"/>
      <c r="I71" s="739"/>
      <c r="J71" s="738"/>
      <c r="K71" s="739"/>
      <c r="L71" s="738"/>
      <c r="M71" s="739"/>
      <c r="N71" s="738"/>
      <c r="O71" s="739"/>
      <c r="P71" s="738"/>
      <c r="Q71" s="739"/>
      <c r="R71" s="738"/>
      <c r="S71" s="739"/>
      <c r="T71" s="738"/>
      <c r="U71" s="739"/>
      <c r="V71" s="738"/>
      <c r="W71" s="739"/>
      <c r="X71" s="738"/>
      <c r="Y71" s="739"/>
      <c r="Z71" s="738"/>
      <c r="AA71" s="740"/>
      <c r="AB71" s="734"/>
      <c r="AC71" s="734"/>
    </row>
    <row r="72" spans="1:29" ht="14.25">
      <c r="A72" s="735">
        <v>7.2</v>
      </c>
      <c r="B72" s="757" t="s">
        <v>2393</v>
      </c>
      <c r="C72" s="737">
        <v>5</v>
      </c>
      <c r="D72" s="738">
        <v>2</v>
      </c>
      <c r="E72" s="739">
        <v>1</v>
      </c>
      <c r="F72" s="738"/>
      <c r="G72" s="739"/>
      <c r="H72" s="738"/>
      <c r="I72" s="739"/>
      <c r="J72" s="738"/>
      <c r="K72" s="739"/>
      <c r="L72" s="738"/>
      <c r="M72" s="739"/>
      <c r="N72" s="738"/>
      <c r="O72" s="739"/>
      <c r="P72" s="738"/>
      <c r="Q72" s="739"/>
      <c r="R72" s="738"/>
      <c r="S72" s="739"/>
      <c r="T72" s="738"/>
      <c r="U72" s="739"/>
      <c r="V72" s="738"/>
      <c r="W72" s="739"/>
      <c r="X72" s="738"/>
      <c r="Y72" s="739"/>
      <c r="Z72" s="738"/>
      <c r="AA72" s="740"/>
      <c r="AB72" s="734"/>
      <c r="AC72" s="734"/>
    </row>
    <row r="73" spans="1:29" ht="14.25">
      <c r="A73" s="735">
        <v>7.3</v>
      </c>
      <c r="B73" s="757" t="s">
        <v>2394</v>
      </c>
      <c r="C73" s="737">
        <v>5</v>
      </c>
      <c r="D73" s="738">
        <v>2</v>
      </c>
      <c r="E73" s="739">
        <v>1</v>
      </c>
      <c r="F73" s="738"/>
      <c r="G73" s="739"/>
      <c r="H73" s="738"/>
      <c r="I73" s="739"/>
      <c r="J73" s="738"/>
      <c r="K73" s="739"/>
      <c r="L73" s="738"/>
      <c r="M73" s="739"/>
      <c r="N73" s="738"/>
      <c r="O73" s="739"/>
      <c r="P73" s="738"/>
      <c r="Q73" s="739"/>
      <c r="R73" s="738"/>
      <c r="S73" s="739"/>
      <c r="T73" s="738"/>
      <c r="U73" s="739"/>
      <c r="V73" s="738"/>
      <c r="W73" s="739"/>
      <c r="X73" s="738"/>
      <c r="Y73" s="739"/>
      <c r="Z73" s="738"/>
      <c r="AA73" s="740"/>
      <c r="AB73" s="734"/>
      <c r="AC73" s="734"/>
    </row>
    <row r="74" spans="1:29" ht="14.25">
      <c r="A74" s="735">
        <v>7.4</v>
      </c>
      <c r="B74" s="757" t="s">
        <v>2395</v>
      </c>
      <c r="C74" s="737">
        <v>5</v>
      </c>
      <c r="D74" s="738">
        <v>2</v>
      </c>
      <c r="E74" s="739">
        <v>1</v>
      </c>
      <c r="F74" s="738"/>
      <c r="G74" s="739"/>
      <c r="H74" s="738"/>
      <c r="I74" s="739"/>
      <c r="J74" s="738"/>
      <c r="K74" s="739"/>
      <c r="L74" s="738"/>
      <c r="M74" s="739"/>
      <c r="N74" s="738"/>
      <c r="O74" s="739"/>
      <c r="P74" s="738"/>
      <c r="Q74" s="739"/>
      <c r="R74" s="738"/>
      <c r="S74" s="739"/>
      <c r="T74" s="738"/>
      <c r="U74" s="739"/>
      <c r="V74" s="738"/>
      <c r="W74" s="739"/>
      <c r="X74" s="738"/>
      <c r="Y74" s="739"/>
      <c r="Z74" s="738"/>
      <c r="AA74" s="740"/>
      <c r="AB74" s="734"/>
      <c r="AC74" s="734"/>
    </row>
    <row r="75" spans="1:29" ht="14.25">
      <c r="A75" s="735">
        <v>7.5</v>
      </c>
      <c r="B75" s="757" t="s">
        <v>2396</v>
      </c>
      <c r="C75" s="737">
        <v>5</v>
      </c>
      <c r="D75" s="738">
        <v>2</v>
      </c>
      <c r="E75" s="739">
        <v>1</v>
      </c>
      <c r="F75" s="738"/>
      <c r="G75" s="739"/>
      <c r="H75" s="738"/>
      <c r="I75" s="739"/>
      <c r="J75" s="738"/>
      <c r="K75" s="739"/>
      <c r="L75" s="738"/>
      <c r="M75" s="739"/>
      <c r="N75" s="738"/>
      <c r="O75" s="739"/>
      <c r="P75" s="738"/>
      <c r="Q75" s="739"/>
      <c r="R75" s="738"/>
      <c r="S75" s="739"/>
      <c r="T75" s="738"/>
      <c r="U75" s="739"/>
      <c r="V75" s="738"/>
      <c r="W75" s="739"/>
      <c r="X75" s="738"/>
      <c r="Y75" s="739"/>
      <c r="Z75" s="738"/>
      <c r="AA75" s="740"/>
      <c r="AB75" s="734"/>
      <c r="AC75" s="734"/>
    </row>
    <row r="76" spans="1:29" ht="14.25">
      <c r="A76" s="735">
        <v>7.6</v>
      </c>
      <c r="B76" s="757" t="s">
        <v>2397</v>
      </c>
      <c r="C76" s="737">
        <v>5</v>
      </c>
      <c r="D76" s="738">
        <v>2</v>
      </c>
      <c r="E76" s="739">
        <v>1</v>
      </c>
      <c r="F76" s="738"/>
      <c r="G76" s="739"/>
      <c r="H76" s="738"/>
      <c r="I76" s="739"/>
      <c r="J76" s="738"/>
      <c r="K76" s="739"/>
      <c r="L76" s="738"/>
      <c r="M76" s="739"/>
      <c r="N76" s="738"/>
      <c r="O76" s="739"/>
      <c r="P76" s="738"/>
      <c r="Q76" s="739"/>
      <c r="R76" s="738"/>
      <c r="S76" s="739"/>
      <c r="T76" s="738"/>
      <c r="U76" s="739"/>
      <c r="V76" s="738"/>
      <c r="W76" s="739"/>
      <c r="X76" s="738"/>
      <c r="Y76" s="739"/>
      <c r="Z76" s="738"/>
      <c r="AA76" s="740"/>
      <c r="AB76" s="734"/>
      <c r="AC76" s="734"/>
    </row>
    <row r="77" spans="1:29" ht="14.25">
      <c r="A77" s="735">
        <v>7.7</v>
      </c>
      <c r="B77" s="757" t="s">
        <v>2398</v>
      </c>
      <c r="C77" s="737">
        <v>5</v>
      </c>
      <c r="D77" s="738">
        <v>2</v>
      </c>
      <c r="E77" s="739">
        <v>1</v>
      </c>
      <c r="F77" s="738"/>
      <c r="G77" s="739"/>
      <c r="H77" s="738"/>
      <c r="I77" s="739"/>
      <c r="J77" s="738"/>
      <c r="K77" s="739"/>
      <c r="L77" s="738"/>
      <c r="M77" s="739"/>
      <c r="N77" s="738"/>
      <c r="O77" s="739"/>
      <c r="P77" s="738"/>
      <c r="Q77" s="739"/>
      <c r="R77" s="738"/>
      <c r="S77" s="739"/>
      <c r="T77" s="738"/>
      <c r="U77" s="739"/>
      <c r="V77" s="738"/>
      <c r="W77" s="739"/>
      <c r="X77" s="738"/>
      <c r="Y77" s="739"/>
      <c r="Z77" s="738"/>
      <c r="AA77" s="740"/>
      <c r="AB77" s="734"/>
      <c r="AC77" s="734"/>
    </row>
    <row r="78" spans="1:29" ht="14.25">
      <c r="A78" s="735">
        <v>7.8</v>
      </c>
      <c r="B78" s="757" t="s">
        <v>2399</v>
      </c>
      <c r="C78" s="737">
        <v>5</v>
      </c>
      <c r="D78" s="738">
        <v>2</v>
      </c>
      <c r="E78" s="739">
        <v>1</v>
      </c>
      <c r="F78" s="738"/>
      <c r="G78" s="739"/>
      <c r="H78" s="738"/>
      <c r="I78" s="739"/>
      <c r="J78" s="738"/>
      <c r="K78" s="739"/>
      <c r="L78" s="738"/>
      <c r="M78" s="739"/>
      <c r="N78" s="738"/>
      <c r="O78" s="739"/>
      <c r="P78" s="738"/>
      <c r="Q78" s="739"/>
      <c r="R78" s="738"/>
      <c r="S78" s="739"/>
      <c r="T78" s="738"/>
      <c r="U78" s="739"/>
      <c r="V78" s="738"/>
      <c r="W78" s="739"/>
      <c r="X78" s="738"/>
      <c r="Y78" s="739"/>
      <c r="Z78" s="738"/>
      <c r="AA78" s="740"/>
      <c r="AB78" s="734"/>
      <c r="AC78" s="734"/>
    </row>
    <row r="79" spans="1:29" ht="14.25">
      <c r="A79" s="735">
        <v>7.9</v>
      </c>
      <c r="B79" s="757" t="s">
        <v>2400</v>
      </c>
      <c r="C79" s="737">
        <v>5</v>
      </c>
      <c r="D79" s="738">
        <v>2</v>
      </c>
      <c r="E79" s="739">
        <v>1</v>
      </c>
      <c r="F79" s="738"/>
      <c r="G79" s="739"/>
      <c r="H79" s="738"/>
      <c r="I79" s="739"/>
      <c r="J79" s="738"/>
      <c r="K79" s="739"/>
      <c r="L79" s="738"/>
      <c r="M79" s="739"/>
      <c r="N79" s="738"/>
      <c r="O79" s="739"/>
      <c r="P79" s="738"/>
      <c r="Q79" s="739"/>
      <c r="R79" s="738"/>
      <c r="S79" s="739"/>
      <c r="T79" s="738"/>
      <c r="U79" s="739"/>
      <c r="V79" s="738"/>
      <c r="W79" s="739"/>
      <c r="X79" s="738"/>
      <c r="Y79" s="739"/>
      <c r="Z79" s="738"/>
      <c r="AA79" s="740"/>
      <c r="AB79" s="734"/>
      <c r="AC79" s="734"/>
    </row>
    <row r="80" spans="1:29" ht="14.25">
      <c r="A80" s="749" t="s">
        <v>2401</v>
      </c>
      <c r="B80" s="757" t="s">
        <v>2402</v>
      </c>
      <c r="C80" s="737">
        <v>5</v>
      </c>
      <c r="D80" s="738">
        <v>2</v>
      </c>
      <c r="E80" s="739">
        <v>1</v>
      </c>
      <c r="F80" s="738"/>
      <c r="G80" s="739"/>
      <c r="H80" s="738"/>
      <c r="I80" s="739"/>
      <c r="J80" s="738"/>
      <c r="K80" s="739"/>
      <c r="L80" s="738"/>
      <c r="M80" s="739"/>
      <c r="N80" s="738"/>
      <c r="O80" s="739"/>
      <c r="P80" s="738"/>
      <c r="Q80" s="739"/>
      <c r="R80" s="738"/>
      <c r="S80" s="739"/>
      <c r="T80" s="738"/>
      <c r="U80" s="739"/>
      <c r="V80" s="738"/>
      <c r="W80" s="739"/>
      <c r="X80" s="738"/>
      <c r="Y80" s="739"/>
      <c r="Z80" s="738"/>
      <c r="AA80" s="740"/>
      <c r="AB80" s="734"/>
      <c r="AC80" s="734"/>
    </row>
    <row r="81" spans="1:29" ht="25.5">
      <c r="A81" s="735">
        <v>7.11</v>
      </c>
      <c r="B81" s="757" t="s">
        <v>2403</v>
      </c>
      <c r="C81" s="737">
        <v>5</v>
      </c>
      <c r="D81" s="738">
        <v>2</v>
      </c>
      <c r="E81" s="739">
        <v>1</v>
      </c>
      <c r="F81" s="738"/>
      <c r="G81" s="739"/>
      <c r="H81" s="738"/>
      <c r="I81" s="739"/>
      <c r="J81" s="738"/>
      <c r="K81" s="739"/>
      <c r="L81" s="738"/>
      <c r="M81" s="739"/>
      <c r="N81" s="738"/>
      <c r="O81" s="739"/>
      <c r="P81" s="738"/>
      <c r="Q81" s="739"/>
      <c r="R81" s="738"/>
      <c r="S81" s="739"/>
      <c r="T81" s="738"/>
      <c r="U81" s="739"/>
      <c r="V81" s="738"/>
      <c r="W81" s="739"/>
      <c r="X81" s="738"/>
      <c r="Y81" s="739"/>
      <c r="Z81" s="738"/>
      <c r="AA81" s="740"/>
      <c r="AB81" s="734"/>
      <c r="AC81" s="734"/>
    </row>
    <row r="82" spans="1:29" ht="14.25">
      <c r="A82" s="735">
        <v>7.12</v>
      </c>
      <c r="B82" s="757" t="s">
        <v>2404</v>
      </c>
      <c r="C82" s="737">
        <v>5</v>
      </c>
      <c r="D82" s="738">
        <v>2</v>
      </c>
      <c r="E82" s="739">
        <v>1</v>
      </c>
      <c r="F82" s="738"/>
      <c r="G82" s="739"/>
      <c r="H82" s="738"/>
      <c r="I82" s="739"/>
      <c r="J82" s="738"/>
      <c r="K82" s="739"/>
      <c r="L82" s="738"/>
      <c r="M82" s="739"/>
      <c r="N82" s="738"/>
      <c r="O82" s="739"/>
      <c r="P82" s="738"/>
      <c r="Q82" s="739"/>
      <c r="R82" s="738"/>
      <c r="S82" s="739"/>
      <c r="T82" s="738"/>
      <c r="U82" s="739"/>
      <c r="V82" s="738"/>
      <c r="W82" s="739"/>
      <c r="X82" s="738"/>
      <c r="Y82" s="739"/>
      <c r="Z82" s="738"/>
      <c r="AA82" s="740"/>
      <c r="AB82" s="734"/>
      <c r="AC82" s="734"/>
    </row>
    <row r="83" spans="1:29" ht="14.25">
      <c r="A83" s="735">
        <v>7.13</v>
      </c>
      <c r="B83" s="757" t="s">
        <v>2405</v>
      </c>
      <c r="C83" s="737">
        <v>5</v>
      </c>
      <c r="D83" s="738">
        <v>2</v>
      </c>
      <c r="E83" s="739">
        <v>1</v>
      </c>
      <c r="F83" s="738"/>
      <c r="G83" s="739"/>
      <c r="H83" s="738"/>
      <c r="I83" s="739"/>
      <c r="J83" s="738"/>
      <c r="K83" s="739"/>
      <c r="L83" s="738"/>
      <c r="M83" s="739"/>
      <c r="N83" s="738"/>
      <c r="O83" s="739"/>
      <c r="P83" s="738"/>
      <c r="Q83" s="739"/>
      <c r="R83" s="738"/>
      <c r="S83" s="739"/>
      <c r="T83" s="738"/>
      <c r="U83" s="739"/>
      <c r="V83" s="738"/>
      <c r="W83" s="739"/>
      <c r="X83" s="738"/>
      <c r="Y83" s="739"/>
      <c r="Z83" s="738"/>
      <c r="AA83" s="740"/>
      <c r="AB83" s="734"/>
      <c r="AC83" s="734"/>
    </row>
    <row r="84" spans="1:29" ht="14.25">
      <c r="A84" s="735">
        <v>7.14</v>
      </c>
      <c r="B84" s="757" t="s">
        <v>2406</v>
      </c>
      <c r="C84" s="737">
        <v>5</v>
      </c>
      <c r="D84" s="738">
        <v>2</v>
      </c>
      <c r="E84" s="739">
        <v>1</v>
      </c>
      <c r="F84" s="738"/>
      <c r="G84" s="739"/>
      <c r="H84" s="738"/>
      <c r="I84" s="739"/>
      <c r="J84" s="738"/>
      <c r="K84" s="739"/>
      <c r="L84" s="738"/>
      <c r="M84" s="739"/>
      <c r="N84" s="738"/>
      <c r="O84" s="739"/>
      <c r="P84" s="738"/>
      <c r="Q84" s="739"/>
      <c r="R84" s="738"/>
      <c r="S84" s="739"/>
      <c r="T84" s="738"/>
      <c r="U84" s="739"/>
      <c r="V84" s="738"/>
      <c r="W84" s="739"/>
      <c r="X84" s="738"/>
      <c r="Y84" s="739"/>
      <c r="Z84" s="738"/>
      <c r="AA84" s="740"/>
      <c r="AB84" s="734"/>
      <c r="AC84" s="734"/>
    </row>
    <row r="85" spans="1:29" ht="14.25">
      <c r="A85" s="735">
        <v>7.15</v>
      </c>
      <c r="B85" s="757" t="s">
        <v>2407</v>
      </c>
      <c r="C85" s="737">
        <v>5</v>
      </c>
      <c r="D85" s="738">
        <v>2</v>
      </c>
      <c r="E85" s="739">
        <v>1</v>
      </c>
      <c r="F85" s="738"/>
      <c r="G85" s="739"/>
      <c r="H85" s="738"/>
      <c r="I85" s="739"/>
      <c r="J85" s="738"/>
      <c r="K85" s="739"/>
      <c r="L85" s="738"/>
      <c r="M85" s="739"/>
      <c r="N85" s="738"/>
      <c r="O85" s="739"/>
      <c r="P85" s="738"/>
      <c r="Q85" s="739"/>
      <c r="R85" s="738"/>
      <c r="S85" s="739"/>
      <c r="T85" s="738"/>
      <c r="U85" s="739"/>
      <c r="V85" s="738"/>
      <c r="W85" s="739"/>
      <c r="X85" s="738"/>
      <c r="Y85" s="739"/>
      <c r="Z85" s="738"/>
      <c r="AA85" s="740"/>
      <c r="AB85" s="734"/>
      <c r="AC85" s="734"/>
    </row>
    <row r="86" spans="1:29" ht="14.25">
      <c r="A86" s="735">
        <v>7.16</v>
      </c>
      <c r="B86" s="757" t="s">
        <v>2408</v>
      </c>
      <c r="C86" s="737">
        <v>5</v>
      </c>
      <c r="D86" s="738">
        <v>2</v>
      </c>
      <c r="E86" s="739">
        <v>1</v>
      </c>
      <c r="F86" s="738"/>
      <c r="G86" s="739"/>
      <c r="H86" s="738"/>
      <c r="I86" s="739"/>
      <c r="J86" s="738"/>
      <c r="K86" s="739"/>
      <c r="L86" s="738"/>
      <c r="M86" s="739"/>
      <c r="N86" s="738"/>
      <c r="O86" s="739"/>
      <c r="P86" s="738"/>
      <c r="Q86" s="739"/>
      <c r="R86" s="738"/>
      <c r="S86" s="739"/>
      <c r="T86" s="738"/>
      <c r="U86" s="739"/>
      <c r="V86" s="738"/>
      <c r="W86" s="739"/>
      <c r="X86" s="738"/>
      <c r="Y86" s="739"/>
      <c r="Z86" s="738"/>
      <c r="AA86" s="740"/>
      <c r="AB86" s="734"/>
      <c r="AC86" s="734"/>
    </row>
    <row r="87" spans="1:29" ht="14.25">
      <c r="A87" s="735">
        <v>7.17</v>
      </c>
      <c r="B87" s="757" t="s">
        <v>2409</v>
      </c>
      <c r="C87" s="737">
        <v>5</v>
      </c>
      <c r="D87" s="738">
        <v>2</v>
      </c>
      <c r="E87" s="739">
        <v>1</v>
      </c>
      <c r="F87" s="738"/>
      <c r="G87" s="739"/>
      <c r="H87" s="738"/>
      <c r="I87" s="739"/>
      <c r="J87" s="738"/>
      <c r="K87" s="739"/>
      <c r="L87" s="738"/>
      <c r="M87" s="739"/>
      <c r="N87" s="738"/>
      <c r="O87" s="739"/>
      <c r="P87" s="738"/>
      <c r="Q87" s="739"/>
      <c r="R87" s="738"/>
      <c r="S87" s="739"/>
      <c r="T87" s="738"/>
      <c r="U87" s="739"/>
      <c r="V87" s="738"/>
      <c r="W87" s="739"/>
      <c r="X87" s="738"/>
      <c r="Y87" s="739"/>
      <c r="Z87" s="738"/>
      <c r="AA87" s="740"/>
      <c r="AB87" s="734"/>
      <c r="AC87" s="734"/>
    </row>
    <row r="88" spans="1:29" ht="14.25">
      <c r="A88" s="735">
        <v>7.18</v>
      </c>
      <c r="B88" s="757" t="s">
        <v>2410</v>
      </c>
      <c r="C88" s="737">
        <v>5</v>
      </c>
      <c r="D88" s="738">
        <v>2</v>
      </c>
      <c r="E88" s="739">
        <v>1</v>
      </c>
      <c r="F88" s="738"/>
      <c r="G88" s="739"/>
      <c r="H88" s="738"/>
      <c r="I88" s="739"/>
      <c r="J88" s="738"/>
      <c r="K88" s="739"/>
      <c r="L88" s="738"/>
      <c r="M88" s="739"/>
      <c r="N88" s="738"/>
      <c r="O88" s="739"/>
      <c r="P88" s="738"/>
      <c r="Q88" s="739"/>
      <c r="R88" s="738"/>
      <c r="S88" s="739"/>
      <c r="T88" s="738"/>
      <c r="U88" s="739"/>
      <c r="V88" s="738"/>
      <c r="W88" s="739"/>
      <c r="X88" s="738"/>
      <c r="Y88" s="739"/>
      <c r="Z88" s="738"/>
      <c r="AA88" s="740"/>
      <c r="AB88" s="734"/>
      <c r="AC88" s="734"/>
    </row>
    <row r="89" spans="1:29" ht="14.25">
      <c r="A89" s="735">
        <v>7.19</v>
      </c>
      <c r="B89" s="757" t="s">
        <v>2411</v>
      </c>
      <c r="C89" s="737">
        <v>5</v>
      </c>
      <c r="D89" s="738">
        <v>2</v>
      </c>
      <c r="E89" s="739">
        <v>1</v>
      </c>
      <c r="F89" s="738"/>
      <c r="G89" s="739"/>
      <c r="H89" s="738"/>
      <c r="I89" s="739"/>
      <c r="J89" s="738"/>
      <c r="K89" s="739"/>
      <c r="L89" s="738"/>
      <c r="M89" s="739"/>
      <c r="N89" s="738"/>
      <c r="O89" s="739"/>
      <c r="P89" s="738"/>
      <c r="Q89" s="739"/>
      <c r="R89" s="738"/>
      <c r="S89" s="739"/>
      <c r="T89" s="738"/>
      <c r="U89" s="739"/>
      <c r="V89" s="738"/>
      <c r="W89" s="739"/>
      <c r="X89" s="738"/>
      <c r="Y89" s="739"/>
      <c r="Z89" s="738"/>
      <c r="AA89" s="740"/>
      <c r="AB89" s="734"/>
      <c r="AC89" s="734"/>
    </row>
    <row r="90" spans="1:29" ht="14.25">
      <c r="A90" s="749" t="s">
        <v>2412</v>
      </c>
      <c r="B90" s="757" t="s">
        <v>2413</v>
      </c>
      <c r="C90" s="737">
        <v>5</v>
      </c>
      <c r="D90" s="738">
        <v>2</v>
      </c>
      <c r="E90" s="739">
        <v>1</v>
      </c>
      <c r="F90" s="738"/>
      <c r="G90" s="739"/>
      <c r="H90" s="738"/>
      <c r="I90" s="739"/>
      <c r="J90" s="738"/>
      <c r="K90" s="739"/>
      <c r="L90" s="738"/>
      <c r="M90" s="739"/>
      <c r="N90" s="738"/>
      <c r="O90" s="739"/>
      <c r="P90" s="738"/>
      <c r="Q90" s="739"/>
      <c r="R90" s="738"/>
      <c r="S90" s="739"/>
      <c r="T90" s="738"/>
      <c r="U90" s="739"/>
      <c r="V90" s="738"/>
      <c r="W90" s="739"/>
      <c r="X90" s="738"/>
      <c r="Y90" s="739"/>
      <c r="Z90" s="738"/>
      <c r="AA90" s="740"/>
      <c r="AB90" s="734"/>
      <c r="AC90" s="734"/>
    </row>
    <row r="91" spans="1:29" ht="14.25">
      <c r="A91" s="735">
        <v>7.21</v>
      </c>
      <c r="B91" s="757" t="s">
        <v>2414</v>
      </c>
      <c r="C91" s="737">
        <v>5</v>
      </c>
      <c r="D91" s="738">
        <v>2</v>
      </c>
      <c r="E91" s="739">
        <v>1</v>
      </c>
      <c r="F91" s="738"/>
      <c r="G91" s="739"/>
      <c r="H91" s="738"/>
      <c r="I91" s="739"/>
      <c r="J91" s="738"/>
      <c r="K91" s="739"/>
      <c r="L91" s="738"/>
      <c r="M91" s="739"/>
      <c r="N91" s="738"/>
      <c r="O91" s="739"/>
      <c r="P91" s="738"/>
      <c r="Q91" s="739"/>
      <c r="R91" s="738"/>
      <c r="S91" s="739"/>
      <c r="T91" s="738"/>
      <c r="U91" s="739"/>
      <c r="V91" s="738"/>
      <c r="W91" s="739"/>
      <c r="X91" s="738"/>
      <c r="Y91" s="739"/>
      <c r="Z91" s="738"/>
      <c r="AA91" s="740"/>
      <c r="AB91" s="734"/>
      <c r="AC91" s="734"/>
    </row>
    <row r="92" spans="1:29" ht="25.5">
      <c r="A92" s="735">
        <v>7.22</v>
      </c>
      <c r="B92" s="757" t="s">
        <v>2415</v>
      </c>
      <c r="C92" s="737">
        <v>5</v>
      </c>
      <c r="D92" s="738">
        <v>2</v>
      </c>
      <c r="E92" s="739">
        <v>1</v>
      </c>
      <c r="F92" s="738"/>
      <c r="G92" s="739"/>
      <c r="H92" s="738"/>
      <c r="I92" s="739"/>
      <c r="J92" s="738"/>
      <c r="K92" s="739"/>
      <c r="L92" s="738"/>
      <c r="M92" s="739"/>
      <c r="N92" s="738"/>
      <c r="O92" s="739"/>
      <c r="P92" s="738"/>
      <c r="Q92" s="739"/>
      <c r="R92" s="738"/>
      <c r="S92" s="739"/>
      <c r="T92" s="738"/>
      <c r="U92" s="739"/>
      <c r="V92" s="738"/>
      <c r="W92" s="739"/>
      <c r="X92" s="738"/>
      <c r="Y92" s="739"/>
      <c r="Z92" s="738"/>
      <c r="AA92" s="740"/>
      <c r="AB92" s="734"/>
      <c r="AC92" s="734"/>
    </row>
    <row r="93" spans="1:29" ht="25.5">
      <c r="A93" s="735">
        <v>7.23</v>
      </c>
      <c r="B93" s="757" t="s">
        <v>2416</v>
      </c>
      <c r="C93" s="737">
        <v>10</v>
      </c>
      <c r="D93" s="738">
        <v>5</v>
      </c>
      <c r="E93" s="739">
        <v>1</v>
      </c>
      <c r="F93" s="738"/>
      <c r="G93" s="739"/>
      <c r="H93" s="738"/>
      <c r="I93" s="739"/>
      <c r="J93" s="738"/>
      <c r="K93" s="739"/>
      <c r="L93" s="738"/>
      <c r="M93" s="739"/>
      <c r="N93" s="738"/>
      <c r="O93" s="739"/>
      <c r="P93" s="738"/>
      <c r="Q93" s="739"/>
      <c r="R93" s="738"/>
      <c r="S93" s="739"/>
      <c r="T93" s="738"/>
      <c r="U93" s="739"/>
      <c r="V93" s="738"/>
      <c r="W93" s="739"/>
      <c r="X93" s="738"/>
      <c r="Y93" s="739"/>
      <c r="Z93" s="738"/>
      <c r="AA93" s="740"/>
      <c r="AB93" s="734"/>
      <c r="AC93" s="734"/>
    </row>
    <row r="94" spans="1:29" ht="25.5">
      <c r="A94" s="735">
        <v>7.24</v>
      </c>
      <c r="B94" s="757" t="s">
        <v>2417</v>
      </c>
      <c r="C94" s="737">
        <v>20</v>
      </c>
      <c r="D94" s="738">
        <v>5</v>
      </c>
      <c r="E94" s="739">
        <v>1</v>
      </c>
      <c r="F94" s="738"/>
      <c r="G94" s="739"/>
      <c r="H94" s="738"/>
      <c r="I94" s="739">
        <v>1</v>
      </c>
      <c r="J94" s="738">
        <v>1</v>
      </c>
      <c r="K94" s="739"/>
      <c r="L94" s="738"/>
      <c r="M94" s="739"/>
      <c r="N94" s="738"/>
      <c r="O94" s="739"/>
      <c r="P94" s="738"/>
      <c r="Q94" s="739"/>
      <c r="R94" s="738"/>
      <c r="S94" s="739"/>
      <c r="T94" s="738"/>
      <c r="U94" s="739"/>
      <c r="V94" s="738"/>
      <c r="W94" s="739"/>
      <c r="X94" s="738"/>
      <c r="Y94" s="739"/>
      <c r="Z94" s="738"/>
      <c r="AA94" s="740"/>
      <c r="AB94" s="734"/>
      <c r="AC94" s="734"/>
    </row>
    <row r="95" spans="1:29" ht="14.25">
      <c r="A95" s="735">
        <v>7.25</v>
      </c>
      <c r="B95" s="757" t="s">
        <v>2418</v>
      </c>
      <c r="C95" s="737">
        <v>10</v>
      </c>
      <c r="D95" s="738">
        <v>5</v>
      </c>
      <c r="E95" s="739">
        <v>1</v>
      </c>
      <c r="F95" s="738"/>
      <c r="G95" s="739"/>
      <c r="H95" s="738"/>
      <c r="I95" s="739"/>
      <c r="J95" s="738"/>
      <c r="K95" s="739"/>
      <c r="L95" s="738"/>
      <c r="M95" s="739"/>
      <c r="N95" s="738"/>
      <c r="O95" s="739"/>
      <c r="P95" s="738"/>
      <c r="Q95" s="739"/>
      <c r="R95" s="738"/>
      <c r="S95" s="739"/>
      <c r="T95" s="738"/>
      <c r="U95" s="739"/>
      <c r="V95" s="738"/>
      <c r="W95" s="739"/>
      <c r="X95" s="738"/>
      <c r="Y95" s="739"/>
      <c r="Z95" s="738"/>
      <c r="AA95" s="740"/>
      <c r="AB95" s="734"/>
      <c r="AC95" s="734"/>
    </row>
    <row r="96" spans="1:29" ht="14.25">
      <c r="A96" s="735">
        <v>7.26</v>
      </c>
      <c r="B96" s="757" t="s">
        <v>2419</v>
      </c>
      <c r="C96" s="737">
        <v>5</v>
      </c>
      <c r="D96" s="738">
        <v>2</v>
      </c>
      <c r="E96" s="739">
        <v>1</v>
      </c>
      <c r="F96" s="738"/>
      <c r="G96" s="739"/>
      <c r="H96" s="738"/>
      <c r="I96" s="739"/>
      <c r="J96" s="738"/>
      <c r="K96" s="739"/>
      <c r="L96" s="738"/>
      <c r="M96" s="739"/>
      <c r="N96" s="738"/>
      <c r="O96" s="739"/>
      <c r="P96" s="738"/>
      <c r="Q96" s="739"/>
      <c r="R96" s="738"/>
      <c r="S96" s="739"/>
      <c r="T96" s="738"/>
      <c r="U96" s="739"/>
      <c r="V96" s="738"/>
      <c r="W96" s="739"/>
      <c r="X96" s="738"/>
      <c r="Y96" s="739"/>
      <c r="Z96" s="738"/>
      <c r="AA96" s="740"/>
      <c r="AB96" s="734"/>
      <c r="AC96" s="734"/>
    </row>
    <row r="97" spans="1:29" ht="25.5">
      <c r="A97" s="735">
        <v>7.27</v>
      </c>
      <c r="B97" s="757" t="s">
        <v>2420</v>
      </c>
      <c r="C97" s="737">
        <v>5</v>
      </c>
      <c r="D97" s="738">
        <v>2</v>
      </c>
      <c r="E97" s="739">
        <v>1</v>
      </c>
      <c r="F97" s="738"/>
      <c r="G97" s="739"/>
      <c r="H97" s="738"/>
      <c r="I97" s="739"/>
      <c r="J97" s="738"/>
      <c r="K97" s="739"/>
      <c r="L97" s="738"/>
      <c r="M97" s="739"/>
      <c r="N97" s="738"/>
      <c r="O97" s="739"/>
      <c r="P97" s="738"/>
      <c r="Q97" s="739"/>
      <c r="R97" s="738"/>
      <c r="S97" s="739"/>
      <c r="T97" s="738"/>
      <c r="U97" s="739"/>
      <c r="V97" s="738"/>
      <c r="W97" s="739"/>
      <c r="X97" s="738"/>
      <c r="Y97" s="739"/>
      <c r="Z97" s="738"/>
      <c r="AA97" s="740"/>
      <c r="AB97" s="734"/>
      <c r="AC97" s="734"/>
    </row>
    <row r="98" spans="1:29" ht="25.5">
      <c r="A98" s="735">
        <v>7.28</v>
      </c>
      <c r="B98" s="757" t="s">
        <v>2421</v>
      </c>
      <c r="C98" s="737">
        <v>5</v>
      </c>
      <c r="D98" s="738">
        <v>2</v>
      </c>
      <c r="E98" s="739">
        <v>1</v>
      </c>
      <c r="F98" s="738"/>
      <c r="G98" s="739"/>
      <c r="H98" s="738"/>
      <c r="I98" s="739"/>
      <c r="J98" s="738"/>
      <c r="K98" s="739"/>
      <c r="L98" s="738"/>
      <c r="M98" s="739"/>
      <c r="N98" s="738"/>
      <c r="O98" s="739"/>
      <c r="P98" s="738"/>
      <c r="Q98" s="739"/>
      <c r="R98" s="738"/>
      <c r="S98" s="739"/>
      <c r="T98" s="738"/>
      <c r="U98" s="739"/>
      <c r="V98" s="738"/>
      <c r="W98" s="739"/>
      <c r="X98" s="738"/>
      <c r="Y98" s="739"/>
      <c r="Z98" s="738"/>
      <c r="AA98" s="740"/>
      <c r="AB98" s="734"/>
      <c r="AC98" s="734"/>
    </row>
    <row r="99" spans="1:29" ht="25.5">
      <c r="A99" s="735">
        <v>7.29</v>
      </c>
      <c r="B99" s="757" t="s">
        <v>2422</v>
      </c>
      <c r="C99" s="737">
        <v>5</v>
      </c>
      <c r="D99" s="738">
        <v>2</v>
      </c>
      <c r="E99" s="739">
        <v>1</v>
      </c>
      <c r="F99" s="738"/>
      <c r="G99" s="739"/>
      <c r="H99" s="738"/>
      <c r="I99" s="739"/>
      <c r="J99" s="738"/>
      <c r="K99" s="739"/>
      <c r="L99" s="738"/>
      <c r="M99" s="739"/>
      <c r="N99" s="738"/>
      <c r="O99" s="739"/>
      <c r="P99" s="738"/>
      <c r="Q99" s="739"/>
      <c r="R99" s="738"/>
      <c r="S99" s="739"/>
      <c r="T99" s="738"/>
      <c r="U99" s="739"/>
      <c r="V99" s="738"/>
      <c r="W99" s="739"/>
      <c r="X99" s="738"/>
      <c r="Y99" s="739"/>
      <c r="Z99" s="738"/>
      <c r="AA99" s="740"/>
      <c r="AB99" s="734"/>
      <c r="AC99" s="734"/>
    </row>
    <row r="100" spans="1:29" ht="25.5">
      <c r="A100" s="749" t="s">
        <v>2423</v>
      </c>
      <c r="B100" s="757" t="s">
        <v>2424</v>
      </c>
      <c r="C100" s="737">
        <v>5</v>
      </c>
      <c r="D100" s="738">
        <v>2</v>
      </c>
      <c r="E100" s="739">
        <v>1</v>
      </c>
      <c r="F100" s="738"/>
      <c r="G100" s="739"/>
      <c r="H100" s="738"/>
      <c r="I100" s="739"/>
      <c r="J100" s="738"/>
      <c r="K100" s="739"/>
      <c r="L100" s="738"/>
      <c r="M100" s="739"/>
      <c r="N100" s="738"/>
      <c r="O100" s="739"/>
      <c r="P100" s="738"/>
      <c r="Q100" s="739"/>
      <c r="R100" s="738"/>
      <c r="S100" s="739"/>
      <c r="T100" s="738"/>
      <c r="U100" s="739"/>
      <c r="V100" s="738"/>
      <c r="W100" s="739"/>
      <c r="X100" s="738"/>
      <c r="Y100" s="739"/>
      <c r="Z100" s="738"/>
      <c r="AA100" s="740"/>
      <c r="AB100" s="734"/>
      <c r="AC100" s="734"/>
    </row>
    <row r="101" spans="1:29" ht="14.25">
      <c r="A101" s="735">
        <v>7.31</v>
      </c>
      <c r="B101" s="757" t="s">
        <v>2425</v>
      </c>
      <c r="C101" s="737">
        <v>5</v>
      </c>
      <c r="D101" s="738">
        <v>2</v>
      </c>
      <c r="E101" s="739">
        <v>1</v>
      </c>
      <c r="F101" s="738"/>
      <c r="G101" s="739"/>
      <c r="H101" s="738"/>
      <c r="I101" s="739"/>
      <c r="J101" s="738"/>
      <c r="K101" s="739"/>
      <c r="L101" s="738"/>
      <c r="M101" s="739"/>
      <c r="N101" s="738"/>
      <c r="O101" s="739"/>
      <c r="P101" s="738"/>
      <c r="Q101" s="739"/>
      <c r="R101" s="738"/>
      <c r="S101" s="739"/>
      <c r="T101" s="738"/>
      <c r="U101" s="739"/>
      <c r="V101" s="738"/>
      <c r="W101" s="739"/>
      <c r="X101" s="738"/>
      <c r="Y101" s="739"/>
      <c r="Z101" s="738"/>
      <c r="AA101" s="740"/>
      <c r="AB101" s="734"/>
      <c r="AC101" s="734"/>
    </row>
    <row r="102" spans="1:29" ht="14.25">
      <c r="A102" s="735">
        <v>7.32</v>
      </c>
      <c r="B102" s="757" t="s">
        <v>2426</v>
      </c>
      <c r="C102" s="737">
        <v>5</v>
      </c>
      <c r="D102" s="738">
        <v>2</v>
      </c>
      <c r="E102" s="739">
        <v>1</v>
      </c>
      <c r="F102" s="738"/>
      <c r="G102" s="739"/>
      <c r="H102" s="738"/>
      <c r="I102" s="739"/>
      <c r="J102" s="738"/>
      <c r="K102" s="739"/>
      <c r="L102" s="738"/>
      <c r="M102" s="739"/>
      <c r="N102" s="738"/>
      <c r="O102" s="739"/>
      <c r="P102" s="738"/>
      <c r="Q102" s="739"/>
      <c r="R102" s="738"/>
      <c r="S102" s="739"/>
      <c r="T102" s="738"/>
      <c r="U102" s="739"/>
      <c r="V102" s="738"/>
      <c r="W102" s="739"/>
      <c r="X102" s="738"/>
      <c r="Y102" s="739"/>
      <c r="Z102" s="738"/>
      <c r="AA102" s="740"/>
      <c r="AB102" s="734"/>
      <c r="AC102" s="734"/>
    </row>
    <row r="103" spans="1:29" ht="25.5">
      <c r="A103" s="735">
        <v>7.33</v>
      </c>
      <c r="B103" s="757" t="s">
        <v>2427</v>
      </c>
      <c r="C103" s="737">
        <v>10</v>
      </c>
      <c r="D103" s="738">
        <v>2</v>
      </c>
      <c r="E103" s="739">
        <v>1</v>
      </c>
      <c r="F103" s="738"/>
      <c r="G103" s="739"/>
      <c r="H103" s="738"/>
      <c r="I103" s="739"/>
      <c r="J103" s="738"/>
      <c r="K103" s="739"/>
      <c r="L103" s="738"/>
      <c r="M103" s="739"/>
      <c r="N103" s="738"/>
      <c r="O103" s="739"/>
      <c r="P103" s="738"/>
      <c r="Q103" s="739"/>
      <c r="R103" s="738"/>
      <c r="S103" s="739"/>
      <c r="T103" s="738"/>
      <c r="U103" s="739"/>
      <c r="V103" s="738"/>
      <c r="W103" s="739"/>
      <c r="X103" s="738"/>
      <c r="Y103" s="739"/>
      <c r="Z103" s="738"/>
      <c r="AA103" s="740"/>
      <c r="AB103" s="734"/>
      <c r="AC103" s="734"/>
    </row>
    <row r="104" spans="1:29" ht="25.5">
      <c r="A104" s="735">
        <v>7.34</v>
      </c>
      <c r="B104" s="757" t="s">
        <v>2428</v>
      </c>
      <c r="C104" s="737">
        <v>10</v>
      </c>
      <c r="D104" s="738">
        <v>2</v>
      </c>
      <c r="E104" s="739">
        <v>1</v>
      </c>
      <c r="F104" s="738"/>
      <c r="G104" s="739"/>
      <c r="H104" s="738"/>
      <c r="I104" s="739"/>
      <c r="J104" s="738"/>
      <c r="K104" s="739"/>
      <c r="L104" s="738"/>
      <c r="M104" s="739"/>
      <c r="N104" s="738"/>
      <c r="O104" s="739"/>
      <c r="P104" s="738"/>
      <c r="Q104" s="739"/>
      <c r="R104" s="738"/>
      <c r="S104" s="739"/>
      <c r="T104" s="738"/>
      <c r="U104" s="739"/>
      <c r="V104" s="738"/>
      <c r="W104" s="739"/>
      <c r="X104" s="738"/>
      <c r="Y104" s="739"/>
      <c r="Z104" s="738"/>
      <c r="AA104" s="740"/>
      <c r="AB104" s="734"/>
      <c r="AC104" s="734"/>
    </row>
    <row r="105" spans="1:29" ht="14.25">
      <c r="A105" s="735">
        <v>7.35</v>
      </c>
      <c r="B105" s="757" t="s">
        <v>2429</v>
      </c>
      <c r="C105" s="737">
        <v>10</v>
      </c>
      <c r="D105" s="738">
        <v>5</v>
      </c>
      <c r="E105" s="739">
        <v>1</v>
      </c>
      <c r="F105" s="738"/>
      <c r="G105" s="739"/>
      <c r="H105" s="738"/>
      <c r="I105" s="739"/>
      <c r="J105" s="738"/>
      <c r="K105" s="739"/>
      <c r="L105" s="738"/>
      <c r="M105" s="739"/>
      <c r="N105" s="738"/>
      <c r="O105" s="739"/>
      <c r="P105" s="738"/>
      <c r="Q105" s="739"/>
      <c r="R105" s="738"/>
      <c r="S105" s="739"/>
      <c r="T105" s="738"/>
      <c r="U105" s="739"/>
      <c r="V105" s="738"/>
      <c r="W105" s="739"/>
      <c r="X105" s="738"/>
      <c r="Y105" s="739"/>
      <c r="Z105" s="738"/>
      <c r="AA105" s="740"/>
      <c r="AB105" s="734"/>
      <c r="AC105" s="734"/>
    </row>
    <row r="106" spans="1:29" ht="14.25">
      <c r="A106" s="735">
        <v>7.36</v>
      </c>
      <c r="B106" s="757" t="s">
        <v>2430</v>
      </c>
      <c r="C106" s="737">
        <v>10</v>
      </c>
      <c r="D106" s="738">
        <v>2</v>
      </c>
      <c r="E106" s="739">
        <v>1</v>
      </c>
      <c r="F106" s="738"/>
      <c r="G106" s="739"/>
      <c r="H106" s="738"/>
      <c r="I106" s="739"/>
      <c r="J106" s="738"/>
      <c r="K106" s="739"/>
      <c r="L106" s="738"/>
      <c r="M106" s="739"/>
      <c r="N106" s="738"/>
      <c r="O106" s="739"/>
      <c r="P106" s="738"/>
      <c r="Q106" s="739"/>
      <c r="R106" s="738"/>
      <c r="S106" s="739"/>
      <c r="T106" s="738"/>
      <c r="U106" s="739"/>
      <c r="V106" s="738"/>
      <c r="W106" s="739"/>
      <c r="X106" s="738"/>
      <c r="Y106" s="739"/>
      <c r="Z106" s="738"/>
      <c r="AA106" s="740"/>
      <c r="AB106" s="734"/>
      <c r="AC106" s="734"/>
    </row>
    <row r="107" spans="1:29" ht="14.25">
      <c r="A107" s="735">
        <v>7.37</v>
      </c>
      <c r="B107" s="757" t="s">
        <v>2431</v>
      </c>
      <c r="C107" s="737">
        <v>10</v>
      </c>
      <c r="D107" s="738">
        <v>2</v>
      </c>
      <c r="E107" s="739">
        <v>1</v>
      </c>
      <c r="F107" s="738"/>
      <c r="G107" s="739"/>
      <c r="H107" s="738"/>
      <c r="I107" s="739"/>
      <c r="J107" s="738"/>
      <c r="K107" s="739"/>
      <c r="L107" s="738"/>
      <c r="M107" s="739"/>
      <c r="N107" s="738"/>
      <c r="O107" s="739"/>
      <c r="P107" s="738"/>
      <c r="Q107" s="739"/>
      <c r="R107" s="738"/>
      <c r="S107" s="739"/>
      <c r="T107" s="738"/>
      <c r="U107" s="739"/>
      <c r="V107" s="738"/>
      <c r="W107" s="739"/>
      <c r="X107" s="738"/>
      <c r="Y107" s="739"/>
      <c r="Z107" s="738"/>
      <c r="AA107" s="740"/>
      <c r="AB107" s="734"/>
      <c r="AC107" s="734"/>
    </row>
    <row r="108" spans="1:29" ht="14.25">
      <c r="A108" s="735">
        <v>7.38</v>
      </c>
      <c r="B108" s="757" t="s">
        <v>2432</v>
      </c>
      <c r="C108" s="737">
        <v>10</v>
      </c>
      <c r="D108" s="738">
        <v>2</v>
      </c>
      <c r="E108" s="739">
        <v>1</v>
      </c>
      <c r="F108" s="738"/>
      <c r="G108" s="739"/>
      <c r="H108" s="738"/>
      <c r="I108" s="739">
        <v>1</v>
      </c>
      <c r="J108" s="738"/>
      <c r="K108" s="739"/>
      <c r="L108" s="738"/>
      <c r="M108" s="739"/>
      <c r="N108" s="738"/>
      <c r="O108" s="739"/>
      <c r="P108" s="738"/>
      <c r="Q108" s="739"/>
      <c r="R108" s="738"/>
      <c r="S108" s="739"/>
      <c r="T108" s="738"/>
      <c r="U108" s="739"/>
      <c r="V108" s="738"/>
      <c r="W108" s="739"/>
      <c r="X108" s="738"/>
      <c r="Y108" s="739"/>
      <c r="Z108" s="738"/>
      <c r="AA108" s="740"/>
      <c r="AB108" s="734"/>
      <c r="AC108" s="734"/>
    </row>
    <row r="109" spans="1:29" ht="14.25">
      <c r="A109" s="735">
        <v>7.3900000000000103</v>
      </c>
      <c r="B109" s="757" t="s">
        <v>2433</v>
      </c>
      <c r="C109" s="737">
        <v>10</v>
      </c>
      <c r="D109" s="738">
        <v>2</v>
      </c>
      <c r="E109" s="739">
        <v>1</v>
      </c>
      <c r="F109" s="738"/>
      <c r="G109" s="739"/>
      <c r="H109" s="738"/>
      <c r="I109" s="739"/>
      <c r="J109" s="738"/>
      <c r="K109" s="739"/>
      <c r="L109" s="738"/>
      <c r="M109" s="739"/>
      <c r="N109" s="738"/>
      <c r="O109" s="739"/>
      <c r="P109" s="738"/>
      <c r="Q109" s="739"/>
      <c r="R109" s="738"/>
      <c r="S109" s="739"/>
      <c r="T109" s="738"/>
      <c r="U109" s="739"/>
      <c r="V109" s="738"/>
      <c r="W109" s="739"/>
      <c r="X109" s="738"/>
      <c r="Y109" s="739"/>
      <c r="Z109" s="738"/>
      <c r="AA109" s="740"/>
      <c r="AB109" s="734"/>
      <c r="AC109" s="734"/>
    </row>
    <row r="110" spans="1:29" ht="14.25">
      <c r="A110" s="749" t="s">
        <v>2434</v>
      </c>
      <c r="B110" s="757" t="s">
        <v>2435</v>
      </c>
      <c r="C110" s="737">
        <v>10</v>
      </c>
      <c r="D110" s="738">
        <v>2</v>
      </c>
      <c r="E110" s="739">
        <v>1</v>
      </c>
      <c r="F110" s="738"/>
      <c r="G110" s="739"/>
      <c r="H110" s="738"/>
      <c r="I110" s="739"/>
      <c r="J110" s="738"/>
      <c r="K110" s="739"/>
      <c r="L110" s="738"/>
      <c r="M110" s="739"/>
      <c r="N110" s="738"/>
      <c r="O110" s="739"/>
      <c r="P110" s="738"/>
      <c r="Q110" s="739"/>
      <c r="R110" s="738"/>
      <c r="S110" s="739"/>
      <c r="T110" s="738"/>
      <c r="U110" s="739"/>
      <c r="V110" s="738"/>
      <c r="W110" s="739"/>
      <c r="X110" s="738"/>
      <c r="Y110" s="739"/>
      <c r="Z110" s="738"/>
      <c r="AA110" s="740"/>
      <c r="AB110" s="734"/>
      <c r="AC110" s="734"/>
    </row>
    <row r="111" spans="1:29" ht="14.25">
      <c r="A111" s="735">
        <v>7.41</v>
      </c>
      <c r="B111" s="757" t="s">
        <v>2436</v>
      </c>
      <c r="C111" s="737">
        <v>5</v>
      </c>
      <c r="D111" s="738">
        <v>2</v>
      </c>
      <c r="E111" s="739">
        <v>1</v>
      </c>
      <c r="F111" s="738"/>
      <c r="G111" s="739"/>
      <c r="H111" s="738"/>
      <c r="I111" s="739"/>
      <c r="J111" s="738"/>
      <c r="K111" s="739"/>
      <c r="L111" s="738"/>
      <c r="M111" s="739"/>
      <c r="N111" s="738"/>
      <c r="O111" s="739"/>
      <c r="P111" s="738"/>
      <c r="Q111" s="739"/>
      <c r="R111" s="738"/>
      <c r="S111" s="739"/>
      <c r="T111" s="738"/>
      <c r="U111" s="739"/>
      <c r="V111" s="738"/>
      <c r="W111" s="739"/>
      <c r="X111" s="738"/>
      <c r="Y111" s="739"/>
      <c r="Z111" s="738"/>
      <c r="AA111" s="740"/>
      <c r="AB111" s="734"/>
      <c r="AC111" s="734"/>
    </row>
    <row r="112" spans="1:29" ht="14.25">
      <c r="A112" s="735">
        <v>7.42</v>
      </c>
      <c r="B112" s="757" t="s">
        <v>2437</v>
      </c>
      <c r="C112" s="737">
        <v>5</v>
      </c>
      <c r="D112" s="738">
        <v>2</v>
      </c>
      <c r="E112" s="739">
        <v>1</v>
      </c>
      <c r="F112" s="738"/>
      <c r="G112" s="739"/>
      <c r="H112" s="738"/>
      <c r="I112" s="739"/>
      <c r="J112" s="738"/>
      <c r="K112" s="739"/>
      <c r="L112" s="738"/>
      <c r="M112" s="739"/>
      <c r="N112" s="738"/>
      <c r="O112" s="739"/>
      <c r="P112" s="738"/>
      <c r="Q112" s="739"/>
      <c r="R112" s="738"/>
      <c r="S112" s="739"/>
      <c r="T112" s="738"/>
      <c r="U112" s="739"/>
      <c r="V112" s="738"/>
      <c r="W112" s="739"/>
      <c r="X112" s="738"/>
      <c r="Y112" s="739"/>
      <c r="Z112" s="738"/>
      <c r="AA112" s="740"/>
      <c r="AB112" s="734"/>
      <c r="AC112" s="734"/>
    </row>
    <row r="113" spans="1:29" ht="14.25">
      <c r="A113" s="735">
        <v>7.43</v>
      </c>
      <c r="B113" s="757" t="s">
        <v>2438</v>
      </c>
      <c r="C113" s="737">
        <v>5</v>
      </c>
      <c r="D113" s="738">
        <v>2</v>
      </c>
      <c r="E113" s="739">
        <v>1</v>
      </c>
      <c r="F113" s="738"/>
      <c r="G113" s="739"/>
      <c r="H113" s="738"/>
      <c r="I113" s="739"/>
      <c r="J113" s="738"/>
      <c r="K113" s="739"/>
      <c r="L113" s="738"/>
      <c r="M113" s="739"/>
      <c r="N113" s="738"/>
      <c r="O113" s="739"/>
      <c r="P113" s="738"/>
      <c r="Q113" s="739"/>
      <c r="R113" s="738"/>
      <c r="S113" s="739"/>
      <c r="T113" s="738"/>
      <c r="U113" s="739"/>
      <c r="V113" s="738"/>
      <c r="W113" s="739"/>
      <c r="X113" s="738"/>
      <c r="Y113" s="739"/>
      <c r="Z113" s="738"/>
      <c r="AA113" s="740"/>
      <c r="AB113" s="734"/>
      <c r="AC113" s="734"/>
    </row>
    <row r="114" spans="1:29" ht="14.25">
      <c r="A114" s="735">
        <v>7.44</v>
      </c>
      <c r="B114" s="757" t="s">
        <v>2439</v>
      </c>
      <c r="C114" s="737">
        <v>5</v>
      </c>
      <c r="D114" s="738">
        <v>5</v>
      </c>
      <c r="E114" s="739">
        <v>1</v>
      </c>
      <c r="F114" s="738"/>
      <c r="G114" s="739"/>
      <c r="H114" s="738"/>
      <c r="I114" s="739"/>
      <c r="J114" s="738"/>
      <c r="K114" s="739"/>
      <c r="L114" s="738"/>
      <c r="M114" s="739"/>
      <c r="N114" s="738"/>
      <c r="O114" s="739"/>
      <c r="P114" s="738"/>
      <c r="Q114" s="739"/>
      <c r="R114" s="738"/>
      <c r="S114" s="739"/>
      <c r="T114" s="738"/>
      <c r="U114" s="739"/>
      <c r="V114" s="738"/>
      <c r="W114" s="739"/>
      <c r="X114" s="738"/>
      <c r="Y114" s="739"/>
      <c r="Z114" s="738"/>
      <c r="AA114" s="740"/>
      <c r="AB114" s="734"/>
      <c r="AC114" s="734"/>
    </row>
    <row r="115" spans="1:29" ht="14.25">
      <c r="A115" s="735">
        <v>7.45</v>
      </c>
      <c r="B115" s="757" t="s">
        <v>2440</v>
      </c>
      <c r="C115" s="737">
        <v>5</v>
      </c>
      <c r="D115" s="738">
        <v>5</v>
      </c>
      <c r="E115" s="739">
        <v>1</v>
      </c>
      <c r="F115" s="738"/>
      <c r="G115" s="739"/>
      <c r="H115" s="738"/>
      <c r="I115" s="739"/>
      <c r="J115" s="738"/>
      <c r="K115" s="739"/>
      <c r="L115" s="738"/>
      <c r="M115" s="739"/>
      <c r="N115" s="738"/>
      <c r="O115" s="739"/>
      <c r="P115" s="738"/>
      <c r="Q115" s="739"/>
      <c r="R115" s="738"/>
      <c r="S115" s="739"/>
      <c r="T115" s="738"/>
      <c r="U115" s="739"/>
      <c r="V115" s="738"/>
      <c r="W115" s="739"/>
      <c r="X115" s="738"/>
      <c r="Y115" s="739"/>
      <c r="Z115" s="738"/>
      <c r="AA115" s="740"/>
      <c r="AB115" s="734"/>
      <c r="AC115" s="734"/>
    </row>
    <row r="116" spans="1:29" ht="14.25">
      <c r="A116" s="735">
        <v>7.46</v>
      </c>
      <c r="B116" s="757" t="s">
        <v>2441</v>
      </c>
      <c r="C116" s="737">
        <v>5</v>
      </c>
      <c r="D116" s="738">
        <v>2</v>
      </c>
      <c r="E116" s="739">
        <v>1</v>
      </c>
      <c r="F116" s="738"/>
      <c r="G116" s="739"/>
      <c r="H116" s="738"/>
      <c r="I116" s="739"/>
      <c r="J116" s="738"/>
      <c r="K116" s="739"/>
      <c r="L116" s="738"/>
      <c r="M116" s="739"/>
      <c r="N116" s="738"/>
      <c r="O116" s="739"/>
      <c r="P116" s="738"/>
      <c r="Q116" s="739"/>
      <c r="R116" s="738"/>
      <c r="S116" s="739"/>
      <c r="T116" s="738"/>
      <c r="U116" s="739"/>
      <c r="V116" s="738"/>
      <c r="W116" s="739"/>
      <c r="X116" s="738"/>
      <c r="Y116" s="739"/>
      <c r="Z116" s="738"/>
      <c r="AA116" s="740"/>
      <c r="AB116" s="734"/>
      <c r="AC116" s="734"/>
    </row>
    <row r="117" spans="1:29" ht="14.25">
      <c r="A117" s="735">
        <v>7.47</v>
      </c>
      <c r="B117" s="757" t="s">
        <v>2442</v>
      </c>
      <c r="C117" s="737">
        <v>5</v>
      </c>
      <c r="D117" s="738">
        <v>2</v>
      </c>
      <c r="E117" s="739">
        <v>1</v>
      </c>
      <c r="F117" s="738"/>
      <c r="G117" s="739"/>
      <c r="H117" s="738"/>
      <c r="I117" s="739"/>
      <c r="J117" s="738"/>
      <c r="K117" s="739"/>
      <c r="L117" s="738"/>
      <c r="M117" s="739"/>
      <c r="N117" s="738"/>
      <c r="O117" s="739"/>
      <c r="P117" s="738"/>
      <c r="Q117" s="739"/>
      <c r="R117" s="738"/>
      <c r="S117" s="739"/>
      <c r="T117" s="738"/>
      <c r="U117" s="739"/>
      <c r="V117" s="738"/>
      <c r="W117" s="739"/>
      <c r="X117" s="738"/>
      <c r="Y117" s="739"/>
      <c r="Z117" s="738"/>
      <c r="AA117" s="740"/>
      <c r="AB117" s="734"/>
      <c r="AC117" s="734"/>
    </row>
    <row r="118" spans="1:29" ht="25.5">
      <c r="A118" s="735">
        <v>7.48</v>
      </c>
      <c r="B118" s="757" t="s">
        <v>2443</v>
      </c>
      <c r="C118" s="737">
        <v>15</v>
      </c>
      <c r="D118" s="738">
        <v>10</v>
      </c>
      <c r="E118" s="739">
        <v>1</v>
      </c>
      <c r="F118" s="738"/>
      <c r="G118" s="739"/>
      <c r="H118" s="738"/>
      <c r="I118" s="739"/>
      <c r="J118" s="738"/>
      <c r="K118" s="739"/>
      <c r="L118" s="738"/>
      <c r="M118" s="739"/>
      <c r="N118" s="738"/>
      <c r="O118" s="739"/>
      <c r="P118" s="738"/>
      <c r="Q118" s="739"/>
      <c r="R118" s="738"/>
      <c r="S118" s="739"/>
      <c r="T118" s="738"/>
      <c r="U118" s="739"/>
      <c r="V118" s="738"/>
      <c r="W118" s="739"/>
      <c r="X118" s="738"/>
      <c r="Y118" s="739"/>
      <c r="Z118" s="738"/>
      <c r="AA118" s="740"/>
      <c r="AB118" s="734"/>
      <c r="AC118" s="734"/>
    </row>
    <row r="119" spans="1:29" ht="14.25">
      <c r="A119" s="735">
        <v>7.49</v>
      </c>
      <c r="B119" s="757" t="s">
        <v>2444</v>
      </c>
      <c r="C119" s="737">
        <v>10</v>
      </c>
      <c r="D119" s="738">
        <v>2</v>
      </c>
      <c r="E119" s="739">
        <v>1</v>
      </c>
      <c r="F119" s="738"/>
      <c r="G119" s="739"/>
      <c r="H119" s="738">
        <v>1</v>
      </c>
      <c r="I119" s="739"/>
      <c r="J119" s="738"/>
      <c r="K119" s="739"/>
      <c r="L119" s="738"/>
      <c r="M119" s="739"/>
      <c r="N119" s="738"/>
      <c r="O119" s="739"/>
      <c r="P119" s="738"/>
      <c r="Q119" s="739"/>
      <c r="R119" s="738"/>
      <c r="S119" s="739"/>
      <c r="T119" s="738"/>
      <c r="U119" s="739"/>
      <c r="V119" s="738"/>
      <c r="W119" s="739"/>
      <c r="X119" s="738"/>
      <c r="Y119" s="739"/>
      <c r="Z119" s="738"/>
      <c r="AA119" s="740"/>
      <c r="AB119" s="734"/>
      <c r="AC119" s="734"/>
    </row>
    <row r="120" spans="1:29" ht="14.25">
      <c r="A120" s="749" t="s">
        <v>2445</v>
      </c>
      <c r="B120" s="757" t="s">
        <v>2446</v>
      </c>
      <c r="C120" s="737">
        <v>5</v>
      </c>
      <c r="D120" s="738">
        <v>2</v>
      </c>
      <c r="E120" s="739">
        <v>1</v>
      </c>
      <c r="F120" s="738"/>
      <c r="G120" s="739"/>
      <c r="H120" s="738"/>
      <c r="I120" s="739"/>
      <c r="J120" s="738"/>
      <c r="K120" s="739"/>
      <c r="L120" s="738"/>
      <c r="M120" s="739"/>
      <c r="N120" s="738"/>
      <c r="O120" s="739"/>
      <c r="P120" s="738"/>
      <c r="Q120" s="739"/>
      <c r="R120" s="738"/>
      <c r="S120" s="739"/>
      <c r="T120" s="738"/>
      <c r="U120" s="739"/>
      <c r="V120" s="738"/>
      <c r="W120" s="739"/>
      <c r="X120" s="738"/>
      <c r="Y120" s="739"/>
      <c r="Z120" s="738"/>
      <c r="AA120" s="740"/>
      <c r="AB120" s="734"/>
      <c r="AC120" s="734"/>
    </row>
    <row r="121" spans="1:29" ht="25.5">
      <c r="A121" s="735">
        <v>7.51</v>
      </c>
      <c r="B121" s="757" t="s">
        <v>2447</v>
      </c>
      <c r="C121" s="737">
        <v>5</v>
      </c>
      <c r="D121" s="738">
        <v>2</v>
      </c>
      <c r="E121" s="739">
        <v>1</v>
      </c>
      <c r="F121" s="738"/>
      <c r="G121" s="739"/>
      <c r="H121" s="738"/>
      <c r="I121" s="739"/>
      <c r="J121" s="738"/>
      <c r="K121" s="739"/>
      <c r="L121" s="738"/>
      <c r="M121" s="739"/>
      <c r="N121" s="738"/>
      <c r="O121" s="739"/>
      <c r="P121" s="738"/>
      <c r="Q121" s="739"/>
      <c r="R121" s="738"/>
      <c r="S121" s="739"/>
      <c r="T121" s="738"/>
      <c r="U121" s="739"/>
      <c r="V121" s="738"/>
      <c r="W121" s="739"/>
      <c r="X121" s="738"/>
      <c r="Y121" s="739"/>
      <c r="Z121" s="738"/>
      <c r="AA121" s="740"/>
      <c r="AB121" s="734"/>
      <c r="AC121" s="734"/>
    </row>
    <row r="122" spans="1:29" ht="14.25">
      <c r="A122" s="735">
        <v>7.52</v>
      </c>
      <c r="B122" s="757" t="s">
        <v>2448</v>
      </c>
      <c r="C122" s="737">
        <v>5</v>
      </c>
      <c r="D122" s="738">
        <v>2</v>
      </c>
      <c r="E122" s="739">
        <v>1</v>
      </c>
      <c r="F122" s="738"/>
      <c r="G122" s="739"/>
      <c r="H122" s="738"/>
      <c r="I122" s="739"/>
      <c r="J122" s="738"/>
      <c r="K122" s="739"/>
      <c r="L122" s="738"/>
      <c r="M122" s="739"/>
      <c r="N122" s="738"/>
      <c r="O122" s="739"/>
      <c r="P122" s="738"/>
      <c r="Q122" s="739"/>
      <c r="R122" s="738"/>
      <c r="S122" s="739"/>
      <c r="T122" s="738"/>
      <c r="U122" s="739"/>
      <c r="V122" s="738"/>
      <c r="W122" s="739"/>
      <c r="X122" s="738"/>
      <c r="Y122" s="739"/>
      <c r="Z122" s="738"/>
      <c r="AA122" s="740"/>
      <c r="AB122" s="734"/>
      <c r="AC122" s="734"/>
    </row>
    <row r="123" spans="1:29" ht="14.25">
      <c r="A123" s="735">
        <v>7.53</v>
      </c>
      <c r="B123" s="757" t="s">
        <v>2449</v>
      </c>
      <c r="C123" s="737">
        <v>5</v>
      </c>
      <c r="D123" s="738">
        <v>2</v>
      </c>
      <c r="E123" s="739">
        <v>1</v>
      </c>
      <c r="F123" s="738"/>
      <c r="G123" s="739"/>
      <c r="H123" s="738"/>
      <c r="I123" s="739"/>
      <c r="J123" s="738"/>
      <c r="K123" s="739"/>
      <c r="L123" s="738"/>
      <c r="M123" s="739"/>
      <c r="N123" s="738"/>
      <c r="O123" s="739"/>
      <c r="P123" s="738"/>
      <c r="Q123" s="739"/>
      <c r="R123" s="738"/>
      <c r="S123" s="739"/>
      <c r="T123" s="738"/>
      <c r="U123" s="739"/>
      <c r="V123" s="738"/>
      <c r="W123" s="739"/>
      <c r="X123" s="738"/>
      <c r="Y123" s="739"/>
      <c r="Z123" s="738"/>
      <c r="AA123" s="740"/>
      <c r="AB123" s="734"/>
      <c r="AC123" s="734"/>
    </row>
    <row r="124" spans="1:29" ht="14.25">
      <c r="A124" s="735">
        <v>7.54</v>
      </c>
      <c r="B124" s="757" t="s">
        <v>2450</v>
      </c>
      <c r="C124" s="737">
        <v>15</v>
      </c>
      <c r="D124" s="738">
        <v>5</v>
      </c>
      <c r="E124" s="739">
        <v>1</v>
      </c>
      <c r="F124" s="738"/>
      <c r="G124" s="739"/>
      <c r="H124" s="738"/>
      <c r="I124" s="739"/>
      <c r="J124" s="738"/>
      <c r="K124" s="739"/>
      <c r="L124" s="738"/>
      <c r="M124" s="739"/>
      <c r="N124" s="738"/>
      <c r="O124" s="739"/>
      <c r="P124" s="738"/>
      <c r="Q124" s="739"/>
      <c r="R124" s="738"/>
      <c r="S124" s="739"/>
      <c r="T124" s="738"/>
      <c r="U124" s="739"/>
      <c r="V124" s="738"/>
      <c r="W124" s="739"/>
      <c r="X124" s="738"/>
      <c r="Y124" s="739"/>
      <c r="Z124" s="738"/>
      <c r="AA124" s="740"/>
      <c r="AB124" s="734"/>
      <c r="AC124" s="734"/>
    </row>
    <row r="125" spans="1:29" ht="14.25">
      <c r="A125" s="735">
        <v>7.55</v>
      </c>
      <c r="B125" s="757" t="s">
        <v>2451</v>
      </c>
      <c r="C125" s="737">
        <v>10</v>
      </c>
      <c r="D125" s="738">
        <v>5</v>
      </c>
      <c r="E125" s="739">
        <v>1</v>
      </c>
      <c r="F125" s="738"/>
      <c r="G125" s="739"/>
      <c r="H125" s="738"/>
      <c r="I125" s="739"/>
      <c r="J125" s="738"/>
      <c r="K125" s="739"/>
      <c r="L125" s="738"/>
      <c r="M125" s="739"/>
      <c r="N125" s="738"/>
      <c r="O125" s="739"/>
      <c r="P125" s="738"/>
      <c r="Q125" s="739"/>
      <c r="R125" s="738"/>
      <c r="S125" s="739"/>
      <c r="T125" s="738"/>
      <c r="U125" s="739"/>
      <c r="V125" s="738"/>
      <c r="W125" s="739"/>
      <c r="X125" s="738"/>
      <c r="Y125" s="739"/>
      <c r="Z125" s="738"/>
      <c r="AA125" s="740"/>
      <c r="AB125" s="734"/>
      <c r="AC125" s="734"/>
    </row>
    <row r="126" spans="1:29" ht="14.25">
      <c r="A126" s="735">
        <v>7.56</v>
      </c>
      <c r="B126" s="757" t="s">
        <v>2452</v>
      </c>
      <c r="C126" s="737">
        <v>5</v>
      </c>
      <c r="D126" s="738">
        <v>2</v>
      </c>
      <c r="E126" s="739">
        <v>1</v>
      </c>
      <c r="F126" s="738"/>
      <c r="G126" s="739"/>
      <c r="H126" s="738"/>
      <c r="I126" s="739"/>
      <c r="J126" s="738"/>
      <c r="K126" s="739"/>
      <c r="L126" s="738"/>
      <c r="M126" s="739"/>
      <c r="N126" s="738"/>
      <c r="O126" s="739"/>
      <c r="P126" s="738"/>
      <c r="Q126" s="739"/>
      <c r="R126" s="738"/>
      <c r="S126" s="739"/>
      <c r="T126" s="738"/>
      <c r="U126" s="739"/>
      <c r="V126" s="738"/>
      <c r="W126" s="739"/>
      <c r="X126" s="738"/>
      <c r="Y126" s="739"/>
      <c r="Z126" s="738"/>
      <c r="AA126" s="740"/>
      <c r="AB126" s="734"/>
      <c r="AC126" s="734"/>
    </row>
    <row r="127" spans="1:29" ht="14.25">
      <c r="A127" s="735">
        <v>7.57</v>
      </c>
      <c r="B127" s="757" t="s">
        <v>2453</v>
      </c>
      <c r="C127" s="737">
        <v>5</v>
      </c>
      <c r="D127" s="738">
        <v>2</v>
      </c>
      <c r="E127" s="739">
        <v>1</v>
      </c>
      <c r="F127" s="738"/>
      <c r="G127" s="739"/>
      <c r="H127" s="738"/>
      <c r="I127" s="739"/>
      <c r="J127" s="738"/>
      <c r="K127" s="739"/>
      <c r="L127" s="738"/>
      <c r="M127" s="739"/>
      <c r="N127" s="738"/>
      <c r="O127" s="739"/>
      <c r="P127" s="738"/>
      <c r="Q127" s="739"/>
      <c r="R127" s="738"/>
      <c r="S127" s="739"/>
      <c r="T127" s="738"/>
      <c r="U127" s="739"/>
      <c r="V127" s="738"/>
      <c r="W127" s="739"/>
      <c r="X127" s="738"/>
      <c r="Y127" s="739"/>
      <c r="Z127" s="738"/>
      <c r="AA127" s="740"/>
      <c r="AB127" s="734"/>
      <c r="AC127" s="734"/>
    </row>
    <row r="128" spans="1:29" ht="14.25">
      <c r="A128" s="735">
        <v>7.58</v>
      </c>
      <c r="B128" s="757" t="s">
        <v>2454</v>
      </c>
      <c r="C128" s="737">
        <v>5</v>
      </c>
      <c r="D128" s="738">
        <v>2</v>
      </c>
      <c r="E128" s="739">
        <v>1</v>
      </c>
      <c r="F128" s="738"/>
      <c r="G128" s="739"/>
      <c r="H128" s="738"/>
      <c r="I128" s="739"/>
      <c r="J128" s="738"/>
      <c r="K128" s="739"/>
      <c r="L128" s="738"/>
      <c r="M128" s="739"/>
      <c r="N128" s="738"/>
      <c r="O128" s="739"/>
      <c r="P128" s="738"/>
      <c r="Q128" s="739"/>
      <c r="R128" s="738"/>
      <c r="S128" s="739"/>
      <c r="T128" s="738"/>
      <c r="U128" s="739"/>
      <c r="V128" s="738"/>
      <c r="W128" s="739"/>
      <c r="X128" s="738"/>
      <c r="Y128" s="739"/>
      <c r="Z128" s="738"/>
      <c r="AA128" s="740"/>
      <c r="AB128" s="734"/>
      <c r="AC128" s="734"/>
    </row>
    <row r="129" spans="1:29" ht="14.25">
      <c r="A129" s="735">
        <v>7.59</v>
      </c>
      <c r="B129" s="757" t="s">
        <v>2455</v>
      </c>
      <c r="C129" s="737">
        <v>8</v>
      </c>
      <c r="D129" s="738">
        <v>2</v>
      </c>
      <c r="E129" s="739">
        <v>1</v>
      </c>
      <c r="F129" s="738"/>
      <c r="G129" s="739"/>
      <c r="H129" s="738"/>
      <c r="I129" s="739"/>
      <c r="J129" s="738"/>
      <c r="K129" s="739"/>
      <c r="L129" s="738"/>
      <c r="M129" s="739"/>
      <c r="N129" s="738"/>
      <c r="O129" s="739"/>
      <c r="P129" s="738"/>
      <c r="Q129" s="739"/>
      <c r="R129" s="738"/>
      <c r="S129" s="739"/>
      <c r="T129" s="738"/>
      <c r="U129" s="739"/>
      <c r="V129" s="738"/>
      <c r="W129" s="739"/>
      <c r="X129" s="738"/>
      <c r="Y129" s="739"/>
      <c r="Z129" s="738"/>
      <c r="AA129" s="740"/>
      <c r="AB129" s="734"/>
      <c r="AC129" s="734"/>
    </row>
    <row r="130" spans="1:29" ht="14.25">
      <c r="A130" s="749" t="s">
        <v>2456</v>
      </c>
      <c r="B130" s="757" t="s">
        <v>2457</v>
      </c>
      <c r="C130" s="737">
        <v>5</v>
      </c>
      <c r="D130" s="738">
        <v>2</v>
      </c>
      <c r="E130" s="739">
        <v>1</v>
      </c>
      <c r="F130" s="738"/>
      <c r="G130" s="739"/>
      <c r="H130" s="738"/>
      <c r="I130" s="739"/>
      <c r="J130" s="738"/>
      <c r="K130" s="739"/>
      <c r="L130" s="738"/>
      <c r="M130" s="739"/>
      <c r="N130" s="738"/>
      <c r="O130" s="739"/>
      <c r="P130" s="738"/>
      <c r="Q130" s="739"/>
      <c r="R130" s="738"/>
      <c r="S130" s="739"/>
      <c r="T130" s="738"/>
      <c r="U130" s="739"/>
      <c r="V130" s="738"/>
      <c r="W130" s="739"/>
      <c r="X130" s="738"/>
      <c r="Y130" s="739"/>
      <c r="Z130" s="738"/>
      <c r="AA130" s="740"/>
      <c r="AB130" s="734"/>
      <c r="AC130" s="734"/>
    </row>
    <row r="131" spans="1:29" ht="14.25">
      <c r="A131" s="742">
        <v>8</v>
      </c>
      <c r="B131" s="758" t="s">
        <v>2458</v>
      </c>
      <c r="C131" s="744"/>
      <c r="D131" s="745"/>
      <c r="E131" s="746"/>
      <c r="F131" s="745"/>
      <c r="G131" s="746"/>
      <c r="H131" s="745"/>
      <c r="I131" s="746"/>
      <c r="J131" s="745"/>
      <c r="K131" s="746"/>
      <c r="L131" s="745"/>
      <c r="M131" s="746"/>
      <c r="N131" s="745"/>
      <c r="O131" s="746"/>
      <c r="P131" s="745"/>
      <c r="Q131" s="746"/>
      <c r="R131" s="745"/>
      <c r="S131" s="746"/>
      <c r="T131" s="745"/>
      <c r="U131" s="746"/>
      <c r="V131" s="745"/>
      <c r="W131" s="746"/>
      <c r="X131" s="745"/>
      <c r="Y131" s="746"/>
      <c r="Z131" s="745"/>
      <c r="AA131" s="747">
        <f>SUM(AA132:AA133)</f>
        <v>0</v>
      </c>
      <c r="AB131" s="734"/>
      <c r="AC131" s="734"/>
    </row>
    <row r="132" spans="1:29" ht="14.25">
      <c r="A132" s="735">
        <v>8.1</v>
      </c>
      <c r="B132" s="736" t="s">
        <v>2459</v>
      </c>
      <c r="C132" s="737">
        <v>40</v>
      </c>
      <c r="D132" s="738">
        <v>30</v>
      </c>
      <c r="E132" s="739"/>
      <c r="F132" s="738"/>
      <c r="G132" s="739"/>
      <c r="H132" s="738"/>
      <c r="I132" s="739"/>
      <c r="J132" s="738"/>
      <c r="K132" s="739"/>
      <c r="L132" s="738"/>
      <c r="M132" s="739">
        <v>10</v>
      </c>
      <c r="N132" s="738">
        <v>2</v>
      </c>
      <c r="O132" s="739"/>
      <c r="P132" s="738"/>
      <c r="Q132" s="739"/>
      <c r="R132" s="738"/>
      <c r="S132" s="739"/>
      <c r="T132" s="738"/>
      <c r="U132" s="739"/>
      <c r="V132" s="738"/>
      <c r="W132" s="739"/>
      <c r="X132" s="738"/>
      <c r="Y132" s="739"/>
      <c r="Z132" s="738"/>
      <c r="AA132" s="740"/>
      <c r="AB132" s="734"/>
      <c r="AC132" s="734"/>
    </row>
    <row r="133" spans="1:29" ht="14.25">
      <c r="A133" s="735">
        <v>8.1999999999999993</v>
      </c>
      <c r="B133" s="736" t="s">
        <v>2460</v>
      </c>
      <c r="C133" s="737">
        <v>100</v>
      </c>
      <c r="D133" s="738">
        <v>20</v>
      </c>
      <c r="E133" s="739"/>
      <c r="F133" s="738"/>
      <c r="G133" s="739"/>
      <c r="H133" s="738"/>
      <c r="I133" s="739"/>
      <c r="J133" s="738"/>
      <c r="K133" s="739"/>
      <c r="L133" s="738"/>
      <c r="M133" s="739">
        <v>10</v>
      </c>
      <c r="N133" s="738">
        <v>2</v>
      </c>
      <c r="O133" s="739"/>
      <c r="P133" s="738"/>
      <c r="Q133" s="739"/>
      <c r="R133" s="738"/>
      <c r="S133" s="739"/>
      <c r="T133" s="738"/>
      <c r="U133" s="739"/>
      <c r="V133" s="738"/>
      <c r="W133" s="739"/>
      <c r="X133" s="738"/>
      <c r="Y133" s="739"/>
      <c r="Z133" s="738"/>
      <c r="AA133" s="740"/>
      <c r="AB133" s="734"/>
      <c r="AC133" s="734"/>
    </row>
    <row r="134" spans="1:29" ht="14.25">
      <c r="A134" s="742">
        <v>9</v>
      </c>
      <c r="B134" s="759" t="s">
        <v>2461</v>
      </c>
      <c r="C134" s="744"/>
      <c r="D134" s="745"/>
      <c r="E134" s="746"/>
      <c r="F134" s="745"/>
      <c r="G134" s="746"/>
      <c r="H134" s="745"/>
      <c r="I134" s="746"/>
      <c r="J134" s="745"/>
      <c r="K134" s="746"/>
      <c r="L134" s="745"/>
      <c r="M134" s="746"/>
      <c r="N134" s="745"/>
      <c r="O134" s="746"/>
      <c r="P134" s="745"/>
      <c r="Q134" s="746"/>
      <c r="R134" s="745"/>
      <c r="S134" s="746"/>
      <c r="T134" s="745"/>
      <c r="U134" s="746"/>
      <c r="V134" s="745"/>
      <c r="W134" s="746"/>
      <c r="X134" s="745"/>
      <c r="Y134" s="746"/>
      <c r="Z134" s="745"/>
      <c r="AA134" s="747">
        <f>SUM(AA135:AA140)</f>
        <v>0</v>
      </c>
      <c r="AB134" s="734"/>
      <c r="AC134" s="734"/>
    </row>
    <row r="135" spans="1:29" ht="14.25">
      <c r="A135" s="735">
        <v>9.1</v>
      </c>
      <c r="B135" s="736" t="s">
        <v>2462</v>
      </c>
      <c r="C135" s="737">
        <v>120</v>
      </c>
      <c r="D135" s="738">
        <v>30</v>
      </c>
      <c r="E135" s="739"/>
      <c r="F135" s="738"/>
      <c r="G135" s="739"/>
      <c r="H135" s="738"/>
      <c r="I135" s="739"/>
      <c r="J135" s="738"/>
      <c r="K135" s="739"/>
      <c r="L135" s="738"/>
      <c r="M135" s="739">
        <v>10</v>
      </c>
      <c r="N135" s="738">
        <v>2</v>
      </c>
      <c r="O135" s="739"/>
      <c r="P135" s="738"/>
      <c r="Q135" s="739"/>
      <c r="R135" s="738"/>
      <c r="S135" s="739"/>
      <c r="T135" s="738"/>
      <c r="U135" s="739"/>
      <c r="V135" s="738"/>
      <c r="W135" s="739"/>
      <c r="X135" s="738"/>
      <c r="Y135" s="739"/>
      <c r="Z135" s="738"/>
      <c r="AA135" s="740"/>
      <c r="AB135" s="734"/>
      <c r="AC135" s="734"/>
    </row>
    <row r="136" spans="1:29" ht="14.25">
      <c r="A136" s="735">
        <v>9.1999999999999993</v>
      </c>
      <c r="B136" s="736" t="s">
        <v>2463</v>
      </c>
      <c r="C136" s="737">
        <v>30</v>
      </c>
      <c r="D136" s="738">
        <v>10</v>
      </c>
      <c r="E136" s="739"/>
      <c r="F136" s="738"/>
      <c r="G136" s="739"/>
      <c r="H136" s="738"/>
      <c r="I136" s="739"/>
      <c r="J136" s="738"/>
      <c r="K136" s="739"/>
      <c r="L136" s="738"/>
      <c r="M136" s="739">
        <v>5</v>
      </c>
      <c r="N136" s="738">
        <v>1</v>
      </c>
      <c r="O136" s="739"/>
      <c r="P136" s="738"/>
      <c r="Q136" s="739"/>
      <c r="R136" s="738"/>
      <c r="S136" s="739"/>
      <c r="T136" s="738"/>
      <c r="U136" s="739"/>
      <c r="V136" s="738"/>
      <c r="W136" s="739"/>
      <c r="X136" s="738"/>
      <c r="Y136" s="739"/>
      <c r="Z136" s="738"/>
      <c r="AA136" s="740"/>
      <c r="AB136" s="734"/>
      <c r="AC136" s="734"/>
    </row>
    <row r="137" spans="1:29" ht="14.25">
      <c r="A137" s="735">
        <v>9.3000000000000007</v>
      </c>
      <c r="B137" s="736" t="s">
        <v>2464</v>
      </c>
      <c r="C137" s="737">
        <v>50</v>
      </c>
      <c r="D137" s="738">
        <v>20</v>
      </c>
      <c r="E137" s="739"/>
      <c r="F137" s="738"/>
      <c r="G137" s="739"/>
      <c r="H137" s="738"/>
      <c r="I137" s="739"/>
      <c r="J137" s="738"/>
      <c r="K137" s="739"/>
      <c r="L137" s="738"/>
      <c r="M137" s="739">
        <v>5</v>
      </c>
      <c r="N137" s="738">
        <v>1</v>
      </c>
      <c r="O137" s="739"/>
      <c r="P137" s="738"/>
      <c r="Q137" s="739"/>
      <c r="R137" s="738"/>
      <c r="S137" s="739"/>
      <c r="T137" s="738"/>
      <c r="U137" s="739"/>
      <c r="V137" s="738"/>
      <c r="W137" s="739"/>
      <c r="X137" s="738"/>
      <c r="Y137" s="739"/>
      <c r="Z137" s="738"/>
      <c r="AA137" s="740"/>
      <c r="AB137" s="734"/>
      <c r="AC137" s="734"/>
    </row>
    <row r="138" spans="1:29" ht="14.25">
      <c r="A138" s="735">
        <v>9.4</v>
      </c>
      <c r="B138" s="736" t="s">
        <v>2465</v>
      </c>
      <c r="C138" s="737">
        <v>50</v>
      </c>
      <c r="D138" s="738">
        <v>20</v>
      </c>
      <c r="E138" s="739"/>
      <c r="F138" s="738"/>
      <c r="G138" s="739"/>
      <c r="H138" s="738"/>
      <c r="I138" s="739"/>
      <c r="J138" s="738"/>
      <c r="K138" s="739"/>
      <c r="L138" s="738"/>
      <c r="M138" s="739">
        <v>5</v>
      </c>
      <c r="N138" s="738">
        <v>1</v>
      </c>
      <c r="O138" s="739"/>
      <c r="P138" s="738"/>
      <c r="Q138" s="739"/>
      <c r="R138" s="738"/>
      <c r="S138" s="739"/>
      <c r="T138" s="738"/>
      <c r="U138" s="739"/>
      <c r="V138" s="738"/>
      <c r="W138" s="739"/>
      <c r="X138" s="738"/>
      <c r="Y138" s="739"/>
      <c r="Z138" s="738"/>
      <c r="AA138" s="740"/>
      <c r="AB138" s="734"/>
      <c r="AC138" s="734"/>
    </row>
    <row r="139" spans="1:29" ht="14.25">
      <c r="A139" s="735">
        <v>9.5</v>
      </c>
      <c r="B139" s="736" t="s">
        <v>2466</v>
      </c>
      <c r="C139" s="737">
        <v>10</v>
      </c>
      <c r="D139" s="738">
        <v>5</v>
      </c>
      <c r="E139" s="739"/>
      <c r="F139" s="738"/>
      <c r="G139" s="739"/>
      <c r="H139" s="738"/>
      <c r="I139" s="739"/>
      <c r="J139" s="738"/>
      <c r="K139" s="739"/>
      <c r="L139" s="738"/>
      <c r="M139" s="739">
        <v>5</v>
      </c>
      <c r="N139" s="738">
        <v>1</v>
      </c>
      <c r="O139" s="739"/>
      <c r="P139" s="738"/>
      <c r="Q139" s="739"/>
      <c r="R139" s="738"/>
      <c r="S139" s="739"/>
      <c r="T139" s="738"/>
      <c r="U139" s="739"/>
      <c r="V139" s="738"/>
      <c r="W139" s="739"/>
      <c r="X139" s="738"/>
      <c r="Y139" s="739"/>
      <c r="Z139" s="738"/>
      <c r="AA139" s="740"/>
      <c r="AB139" s="734"/>
      <c r="AC139" s="734"/>
    </row>
    <row r="140" spans="1:29" ht="14.25">
      <c r="A140" s="735">
        <v>9.6</v>
      </c>
      <c r="B140" s="736" t="s">
        <v>2467</v>
      </c>
      <c r="C140" s="737">
        <v>10</v>
      </c>
      <c r="D140" s="738">
        <v>5</v>
      </c>
      <c r="E140" s="739"/>
      <c r="F140" s="738"/>
      <c r="G140" s="739"/>
      <c r="H140" s="738"/>
      <c r="I140" s="739"/>
      <c r="J140" s="738"/>
      <c r="K140" s="739"/>
      <c r="L140" s="738"/>
      <c r="M140" s="739">
        <v>5</v>
      </c>
      <c r="N140" s="738">
        <v>1</v>
      </c>
      <c r="O140" s="739"/>
      <c r="P140" s="738"/>
      <c r="Q140" s="739"/>
      <c r="R140" s="738"/>
      <c r="S140" s="739"/>
      <c r="T140" s="738"/>
      <c r="U140" s="739"/>
      <c r="V140" s="738"/>
      <c r="W140" s="739"/>
      <c r="X140" s="738"/>
      <c r="Y140" s="739"/>
      <c r="Z140" s="738"/>
      <c r="AA140" s="740"/>
      <c r="AB140" s="734"/>
      <c r="AC140" s="734"/>
    </row>
    <row r="141" spans="1:29" ht="14.25">
      <c r="A141" s="742">
        <v>10</v>
      </c>
      <c r="B141" s="758" t="s">
        <v>2468</v>
      </c>
      <c r="C141" s="744"/>
      <c r="D141" s="745"/>
      <c r="E141" s="746"/>
      <c r="F141" s="745"/>
      <c r="G141" s="746"/>
      <c r="H141" s="745"/>
      <c r="I141" s="746"/>
      <c r="J141" s="745"/>
      <c r="K141" s="746"/>
      <c r="L141" s="745"/>
      <c r="M141" s="746"/>
      <c r="N141" s="745"/>
      <c r="O141" s="746"/>
      <c r="P141" s="745"/>
      <c r="Q141" s="746"/>
      <c r="R141" s="745"/>
      <c r="S141" s="746"/>
      <c r="T141" s="745"/>
      <c r="U141" s="746"/>
      <c r="V141" s="745"/>
      <c r="W141" s="746"/>
      <c r="X141" s="745"/>
      <c r="Y141" s="746"/>
      <c r="Z141" s="745"/>
      <c r="AA141" s="747">
        <f>SUM(AA142:AA143)</f>
        <v>0</v>
      </c>
      <c r="AB141" s="734"/>
      <c r="AC141" s="734"/>
    </row>
    <row r="142" spans="1:29" ht="14.25">
      <c r="A142" s="735">
        <v>10.1</v>
      </c>
      <c r="B142" s="736" t="s">
        <v>2469</v>
      </c>
      <c r="C142" s="737">
        <v>200</v>
      </c>
      <c r="D142" s="738">
        <v>50</v>
      </c>
      <c r="E142" s="739">
        <v>30</v>
      </c>
      <c r="F142" s="738">
        <v>5</v>
      </c>
      <c r="G142" s="739"/>
      <c r="H142" s="738"/>
      <c r="I142" s="739"/>
      <c r="J142" s="738"/>
      <c r="K142" s="739"/>
      <c r="L142" s="738"/>
      <c r="M142" s="739">
        <v>20</v>
      </c>
      <c r="N142" s="738">
        <v>5</v>
      </c>
      <c r="O142" s="739">
        <v>30</v>
      </c>
      <c r="P142" s="738">
        <v>5</v>
      </c>
      <c r="Q142" s="739"/>
      <c r="R142" s="738"/>
      <c r="S142" s="739"/>
      <c r="T142" s="738"/>
      <c r="U142" s="739"/>
      <c r="V142" s="738"/>
      <c r="W142" s="739"/>
      <c r="X142" s="738"/>
      <c r="Y142" s="739"/>
      <c r="Z142" s="738"/>
      <c r="AA142" s="740"/>
      <c r="AB142" s="734"/>
      <c r="AC142" s="734"/>
    </row>
    <row r="143" spans="1:29" ht="14.25">
      <c r="A143" s="735">
        <v>10.199999999999999</v>
      </c>
      <c r="B143" s="736" t="s">
        <v>2470</v>
      </c>
      <c r="C143" s="737">
        <v>200</v>
      </c>
      <c r="D143" s="738">
        <v>50</v>
      </c>
      <c r="E143" s="739">
        <v>30</v>
      </c>
      <c r="F143" s="738">
        <v>5</v>
      </c>
      <c r="G143" s="739"/>
      <c r="H143" s="738"/>
      <c r="I143" s="739"/>
      <c r="J143" s="738"/>
      <c r="K143" s="739"/>
      <c r="L143" s="738"/>
      <c r="M143" s="739">
        <v>20</v>
      </c>
      <c r="N143" s="738">
        <v>5</v>
      </c>
      <c r="O143" s="739">
        <v>30</v>
      </c>
      <c r="P143" s="738">
        <v>5</v>
      </c>
      <c r="Q143" s="739"/>
      <c r="R143" s="738"/>
      <c r="S143" s="739"/>
      <c r="T143" s="738"/>
      <c r="U143" s="739"/>
      <c r="V143" s="738"/>
      <c r="W143" s="739"/>
      <c r="X143" s="738"/>
      <c r="Y143" s="739"/>
      <c r="Z143" s="738"/>
      <c r="AA143" s="740"/>
      <c r="AB143" s="734"/>
      <c r="AC143" s="734"/>
    </row>
    <row r="144" spans="1:29" ht="14.25">
      <c r="A144" s="760">
        <v>11</v>
      </c>
      <c r="B144" s="761" t="s">
        <v>2471</v>
      </c>
      <c r="C144" s="762"/>
      <c r="D144" s="763"/>
      <c r="E144" s="764"/>
      <c r="F144" s="765"/>
      <c r="G144" s="766"/>
      <c r="H144" s="763"/>
      <c r="I144" s="766"/>
      <c r="J144" s="763"/>
      <c r="K144" s="766"/>
      <c r="L144" s="763"/>
      <c r="M144" s="766"/>
      <c r="N144" s="763"/>
      <c r="O144" s="766"/>
      <c r="P144" s="763"/>
      <c r="Q144" s="766"/>
      <c r="R144" s="763"/>
      <c r="S144" s="766"/>
      <c r="T144" s="763"/>
      <c r="U144" s="766"/>
      <c r="V144" s="763"/>
      <c r="W144" s="766"/>
      <c r="X144" s="763"/>
      <c r="Y144" s="766"/>
      <c r="Z144" s="763"/>
      <c r="AA144" s="767"/>
      <c r="AB144" s="724"/>
      <c r="AC144" s="724"/>
    </row>
    <row r="145" spans="1:29" ht="15" thickBot="1">
      <c r="A145" s="768">
        <v>11.1</v>
      </c>
      <c r="B145" s="769" t="s">
        <v>2472</v>
      </c>
      <c r="C145" s="770">
        <f>0.05*C148</f>
        <v>192.65</v>
      </c>
      <c r="D145" s="771"/>
      <c r="E145" s="764"/>
      <c r="F145" s="765"/>
      <c r="G145" s="772"/>
      <c r="H145" s="771"/>
      <c r="I145" s="772"/>
      <c r="J145" s="771"/>
      <c r="K145" s="772"/>
      <c r="L145" s="771"/>
      <c r="M145" s="772"/>
      <c r="N145" s="771"/>
      <c r="O145" s="772"/>
      <c r="P145" s="771"/>
      <c r="Q145" s="772"/>
      <c r="R145" s="771"/>
      <c r="S145" s="772"/>
      <c r="T145" s="771"/>
      <c r="U145" s="772"/>
      <c r="V145" s="771"/>
      <c r="W145" s="772"/>
      <c r="X145" s="771"/>
      <c r="Y145" s="772"/>
      <c r="Z145" s="771"/>
      <c r="AA145" s="770">
        <f>0.05*AA148</f>
        <v>29.75</v>
      </c>
      <c r="AB145" s="724"/>
      <c r="AC145" s="724"/>
    </row>
    <row r="146" spans="1:29" ht="15.75" thickBot="1">
      <c r="A146" s="773"/>
      <c r="B146" s="774" t="s">
        <v>2325</v>
      </c>
      <c r="C146" s="775">
        <f>SUM(C5:C145)</f>
        <v>4045.65</v>
      </c>
      <c r="D146" s="776">
        <f>SUM(D5:D145)</f>
        <v>1109</v>
      </c>
      <c r="E146" s="775">
        <f t="shared" ref="E146:Z146" si="1">SUM(E5:E145)</f>
        <v>161</v>
      </c>
      <c r="F146" s="776">
        <f t="shared" si="1"/>
        <v>23</v>
      </c>
      <c r="G146" s="775">
        <f t="shared" si="1"/>
        <v>0</v>
      </c>
      <c r="H146" s="776">
        <f t="shared" si="1"/>
        <v>1</v>
      </c>
      <c r="I146" s="775">
        <f t="shared" si="1"/>
        <v>5</v>
      </c>
      <c r="J146" s="776">
        <f t="shared" si="1"/>
        <v>2</v>
      </c>
      <c r="K146" s="775">
        <f t="shared" si="1"/>
        <v>425</v>
      </c>
      <c r="L146" s="776">
        <f t="shared" si="1"/>
        <v>73</v>
      </c>
      <c r="M146" s="775">
        <f t="shared" si="1"/>
        <v>162</v>
      </c>
      <c r="N146" s="776">
        <f t="shared" si="1"/>
        <v>109</v>
      </c>
      <c r="O146" s="775">
        <f t="shared" si="1"/>
        <v>77</v>
      </c>
      <c r="P146" s="776">
        <f t="shared" si="1"/>
        <v>16</v>
      </c>
      <c r="Q146" s="775">
        <f t="shared" si="1"/>
        <v>0</v>
      </c>
      <c r="R146" s="776">
        <f t="shared" si="1"/>
        <v>0</v>
      </c>
      <c r="S146" s="775">
        <f t="shared" si="1"/>
        <v>0</v>
      </c>
      <c r="T146" s="776">
        <f t="shared" si="1"/>
        <v>0</v>
      </c>
      <c r="U146" s="775">
        <f t="shared" si="1"/>
        <v>0</v>
      </c>
      <c r="V146" s="776">
        <f t="shared" si="1"/>
        <v>0</v>
      </c>
      <c r="W146" s="775">
        <f t="shared" si="1"/>
        <v>0</v>
      </c>
      <c r="X146" s="776">
        <f t="shared" si="1"/>
        <v>0</v>
      </c>
      <c r="Y146" s="775">
        <f t="shared" si="1"/>
        <v>0</v>
      </c>
      <c r="Z146" s="776">
        <f t="shared" si="1"/>
        <v>0</v>
      </c>
      <c r="AA146" s="777">
        <f>SUM(AA5:AA145)</f>
        <v>624.75</v>
      </c>
      <c r="AB146" s="734"/>
      <c r="AC146" s="734"/>
    </row>
    <row r="147" spans="1:29" ht="15" thickBot="1">
      <c r="A147" s="778"/>
      <c r="B147" s="779" t="s">
        <v>136</v>
      </c>
      <c r="C147" s="780"/>
      <c r="D147" s="780"/>
      <c r="E147" s="780"/>
      <c r="F147" s="780"/>
      <c r="G147" s="780"/>
      <c r="H147" s="780"/>
      <c r="I147" s="780"/>
      <c r="J147" s="780"/>
      <c r="K147" s="780"/>
      <c r="L147" s="780"/>
      <c r="M147" s="780"/>
      <c r="N147" s="780"/>
      <c r="O147" s="780"/>
      <c r="P147" s="780"/>
      <c r="Q147" s="780"/>
      <c r="R147" s="780"/>
      <c r="S147" s="780"/>
      <c r="T147" s="780"/>
      <c r="U147" s="780"/>
      <c r="V147" s="780"/>
      <c r="W147" s="780"/>
      <c r="X147" s="780"/>
      <c r="Y147" s="780"/>
      <c r="Z147" s="780"/>
      <c r="AA147" s="780"/>
      <c r="AB147" s="734"/>
      <c r="AC147" s="734"/>
    </row>
    <row r="148" spans="1:29" ht="15" thickBot="1">
      <c r="A148" s="778"/>
      <c r="B148" s="779"/>
      <c r="C148" s="775">
        <f>SUM(C5:C143)</f>
        <v>3853</v>
      </c>
      <c r="D148" s="775">
        <f>SUM(D5:D143)</f>
        <v>1109</v>
      </c>
      <c r="E148" s="775">
        <f t="shared" ref="E148:AA148" si="2">SUM(E5:E143)</f>
        <v>161</v>
      </c>
      <c r="F148" s="775">
        <f t="shared" si="2"/>
        <v>23</v>
      </c>
      <c r="G148" s="775">
        <f t="shared" si="2"/>
        <v>0</v>
      </c>
      <c r="H148" s="775">
        <f t="shared" si="2"/>
        <v>1</v>
      </c>
      <c r="I148" s="775">
        <f t="shared" si="2"/>
        <v>5</v>
      </c>
      <c r="J148" s="775">
        <f t="shared" si="2"/>
        <v>2</v>
      </c>
      <c r="K148" s="775">
        <f t="shared" si="2"/>
        <v>425</v>
      </c>
      <c r="L148" s="775">
        <f t="shared" si="2"/>
        <v>73</v>
      </c>
      <c r="M148" s="775">
        <f t="shared" si="2"/>
        <v>162</v>
      </c>
      <c r="N148" s="775">
        <f t="shared" si="2"/>
        <v>109</v>
      </c>
      <c r="O148" s="775">
        <f t="shared" si="2"/>
        <v>77</v>
      </c>
      <c r="P148" s="775">
        <f t="shared" si="2"/>
        <v>16</v>
      </c>
      <c r="Q148" s="775">
        <f t="shared" si="2"/>
        <v>0</v>
      </c>
      <c r="R148" s="775">
        <f t="shared" si="2"/>
        <v>0</v>
      </c>
      <c r="S148" s="775">
        <f t="shared" si="2"/>
        <v>0</v>
      </c>
      <c r="T148" s="775">
        <f t="shared" si="2"/>
        <v>0</v>
      </c>
      <c r="U148" s="775">
        <f t="shared" si="2"/>
        <v>0</v>
      </c>
      <c r="V148" s="775">
        <f t="shared" si="2"/>
        <v>0</v>
      </c>
      <c r="W148" s="775">
        <f t="shared" si="2"/>
        <v>0</v>
      </c>
      <c r="X148" s="775">
        <f t="shared" si="2"/>
        <v>0</v>
      </c>
      <c r="Y148" s="775">
        <f t="shared" si="2"/>
        <v>0</v>
      </c>
      <c r="Z148" s="775">
        <f t="shared" si="2"/>
        <v>0</v>
      </c>
      <c r="AA148" s="775">
        <f t="shared" si="2"/>
        <v>595</v>
      </c>
      <c r="AB148" s="734"/>
      <c r="AC148" s="734"/>
    </row>
    <row r="149" spans="1:29" ht="14.25">
      <c r="A149" s="778"/>
      <c r="B149" s="779" t="s">
        <v>136</v>
      </c>
      <c r="C149" s="781"/>
      <c r="D149" s="781"/>
      <c r="E149" s="781"/>
      <c r="F149" s="781"/>
      <c r="G149" s="781"/>
      <c r="H149" s="781"/>
      <c r="I149" s="781"/>
      <c r="J149" s="781"/>
      <c r="K149" s="781"/>
      <c r="L149" s="781"/>
      <c r="M149" s="781"/>
      <c r="N149" s="781"/>
      <c r="O149" s="781"/>
      <c r="P149" s="781"/>
      <c r="Q149" s="781"/>
      <c r="R149" s="781"/>
      <c r="S149" s="781"/>
      <c r="T149" s="781"/>
      <c r="U149" s="781"/>
      <c r="V149" s="781"/>
      <c r="W149" s="781"/>
      <c r="X149" s="781"/>
      <c r="Y149" s="781"/>
      <c r="Z149" s="781"/>
      <c r="AA149" s="781"/>
      <c r="AB149" s="734"/>
      <c r="AC149" s="734"/>
    </row>
    <row r="150" spans="1:29" ht="14.25">
      <c r="A150" s="778"/>
      <c r="B150" s="779"/>
      <c r="C150" s="781"/>
      <c r="D150" s="781"/>
      <c r="E150" s="781"/>
      <c r="F150" s="781"/>
      <c r="G150" s="781"/>
      <c r="H150" s="781"/>
      <c r="I150" s="781"/>
      <c r="J150" s="781"/>
      <c r="K150" s="781"/>
      <c r="L150" s="781"/>
      <c r="M150" s="781"/>
      <c r="N150" s="781"/>
      <c r="O150" s="781"/>
      <c r="P150" s="781"/>
      <c r="Q150" s="781"/>
      <c r="R150" s="781"/>
      <c r="S150" s="781"/>
      <c r="T150" s="781"/>
      <c r="U150" s="781"/>
      <c r="V150" s="781"/>
      <c r="W150" s="781"/>
      <c r="X150" s="781"/>
      <c r="Y150" s="781"/>
      <c r="Z150" s="781"/>
      <c r="AA150" s="781"/>
      <c r="AB150" s="734"/>
      <c r="AC150" s="734"/>
    </row>
    <row r="151" spans="1:29" ht="14.25">
      <c r="A151" s="778"/>
      <c r="B151" s="779"/>
      <c r="C151" s="781"/>
      <c r="D151" s="781"/>
      <c r="E151" s="781"/>
      <c r="F151" s="781"/>
      <c r="G151" s="781"/>
      <c r="H151" s="781"/>
      <c r="I151" s="781"/>
      <c r="J151" s="781"/>
      <c r="K151" s="781"/>
      <c r="L151" s="781"/>
      <c r="M151" s="781"/>
      <c r="N151" s="781"/>
      <c r="O151" s="781"/>
      <c r="P151" s="781"/>
      <c r="Q151" s="781"/>
      <c r="R151" s="781"/>
      <c r="S151" s="781"/>
      <c r="T151" s="781"/>
      <c r="U151" s="781"/>
      <c r="V151" s="781"/>
      <c r="W151" s="781"/>
      <c r="X151" s="781"/>
      <c r="Y151" s="781"/>
      <c r="Z151" s="781"/>
      <c r="AA151" s="781"/>
      <c r="AB151" s="734"/>
      <c r="AC151" s="734"/>
    </row>
  </sheetData>
  <mergeCells count="18">
    <mergeCell ref="S3:T3"/>
    <mergeCell ref="U3:V3"/>
    <mergeCell ref="W3:X3"/>
    <mergeCell ref="B1:X1"/>
    <mergeCell ref="Y1:AA1"/>
    <mergeCell ref="A2:AA2"/>
    <mergeCell ref="A3:A4"/>
    <mergeCell ref="B3:B4"/>
    <mergeCell ref="C3:D3"/>
    <mergeCell ref="E3:F3"/>
    <mergeCell ref="G3:H3"/>
    <mergeCell ref="I3:J3"/>
    <mergeCell ref="K3:L3"/>
    <mergeCell ref="Y3:Z3"/>
    <mergeCell ref="AA3:AA4"/>
    <mergeCell ref="M3:N3"/>
    <mergeCell ref="O3:P3"/>
    <mergeCell ref="Q3:R3"/>
  </mergeCell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8"/>
  <dimension ref="A1:AC152"/>
  <sheetViews>
    <sheetView rightToLeft="1" workbookViewId="0">
      <selection activeCell="F32" sqref="F32"/>
    </sheetView>
  </sheetViews>
  <sheetFormatPr defaultColWidth="8.85546875" defaultRowHeight="12.75"/>
  <cols>
    <col min="1" max="1" width="8.85546875" style="661"/>
    <col min="2" max="2" width="50.7109375" style="661" customWidth="1"/>
    <col min="3" max="16384" width="8.85546875" style="661"/>
  </cols>
  <sheetData>
    <row r="1" spans="1:29" ht="18.75" thickBot="1">
      <c r="A1" s="723"/>
      <c r="B1" s="2333"/>
      <c r="C1" s="2333"/>
      <c r="D1" s="2333"/>
      <c r="E1" s="2333"/>
      <c r="F1" s="2333"/>
      <c r="G1" s="2333"/>
      <c r="H1" s="2333"/>
      <c r="I1" s="2333"/>
      <c r="J1" s="2333"/>
      <c r="K1" s="2333"/>
      <c r="L1" s="2333"/>
      <c r="M1" s="2333"/>
      <c r="N1" s="2333"/>
      <c r="O1" s="2333"/>
      <c r="P1" s="2333"/>
      <c r="Q1" s="2333"/>
      <c r="R1" s="2333"/>
      <c r="S1" s="2333"/>
      <c r="T1" s="2333"/>
      <c r="U1" s="2333"/>
      <c r="V1" s="2333"/>
      <c r="W1" s="2333"/>
      <c r="X1" s="2333"/>
      <c r="Y1" s="2334"/>
      <c r="Z1" s="2334"/>
      <c r="AA1" s="2335"/>
      <c r="AB1" s="724"/>
      <c r="AC1" s="724"/>
    </row>
    <row r="2" spans="1:29" ht="21" thickBot="1">
      <c r="A2" s="2336" t="s">
        <v>2317</v>
      </c>
      <c r="B2" s="2337"/>
      <c r="C2" s="2337"/>
      <c r="D2" s="2337"/>
      <c r="E2" s="2337"/>
      <c r="F2" s="2337"/>
      <c r="G2" s="2337"/>
      <c r="H2" s="2337"/>
      <c r="I2" s="2337"/>
      <c r="J2" s="2337"/>
      <c r="K2" s="2337"/>
      <c r="L2" s="2337"/>
      <c r="M2" s="2337"/>
      <c r="N2" s="2337"/>
      <c r="O2" s="2337"/>
      <c r="P2" s="2337"/>
      <c r="Q2" s="2337"/>
      <c r="R2" s="2337"/>
      <c r="S2" s="2337"/>
      <c r="T2" s="2337"/>
      <c r="U2" s="2337"/>
      <c r="V2" s="2337"/>
      <c r="W2" s="2337"/>
      <c r="X2" s="2337"/>
      <c r="Y2" s="2337"/>
      <c r="Z2" s="2337"/>
      <c r="AA2" s="2338"/>
      <c r="AB2" s="725"/>
      <c r="AC2" s="725"/>
    </row>
    <row r="3" spans="1:29">
      <c r="A3" s="2339" t="s">
        <v>2306</v>
      </c>
      <c r="B3" s="2341" t="s">
        <v>2307</v>
      </c>
      <c r="C3" s="2331" t="s">
        <v>2255</v>
      </c>
      <c r="D3" s="2332"/>
      <c r="E3" s="2331" t="s">
        <v>2256</v>
      </c>
      <c r="F3" s="2332"/>
      <c r="G3" s="2331" t="s">
        <v>2257</v>
      </c>
      <c r="H3" s="2332"/>
      <c r="I3" s="2331" t="s">
        <v>2258</v>
      </c>
      <c r="J3" s="2332"/>
      <c r="K3" s="2331" t="s">
        <v>2259</v>
      </c>
      <c r="L3" s="2332"/>
      <c r="M3" s="2331" t="s">
        <v>2260</v>
      </c>
      <c r="N3" s="2332"/>
      <c r="O3" s="2331" t="s">
        <v>2261</v>
      </c>
      <c r="P3" s="2332"/>
      <c r="Q3" s="2331" t="s">
        <v>2262</v>
      </c>
      <c r="R3" s="2332"/>
      <c r="S3" s="2331" t="s">
        <v>2263</v>
      </c>
      <c r="T3" s="2332"/>
      <c r="U3" s="2331" t="s">
        <v>2264</v>
      </c>
      <c r="V3" s="2332"/>
      <c r="W3" s="2331" t="s">
        <v>2265</v>
      </c>
      <c r="X3" s="2332"/>
      <c r="Y3" s="2331" t="s">
        <v>2266</v>
      </c>
      <c r="Z3" s="2332"/>
      <c r="AA3" s="2343" t="s">
        <v>2267</v>
      </c>
      <c r="AB3" s="725"/>
      <c r="AC3" s="725"/>
    </row>
    <row r="4" spans="1:29" ht="13.5" thickBot="1">
      <c r="A4" s="2345"/>
      <c r="B4" s="2346"/>
      <c r="C4" s="726" t="s">
        <v>2269</v>
      </c>
      <c r="D4" s="727" t="s">
        <v>2270</v>
      </c>
      <c r="E4" s="726" t="s">
        <v>2269</v>
      </c>
      <c r="F4" s="727" t="s">
        <v>2270</v>
      </c>
      <c r="G4" s="726" t="s">
        <v>2269</v>
      </c>
      <c r="H4" s="727" t="s">
        <v>2270</v>
      </c>
      <c r="I4" s="726" t="s">
        <v>2269</v>
      </c>
      <c r="J4" s="727" t="s">
        <v>2270</v>
      </c>
      <c r="K4" s="726" t="s">
        <v>2269</v>
      </c>
      <c r="L4" s="727" t="s">
        <v>2270</v>
      </c>
      <c r="M4" s="726" t="s">
        <v>2269</v>
      </c>
      <c r="N4" s="727" t="s">
        <v>2270</v>
      </c>
      <c r="O4" s="726" t="s">
        <v>2269</v>
      </c>
      <c r="P4" s="727" t="s">
        <v>2270</v>
      </c>
      <c r="Q4" s="726" t="s">
        <v>2269</v>
      </c>
      <c r="R4" s="727" t="s">
        <v>2270</v>
      </c>
      <c r="S4" s="726" t="s">
        <v>2269</v>
      </c>
      <c r="T4" s="727" t="s">
        <v>2270</v>
      </c>
      <c r="U4" s="726" t="s">
        <v>2269</v>
      </c>
      <c r="V4" s="727" t="s">
        <v>2270</v>
      </c>
      <c r="W4" s="726" t="s">
        <v>2269</v>
      </c>
      <c r="X4" s="727" t="s">
        <v>2270</v>
      </c>
      <c r="Y4" s="726" t="s">
        <v>2269</v>
      </c>
      <c r="Z4" s="727" t="s">
        <v>2270</v>
      </c>
      <c r="AA4" s="2344"/>
      <c r="AB4" s="724"/>
      <c r="AC4" s="724"/>
    </row>
    <row r="5" spans="1:29" ht="14.25">
      <c r="A5" s="782">
        <v>1</v>
      </c>
      <c r="B5" s="783" t="s">
        <v>2473</v>
      </c>
      <c r="C5" s="784"/>
      <c r="D5" s="731"/>
      <c r="E5" s="785"/>
      <c r="F5" s="786"/>
      <c r="G5" s="732"/>
      <c r="H5" s="731"/>
      <c r="I5" s="732"/>
      <c r="J5" s="731"/>
      <c r="K5" s="732"/>
      <c r="L5" s="731"/>
      <c r="M5" s="732"/>
      <c r="N5" s="731"/>
      <c r="O5" s="732"/>
      <c r="P5" s="731"/>
      <c r="Q5" s="732"/>
      <c r="R5" s="731"/>
      <c r="S5" s="732"/>
      <c r="T5" s="731"/>
      <c r="U5" s="732"/>
      <c r="V5" s="731"/>
      <c r="W5" s="732"/>
      <c r="X5" s="731"/>
      <c r="Y5" s="732"/>
      <c r="Z5" s="731"/>
      <c r="AA5" s="787"/>
      <c r="AB5" s="724"/>
      <c r="AC5" s="724"/>
    </row>
    <row r="6" spans="1:29" ht="14.25">
      <c r="A6" s="788">
        <v>1.1000000000000001</v>
      </c>
      <c r="B6" s="789" t="s">
        <v>2474</v>
      </c>
      <c r="C6" s="790"/>
      <c r="D6" s="738"/>
      <c r="E6" s="791"/>
      <c r="F6" s="792">
        <v>10</v>
      </c>
      <c r="G6" s="739"/>
      <c r="H6" s="738"/>
      <c r="I6" s="739"/>
      <c r="J6" s="738"/>
      <c r="K6" s="739"/>
      <c r="L6" s="738"/>
      <c r="M6" s="739"/>
      <c r="N6" s="738"/>
      <c r="O6" s="739"/>
      <c r="P6" s="738"/>
      <c r="Q6" s="739"/>
      <c r="R6" s="738"/>
      <c r="S6" s="739"/>
      <c r="T6" s="738"/>
      <c r="U6" s="739"/>
      <c r="V6" s="738"/>
      <c r="W6" s="739"/>
      <c r="X6" s="738"/>
      <c r="Y6" s="739"/>
      <c r="Z6" s="738"/>
      <c r="AA6" s="793"/>
      <c r="AB6" s="724"/>
      <c r="AC6" s="724"/>
    </row>
    <row r="7" spans="1:29" ht="14.25">
      <c r="A7" s="788">
        <v>1.2</v>
      </c>
      <c r="B7" s="789" t="s">
        <v>2475</v>
      </c>
      <c r="C7" s="790"/>
      <c r="D7" s="738"/>
      <c r="E7" s="791"/>
      <c r="F7" s="792">
        <v>5</v>
      </c>
      <c r="G7" s="739"/>
      <c r="H7" s="738"/>
      <c r="I7" s="739"/>
      <c r="J7" s="738"/>
      <c r="K7" s="739"/>
      <c r="L7" s="738"/>
      <c r="M7" s="739"/>
      <c r="N7" s="738"/>
      <c r="O7" s="739"/>
      <c r="P7" s="738"/>
      <c r="Q7" s="739"/>
      <c r="R7" s="738"/>
      <c r="S7" s="739"/>
      <c r="T7" s="738"/>
      <c r="U7" s="739"/>
      <c r="V7" s="738"/>
      <c r="W7" s="739"/>
      <c r="X7" s="738"/>
      <c r="Y7" s="739"/>
      <c r="Z7" s="738"/>
      <c r="AA7" s="793"/>
      <c r="AB7" s="724"/>
      <c r="AC7" s="724"/>
    </row>
    <row r="8" spans="1:29" ht="28.5">
      <c r="A8" s="788">
        <v>1.3</v>
      </c>
      <c r="B8" s="789" t="s">
        <v>2476</v>
      </c>
      <c r="C8" s="790"/>
      <c r="D8" s="738"/>
      <c r="E8" s="791"/>
      <c r="F8" s="792">
        <v>5</v>
      </c>
      <c r="G8" s="739"/>
      <c r="H8" s="738"/>
      <c r="I8" s="739"/>
      <c r="J8" s="738"/>
      <c r="K8" s="739"/>
      <c r="L8" s="738"/>
      <c r="M8" s="739">
        <v>0.5</v>
      </c>
      <c r="N8" s="738"/>
      <c r="O8" s="739">
        <v>0.5</v>
      </c>
      <c r="P8" s="738"/>
      <c r="Q8" s="739"/>
      <c r="R8" s="738"/>
      <c r="S8" s="739"/>
      <c r="T8" s="738"/>
      <c r="U8" s="739"/>
      <c r="V8" s="738"/>
      <c r="W8" s="739"/>
      <c r="X8" s="738"/>
      <c r="Y8" s="739"/>
      <c r="Z8" s="738"/>
      <c r="AA8" s="793"/>
      <c r="AB8" s="724"/>
      <c r="AC8" s="724"/>
    </row>
    <row r="9" spans="1:29" ht="28.5">
      <c r="A9" s="788">
        <v>1.4</v>
      </c>
      <c r="B9" s="789" t="s">
        <v>2477</v>
      </c>
      <c r="C9" s="790"/>
      <c r="D9" s="738"/>
      <c r="E9" s="791"/>
      <c r="F9" s="792">
        <v>8</v>
      </c>
      <c r="G9" s="739"/>
      <c r="H9" s="738"/>
      <c r="I9" s="739"/>
      <c r="J9" s="738"/>
      <c r="K9" s="739"/>
      <c r="L9" s="738"/>
      <c r="M9" s="739">
        <v>0.5</v>
      </c>
      <c r="N9" s="738"/>
      <c r="O9" s="739">
        <v>0.5</v>
      </c>
      <c r="P9" s="738"/>
      <c r="Q9" s="739"/>
      <c r="R9" s="738"/>
      <c r="S9" s="739"/>
      <c r="T9" s="738"/>
      <c r="U9" s="739"/>
      <c r="V9" s="738"/>
      <c r="W9" s="739"/>
      <c r="X9" s="738"/>
      <c r="Y9" s="739"/>
      <c r="Z9" s="738"/>
      <c r="AA9" s="793"/>
      <c r="AB9" s="724"/>
      <c r="AC9" s="724"/>
    </row>
    <row r="10" spans="1:29" ht="14.25">
      <c r="A10" s="788">
        <v>1.5</v>
      </c>
      <c r="B10" s="789" t="s">
        <v>2478</v>
      </c>
      <c r="C10" s="790"/>
      <c r="D10" s="738"/>
      <c r="E10" s="791"/>
      <c r="F10" s="792">
        <v>5</v>
      </c>
      <c r="G10" s="739"/>
      <c r="H10" s="738"/>
      <c r="I10" s="739"/>
      <c r="J10" s="738"/>
      <c r="K10" s="739"/>
      <c r="L10" s="738"/>
      <c r="M10" s="739">
        <v>0.5</v>
      </c>
      <c r="N10" s="738"/>
      <c r="O10" s="739">
        <v>0.5</v>
      </c>
      <c r="P10" s="738"/>
      <c r="Q10" s="739"/>
      <c r="R10" s="738"/>
      <c r="S10" s="739"/>
      <c r="T10" s="738"/>
      <c r="U10" s="739"/>
      <c r="V10" s="738"/>
      <c r="W10" s="739"/>
      <c r="X10" s="738"/>
      <c r="Y10" s="739"/>
      <c r="Z10" s="738"/>
      <c r="AA10" s="793"/>
      <c r="AB10" s="724"/>
      <c r="AC10" s="724"/>
    </row>
    <row r="11" spans="1:29" ht="14.25">
      <c r="A11" s="788">
        <v>1.6</v>
      </c>
      <c r="B11" s="789" t="s">
        <v>2479</v>
      </c>
      <c r="C11" s="790"/>
      <c r="D11" s="738"/>
      <c r="E11" s="791"/>
      <c r="F11" s="792">
        <v>8</v>
      </c>
      <c r="G11" s="739"/>
      <c r="H11" s="738"/>
      <c r="I11" s="739"/>
      <c r="J11" s="738"/>
      <c r="K11" s="739"/>
      <c r="L11" s="738"/>
      <c r="M11" s="739">
        <v>1</v>
      </c>
      <c r="N11" s="738"/>
      <c r="O11" s="739">
        <v>1</v>
      </c>
      <c r="P11" s="738"/>
      <c r="Q11" s="739"/>
      <c r="R11" s="738"/>
      <c r="S11" s="739"/>
      <c r="T11" s="738"/>
      <c r="U11" s="739"/>
      <c r="V11" s="738"/>
      <c r="W11" s="739"/>
      <c r="X11" s="738"/>
      <c r="Y11" s="739"/>
      <c r="Z11" s="738"/>
      <c r="AA11" s="793"/>
      <c r="AB11" s="724"/>
      <c r="AC11" s="724"/>
    </row>
    <row r="12" spans="1:29" ht="28.5">
      <c r="A12" s="788">
        <v>1.7</v>
      </c>
      <c r="B12" s="789" t="s">
        <v>2480</v>
      </c>
      <c r="C12" s="794"/>
      <c r="D12" s="745"/>
      <c r="E12" s="791"/>
      <c r="F12" s="792">
        <v>8</v>
      </c>
      <c r="G12" s="746"/>
      <c r="H12" s="745"/>
      <c r="I12" s="746"/>
      <c r="J12" s="745"/>
      <c r="K12" s="746"/>
      <c r="L12" s="745"/>
      <c r="M12" s="739">
        <v>0.5</v>
      </c>
      <c r="N12" s="738"/>
      <c r="O12" s="739">
        <v>0.5</v>
      </c>
      <c r="P12" s="745"/>
      <c r="Q12" s="746"/>
      <c r="R12" s="745"/>
      <c r="S12" s="746"/>
      <c r="T12" s="745"/>
      <c r="U12" s="746"/>
      <c r="V12" s="745"/>
      <c r="W12" s="746"/>
      <c r="X12" s="745"/>
      <c r="Y12" s="746"/>
      <c r="Z12" s="745"/>
      <c r="AA12" s="793"/>
      <c r="AB12" s="724"/>
      <c r="AC12" s="724"/>
    </row>
    <row r="13" spans="1:29" ht="28.5">
      <c r="A13" s="788">
        <v>1.8</v>
      </c>
      <c r="B13" s="789" t="s">
        <v>2481</v>
      </c>
      <c r="C13" s="790"/>
      <c r="D13" s="738"/>
      <c r="E13" s="791"/>
      <c r="F13" s="792">
        <v>8</v>
      </c>
      <c r="G13" s="739"/>
      <c r="H13" s="738"/>
      <c r="I13" s="739"/>
      <c r="J13" s="738"/>
      <c r="K13" s="739"/>
      <c r="L13" s="738"/>
      <c r="M13" s="739"/>
      <c r="N13" s="738"/>
      <c r="O13" s="739"/>
      <c r="P13" s="738"/>
      <c r="Q13" s="739"/>
      <c r="R13" s="738"/>
      <c r="S13" s="739"/>
      <c r="T13" s="738"/>
      <c r="U13" s="739"/>
      <c r="V13" s="738"/>
      <c r="W13" s="739"/>
      <c r="X13" s="738"/>
      <c r="Y13" s="739"/>
      <c r="Z13" s="738"/>
      <c r="AA13" s="793"/>
      <c r="AB13" s="724"/>
      <c r="AC13" s="724"/>
    </row>
    <row r="14" spans="1:29" ht="14.25">
      <c r="A14" s="788">
        <v>1.9</v>
      </c>
      <c r="B14" s="789" t="s">
        <v>2482</v>
      </c>
      <c r="C14" s="790"/>
      <c r="D14" s="738"/>
      <c r="E14" s="791"/>
      <c r="F14" s="792">
        <v>8</v>
      </c>
      <c r="G14" s="739"/>
      <c r="H14" s="738"/>
      <c r="I14" s="739"/>
      <c r="J14" s="738"/>
      <c r="K14" s="739"/>
      <c r="L14" s="738"/>
      <c r="M14" s="739">
        <v>0.5</v>
      </c>
      <c r="N14" s="738"/>
      <c r="O14" s="739">
        <v>0.5</v>
      </c>
      <c r="P14" s="738"/>
      <c r="Q14" s="739"/>
      <c r="R14" s="738"/>
      <c r="S14" s="739"/>
      <c r="T14" s="738"/>
      <c r="U14" s="739"/>
      <c r="V14" s="738"/>
      <c r="W14" s="739"/>
      <c r="X14" s="738"/>
      <c r="Y14" s="739"/>
      <c r="Z14" s="738"/>
      <c r="AA14" s="793"/>
      <c r="AB14" s="724"/>
      <c r="AC14" s="724"/>
    </row>
    <row r="15" spans="1:29" ht="14.25">
      <c r="A15" s="795" t="s">
        <v>2321</v>
      </c>
      <c r="B15" s="789" t="s">
        <v>2483</v>
      </c>
      <c r="C15" s="790"/>
      <c r="D15" s="738"/>
      <c r="E15" s="791"/>
      <c r="F15" s="792">
        <v>5</v>
      </c>
      <c r="G15" s="739"/>
      <c r="H15" s="738"/>
      <c r="I15" s="739"/>
      <c r="J15" s="738"/>
      <c r="K15" s="739"/>
      <c r="L15" s="738"/>
      <c r="M15" s="739">
        <v>0.5</v>
      </c>
      <c r="N15" s="738"/>
      <c r="O15" s="739">
        <v>0.5</v>
      </c>
      <c r="P15" s="738"/>
      <c r="Q15" s="739"/>
      <c r="R15" s="738"/>
      <c r="S15" s="739"/>
      <c r="T15" s="738"/>
      <c r="U15" s="739"/>
      <c r="V15" s="738"/>
      <c r="W15" s="739"/>
      <c r="X15" s="738"/>
      <c r="Y15" s="739"/>
      <c r="Z15" s="738"/>
      <c r="AA15" s="793"/>
      <c r="AB15" s="724"/>
      <c r="AC15" s="724"/>
    </row>
    <row r="16" spans="1:29" ht="14.25">
      <c r="A16" s="788">
        <v>1.1100000000000001</v>
      </c>
      <c r="B16" s="789" t="s">
        <v>2484</v>
      </c>
      <c r="C16" s="790"/>
      <c r="D16" s="738"/>
      <c r="E16" s="791"/>
      <c r="F16" s="792">
        <v>4</v>
      </c>
      <c r="G16" s="739"/>
      <c r="H16" s="738"/>
      <c r="I16" s="739"/>
      <c r="J16" s="738"/>
      <c r="K16" s="739"/>
      <c r="L16" s="738"/>
      <c r="M16" s="739"/>
      <c r="N16" s="738"/>
      <c r="O16" s="739"/>
      <c r="P16" s="738"/>
      <c r="Q16" s="739"/>
      <c r="R16" s="738"/>
      <c r="S16" s="739"/>
      <c r="T16" s="738"/>
      <c r="U16" s="739"/>
      <c r="V16" s="738"/>
      <c r="W16" s="739"/>
      <c r="X16" s="738"/>
      <c r="Y16" s="739"/>
      <c r="Z16" s="738"/>
      <c r="AA16" s="793"/>
      <c r="AB16" s="724"/>
      <c r="AC16" s="724"/>
    </row>
    <row r="17" spans="1:29" ht="28.5">
      <c r="A17" s="788">
        <v>1.1200000000000001</v>
      </c>
      <c r="B17" s="789" t="s">
        <v>2485</v>
      </c>
      <c r="C17" s="790"/>
      <c r="D17" s="738"/>
      <c r="E17" s="791"/>
      <c r="F17" s="792">
        <v>5</v>
      </c>
      <c r="G17" s="739"/>
      <c r="H17" s="738"/>
      <c r="I17" s="739"/>
      <c r="J17" s="738"/>
      <c r="K17" s="739"/>
      <c r="L17" s="738"/>
      <c r="M17" s="739"/>
      <c r="N17" s="738"/>
      <c r="O17" s="739"/>
      <c r="P17" s="738"/>
      <c r="Q17" s="739"/>
      <c r="R17" s="738"/>
      <c r="S17" s="739"/>
      <c r="T17" s="738"/>
      <c r="U17" s="739"/>
      <c r="V17" s="738"/>
      <c r="W17" s="739"/>
      <c r="X17" s="738"/>
      <c r="Y17" s="739"/>
      <c r="Z17" s="738"/>
      <c r="AA17" s="793"/>
      <c r="AB17" s="724"/>
      <c r="AC17" s="724"/>
    </row>
    <row r="18" spans="1:29" ht="14.25">
      <c r="A18" s="788">
        <v>1.1299999999999999</v>
      </c>
      <c r="B18" s="789" t="s">
        <v>2486</v>
      </c>
      <c r="C18" s="790"/>
      <c r="D18" s="738"/>
      <c r="E18" s="791"/>
      <c r="F18" s="792">
        <v>5</v>
      </c>
      <c r="G18" s="739"/>
      <c r="H18" s="738"/>
      <c r="I18" s="739"/>
      <c r="J18" s="738"/>
      <c r="K18" s="739"/>
      <c r="L18" s="738"/>
      <c r="M18" s="739">
        <v>0.5</v>
      </c>
      <c r="N18" s="738"/>
      <c r="O18" s="739">
        <v>0.5</v>
      </c>
      <c r="P18" s="738"/>
      <c r="Q18" s="739"/>
      <c r="R18" s="738"/>
      <c r="S18" s="739"/>
      <c r="T18" s="738"/>
      <c r="U18" s="739"/>
      <c r="V18" s="738"/>
      <c r="W18" s="739"/>
      <c r="X18" s="738"/>
      <c r="Y18" s="739"/>
      <c r="Z18" s="738"/>
      <c r="AA18" s="793"/>
      <c r="AB18" s="724"/>
      <c r="AC18" s="724"/>
    </row>
    <row r="19" spans="1:29" ht="14.25">
      <c r="A19" s="788">
        <v>1.1399999999999999</v>
      </c>
      <c r="B19" s="789" t="s">
        <v>2487</v>
      </c>
      <c r="C19" s="794"/>
      <c r="D19" s="745"/>
      <c r="E19" s="791"/>
      <c r="F19" s="792">
        <v>5</v>
      </c>
      <c r="G19" s="746"/>
      <c r="H19" s="745"/>
      <c r="I19" s="746"/>
      <c r="J19" s="745"/>
      <c r="K19" s="746"/>
      <c r="L19" s="745"/>
      <c r="M19" s="746"/>
      <c r="N19" s="745"/>
      <c r="O19" s="739">
        <v>0.5</v>
      </c>
      <c r="P19" s="745"/>
      <c r="Q19" s="746"/>
      <c r="R19" s="745"/>
      <c r="S19" s="739"/>
      <c r="T19" s="745"/>
      <c r="U19" s="739">
        <v>5</v>
      </c>
      <c r="V19" s="745"/>
      <c r="W19" s="746"/>
      <c r="X19" s="745"/>
      <c r="Y19" s="746"/>
      <c r="Z19" s="745"/>
      <c r="AA19" s="793"/>
      <c r="AB19" s="724"/>
      <c r="AC19" s="724"/>
    </row>
    <row r="20" spans="1:29" ht="14.25">
      <c r="A20" s="788">
        <v>1.1499999999999999</v>
      </c>
      <c r="B20" s="789" t="s">
        <v>2488</v>
      </c>
      <c r="C20" s="790"/>
      <c r="D20" s="738"/>
      <c r="E20" s="791"/>
      <c r="F20" s="792">
        <v>5</v>
      </c>
      <c r="G20" s="739"/>
      <c r="H20" s="738"/>
      <c r="I20" s="739"/>
      <c r="J20" s="738"/>
      <c r="K20" s="739"/>
      <c r="L20" s="738"/>
      <c r="M20" s="739"/>
      <c r="N20" s="738"/>
      <c r="O20" s="739"/>
      <c r="P20" s="738"/>
      <c r="Q20" s="739"/>
      <c r="R20" s="738"/>
      <c r="S20" s="739"/>
      <c r="T20" s="738"/>
      <c r="U20" s="739"/>
      <c r="V20" s="738"/>
      <c r="W20" s="739"/>
      <c r="X20" s="738"/>
      <c r="Y20" s="739"/>
      <c r="Z20" s="738"/>
      <c r="AA20" s="793"/>
      <c r="AB20" s="724"/>
      <c r="AC20" s="724"/>
    </row>
    <row r="21" spans="1:29" ht="28.5">
      <c r="A21" s="788">
        <v>1.1599999999999999</v>
      </c>
      <c r="B21" s="789" t="s">
        <v>2489</v>
      </c>
      <c r="C21" s="790"/>
      <c r="D21" s="738"/>
      <c r="E21" s="791"/>
      <c r="F21" s="792">
        <v>8</v>
      </c>
      <c r="G21" s="739"/>
      <c r="H21" s="738"/>
      <c r="I21" s="739"/>
      <c r="J21" s="738"/>
      <c r="K21" s="739"/>
      <c r="L21" s="738"/>
      <c r="M21" s="739">
        <v>1</v>
      </c>
      <c r="N21" s="738"/>
      <c r="O21" s="739">
        <v>1</v>
      </c>
      <c r="P21" s="738"/>
      <c r="Q21" s="739"/>
      <c r="R21" s="738"/>
      <c r="S21" s="739"/>
      <c r="T21" s="738"/>
      <c r="U21" s="739"/>
      <c r="V21" s="738"/>
      <c r="W21" s="739"/>
      <c r="X21" s="738"/>
      <c r="Y21" s="739"/>
      <c r="Z21" s="738"/>
      <c r="AA21" s="793"/>
      <c r="AB21" s="724"/>
      <c r="AC21" s="724"/>
    </row>
    <row r="22" spans="1:29" ht="14.25">
      <c r="A22" s="788">
        <v>1.17</v>
      </c>
      <c r="B22" s="789" t="s">
        <v>2490</v>
      </c>
      <c r="C22" s="790"/>
      <c r="D22" s="738"/>
      <c r="E22" s="791"/>
      <c r="F22" s="792">
        <v>5</v>
      </c>
      <c r="G22" s="739"/>
      <c r="H22" s="738"/>
      <c r="I22" s="739"/>
      <c r="J22" s="738"/>
      <c r="K22" s="739"/>
      <c r="L22" s="738"/>
      <c r="M22" s="739">
        <v>0.5</v>
      </c>
      <c r="N22" s="738"/>
      <c r="O22" s="739">
        <v>0.5</v>
      </c>
      <c r="P22" s="738"/>
      <c r="Q22" s="739"/>
      <c r="R22" s="738"/>
      <c r="S22" s="739"/>
      <c r="T22" s="738"/>
      <c r="U22" s="739"/>
      <c r="V22" s="738"/>
      <c r="W22" s="739"/>
      <c r="X22" s="738"/>
      <c r="Y22" s="739"/>
      <c r="Z22" s="738"/>
      <c r="AA22" s="793"/>
      <c r="AB22" s="724"/>
      <c r="AC22" s="724"/>
    </row>
    <row r="23" spans="1:29" ht="14.25">
      <c r="A23" s="788">
        <v>1.18</v>
      </c>
      <c r="B23" s="789" t="s">
        <v>2491</v>
      </c>
      <c r="C23" s="790"/>
      <c r="D23" s="738"/>
      <c r="E23" s="791"/>
      <c r="F23" s="792">
        <v>8</v>
      </c>
      <c r="G23" s="739"/>
      <c r="H23" s="738"/>
      <c r="I23" s="739"/>
      <c r="J23" s="738"/>
      <c r="K23" s="739"/>
      <c r="L23" s="738"/>
      <c r="M23" s="739">
        <v>1</v>
      </c>
      <c r="N23" s="738"/>
      <c r="O23" s="739">
        <v>1</v>
      </c>
      <c r="P23" s="738"/>
      <c r="Q23" s="739"/>
      <c r="R23" s="738"/>
      <c r="S23" s="739"/>
      <c r="T23" s="738"/>
      <c r="U23" s="739"/>
      <c r="V23" s="738"/>
      <c r="W23" s="739"/>
      <c r="X23" s="738"/>
      <c r="Y23" s="739"/>
      <c r="Z23" s="738"/>
      <c r="AA23" s="793"/>
      <c r="AB23" s="724"/>
      <c r="AC23" s="724"/>
    </row>
    <row r="24" spans="1:29" ht="14.25">
      <c r="A24" s="788">
        <v>1.19</v>
      </c>
      <c r="B24" s="789" t="s">
        <v>2492</v>
      </c>
      <c r="C24" s="790"/>
      <c r="D24" s="738"/>
      <c r="E24" s="791"/>
      <c r="F24" s="792">
        <v>5</v>
      </c>
      <c r="G24" s="739"/>
      <c r="H24" s="738"/>
      <c r="I24" s="739"/>
      <c r="J24" s="738"/>
      <c r="K24" s="739"/>
      <c r="L24" s="738"/>
      <c r="M24" s="739">
        <v>0.5</v>
      </c>
      <c r="N24" s="738"/>
      <c r="O24" s="739">
        <v>0.5</v>
      </c>
      <c r="P24" s="738"/>
      <c r="Q24" s="739"/>
      <c r="R24" s="738"/>
      <c r="S24" s="739"/>
      <c r="T24" s="738"/>
      <c r="U24" s="739"/>
      <c r="V24" s="738"/>
      <c r="W24" s="739"/>
      <c r="X24" s="738"/>
      <c r="Y24" s="739"/>
      <c r="Z24" s="738"/>
      <c r="AA24" s="793"/>
      <c r="AB24" s="724"/>
      <c r="AC24" s="724"/>
    </row>
    <row r="25" spans="1:29" ht="14.25">
      <c r="A25" s="795" t="s">
        <v>2493</v>
      </c>
      <c r="B25" s="789" t="s">
        <v>2494</v>
      </c>
      <c r="C25" s="790"/>
      <c r="D25" s="738"/>
      <c r="E25" s="791"/>
      <c r="F25" s="792">
        <v>5</v>
      </c>
      <c r="G25" s="739"/>
      <c r="H25" s="738"/>
      <c r="I25" s="739"/>
      <c r="J25" s="738"/>
      <c r="K25" s="739"/>
      <c r="L25" s="738"/>
      <c r="M25" s="739"/>
      <c r="N25" s="738"/>
      <c r="O25" s="739"/>
      <c r="P25" s="738"/>
      <c r="Q25" s="739"/>
      <c r="R25" s="738"/>
      <c r="S25" s="739"/>
      <c r="T25" s="738"/>
      <c r="U25" s="739"/>
      <c r="V25" s="738"/>
      <c r="W25" s="739"/>
      <c r="X25" s="738"/>
      <c r="Y25" s="739"/>
      <c r="Z25" s="738"/>
      <c r="AA25" s="793"/>
      <c r="AB25" s="724"/>
      <c r="AC25" s="724"/>
    </row>
    <row r="26" spans="1:29" ht="14.25">
      <c r="A26" s="788">
        <v>1.21</v>
      </c>
      <c r="B26" s="789" t="s">
        <v>2495</v>
      </c>
      <c r="C26" s="790"/>
      <c r="D26" s="738"/>
      <c r="E26" s="791"/>
      <c r="F26" s="792">
        <v>4</v>
      </c>
      <c r="G26" s="739"/>
      <c r="H26" s="738"/>
      <c r="I26" s="739"/>
      <c r="J26" s="738"/>
      <c r="K26" s="739"/>
      <c r="L26" s="738"/>
      <c r="M26" s="739"/>
      <c r="N26" s="738"/>
      <c r="O26" s="739"/>
      <c r="P26" s="738"/>
      <c r="Q26" s="739"/>
      <c r="R26" s="738"/>
      <c r="S26" s="739"/>
      <c r="T26" s="738"/>
      <c r="U26" s="739"/>
      <c r="V26" s="738"/>
      <c r="W26" s="739"/>
      <c r="X26" s="738"/>
      <c r="Y26" s="739"/>
      <c r="Z26" s="738"/>
      <c r="AA26" s="793">
        <v>10</v>
      </c>
      <c r="AB26" s="724"/>
      <c r="AC26" s="724"/>
    </row>
    <row r="27" spans="1:29" ht="14.25">
      <c r="A27" s="788">
        <v>1.22</v>
      </c>
      <c r="B27" s="789" t="s">
        <v>2496</v>
      </c>
      <c r="C27" s="790"/>
      <c r="D27" s="738"/>
      <c r="E27" s="791"/>
      <c r="F27" s="792">
        <v>4</v>
      </c>
      <c r="G27" s="739"/>
      <c r="H27" s="738"/>
      <c r="I27" s="739"/>
      <c r="J27" s="738"/>
      <c r="K27" s="739"/>
      <c r="L27" s="738"/>
      <c r="M27" s="739"/>
      <c r="N27" s="738"/>
      <c r="O27" s="739"/>
      <c r="P27" s="738"/>
      <c r="Q27" s="739"/>
      <c r="R27" s="738"/>
      <c r="S27" s="739"/>
      <c r="T27" s="738"/>
      <c r="U27" s="739"/>
      <c r="V27" s="738"/>
      <c r="W27" s="739"/>
      <c r="X27" s="738"/>
      <c r="Y27" s="739"/>
      <c r="Z27" s="738"/>
      <c r="AA27" s="793">
        <v>10</v>
      </c>
      <c r="AB27" s="724"/>
      <c r="AC27" s="724"/>
    </row>
    <row r="28" spans="1:29" ht="14.25">
      <c r="A28" s="760">
        <v>2</v>
      </c>
      <c r="B28" s="796" t="s">
        <v>2497</v>
      </c>
      <c r="C28" s="794"/>
      <c r="D28" s="745"/>
      <c r="E28" s="791"/>
      <c r="F28" s="792"/>
      <c r="G28" s="746"/>
      <c r="H28" s="745"/>
      <c r="I28" s="746"/>
      <c r="J28" s="745"/>
      <c r="K28" s="746"/>
      <c r="L28" s="745"/>
      <c r="M28" s="746"/>
      <c r="N28" s="745"/>
      <c r="O28" s="739"/>
      <c r="P28" s="745"/>
      <c r="Q28" s="746"/>
      <c r="R28" s="745"/>
      <c r="S28" s="746"/>
      <c r="T28" s="745"/>
      <c r="U28" s="746"/>
      <c r="V28" s="745"/>
      <c r="W28" s="746"/>
      <c r="X28" s="745"/>
      <c r="Y28" s="746"/>
      <c r="Z28" s="745"/>
      <c r="AA28" s="793"/>
      <c r="AB28" s="724"/>
      <c r="AC28" s="724"/>
    </row>
    <row r="29" spans="1:29" ht="14.25">
      <c r="A29" s="788">
        <v>2.1</v>
      </c>
      <c r="B29" s="789" t="s">
        <v>2498</v>
      </c>
      <c r="C29" s="790"/>
      <c r="D29" s="738"/>
      <c r="E29" s="797"/>
      <c r="F29" s="798"/>
      <c r="G29" s="739"/>
      <c r="H29" s="738"/>
      <c r="I29" s="739"/>
      <c r="J29" s="738"/>
      <c r="K29" s="739"/>
      <c r="L29" s="738"/>
      <c r="M29" s="739"/>
      <c r="N29" s="738"/>
      <c r="O29" s="739"/>
      <c r="P29" s="738"/>
      <c r="Q29" s="739"/>
      <c r="R29" s="738"/>
      <c r="S29" s="739"/>
      <c r="T29" s="738"/>
      <c r="U29" s="739"/>
      <c r="V29" s="738"/>
      <c r="W29" s="739"/>
      <c r="X29" s="738"/>
      <c r="Y29" s="739"/>
      <c r="Z29" s="738"/>
      <c r="AA29" s="799"/>
      <c r="AB29" s="724"/>
      <c r="AC29" s="724"/>
    </row>
    <row r="30" spans="1:29" ht="28.5">
      <c r="A30" s="788" t="s">
        <v>2499</v>
      </c>
      <c r="B30" s="800" t="s">
        <v>2500</v>
      </c>
      <c r="C30" s="790">
        <v>1</v>
      </c>
      <c r="D30" s="738"/>
      <c r="E30" s="791"/>
      <c r="F30" s="792">
        <v>5</v>
      </c>
      <c r="G30" s="739"/>
      <c r="H30" s="738"/>
      <c r="I30" s="739"/>
      <c r="J30" s="738"/>
      <c r="K30" s="739"/>
      <c r="L30" s="738"/>
      <c r="M30" s="790">
        <v>1</v>
      </c>
      <c r="N30" s="738"/>
      <c r="O30" s="739"/>
      <c r="P30" s="738"/>
      <c r="Q30" s="739"/>
      <c r="R30" s="738"/>
      <c r="S30" s="739"/>
      <c r="T30" s="738"/>
      <c r="U30" s="739"/>
      <c r="V30" s="738"/>
      <c r="W30" s="739"/>
      <c r="X30" s="738"/>
      <c r="Y30" s="739"/>
      <c r="Z30" s="738"/>
      <c r="AA30" s="793"/>
      <c r="AB30" s="724"/>
      <c r="AC30" s="724"/>
    </row>
    <row r="31" spans="1:29" ht="28.5">
      <c r="A31" s="788" t="s">
        <v>2501</v>
      </c>
      <c r="B31" s="800" t="s">
        <v>2502</v>
      </c>
      <c r="C31" s="790">
        <v>1</v>
      </c>
      <c r="D31" s="738"/>
      <c r="E31" s="791"/>
      <c r="F31" s="792">
        <v>5</v>
      </c>
      <c r="G31" s="739"/>
      <c r="H31" s="738"/>
      <c r="I31" s="739"/>
      <c r="J31" s="738"/>
      <c r="K31" s="739"/>
      <c r="L31" s="738"/>
      <c r="M31" s="790">
        <v>1</v>
      </c>
      <c r="N31" s="738"/>
      <c r="O31" s="739"/>
      <c r="P31" s="738"/>
      <c r="Q31" s="739"/>
      <c r="R31" s="738"/>
      <c r="S31" s="739"/>
      <c r="T31" s="738"/>
      <c r="U31" s="739"/>
      <c r="V31" s="738"/>
      <c r="W31" s="739"/>
      <c r="X31" s="738"/>
      <c r="Y31" s="739"/>
      <c r="Z31" s="738"/>
      <c r="AA31" s="793"/>
      <c r="AB31" s="724"/>
      <c r="AC31" s="724"/>
    </row>
    <row r="32" spans="1:29" ht="28.5">
      <c r="A32" s="788">
        <v>2.2000000000000002</v>
      </c>
      <c r="B32" s="789" t="s">
        <v>2503</v>
      </c>
      <c r="C32" s="790">
        <v>2</v>
      </c>
      <c r="D32" s="738"/>
      <c r="E32" s="791"/>
      <c r="F32" s="792">
        <v>10</v>
      </c>
      <c r="G32" s="739"/>
      <c r="H32" s="738"/>
      <c r="I32" s="739"/>
      <c r="J32" s="738"/>
      <c r="K32" s="739"/>
      <c r="L32" s="738"/>
      <c r="M32" s="790">
        <v>2</v>
      </c>
      <c r="N32" s="738"/>
      <c r="O32" s="739">
        <v>1</v>
      </c>
      <c r="P32" s="738"/>
      <c r="Q32" s="739"/>
      <c r="R32" s="738"/>
      <c r="S32" s="739"/>
      <c r="T32" s="738"/>
      <c r="U32" s="739"/>
      <c r="V32" s="738"/>
      <c r="W32" s="739"/>
      <c r="X32" s="738"/>
      <c r="Y32" s="739"/>
      <c r="Z32" s="738"/>
      <c r="AA32" s="793"/>
      <c r="AB32" s="724"/>
      <c r="AC32" s="724"/>
    </row>
    <row r="33" spans="1:29" ht="14.25">
      <c r="A33" s="788">
        <v>2.2999999999999998</v>
      </c>
      <c r="B33" s="789" t="s">
        <v>2504</v>
      </c>
      <c r="C33" s="790"/>
      <c r="D33" s="738"/>
      <c r="E33" s="797"/>
      <c r="F33" s="798"/>
      <c r="G33" s="739"/>
      <c r="H33" s="738"/>
      <c r="I33" s="739"/>
      <c r="J33" s="738"/>
      <c r="K33" s="739"/>
      <c r="L33" s="738"/>
      <c r="M33" s="790"/>
      <c r="N33" s="738"/>
      <c r="O33" s="739">
        <v>0.5</v>
      </c>
      <c r="P33" s="738"/>
      <c r="Q33" s="739"/>
      <c r="R33" s="738"/>
      <c r="S33" s="739"/>
      <c r="T33" s="738"/>
      <c r="U33" s="739"/>
      <c r="V33" s="738"/>
      <c r="W33" s="739"/>
      <c r="X33" s="738"/>
      <c r="Y33" s="739"/>
      <c r="Z33" s="738"/>
      <c r="AA33" s="799"/>
      <c r="AB33" s="724"/>
      <c r="AC33" s="724"/>
    </row>
    <row r="34" spans="1:29" ht="28.5">
      <c r="A34" s="788" t="s">
        <v>2505</v>
      </c>
      <c r="B34" s="800" t="s">
        <v>2506</v>
      </c>
      <c r="C34" s="790">
        <v>2</v>
      </c>
      <c r="D34" s="738"/>
      <c r="E34" s="791"/>
      <c r="F34" s="792">
        <v>5</v>
      </c>
      <c r="G34" s="739"/>
      <c r="H34" s="738"/>
      <c r="I34" s="739"/>
      <c r="J34" s="738"/>
      <c r="K34" s="739"/>
      <c r="L34" s="738"/>
      <c r="M34" s="790">
        <v>2</v>
      </c>
      <c r="N34" s="738"/>
      <c r="O34" s="739">
        <v>1</v>
      </c>
      <c r="P34" s="738"/>
      <c r="Q34" s="739"/>
      <c r="R34" s="738"/>
      <c r="S34" s="739"/>
      <c r="T34" s="738"/>
      <c r="U34" s="739"/>
      <c r="V34" s="738"/>
      <c r="W34" s="739"/>
      <c r="X34" s="738"/>
      <c r="Y34" s="739"/>
      <c r="Z34" s="738"/>
      <c r="AA34" s="793"/>
      <c r="AB34" s="724"/>
      <c r="AC34" s="724"/>
    </row>
    <row r="35" spans="1:29" ht="42.75">
      <c r="A35" s="788" t="s">
        <v>2507</v>
      </c>
      <c r="B35" s="801" t="s">
        <v>2508</v>
      </c>
      <c r="C35" s="790">
        <v>2</v>
      </c>
      <c r="D35" s="738"/>
      <c r="E35" s="791"/>
      <c r="F35" s="792">
        <v>5</v>
      </c>
      <c r="G35" s="739"/>
      <c r="H35" s="738"/>
      <c r="I35" s="739"/>
      <c r="J35" s="738"/>
      <c r="K35" s="739"/>
      <c r="L35" s="738"/>
      <c r="M35" s="790">
        <v>2</v>
      </c>
      <c r="N35" s="738"/>
      <c r="O35" s="739">
        <v>1</v>
      </c>
      <c r="P35" s="738"/>
      <c r="Q35" s="739"/>
      <c r="R35" s="738"/>
      <c r="S35" s="739"/>
      <c r="T35" s="738"/>
      <c r="U35" s="739"/>
      <c r="V35" s="738"/>
      <c r="W35" s="739"/>
      <c r="X35" s="738"/>
      <c r="Y35" s="739"/>
      <c r="Z35" s="738"/>
      <c r="AA35" s="793"/>
      <c r="AB35" s="724"/>
      <c r="AC35" s="724"/>
    </row>
    <row r="36" spans="1:29" ht="14.25">
      <c r="A36" s="788">
        <v>2.4</v>
      </c>
      <c r="B36" s="789" t="s">
        <v>2509</v>
      </c>
      <c r="C36" s="790">
        <v>1</v>
      </c>
      <c r="D36" s="738"/>
      <c r="E36" s="791"/>
      <c r="F36" s="792">
        <v>5</v>
      </c>
      <c r="G36" s="739"/>
      <c r="H36" s="738"/>
      <c r="I36" s="739"/>
      <c r="J36" s="738"/>
      <c r="K36" s="739"/>
      <c r="L36" s="738"/>
      <c r="M36" s="790">
        <v>1</v>
      </c>
      <c r="N36" s="738"/>
      <c r="O36" s="739">
        <v>1</v>
      </c>
      <c r="P36" s="738"/>
      <c r="Q36" s="739"/>
      <c r="R36" s="738"/>
      <c r="S36" s="739"/>
      <c r="T36" s="738"/>
      <c r="U36" s="739"/>
      <c r="V36" s="738"/>
      <c r="W36" s="739"/>
      <c r="X36" s="738"/>
      <c r="Y36" s="739"/>
      <c r="Z36" s="738"/>
      <c r="AA36" s="793"/>
      <c r="AB36" s="724"/>
      <c r="AC36" s="724"/>
    </row>
    <row r="37" spans="1:29" ht="14.25">
      <c r="A37" s="788">
        <v>2.5</v>
      </c>
      <c r="B37" s="789" t="s">
        <v>2510</v>
      </c>
      <c r="C37" s="790"/>
      <c r="D37" s="738"/>
      <c r="E37" s="797"/>
      <c r="F37" s="798"/>
      <c r="G37" s="739"/>
      <c r="H37" s="738"/>
      <c r="I37" s="739"/>
      <c r="J37" s="738"/>
      <c r="K37" s="739"/>
      <c r="L37" s="738"/>
      <c r="M37" s="790"/>
      <c r="N37" s="738"/>
      <c r="O37" s="739"/>
      <c r="P37" s="738"/>
      <c r="Q37" s="739"/>
      <c r="R37" s="738"/>
      <c r="S37" s="739"/>
      <c r="T37" s="738"/>
      <c r="U37" s="739"/>
      <c r="V37" s="738"/>
      <c r="W37" s="739"/>
      <c r="X37" s="738"/>
      <c r="Y37" s="739"/>
      <c r="Z37" s="738"/>
      <c r="AA37" s="799"/>
      <c r="AB37" s="724"/>
      <c r="AC37" s="724"/>
    </row>
    <row r="38" spans="1:29" ht="28.5">
      <c r="A38" s="788" t="s">
        <v>2511</v>
      </c>
      <c r="B38" s="801" t="s">
        <v>2512</v>
      </c>
      <c r="C38" s="790">
        <v>1</v>
      </c>
      <c r="D38" s="738"/>
      <c r="E38" s="791"/>
      <c r="F38" s="792">
        <v>5</v>
      </c>
      <c r="G38" s="739"/>
      <c r="H38" s="738"/>
      <c r="I38" s="739"/>
      <c r="J38" s="738"/>
      <c r="K38" s="739"/>
      <c r="L38" s="738"/>
      <c r="M38" s="790">
        <v>2</v>
      </c>
      <c r="N38" s="738"/>
      <c r="O38" s="739">
        <v>0.5</v>
      </c>
      <c r="P38" s="738"/>
      <c r="Q38" s="739"/>
      <c r="R38" s="738"/>
      <c r="S38" s="739"/>
      <c r="T38" s="738"/>
      <c r="U38" s="739"/>
      <c r="V38" s="738"/>
      <c r="W38" s="739"/>
      <c r="X38" s="738"/>
      <c r="Y38" s="739"/>
      <c r="Z38" s="738"/>
      <c r="AA38" s="793" t="s">
        <v>136</v>
      </c>
      <c r="AB38" s="724"/>
      <c r="AC38" s="724"/>
    </row>
    <row r="39" spans="1:29" ht="14.25">
      <c r="A39" s="788" t="s">
        <v>2513</v>
      </c>
      <c r="B39" s="800" t="s">
        <v>2514</v>
      </c>
      <c r="C39" s="790">
        <v>1</v>
      </c>
      <c r="D39" s="738"/>
      <c r="E39" s="791"/>
      <c r="F39" s="792">
        <v>5</v>
      </c>
      <c r="G39" s="739"/>
      <c r="H39" s="738"/>
      <c r="I39" s="739"/>
      <c r="J39" s="738"/>
      <c r="K39" s="739"/>
      <c r="L39" s="738"/>
      <c r="M39" s="790">
        <v>1</v>
      </c>
      <c r="N39" s="738"/>
      <c r="O39" s="739"/>
      <c r="P39" s="738"/>
      <c r="Q39" s="739"/>
      <c r="R39" s="738"/>
      <c r="S39" s="739"/>
      <c r="T39" s="738"/>
      <c r="U39" s="739"/>
      <c r="V39" s="738"/>
      <c r="W39" s="739"/>
      <c r="X39" s="738"/>
      <c r="Y39" s="739"/>
      <c r="Z39" s="738"/>
      <c r="AA39" s="793"/>
      <c r="AB39" s="724"/>
      <c r="AC39" s="724"/>
    </row>
    <row r="40" spans="1:29" ht="28.5">
      <c r="A40" s="788">
        <v>2.6</v>
      </c>
      <c r="B40" s="789" t="s">
        <v>2515</v>
      </c>
      <c r="C40" s="790">
        <v>3</v>
      </c>
      <c r="D40" s="738"/>
      <c r="E40" s="791"/>
      <c r="F40" s="792">
        <v>10</v>
      </c>
      <c r="G40" s="739"/>
      <c r="H40" s="738"/>
      <c r="I40" s="739"/>
      <c r="J40" s="738"/>
      <c r="K40" s="739"/>
      <c r="L40" s="738"/>
      <c r="M40" s="790">
        <v>2</v>
      </c>
      <c r="N40" s="738"/>
      <c r="O40" s="739">
        <v>2</v>
      </c>
      <c r="P40" s="738"/>
      <c r="Q40" s="739"/>
      <c r="R40" s="738"/>
      <c r="S40" s="739"/>
      <c r="T40" s="738"/>
      <c r="U40" s="739"/>
      <c r="V40" s="738"/>
      <c r="W40" s="739"/>
      <c r="X40" s="738"/>
      <c r="Y40" s="739"/>
      <c r="Z40" s="738"/>
      <c r="AA40" s="793"/>
      <c r="AB40" s="724"/>
      <c r="AC40" s="724"/>
    </row>
    <row r="41" spans="1:29" ht="14.25">
      <c r="A41" s="788">
        <v>2.7</v>
      </c>
      <c r="B41" s="789" t="s">
        <v>2516</v>
      </c>
      <c r="C41" s="790"/>
      <c r="D41" s="738"/>
      <c r="E41" s="797"/>
      <c r="F41" s="798"/>
      <c r="G41" s="739"/>
      <c r="H41" s="738"/>
      <c r="I41" s="739"/>
      <c r="J41" s="738"/>
      <c r="K41" s="739"/>
      <c r="L41" s="738"/>
      <c r="M41" s="790"/>
      <c r="N41" s="738"/>
      <c r="O41" s="739"/>
      <c r="P41" s="738"/>
      <c r="Q41" s="739"/>
      <c r="R41" s="738"/>
      <c r="S41" s="739"/>
      <c r="T41" s="738"/>
      <c r="U41" s="739"/>
      <c r="V41" s="738"/>
      <c r="W41" s="739"/>
      <c r="X41" s="738"/>
      <c r="Y41" s="739"/>
      <c r="Z41" s="738"/>
      <c r="AA41" s="799"/>
      <c r="AB41" s="724"/>
      <c r="AC41" s="724"/>
    </row>
    <row r="42" spans="1:29" ht="42.75">
      <c r="A42" s="788" t="s">
        <v>2517</v>
      </c>
      <c r="B42" s="800" t="s">
        <v>2518</v>
      </c>
      <c r="C42" s="790">
        <v>3</v>
      </c>
      <c r="D42" s="738"/>
      <c r="E42" s="791"/>
      <c r="F42" s="792">
        <v>5</v>
      </c>
      <c r="G42" s="739"/>
      <c r="H42" s="738"/>
      <c r="I42" s="739"/>
      <c r="J42" s="738"/>
      <c r="K42" s="739"/>
      <c r="L42" s="738"/>
      <c r="M42" s="790">
        <v>2</v>
      </c>
      <c r="N42" s="738"/>
      <c r="O42" s="739">
        <v>1</v>
      </c>
      <c r="P42" s="738"/>
      <c r="Q42" s="739"/>
      <c r="R42" s="738"/>
      <c r="S42" s="739"/>
      <c r="T42" s="738"/>
      <c r="U42" s="739"/>
      <c r="V42" s="738"/>
      <c r="W42" s="739"/>
      <c r="X42" s="738"/>
      <c r="Y42" s="739"/>
      <c r="Z42" s="738"/>
      <c r="AA42" s="793"/>
      <c r="AB42" s="724"/>
      <c r="AC42" s="724"/>
    </row>
    <row r="43" spans="1:29" ht="28.5">
      <c r="A43" s="788" t="s">
        <v>2519</v>
      </c>
      <c r="B43" s="800" t="s">
        <v>2520</v>
      </c>
      <c r="C43" s="790">
        <v>1</v>
      </c>
      <c r="D43" s="738"/>
      <c r="E43" s="791"/>
      <c r="F43" s="792">
        <v>8</v>
      </c>
      <c r="G43" s="739"/>
      <c r="H43" s="738"/>
      <c r="I43" s="739"/>
      <c r="J43" s="738"/>
      <c r="K43" s="739"/>
      <c r="L43" s="738"/>
      <c r="M43" s="790">
        <v>1</v>
      </c>
      <c r="N43" s="738"/>
      <c r="O43" s="739">
        <v>1</v>
      </c>
      <c r="P43" s="738"/>
      <c r="Q43" s="739"/>
      <c r="R43" s="738"/>
      <c r="S43" s="739"/>
      <c r="T43" s="738"/>
      <c r="U43" s="739"/>
      <c r="V43" s="738"/>
      <c r="W43" s="739"/>
      <c r="X43" s="738"/>
      <c r="Y43" s="739"/>
      <c r="Z43" s="738"/>
      <c r="AA43" s="793"/>
      <c r="AB43" s="724"/>
      <c r="AC43" s="724"/>
    </row>
    <row r="44" spans="1:29" ht="14.25">
      <c r="A44" s="795">
        <v>2.8</v>
      </c>
      <c r="B44" s="789" t="s">
        <v>2521</v>
      </c>
      <c r="C44" s="790">
        <v>1</v>
      </c>
      <c r="D44" s="738"/>
      <c r="E44" s="791"/>
      <c r="F44" s="792">
        <v>16</v>
      </c>
      <c r="G44" s="739"/>
      <c r="H44" s="738"/>
      <c r="I44" s="739"/>
      <c r="J44" s="738"/>
      <c r="K44" s="739"/>
      <c r="L44" s="738"/>
      <c r="M44" s="790"/>
      <c r="N44" s="738"/>
      <c r="O44" s="739">
        <v>2</v>
      </c>
      <c r="P44" s="738"/>
      <c r="Q44" s="739"/>
      <c r="R44" s="738"/>
      <c r="S44" s="739"/>
      <c r="T44" s="738"/>
      <c r="U44" s="739"/>
      <c r="V44" s="738"/>
      <c r="W44" s="739"/>
      <c r="X44" s="738"/>
      <c r="Y44" s="739"/>
      <c r="Z44" s="738"/>
      <c r="AA44" s="793"/>
      <c r="AB44" s="724"/>
      <c r="AC44" s="724"/>
    </row>
    <row r="45" spans="1:29" ht="14.25">
      <c r="A45" s="788">
        <v>2.9</v>
      </c>
      <c r="B45" s="789" t="s">
        <v>2522</v>
      </c>
      <c r="C45" s="790"/>
      <c r="D45" s="738"/>
      <c r="E45" s="797"/>
      <c r="F45" s="798"/>
      <c r="G45" s="739"/>
      <c r="H45" s="738"/>
      <c r="I45" s="739"/>
      <c r="J45" s="738"/>
      <c r="K45" s="739"/>
      <c r="L45" s="738"/>
      <c r="M45" s="790"/>
      <c r="N45" s="738"/>
      <c r="O45" s="739"/>
      <c r="P45" s="738"/>
      <c r="Q45" s="739"/>
      <c r="R45" s="738"/>
      <c r="S45" s="739"/>
      <c r="T45" s="738"/>
      <c r="U45" s="739"/>
      <c r="V45" s="738"/>
      <c r="W45" s="739"/>
      <c r="X45" s="738"/>
      <c r="Y45" s="739"/>
      <c r="Z45" s="738"/>
      <c r="AA45" s="799"/>
      <c r="AB45" s="724"/>
      <c r="AC45" s="724"/>
    </row>
    <row r="46" spans="1:29" ht="28.5">
      <c r="A46" s="788" t="s">
        <v>2523</v>
      </c>
      <c r="B46" s="800" t="s">
        <v>2524</v>
      </c>
      <c r="C46" s="790">
        <v>1</v>
      </c>
      <c r="D46" s="738"/>
      <c r="E46" s="791"/>
      <c r="F46" s="792">
        <v>5</v>
      </c>
      <c r="G46" s="739"/>
      <c r="H46" s="738"/>
      <c r="I46" s="739"/>
      <c r="J46" s="738"/>
      <c r="K46" s="739"/>
      <c r="L46" s="738"/>
      <c r="M46" s="790">
        <v>1</v>
      </c>
      <c r="N46" s="738"/>
      <c r="O46" s="739">
        <v>1</v>
      </c>
      <c r="P46" s="738"/>
      <c r="Q46" s="739"/>
      <c r="R46" s="738"/>
      <c r="S46" s="739"/>
      <c r="T46" s="738"/>
      <c r="U46" s="739"/>
      <c r="V46" s="738"/>
      <c r="W46" s="739"/>
      <c r="X46" s="738"/>
      <c r="Y46" s="739"/>
      <c r="Z46" s="738"/>
      <c r="AA46" s="793"/>
      <c r="AB46" s="724"/>
      <c r="AC46" s="724"/>
    </row>
    <row r="47" spans="1:29" ht="28.5">
      <c r="A47" s="788" t="s">
        <v>2525</v>
      </c>
      <c r="B47" s="800" t="s">
        <v>2526</v>
      </c>
      <c r="C47" s="790">
        <v>1</v>
      </c>
      <c r="D47" s="738"/>
      <c r="E47" s="791"/>
      <c r="F47" s="792">
        <v>5</v>
      </c>
      <c r="G47" s="739"/>
      <c r="H47" s="738"/>
      <c r="I47" s="739"/>
      <c r="J47" s="738"/>
      <c r="K47" s="739"/>
      <c r="L47" s="738"/>
      <c r="M47" s="790">
        <v>1</v>
      </c>
      <c r="N47" s="738"/>
      <c r="O47" s="739">
        <v>1</v>
      </c>
      <c r="P47" s="738"/>
      <c r="Q47" s="739"/>
      <c r="R47" s="738"/>
      <c r="S47" s="739"/>
      <c r="T47" s="738"/>
      <c r="U47" s="739"/>
      <c r="V47" s="738"/>
      <c r="W47" s="739"/>
      <c r="X47" s="738"/>
      <c r="Y47" s="739"/>
      <c r="Z47" s="738"/>
      <c r="AA47" s="793"/>
      <c r="AB47" s="724"/>
      <c r="AC47" s="724"/>
    </row>
    <row r="48" spans="1:29" ht="28.5">
      <c r="A48" s="788" t="s">
        <v>2527</v>
      </c>
      <c r="B48" s="800" t="s">
        <v>2528</v>
      </c>
      <c r="C48" s="790">
        <v>1</v>
      </c>
      <c r="D48" s="738"/>
      <c r="E48" s="791"/>
      <c r="F48" s="792">
        <v>5</v>
      </c>
      <c r="G48" s="739"/>
      <c r="H48" s="738"/>
      <c r="I48" s="739"/>
      <c r="J48" s="738"/>
      <c r="K48" s="739"/>
      <c r="L48" s="738"/>
      <c r="M48" s="790">
        <v>1</v>
      </c>
      <c r="N48" s="738"/>
      <c r="O48" s="739">
        <v>1</v>
      </c>
      <c r="P48" s="738"/>
      <c r="Q48" s="739"/>
      <c r="R48" s="738"/>
      <c r="S48" s="739"/>
      <c r="T48" s="738"/>
      <c r="U48" s="739"/>
      <c r="V48" s="738"/>
      <c r="W48" s="739"/>
      <c r="X48" s="738"/>
      <c r="Y48" s="739"/>
      <c r="Z48" s="738"/>
      <c r="AA48" s="793"/>
      <c r="AB48" s="724"/>
      <c r="AC48" s="724"/>
    </row>
    <row r="49" spans="1:29" ht="28.5">
      <c r="A49" s="788" t="s">
        <v>2529</v>
      </c>
      <c r="B49" s="800" t="s">
        <v>2530</v>
      </c>
      <c r="C49" s="790">
        <v>1</v>
      </c>
      <c r="D49" s="738"/>
      <c r="E49" s="791"/>
      <c r="F49" s="792">
        <v>5</v>
      </c>
      <c r="G49" s="739"/>
      <c r="H49" s="738"/>
      <c r="I49" s="739"/>
      <c r="J49" s="738"/>
      <c r="K49" s="739"/>
      <c r="L49" s="738"/>
      <c r="M49" s="790">
        <v>1</v>
      </c>
      <c r="N49" s="738"/>
      <c r="O49" s="739">
        <v>1</v>
      </c>
      <c r="P49" s="738"/>
      <c r="Q49" s="739"/>
      <c r="R49" s="738"/>
      <c r="S49" s="739"/>
      <c r="T49" s="738"/>
      <c r="U49" s="739"/>
      <c r="V49" s="738"/>
      <c r="W49" s="739"/>
      <c r="X49" s="738"/>
      <c r="Y49" s="739"/>
      <c r="Z49" s="738"/>
      <c r="AA49" s="793"/>
      <c r="AB49" s="724"/>
      <c r="AC49" s="724"/>
    </row>
    <row r="50" spans="1:29" ht="28.5">
      <c r="A50" s="788" t="s">
        <v>2531</v>
      </c>
      <c r="B50" s="800" t="s">
        <v>2532</v>
      </c>
      <c r="C50" s="790">
        <v>1</v>
      </c>
      <c r="D50" s="738"/>
      <c r="E50" s="791"/>
      <c r="F50" s="792">
        <v>5</v>
      </c>
      <c r="G50" s="739"/>
      <c r="H50" s="738"/>
      <c r="I50" s="739"/>
      <c r="J50" s="738"/>
      <c r="K50" s="739"/>
      <c r="L50" s="738"/>
      <c r="M50" s="790">
        <v>1</v>
      </c>
      <c r="N50" s="738"/>
      <c r="O50" s="739">
        <v>1</v>
      </c>
      <c r="P50" s="738"/>
      <c r="Q50" s="739"/>
      <c r="R50" s="738"/>
      <c r="S50" s="739"/>
      <c r="T50" s="738"/>
      <c r="U50" s="739"/>
      <c r="V50" s="738"/>
      <c r="W50" s="739"/>
      <c r="X50" s="738"/>
      <c r="Y50" s="739"/>
      <c r="Z50" s="738"/>
      <c r="AA50" s="793"/>
      <c r="AB50" s="724"/>
      <c r="AC50" s="724"/>
    </row>
    <row r="51" spans="1:29" ht="28.5">
      <c r="A51" s="788" t="s">
        <v>2533</v>
      </c>
      <c r="B51" s="800" t="s">
        <v>2534</v>
      </c>
      <c r="C51" s="790">
        <v>1</v>
      </c>
      <c r="D51" s="738"/>
      <c r="E51" s="791"/>
      <c r="F51" s="792">
        <v>5</v>
      </c>
      <c r="G51" s="739"/>
      <c r="H51" s="738"/>
      <c r="I51" s="739"/>
      <c r="J51" s="738"/>
      <c r="K51" s="739"/>
      <c r="L51" s="738"/>
      <c r="M51" s="790">
        <v>1</v>
      </c>
      <c r="N51" s="738"/>
      <c r="O51" s="739">
        <v>1</v>
      </c>
      <c r="P51" s="738"/>
      <c r="Q51" s="739"/>
      <c r="R51" s="738"/>
      <c r="S51" s="739"/>
      <c r="T51" s="738"/>
      <c r="U51" s="739"/>
      <c r="V51" s="738"/>
      <c r="W51" s="739"/>
      <c r="X51" s="738"/>
      <c r="Y51" s="739"/>
      <c r="Z51" s="738"/>
      <c r="AA51" s="793"/>
      <c r="AB51" s="724"/>
      <c r="AC51" s="724"/>
    </row>
    <row r="52" spans="1:29" ht="28.5">
      <c r="A52" s="788" t="s">
        <v>2535</v>
      </c>
      <c r="B52" s="800" t="s">
        <v>2536</v>
      </c>
      <c r="C52" s="790">
        <v>1</v>
      </c>
      <c r="D52" s="738"/>
      <c r="E52" s="791"/>
      <c r="F52" s="792">
        <v>5</v>
      </c>
      <c r="G52" s="739"/>
      <c r="H52" s="738"/>
      <c r="I52" s="739"/>
      <c r="J52" s="738"/>
      <c r="K52" s="739"/>
      <c r="L52" s="738"/>
      <c r="M52" s="790">
        <v>1</v>
      </c>
      <c r="N52" s="738"/>
      <c r="O52" s="739">
        <v>1</v>
      </c>
      <c r="P52" s="738"/>
      <c r="Q52" s="739"/>
      <c r="R52" s="738"/>
      <c r="S52" s="739"/>
      <c r="T52" s="738"/>
      <c r="U52" s="739"/>
      <c r="V52" s="738"/>
      <c r="W52" s="739"/>
      <c r="X52" s="738"/>
      <c r="Y52" s="739"/>
      <c r="Z52" s="738"/>
      <c r="AA52" s="793"/>
      <c r="AB52" s="724"/>
      <c r="AC52" s="724"/>
    </row>
    <row r="53" spans="1:29" ht="28.5">
      <c r="A53" s="788" t="s">
        <v>2537</v>
      </c>
      <c r="B53" s="800" t="s">
        <v>2538</v>
      </c>
      <c r="C53" s="790">
        <v>1</v>
      </c>
      <c r="D53" s="738"/>
      <c r="E53" s="791"/>
      <c r="F53" s="792">
        <v>5</v>
      </c>
      <c r="G53" s="739"/>
      <c r="H53" s="738"/>
      <c r="I53" s="739"/>
      <c r="J53" s="738"/>
      <c r="K53" s="739"/>
      <c r="L53" s="738"/>
      <c r="M53" s="790">
        <v>1</v>
      </c>
      <c r="N53" s="738"/>
      <c r="O53" s="739">
        <v>1</v>
      </c>
      <c r="P53" s="738"/>
      <c r="Q53" s="739"/>
      <c r="R53" s="738"/>
      <c r="S53" s="739"/>
      <c r="T53" s="738"/>
      <c r="U53" s="739"/>
      <c r="V53" s="738"/>
      <c r="W53" s="739"/>
      <c r="X53" s="738"/>
      <c r="Y53" s="739"/>
      <c r="Z53" s="738"/>
      <c r="AA53" s="793"/>
      <c r="AB53" s="724"/>
      <c r="AC53" s="724"/>
    </row>
    <row r="54" spans="1:29" ht="14.25">
      <c r="A54" s="760">
        <v>3</v>
      </c>
      <c r="B54" s="796" t="s">
        <v>2539</v>
      </c>
      <c r="C54" s="790"/>
      <c r="D54" s="738"/>
      <c r="E54" s="797"/>
      <c r="F54" s="798"/>
      <c r="G54" s="739"/>
      <c r="H54" s="738"/>
      <c r="I54" s="739"/>
      <c r="J54" s="738"/>
      <c r="K54" s="739"/>
      <c r="L54" s="738"/>
      <c r="M54" s="790"/>
      <c r="N54" s="738"/>
      <c r="O54" s="739"/>
      <c r="P54" s="738"/>
      <c r="Q54" s="739"/>
      <c r="R54" s="738"/>
      <c r="S54" s="739"/>
      <c r="T54" s="738"/>
      <c r="U54" s="739"/>
      <c r="V54" s="738"/>
      <c r="W54" s="739"/>
      <c r="X54" s="738"/>
      <c r="Y54" s="739"/>
      <c r="Z54" s="738"/>
      <c r="AA54" s="799"/>
      <c r="AB54" s="724"/>
      <c r="AC54" s="724"/>
    </row>
    <row r="55" spans="1:29" ht="14.25">
      <c r="A55" s="788">
        <v>3.1</v>
      </c>
      <c r="B55" s="789" t="s">
        <v>2540</v>
      </c>
      <c r="C55" s="790">
        <v>1</v>
      </c>
      <c r="D55" s="738"/>
      <c r="E55" s="791"/>
      <c r="F55" s="792">
        <v>5</v>
      </c>
      <c r="G55" s="739"/>
      <c r="H55" s="738"/>
      <c r="I55" s="739"/>
      <c r="J55" s="738"/>
      <c r="K55" s="739"/>
      <c r="L55" s="738"/>
      <c r="M55" s="790"/>
      <c r="N55" s="738"/>
      <c r="O55" s="739">
        <v>0.5</v>
      </c>
      <c r="P55" s="738"/>
      <c r="Q55" s="739"/>
      <c r="R55" s="738"/>
      <c r="S55" s="739"/>
      <c r="T55" s="738"/>
      <c r="U55" s="739"/>
      <c r="V55" s="738"/>
      <c r="W55" s="739"/>
      <c r="X55" s="738"/>
      <c r="Y55" s="739"/>
      <c r="Z55" s="738"/>
      <c r="AA55" s="793"/>
      <c r="AB55" s="724"/>
      <c r="AC55" s="724"/>
    </row>
    <row r="56" spans="1:29" ht="14.25">
      <c r="A56" s="788">
        <v>3.2</v>
      </c>
      <c r="B56" s="789" t="s">
        <v>2541</v>
      </c>
      <c r="C56" s="790">
        <v>1</v>
      </c>
      <c r="D56" s="738"/>
      <c r="E56" s="791"/>
      <c r="F56" s="792">
        <v>5</v>
      </c>
      <c r="G56" s="739"/>
      <c r="H56" s="738"/>
      <c r="I56" s="739"/>
      <c r="J56" s="738"/>
      <c r="K56" s="739"/>
      <c r="L56" s="738"/>
      <c r="M56" s="790"/>
      <c r="N56" s="738"/>
      <c r="O56" s="739">
        <v>0.5</v>
      </c>
      <c r="P56" s="738"/>
      <c r="Q56" s="739"/>
      <c r="R56" s="738"/>
      <c r="S56" s="739"/>
      <c r="T56" s="738"/>
      <c r="U56" s="739"/>
      <c r="V56" s="738"/>
      <c r="W56" s="739"/>
      <c r="X56" s="738"/>
      <c r="Y56" s="739"/>
      <c r="Z56" s="738"/>
      <c r="AA56" s="793"/>
      <c r="AB56" s="724"/>
      <c r="AC56" s="724"/>
    </row>
    <row r="57" spans="1:29" ht="28.5">
      <c r="A57" s="788">
        <v>3.3</v>
      </c>
      <c r="B57" s="789" t="s">
        <v>2542</v>
      </c>
      <c r="C57" s="790">
        <v>1</v>
      </c>
      <c r="D57" s="738"/>
      <c r="E57" s="791"/>
      <c r="F57" s="792">
        <v>5</v>
      </c>
      <c r="G57" s="739"/>
      <c r="H57" s="738"/>
      <c r="I57" s="739"/>
      <c r="J57" s="738"/>
      <c r="K57" s="739"/>
      <c r="L57" s="738"/>
      <c r="M57" s="790"/>
      <c r="N57" s="738"/>
      <c r="O57" s="739">
        <v>0.5</v>
      </c>
      <c r="P57" s="738"/>
      <c r="Q57" s="739"/>
      <c r="R57" s="738"/>
      <c r="S57" s="739"/>
      <c r="T57" s="738"/>
      <c r="U57" s="739"/>
      <c r="V57" s="738"/>
      <c r="W57" s="739"/>
      <c r="X57" s="738"/>
      <c r="Y57" s="739"/>
      <c r="Z57" s="738"/>
      <c r="AA57" s="793"/>
      <c r="AB57" s="724"/>
      <c r="AC57" s="724"/>
    </row>
    <row r="58" spans="1:29" ht="28.5">
      <c r="A58" s="788">
        <v>3.4</v>
      </c>
      <c r="B58" s="789" t="s">
        <v>2543</v>
      </c>
      <c r="C58" s="790">
        <v>1</v>
      </c>
      <c r="D58" s="738"/>
      <c r="E58" s="791"/>
      <c r="F58" s="792">
        <v>5</v>
      </c>
      <c r="G58" s="739"/>
      <c r="H58" s="738"/>
      <c r="I58" s="739"/>
      <c r="J58" s="738"/>
      <c r="K58" s="739"/>
      <c r="L58" s="738"/>
      <c r="M58" s="790"/>
      <c r="N58" s="738"/>
      <c r="O58" s="739">
        <v>0.5</v>
      </c>
      <c r="P58" s="738"/>
      <c r="Q58" s="739"/>
      <c r="R58" s="738"/>
      <c r="S58" s="739"/>
      <c r="T58" s="738"/>
      <c r="U58" s="739"/>
      <c r="V58" s="738"/>
      <c r="W58" s="739"/>
      <c r="X58" s="738"/>
      <c r="Y58" s="739"/>
      <c r="Z58" s="738"/>
      <c r="AA58" s="793"/>
      <c r="AB58" s="724"/>
      <c r="AC58" s="724"/>
    </row>
    <row r="59" spans="1:29" ht="14.25">
      <c r="A59" s="788">
        <v>3.5</v>
      </c>
      <c r="B59" s="789" t="s">
        <v>2544</v>
      </c>
      <c r="C59" s="790">
        <v>1</v>
      </c>
      <c r="D59" s="738"/>
      <c r="E59" s="791"/>
      <c r="F59" s="792">
        <v>5</v>
      </c>
      <c r="G59" s="739"/>
      <c r="H59" s="738"/>
      <c r="I59" s="739"/>
      <c r="J59" s="738"/>
      <c r="K59" s="739"/>
      <c r="L59" s="738"/>
      <c r="M59" s="790"/>
      <c r="N59" s="738"/>
      <c r="O59" s="739">
        <v>0.5</v>
      </c>
      <c r="P59" s="738"/>
      <c r="Q59" s="739"/>
      <c r="R59" s="738"/>
      <c r="S59" s="739"/>
      <c r="T59" s="738"/>
      <c r="U59" s="739"/>
      <c r="V59" s="738"/>
      <c r="W59" s="739"/>
      <c r="X59" s="738"/>
      <c r="Y59" s="739"/>
      <c r="Z59" s="738"/>
      <c r="AA59" s="793"/>
      <c r="AB59" s="724"/>
      <c r="AC59" s="724"/>
    </row>
    <row r="60" spans="1:29" ht="28.5">
      <c r="A60" s="788">
        <v>3.6</v>
      </c>
      <c r="B60" s="789" t="s">
        <v>2545</v>
      </c>
      <c r="C60" s="790">
        <v>1</v>
      </c>
      <c r="D60" s="738"/>
      <c r="E60" s="791"/>
      <c r="F60" s="792">
        <v>5</v>
      </c>
      <c r="G60" s="739"/>
      <c r="H60" s="738"/>
      <c r="I60" s="739"/>
      <c r="J60" s="738"/>
      <c r="K60" s="739"/>
      <c r="L60" s="738"/>
      <c r="M60" s="790"/>
      <c r="N60" s="738"/>
      <c r="O60" s="739">
        <v>0.5</v>
      </c>
      <c r="P60" s="738"/>
      <c r="Q60" s="739"/>
      <c r="R60" s="738"/>
      <c r="S60" s="739"/>
      <c r="T60" s="738"/>
      <c r="U60" s="739"/>
      <c r="V60" s="738"/>
      <c r="W60" s="739"/>
      <c r="X60" s="738"/>
      <c r="Y60" s="739"/>
      <c r="Z60" s="738"/>
      <c r="AA60" s="793"/>
      <c r="AB60" s="724"/>
      <c r="AC60" s="724"/>
    </row>
    <row r="61" spans="1:29" ht="28.5">
      <c r="A61" s="788">
        <v>3.7</v>
      </c>
      <c r="B61" s="789" t="s">
        <v>2546</v>
      </c>
      <c r="C61" s="790">
        <v>1</v>
      </c>
      <c r="D61" s="738"/>
      <c r="E61" s="791"/>
      <c r="F61" s="792">
        <v>5</v>
      </c>
      <c r="G61" s="739"/>
      <c r="H61" s="738"/>
      <c r="I61" s="739"/>
      <c r="J61" s="738"/>
      <c r="K61" s="739"/>
      <c r="L61" s="738"/>
      <c r="M61" s="790"/>
      <c r="N61" s="738"/>
      <c r="O61" s="739">
        <v>0.5</v>
      </c>
      <c r="P61" s="738"/>
      <c r="Q61" s="739"/>
      <c r="R61" s="738"/>
      <c r="S61" s="739"/>
      <c r="T61" s="738"/>
      <c r="U61" s="739"/>
      <c r="V61" s="738"/>
      <c r="W61" s="739"/>
      <c r="X61" s="738"/>
      <c r="Y61" s="739"/>
      <c r="Z61" s="738"/>
      <c r="AA61" s="793"/>
      <c r="AB61" s="724"/>
      <c r="AC61" s="724"/>
    </row>
    <row r="62" spans="1:29" ht="28.5">
      <c r="A62" s="788">
        <v>3.8</v>
      </c>
      <c r="B62" s="789" t="s">
        <v>2547</v>
      </c>
      <c r="C62" s="790">
        <v>1</v>
      </c>
      <c r="D62" s="738"/>
      <c r="E62" s="791"/>
      <c r="F62" s="792">
        <v>5</v>
      </c>
      <c r="G62" s="739"/>
      <c r="H62" s="738"/>
      <c r="I62" s="739"/>
      <c r="J62" s="738"/>
      <c r="K62" s="739"/>
      <c r="L62" s="738"/>
      <c r="M62" s="790"/>
      <c r="N62" s="738"/>
      <c r="O62" s="739">
        <v>0.5</v>
      </c>
      <c r="P62" s="738"/>
      <c r="Q62" s="739"/>
      <c r="R62" s="738"/>
      <c r="S62" s="739"/>
      <c r="T62" s="738"/>
      <c r="U62" s="739"/>
      <c r="V62" s="738"/>
      <c r="W62" s="739"/>
      <c r="X62" s="738"/>
      <c r="Y62" s="739"/>
      <c r="Z62" s="738"/>
      <c r="AA62" s="793"/>
      <c r="AB62" s="724"/>
      <c r="AC62" s="724"/>
    </row>
    <row r="63" spans="1:29" ht="28.5">
      <c r="A63" s="788">
        <v>3.9</v>
      </c>
      <c r="B63" s="789" t="s">
        <v>2548</v>
      </c>
      <c r="C63" s="790">
        <v>1</v>
      </c>
      <c r="D63" s="738"/>
      <c r="E63" s="791"/>
      <c r="F63" s="792">
        <v>5</v>
      </c>
      <c r="G63" s="739"/>
      <c r="H63" s="738"/>
      <c r="I63" s="739"/>
      <c r="J63" s="738"/>
      <c r="K63" s="739"/>
      <c r="L63" s="738"/>
      <c r="M63" s="790"/>
      <c r="N63" s="738"/>
      <c r="O63" s="739">
        <v>0.5</v>
      </c>
      <c r="P63" s="738"/>
      <c r="Q63" s="739"/>
      <c r="R63" s="738"/>
      <c r="S63" s="739"/>
      <c r="T63" s="738"/>
      <c r="U63" s="739"/>
      <c r="V63" s="738"/>
      <c r="W63" s="739"/>
      <c r="X63" s="738"/>
      <c r="Y63" s="739"/>
      <c r="Z63" s="738"/>
      <c r="AA63" s="793"/>
      <c r="AB63" s="724"/>
      <c r="AC63" s="724"/>
    </row>
    <row r="64" spans="1:29" ht="28.5">
      <c r="A64" s="795" t="s">
        <v>1340</v>
      </c>
      <c r="B64" s="789" t="s">
        <v>2549</v>
      </c>
      <c r="C64" s="790">
        <v>1</v>
      </c>
      <c r="D64" s="738"/>
      <c r="E64" s="791"/>
      <c r="F64" s="792">
        <v>5</v>
      </c>
      <c r="G64" s="739"/>
      <c r="H64" s="738"/>
      <c r="I64" s="739"/>
      <c r="J64" s="738"/>
      <c r="K64" s="739"/>
      <c r="L64" s="738"/>
      <c r="M64" s="790"/>
      <c r="N64" s="738"/>
      <c r="O64" s="739">
        <v>0.5</v>
      </c>
      <c r="P64" s="738"/>
      <c r="Q64" s="739"/>
      <c r="R64" s="738"/>
      <c r="S64" s="739"/>
      <c r="T64" s="738"/>
      <c r="U64" s="739"/>
      <c r="V64" s="738"/>
      <c r="W64" s="739"/>
      <c r="X64" s="738"/>
      <c r="Y64" s="739"/>
      <c r="Z64" s="738"/>
      <c r="AA64" s="793"/>
      <c r="AB64" s="724"/>
      <c r="AC64" s="724"/>
    </row>
    <row r="65" spans="1:29" ht="14.25">
      <c r="A65" s="788">
        <v>3.11</v>
      </c>
      <c r="B65" s="789" t="s">
        <v>2550</v>
      </c>
      <c r="C65" s="790">
        <v>1</v>
      </c>
      <c r="D65" s="738"/>
      <c r="E65" s="791"/>
      <c r="F65" s="792">
        <v>5</v>
      </c>
      <c r="G65" s="739"/>
      <c r="H65" s="738"/>
      <c r="I65" s="739"/>
      <c r="J65" s="738"/>
      <c r="K65" s="739"/>
      <c r="L65" s="738"/>
      <c r="M65" s="790"/>
      <c r="N65" s="738"/>
      <c r="O65" s="739">
        <v>0.5</v>
      </c>
      <c r="P65" s="738"/>
      <c r="Q65" s="739"/>
      <c r="R65" s="738"/>
      <c r="S65" s="739"/>
      <c r="T65" s="738"/>
      <c r="U65" s="739"/>
      <c r="V65" s="738"/>
      <c r="W65" s="739"/>
      <c r="X65" s="738"/>
      <c r="Y65" s="739"/>
      <c r="Z65" s="738"/>
      <c r="AA65" s="793"/>
      <c r="AB65" s="724"/>
      <c r="AC65" s="724"/>
    </row>
    <row r="66" spans="1:29" ht="14.25">
      <c r="A66" s="788">
        <v>3.12</v>
      </c>
      <c r="B66" s="789" t="s">
        <v>2551</v>
      </c>
      <c r="C66" s="790">
        <v>1</v>
      </c>
      <c r="D66" s="738"/>
      <c r="E66" s="791"/>
      <c r="F66" s="792">
        <v>5</v>
      </c>
      <c r="G66" s="739"/>
      <c r="H66" s="738"/>
      <c r="I66" s="739"/>
      <c r="J66" s="738"/>
      <c r="K66" s="739"/>
      <c r="L66" s="738"/>
      <c r="M66" s="790"/>
      <c r="N66" s="738"/>
      <c r="O66" s="739">
        <v>0.5</v>
      </c>
      <c r="P66" s="738"/>
      <c r="Q66" s="739"/>
      <c r="R66" s="738"/>
      <c r="S66" s="739"/>
      <c r="T66" s="738"/>
      <c r="U66" s="739"/>
      <c r="V66" s="738"/>
      <c r="W66" s="739"/>
      <c r="X66" s="738"/>
      <c r="Y66" s="739"/>
      <c r="Z66" s="738"/>
      <c r="AA66" s="793"/>
      <c r="AB66" s="724"/>
      <c r="AC66" s="724"/>
    </row>
    <row r="67" spans="1:29" ht="14.25">
      <c r="A67" s="788">
        <v>3.13</v>
      </c>
      <c r="B67" s="789" t="s">
        <v>2552</v>
      </c>
      <c r="C67" s="790">
        <v>1</v>
      </c>
      <c r="D67" s="738"/>
      <c r="E67" s="791"/>
      <c r="F67" s="792">
        <v>5</v>
      </c>
      <c r="G67" s="739"/>
      <c r="H67" s="738"/>
      <c r="I67" s="739"/>
      <c r="J67" s="738"/>
      <c r="K67" s="739"/>
      <c r="L67" s="738"/>
      <c r="M67" s="790"/>
      <c r="N67" s="738"/>
      <c r="O67" s="739">
        <v>0.5</v>
      </c>
      <c r="P67" s="738"/>
      <c r="Q67" s="739"/>
      <c r="R67" s="738"/>
      <c r="S67" s="739"/>
      <c r="T67" s="738"/>
      <c r="U67" s="739"/>
      <c r="V67" s="738"/>
      <c r="W67" s="739"/>
      <c r="X67" s="738"/>
      <c r="Y67" s="739"/>
      <c r="Z67" s="738"/>
      <c r="AA67" s="793"/>
      <c r="AB67" s="724"/>
      <c r="AC67" s="724"/>
    </row>
    <row r="68" spans="1:29" ht="42.75">
      <c r="A68" s="788">
        <v>3.14</v>
      </c>
      <c r="B68" s="789" t="s">
        <v>2553</v>
      </c>
      <c r="C68" s="790">
        <v>1</v>
      </c>
      <c r="D68" s="738"/>
      <c r="E68" s="791"/>
      <c r="F68" s="792">
        <v>5</v>
      </c>
      <c r="G68" s="751"/>
      <c r="H68" s="738"/>
      <c r="I68" s="751"/>
      <c r="J68" s="738"/>
      <c r="K68" s="751"/>
      <c r="L68" s="738"/>
      <c r="M68" s="790"/>
      <c r="N68" s="738"/>
      <c r="O68" s="739">
        <v>0.5</v>
      </c>
      <c r="P68" s="738"/>
      <c r="Q68" s="751"/>
      <c r="R68" s="738"/>
      <c r="S68" s="751"/>
      <c r="T68" s="738"/>
      <c r="U68" s="751"/>
      <c r="V68" s="738"/>
      <c r="W68" s="751"/>
      <c r="X68" s="738"/>
      <c r="Y68" s="751"/>
      <c r="Z68" s="738"/>
      <c r="AA68" s="793"/>
      <c r="AB68" s="724"/>
      <c r="AC68" s="724"/>
    </row>
    <row r="69" spans="1:29" ht="28.5">
      <c r="A69" s="788">
        <v>3.15</v>
      </c>
      <c r="B69" s="789" t="s">
        <v>2554</v>
      </c>
      <c r="C69" s="790">
        <v>1</v>
      </c>
      <c r="D69" s="754"/>
      <c r="E69" s="791"/>
      <c r="F69" s="792">
        <v>5</v>
      </c>
      <c r="G69" s="755"/>
      <c r="H69" s="754"/>
      <c r="I69" s="755"/>
      <c r="J69" s="754"/>
      <c r="K69" s="755"/>
      <c r="L69" s="754"/>
      <c r="M69" s="790"/>
      <c r="N69" s="754"/>
      <c r="O69" s="739">
        <v>0.5</v>
      </c>
      <c r="P69" s="754"/>
      <c r="Q69" s="755"/>
      <c r="R69" s="754"/>
      <c r="S69" s="755"/>
      <c r="T69" s="754"/>
      <c r="U69" s="755"/>
      <c r="V69" s="754"/>
      <c r="W69" s="755"/>
      <c r="X69" s="754"/>
      <c r="Y69" s="755"/>
      <c r="Z69" s="754"/>
      <c r="AA69" s="793"/>
      <c r="AB69" s="724"/>
      <c r="AC69" s="724"/>
    </row>
    <row r="70" spans="1:29" ht="14.25">
      <c r="A70" s="788">
        <v>3.16</v>
      </c>
      <c r="B70" s="789" t="s">
        <v>2555</v>
      </c>
      <c r="C70" s="790">
        <v>1</v>
      </c>
      <c r="D70" s="738"/>
      <c r="E70" s="791"/>
      <c r="F70" s="792">
        <v>5</v>
      </c>
      <c r="G70" s="739"/>
      <c r="H70" s="738"/>
      <c r="I70" s="739"/>
      <c r="J70" s="738"/>
      <c r="K70" s="739"/>
      <c r="L70" s="738"/>
      <c r="M70" s="790"/>
      <c r="N70" s="738"/>
      <c r="O70" s="739">
        <v>0.5</v>
      </c>
      <c r="P70" s="738"/>
      <c r="Q70" s="739"/>
      <c r="R70" s="738"/>
      <c r="S70" s="739"/>
      <c r="T70" s="738"/>
      <c r="U70" s="739"/>
      <c r="V70" s="738"/>
      <c r="W70" s="739"/>
      <c r="X70" s="738"/>
      <c r="Y70" s="739"/>
      <c r="Z70" s="738"/>
      <c r="AA70" s="793"/>
      <c r="AB70" s="724"/>
      <c r="AC70" s="724"/>
    </row>
    <row r="71" spans="1:29" ht="14.25">
      <c r="A71" s="788">
        <v>3.17</v>
      </c>
      <c r="B71" s="789" t="s">
        <v>2556</v>
      </c>
      <c r="C71" s="790">
        <v>1</v>
      </c>
      <c r="D71" s="738"/>
      <c r="E71" s="791"/>
      <c r="F71" s="792">
        <v>5</v>
      </c>
      <c r="G71" s="739"/>
      <c r="H71" s="738"/>
      <c r="I71" s="739"/>
      <c r="J71" s="738"/>
      <c r="K71" s="739"/>
      <c r="L71" s="738"/>
      <c r="M71" s="790"/>
      <c r="N71" s="738"/>
      <c r="O71" s="739">
        <v>0.5</v>
      </c>
      <c r="P71" s="738"/>
      <c r="Q71" s="739"/>
      <c r="R71" s="738"/>
      <c r="S71" s="739"/>
      <c r="T71" s="738"/>
      <c r="U71" s="739"/>
      <c r="V71" s="738"/>
      <c r="W71" s="739"/>
      <c r="X71" s="738"/>
      <c r="Y71" s="739"/>
      <c r="Z71" s="738"/>
      <c r="AA71" s="793"/>
      <c r="AB71" s="724"/>
      <c r="AC71" s="724"/>
    </row>
    <row r="72" spans="1:29" ht="28.5">
      <c r="A72" s="788">
        <v>3.18</v>
      </c>
      <c r="B72" s="789" t="s">
        <v>2557</v>
      </c>
      <c r="C72" s="790">
        <v>1</v>
      </c>
      <c r="D72" s="738"/>
      <c r="E72" s="791"/>
      <c r="F72" s="792">
        <v>5</v>
      </c>
      <c r="G72" s="739"/>
      <c r="H72" s="738"/>
      <c r="I72" s="739"/>
      <c r="J72" s="738"/>
      <c r="K72" s="739"/>
      <c r="L72" s="738"/>
      <c r="M72" s="790"/>
      <c r="N72" s="738"/>
      <c r="O72" s="739">
        <v>0.5</v>
      </c>
      <c r="P72" s="738"/>
      <c r="Q72" s="739"/>
      <c r="R72" s="738"/>
      <c r="S72" s="739"/>
      <c r="T72" s="738"/>
      <c r="U72" s="739"/>
      <c r="V72" s="738"/>
      <c r="W72" s="739"/>
      <c r="X72" s="738"/>
      <c r="Y72" s="739"/>
      <c r="Z72" s="738"/>
      <c r="AA72" s="793"/>
      <c r="AB72" s="724"/>
      <c r="AC72" s="724"/>
    </row>
    <row r="73" spans="1:29" ht="28.5">
      <c r="A73" s="788">
        <v>3.19</v>
      </c>
      <c r="B73" s="789" t="s">
        <v>2558</v>
      </c>
      <c r="C73" s="790">
        <v>1</v>
      </c>
      <c r="D73" s="738"/>
      <c r="E73" s="791"/>
      <c r="F73" s="792">
        <v>5</v>
      </c>
      <c r="G73" s="739"/>
      <c r="H73" s="738"/>
      <c r="I73" s="739"/>
      <c r="J73" s="738"/>
      <c r="K73" s="739"/>
      <c r="L73" s="738"/>
      <c r="M73" s="790"/>
      <c r="N73" s="738"/>
      <c r="O73" s="739">
        <v>0.5</v>
      </c>
      <c r="P73" s="738"/>
      <c r="Q73" s="739"/>
      <c r="R73" s="738"/>
      <c r="S73" s="739"/>
      <c r="T73" s="738"/>
      <c r="U73" s="739"/>
      <c r="V73" s="738"/>
      <c r="W73" s="739"/>
      <c r="X73" s="738"/>
      <c r="Y73" s="739"/>
      <c r="Z73" s="738"/>
      <c r="AA73" s="793"/>
      <c r="AB73" s="724"/>
      <c r="AC73" s="724"/>
    </row>
    <row r="74" spans="1:29" ht="28.5">
      <c r="A74" s="795" t="s">
        <v>2559</v>
      </c>
      <c r="B74" s="789" t="s">
        <v>2560</v>
      </c>
      <c r="C74" s="790">
        <v>1</v>
      </c>
      <c r="D74" s="738"/>
      <c r="E74" s="791"/>
      <c r="F74" s="792">
        <v>5</v>
      </c>
      <c r="G74" s="739"/>
      <c r="H74" s="738"/>
      <c r="I74" s="739"/>
      <c r="J74" s="738"/>
      <c r="K74" s="739"/>
      <c r="L74" s="738"/>
      <c r="M74" s="790"/>
      <c r="N74" s="738"/>
      <c r="O74" s="739">
        <v>0.5</v>
      </c>
      <c r="P74" s="738"/>
      <c r="Q74" s="739"/>
      <c r="R74" s="738"/>
      <c r="S74" s="739"/>
      <c r="T74" s="738"/>
      <c r="U74" s="739"/>
      <c r="V74" s="738"/>
      <c r="W74" s="739"/>
      <c r="X74" s="738"/>
      <c r="Y74" s="739"/>
      <c r="Z74" s="738"/>
      <c r="AA74" s="793"/>
      <c r="AB74" s="724"/>
      <c r="AC74" s="724"/>
    </row>
    <row r="75" spans="1:29" ht="14.25">
      <c r="A75" s="788">
        <v>3.21</v>
      </c>
      <c r="B75" s="789" t="s">
        <v>2561</v>
      </c>
      <c r="C75" s="790">
        <v>1</v>
      </c>
      <c r="D75" s="738"/>
      <c r="E75" s="791"/>
      <c r="F75" s="792">
        <v>5</v>
      </c>
      <c r="G75" s="739"/>
      <c r="H75" s="738"/>
      <c r="I75" s="739"/>
      <c r="J75" s="738"/>
      <c r="K75" s="739"/>
      <c r="L75" s="738"/>
      <c r="M75" s="790"/>
      <c r="N75" s="738"/>
      <c r="O75" s="739">
        <v>0.5</v>
      </c>
      <c r="P75" s="738"/>
      <c r="Q75" s="739"/>
      <c r="R75" s="738"/>
      <c r="S75" s="739"/>
      <c r="T75" s="738"/>
      <c r="U75" s="739"/>
      <c r="V75" s="738"/>
      <c r="W75" s="739"/>
      <c r="X75" s="738"/>
      <c r="Y75" s="739"/>
      <c r="Z75" s="738"/>
      <c r="AA75" s="793"/>
      <c r="AB75" s="724"/>
      <c r="AC75" s="724"/>
    </row>
    <row r="76" spans="1:29" ht="14.25">
      <c r="A76" s="788">
        <v>3.22</v>
      </c>
      <c r="B76" s="789" t="s">
        <v>2562</v>
      </c>
      <c r="C76" s="790">
        <v>1</v>
      </c>
      <c r="D76" s="738"/>
      <c r="E76" s="791"/>
      <c r="F76" s="792">
        <v>5</v>
      </c>
      <c r="G76" s="739"/>
      <c r="H76" s="738"/>
      <c r="I76" s="739">
        <v>1</v>
      </c>
      <c r="J76" s="738"/>
      <c r="K76" s="739"/>
      <c r="L76" s="738"/>
      <c r="M76" s="790"/>
      <c r="N76" s="738"/>
      <c r="O76" s="739">
        <v>0.5</v>
      </c>
      <c r="P76" s="738"/>
      <c r="Q76" s="739"/>
      <c r="R76" s="738"/>
      <c r="S76" s="739"/>
      <c r="T76" s="738"/>
      <c r="U76" s="739"/>
      <c r="V76" s="738"/>
      <c r="W76" s="739"/>
      <c r="X76" s="738"/>
      <c r="Y76" s="739"/>
      <c r="Z76" s="738"/>
      <c r="AA76" s="793"/>
      <c r="AB76" s="724"/>
      <c r="AC76" s="724"/>
    </row>
    <row r="77" spans="1:29" ht="14.25">
      <c r="A77" s="788">
        <v>3.23</v>
      </c>
      <c r="B77" s="789" t="s">
        <v>2563</v>
      </c>
      <c r="C77" s="790">
        <v>1</v>
      </c>
      <c r="D77" s="738"/>
      <c r="E77" s="791"/>
      <c r="F77" s="792">
        <v>5</v>
      </c>
      <c r="G77" s="739"/>
      <c r="H77" s="738"/>
      <c r="I77" s="739"/>
      <c r="J77" s="738"/>
      <c r="K77" s="739"/>
      <c r="L77" s="738"/>
      <c r="M77" s="790"/>
      <c r="N77" s="738"/>
      <c r="O77" s="739">
        <v>0.5</v>
      </c>
      <c r="P77" s="738"/>
      <c r="Q77" s="739"/>
      <c r="R77" s="738"/>
      <c r="S77" s="739"/>
      <c r="T77" s="738"/>
      <c r="U77" s="739"/>
      <c r="V77" s="738"/>
      <c r="W77" s="739"/>
      <c r="X77" s="738"/>
      <c r="Y77" s="739"/>
      <c r="Z77" s="738"/>
      <c r="AA77" s="793"/>
      <c r="AB77" s="724"/>
      <c r="AC77" s="724"/>
    </row>
    <row r="78" spans="1:29" ht="14.25">
      <c r="A78" s="760">
        <v>4</v>
      </c>
      <c r="B78" s="796" t="s">
        <v>2564</v>
      </c>
      <c r="C78" s="790"/>
      <c r="D78" s="738"/>
      <c r="E78" s="797"/>
      <c r="F78" s="798"/>
      <c r="G78" s="739"/>
      <c r="H78" s="738"/>
      <c r="I78" s="739"/>
      <c r="J78" s="738"/>
      <c r="K78" s="739"/>
      <c r="L78" s="738"/>
      <c r="M78" s="790"/>
      <c r="N78" s="738"/>
      <c r="O78" s="739"/>
      <c r="P78" s="738"/>
      <c r="Q78" s="739"/>
      <c r="R78" s="738"/>
      <c r="S78" s="739"/>
      <c r="T78" s="738"/>
      <c r="U78" s="739"/>
      <c r="V78" s="738"/>
      <c r="W78" s="739"/>
      <c r="X78" s="738"/>
      <c r="Y78" s="739"/>
      <c r="Z78" s="738"/>
      <c r="AA78" s="799"/>
      <c r="AB78" s="724"/>
      <c r="AC78" s="724"/>
    </row>
    <row r="79" spans="1:29" ht="14.25">
      <c r="A79" s="788">
        <v>4.0999999999999996</v>
      </c>
      <c r="B79" s="789" t="s">
        <v>2565</v>
      </c>
      <c r="C79" s="790">
        <v>1</v>
      </c>
      <c r="D79" s="738"/>
      <c r="E79" s="791"/>
      <c r="F79" s="792">
        <v>8</v>
      </c>
      <c r="G79" s="739"/>
      <c r="H79" s="738"/>
      <c r="I79" s="739"/>
      <c r="J79" s="738"/>
      <c r="K79" s="739"/>
      <c r="L79" s="738"/>
      <c r="M79" s="790">
        <v>1</v>
      </c>
      <c r="N79" s="738"/>
      <c r="O79" s="739"/>
      <c r="P79" s="738"/>
      <c r="Q79" s="739"/>
      <c r="R79" s="738"/>
      <c r="S79" s="739"/>
      <c r="T79" s="738"/>
      <c r="U79" s="739"/>
      <c r="V79" s="738"/>
      <c r="W79" s="739"/>
      <c r="X79" s="738"/>
      <c r="Y79" s="739"/>
      <c r="Z79" s="738"/>
      <c r="AA79" s="793">
        <v>8</v>
      </c>
      <c r="AB79" s="724"/>
      <c r="AC79" s="724"/>
    </row>
    <row r="80" spans="1:29" ht="14.25">
      <c r="A80" s="788">
        <v>4.2</v>
      </c>
      <c r="B80" s="789" t="s">
        <v>2566</v>
      </c>
      <c r="C80" s="790">
        <v>1</v>
      </c>
      <c r="D80" s="738"/>
      <c r="E80" s="791"/>
      <c r="F80" s="792">
        <v>8</v>
      </c>
      <c r="G80" s="739"/>
      <c r="H80" s="738"/>
      <c r="I80" s="739"/>
      <c r="J80" s="738"/>
      <c r="K80" s="739"/>
      <c r="L80" s="738"/>
      <c r="M80" s="790">
        <v>1</v>
      </c>
      <c r="N80" s="738"/>
      <c r="O80" s="739"/>
      <c r="P80" s="738"/>
      <c r="Q80" s="739"/>
      <c r="R80" s="738"/>
      <c r="S80" s="739"/>
      <c r="T80" s="738"/>
      <c r="U80" s="739"/>
      <c r="V80" s="738"/>
      <c r="W80" s="739"/>
      <c r="X80" s="738"/>
      <c r="Y80" s="739"/>
      <c r="Z80" s="738"/>
      <c r="AA80" s="793">
        <v>8</v>
      </c>
      <c r="AB80" s="724"/>
      <c r="AC80" s="724"/>
    </row>
    <row r="81" spans="1:29" ht="14.25">
      <c r="A81" s="788">
        <v>4.3</v>
      </c>
      <c r="B81" s="789" t="s">
        <v>2567</v>
      </c>
      <c r="C81" s="790">
        <v>1</v>
      </c>
      <c r="D81" s="738"/>
      <c r="E81" s="791"/>
      <c r="F81" s="792">
        <v>8</v>
      </c>
      <c r="G81" s="739"/>
      <c r="H81" s="738"/>
      <c r="I81" s="739"/>
      <c r="J81" s="738"/>
      <c r="K81" s="739"/>
      <c r="L81" s="738"/>
      <c r="M81" s="790">
        <v>1</v>
      </c>
      <c r="N81" s="738"/>
      <c r="O81" s="739"/>
      <c r="P81" s="738"/>
      <c r="Q81" s="739"/>
      <c r="R81" s="738"/>
      <c r="S81" s="739"/>
      <c r="T81" s="738"/>
      <c r="U81" s="739"/>
      <c r="V81" s="738"/>
      <c r="W81" s="739"/>
      <c r="X81" s="738"/>
      <c r="Y81" s="739"/>
      <c r="Z81" s="738"/>
      <c r="AA81" s="793">
        <v>8</v>
      </c>
      <c r="AB81" s="724"/>
      <c r="AC81" s="724"/>
    </row>
    <row r="82" spans="1:29" ht="14.25">
      <c r="A82" s="788">
        <v>4.4000000000000004</v>
      </c>
      <c r="B82" s="789" t="s">
        <v>2568</v>
      </c>
      <c r="C82" s="790">
        <v>1</v>
      </c>
      <c r="D82" s="738"/>
      <c r="E82" s="791"/>
      <c r="F82" s="792">
        <v>8</v>
      </c>
      <c r="G82" s="739"/>
      <c r="H82" s="738"/>
      <c r="I82" s="739"/>
      <c r="J82" s="738"/>
      <c r="K82" s="739"/>
      <c r="L82" s="738"/>
      <c r="M82" s="790">
        <v>1</v>
      </c>
      <c r="N82" s="738"/>
      <c r="O82" s="739"/>
      <c r="P82" s="738"/>
      <c r="Q82" s="739"/>
      <c r="R82" s="738"/>
      <c r="S82" s="739"/>
      <c r="T82" s="738"/>
      <c r="U82" s="739"/>
      <c r="V82" s="738"/>
      <c r="W82" s="739"/>
      <c r="X82" s="738"/>
      <c r="Y82" s="739"/>
      <c r="Z82" s="738"/>
      <c r="AA82" s="793">
        <v>8</v>
      </c>
      <c r="AB82" s="724"/>
      <c r="AC82" s="724"/>
    </row>
    <row r="83" spans="1:29" ht="14.25">
      <c r="A83" s="788">
        <v>4.5</v>
      </c>
      <c r="B83" s="802" t="s">
        <v>2569</v>
      </c>
      <c r="C83" s="790">
        <v>1</v>
      </c>
      <c r="D83" s="738"/>
      <c r="E83" s="791"/>
      <c r="F83" s="792">
        <v>8</v>
      </c>
      <c r="G83" s="739"/>
      <c r="H83" s="738"/>
      <c r="I83" s="739"/>
      <c r="J83" s="738"/>
      <c r="K83" s="739"/>
      <c r="L83" s="738"/>
      <c r="M83" s="790">
        <v>1</v>
      </c>
      <c r="N83" s="738"/>
      <c r="O83" s="739"/>
      <c r="P83" s="738"/>
      <c r="Q83" s="739"/>
      <c r="R83" s="738"/>
      <c r="S83" s="739"/>
      <c r="T83" s="738"/>
      <c r="U83" s="739"/>
      <c r="V83" s="738"/>
      <c r="W83" s="739"/>
      <c r="X83" s="738"/>
      <c r="Y83" s="739"/>
      <c r="Z83" s="738"/>
      <c r="AA83" s="793">
        <v>8</v>
      </c>
      <c r="AB83" s="724"/>
      <c r="AC83" s="724"/>
    </row>
    <row r="84" spans="1:29" ht="28.5">
      <c r="A84" s="788">
        <v>4.5999999999999996</v>
      </c>
      <c r="B84" s="789" t="s">
        <v>2570</v>
      </c>
      <c r="C84" s="790">
        <v>1</v>
      </c>
      <c r="D84" s="738"/>
      <c r="E84" s="791"/>
      <c r="F84" s="792">
        <v>8</v>
      </c>
      <c r="G84" s="739"/>
      <c r="H84" s="738"/>
      <c r="I84" s="739"/>
      <c r="J84" s="738"/>
      <c r="K84" s="739"/>
      <c r="L84" s="738"/>
      <c r="M84" s="790">
        <v>1</v>
      </c>
      <c r="N84" s="738"/>
      <c r="O84" s="739"/>
      <c r="P84" s="738"/>
      <c r="Q84" s="739"/>
      <c r="R84" s="738"/>
      <c r="S84" s="739"/>
      <c r="T84" s="738"/>
      <c r="U84" s="739"/>
      <c r="V84" s="738"/>
      <c r="W84" s="739"/>
      <c r="X84" s="738"/>
      <c r="Y84" s="739"/>
      <c r="Z84" s="738"/>
      <c r="AA84" s="793">
        <v>12</v>
      </c>
      <c r="AB84" s="724"/>
      <c r="AC84" s="724"/>
    </row>
    <row r="85" spans="1:29" ht="28.5">
      <c r="A85" s="788">
        <v>4.7</v>
      </c>
      <c r="B85" s="789" t="s">
        <v>2571</v>
      </c>
      <c r="C85" s="790">
        <v>1</v>
      </c>
      <c r="D85" s="738"/>
      <c r="E85" s="791"/>
      <c r="F85" s="792">
        <v>8</v>
      </c>
      <c r="G85" s="739"/>
      <c r="H85" s="738"/>
      <c r="I85" s="739"/>
      <c r="J85" s="738"/>
      <c r="K85" s="739"/>
      <c r="L85" s="738"/>
      <c r="M85" s="790">
        <v>1</v>
      </c>
      <c r="N85" s="738"/>
      <c r="O85" s="739"/>
      <c r="P85" s="738"/>
      <c r="Q85" s="739"/>
      <c r="R85" s="738"/>
      <c r="S85" s="739"/>
      <c r="T85" s="738"/>
      <c r="U85" s="739"/>
      <c r="V85" s="738"/>
      <c r="W85" s="739"/>
      <c r="X85" s="738"/>
      <c r="Y85" s="739"/>
      <c r="Z85" s="738"/>
      <c r="AA85" s="793">
        <v>8</v>
      </c>
      <c r="AB85" s="724"/>
      <c r="AC85" s="724"/>
    </row>
    <row r="86" spans="1:29" ht="14.25">
      <c r="A86" s="760">
        <v>5</v>
      </c>
      <c r="B86" s="796" t="s">
        <v>2572</v>
      </c>
      <c r="C86" s="790"/>
      <c r="D86" s="738"/>
      <c r="E86" s="797"/>
      <c r="F86" s="798"/>
      <c r="G86" s="739"/>
      <c r="H86" s="738"/>
      <c r="I86" s="739"/>
      <c r="J86" s="738"/>
      <c r="K86" s="739"/>
      <c r="L86" s="738"/>
      <c r="M86" s="739"/>
      <c r="N86" s="738"/>
      <c r="O86" s="739"/>
      <c r="P86" s="738"/>
      <c r="Q86" s="739"/>
      <c r="R86" s="738"/>
      <c r="S86" s="739"/>
      <c r="T86" s="738"/>
      <c r="U86" s="739"/>
      <c r="V86" s="738"/>
      <c r="W86" s="739"/>
      <c r="X86" s="738"/>
      <c r="Y86" s="739"/>
      <c r="Z86" s="738"/>
      <c r="AA86" s="799"/>
      <c r="AB86" s="724"/>
      <c r="AC86" s="724"/>
    </row>
    <row r="87" spans="1:29" ht="28.5">
      <c r="A87" s="788">
        <v>5.0999999999999996</v>
      </c>
      <c r="B87" s="789" t="s">
        <v>2573</v>
      </c>
      <c r="C87" s="790">
        <v>1</v>
      </c>
      <c r="D87" s="738"/>
      <c r="E87" s="791"/>
      <c r="F87" s="792">
        <v>12</v>
      </c>
      <c r="G87" s="739"/>
      <c r="H87" s="738"/>
      <c r="I87" s="739"/>
      <c r="J87" s="738"/>
      <c r="K87" s="739"/>
      <c r="L87" s="738"/>
      <c r="M87" s="790">
        <v>1</v>
      </c>
      <c r="N87" s="738"/>
      <c r="O87" s="739"/>
      <c r="P87" s="738"/>
      <c r="Q87" s="739"/>
      <c r="R87" s="738"/>
      <c r="S87" s="739"/>
      <c r="T87" s="738"/>
      <c r="U87" s="739"/>
      <c r="V87" s="738"/>
      <c r="W87" s="739"/>
      <c r="X87" s="738"/>
      <c r="Y87" s="739"/>
      <c r="Z87" s="738"/>
      <c r="AA87" s="793">
        <v>10</v>
      </c>
      <c r="AB87" s="724"/>
      <c r="AC87" s="724"/>
    </row>
    <row r="88" spans="1:29" ht="14.25">
      <c r="A88" s="788">
        <v>5.2</v>
      </c>
      <c r="B88" s="789" t="s">
        <v>2574</v>
      </c>
      <c r="C88" s="790">
        <v>1</v>
      </c>
      <c r="D88" s="738"/>
      <c r="E88" s="791"/>
      <c r="F88" s="792">
        <v>12</v>
      </c>
      <c r="G88" s="739"/>
      <c r="H88" s="738"/>
      <c r="I88" s="739">
        <v>1</v>
      </c>
      <c r="J88" s="738"/>
      <c r="K88" s="739"/>
      <c r="L88" s="738"/>
      <c r="M88" s="790">
        <v>1</v>
      </c>
      <c r="N88" s="738"/>
      <c r="O88" s="739"/>
      <c r="P88" s="738"/>
      <c r="Q88" s="739"/>
      <c r="R88" s="738"/>
      <c r="S88" s="739"/>
      <c r="T88" s="738"/>
      <c r="U88" s="739"/>
      <c r="V88" s="738"/>
      <c r="W88" s="739"/>
      <c r="X88" s="738"/>
      <c r="Y88" s="739"/>
      <c r="Z88" s="738"/>
      <c r="AA88" s="793">
        <v>10</v>
      </c>
      <c r="AB88" s="724"/>
      <c r="AC88" s="724"/>
    </row>
    <row r="89" spans="1:29" ht="14.25">
      <c r="A89" s="788">
        <v>5.3</v>
      </c>
      <c r="B89" s="789" t="s">
        <v>2575</v>
      </c>
      <c r="C89" s="790">
        <v>1</v>
      </c>
      <c r="D89" s="738"/>
      <c r="E89" s="791"/>
      <c r="F89" s="792">
        <v>12</v>
      </c>
      <c r="G89" s="739"/>
      <c r="H89" s="738"/>
      <c r="I89" s="739"/>
      <c r="J89" s="738"/>
      <c r="K89" s="739"/>
      <c r="L89" s="738"/>
      <c r="M89" s="790">
        <v>1</v>
      </c>
      <c r="N89" s="738"/>
      <c r="O89" s="739"/>
      <c r="P89" s="738"/>
      <c r="Q89" s="739"/>
      <c r="R89" s="738"/>
      <c r="S89" s="739"/>
      <c r="T89" s="738"/>
      <c r="U89" s="739"/>
      <c r="V89" s="738"/>
      <c r="W89" s="739"/>
      <c r="X89" s="738"/>
      <c r="Y89" s="739"/>
      <c r="Z89" s="738"/>
      <c r="AA89" s="793">
        <v>20</v>
      </c>
      <c r="AB89" s="724"/>
      <c r="AC89" s="724"/>
    </row>
    <row r="90" spans="1:29" ht="14.25">
      <c r="A90" s="788">
        <v>5.4</v>
      </c>
      <c r="B90" s="789" t="s">
        <v>2576</v>
      </c>
      <c r="C90" s="790">
        <v>1</v>
      </c>
      <c r="D90" s="738"/>
      <c r="E90" s="791"/>
      <c r="F90" s="792">
        <v>12</v>
      </c>
      <c r="G90" s="739"/>
      <c r="H90" s="738"/>
      <c r="I90" s="739"/>
      <c r="J90" s="738"/>
      <c r="K90" s="739"/>
      <c r="L90" s="738"/>
      <c r="M90" s="790">
        <v>1</v>
      </c>
      <c r="N90" s="738"/>
      <c r="O90" s="739"/>
      <c r="P90" s="738"/>
      <c r="Q90" s="739"/>
      <c r="R90" s="738"/>
      <c r="S90" s="739"/>
      <c r="T90" s="738"/>
      <c r="U90" s="739"/>
      <c r="V90" s="738"/>
      <c r="W90" s="739"/>
      <c r="X90" s="738"/>
      <c r="Y90" s="739"/>
      <c r="Z90" s="738"/>
      <c r="AA90" s="793">
        <v>15</v>
      </c>
      <c r="AB90" s="724"/>
      <c r="AC90" s="724"/>
    </row>
    <row r="91" spans="1:29" ht="14.25">
      <c r="A91" s="788">
        <v>5.5</v>
      </c>
      <c r="B91" s="789" t="s">
        <v>2577</v>
      </c>
      <c r="C91" s="790">
        <v>1</v>
      </c>
      <c r="D91" s="738"/>
      <c r="E91" s="791"/>
      <c r="F91" s="792">
        <v>12</v>
      </c>
      <c r="G91" s="739"/>
      <c r="H91" s="738"/>
      <c r="I91" s="739">
        <v>1</v>
      </c>
      <c r="J91" s="738"/>
      <c r="K91" s="739"/>
      <c r="L91" s="738"/>
      <c r="M91" s="790">
        <v>1</v>
      </c>
      <c r="N91" s="738"/>
      <c r="O91" s="739"/>
      <c r="P91" s="738"/>
      <c r="Q91" s="739"/>
      <c r="R91" s="738"/>
      <c r="S91" s="739"/>
      <c r="T91" s="738"/>
      <c r="U91" s="739"/>
      <c r="V91" s="738"/>
      <c r="W91" s="739"/>
      <c r="X91" s="738"/>
      <c r="Y91" s="739"/>
      <c r="Z91" s="738"/>
      <c r="AA91" s="793">
        <v>20</v>
      </c>
      <c r="AB91" s="724"/>
      <c r="AC91" s="724"/>
    </row>
    <row r="92" spans="1:29" ht="14.25">
      <c r="A92" s="788">
        <v>5.6</v>
      </c>
      <c r="B92" s="789" t="s">
        <v>2578</v>
      </c>
      <c r="C92" s="790">
        <v>1</v>
      </c>
      <c r="D92" s="738"/>
      <c r="E92" s="791"/>
      <c r="F92" s="792">
        <v>8</v>
      </c>
      <c r="G92" s="739"/>
      <c r="H92" s="738"/>
      <c r="I92" s="739"/>
      <c r="J92" s="738"/>
      <c r="K92" s="739"/>
      <c r="L92" s="738"/>
      <c r="M92" s="790">
        <v>1</v>
      </c>
      <c r="N92" s="738"/>
      <c r="O92" s="739"/>
      <c r="P92" s="738"/>
      <c r="Q92" s="739"/>
      <c r="R92" s="738"/>
      <c r="S92" s="739"/>
      <c r="T92" s="738"/>
      <c r="U92" s="739"/>
      <c r="V92" s="738"/>
      <c r="W92" s="739"/>
      <c r="X92" s="738"/>
      <c r="Y92" s="739"/>
      <c r="Z92" s="738"/>
      <c r="AA92" s="793">
        <v>10</v>
      </c>
      <c r="AB92" s="724"/>
      <c r="AC92" s="724"/>
    </row>
    <row r="93" spans="1:29" ht="14.25">
      <c r="A93" s="788">
        <v>5.7</v>
      </c>
      <c r="B93" s="789" t="s">
        <v>2579</v>
      </c>
      <c r="C93" s="790">
        <v>1</v>
      </c>
      <c r="D93" s="738"/>
      <c r="E93" s="791"/>
      <c r="F93" s="792">
        <v>15</v>
      </c>
      <c r="G93" s="739"/>
      <c r="H93" s="738"/>
      <c r="I93" s="739">
        <v>3</v>
      </c>
      <c r="J93" s="738">
        <v>1</v>
      </c>
      <c r="K93" s="739"/>
      <c r="L93" s="738"/>
      <c r="M93" s="790">
        <v>1</v>
      </c>
      <c r="N93" s="738"/>
      <c r="O93" s="739"/>
      <c r="P93" s="738"/>
      <c r="Q93" s="739"/>
      <c r="R93" s="738"/>
      <c r="S93" s="739"/>
      <c r="T93" s="738"/>
      <c r="U93" s="739"/>
      <c r="V93" s="738"/>
      <c r="W93" s="739"/>
      <c r="X93" s="738"/>
      <c r="Y93" s="739"/>
      <c r="Z93" s="738"/>
      <c r="AA93" s="793">
        <v>20</v>
      </c>
      <c r="AB93" s="724"/>
      <c r="AC93" s="724"/>
    </row>
    <row r="94" spans="1:29" ht="28.5">
      <c r="A94" s="788">
        <v>5.8</v>
      </c>
      <c r="B94" s="789" t="s">
        <v>2580</v>
      </c>
      <c r="C94" s="790">
        <v>1</v>
      </c>
      <c r="D94" s="738"/>
      <c r="E94" s="791"/>
      <c r="F94" s="792">
        <v>12</v>
      </c>
      <c r="G94" s="739"/>
      <c r="H94" s="738"/>
      <c r="I94" s="739"/>
      <c r="J94" s="738"/>
      <c r="K94" s="739"/>
      <c r="L94" s="738"/>
      <c r="M94" s="790">
        <v>1</v>
      </c>
      <c r="N94" s="738"/>
      <c r="O94" s="739"/>
      <c r="P94" s="738"/>
      <c r="Q94" s="739"/>
      <c r="R94" s="738"/>
      <c r="S94" s="739"/>
      <c r="T94" s="738"/>
      <c r="U94" s="739"/>
      <c r="V94" s="738"/>
      <c r="W94" s="739"/>
      <c r="X94" s="738"/>
      <c r="Y94" s="739"/>
      <c r="Z94" s="738"/>
      <c r="AA94" s="793">
        <v>10</v>
      </c>
      <c r="AB94" s="724"/>
      <c r="AC94" s="724"/>
    </row>
    <row r="95" spans="1:29" ht="14.25">
      <c r="A95" s="760">
        <v>6</v>
      </c>
      <c r="B95" s="796" t="s">
        <v>2581</v>
      </c>
      <c r="C95" s="790"/>
      <c r="D95" s="738"/>
      <c r="E95" s="797"/>
      <c r="F95" s="798"/>
      <c r="G95" s="739"/>
      <c r="H95" s="738"/>
      <c r="I95" s="739"/>
      <c r="J95" s="738"/>
      <c r="K95" s="739"/>
      <c r="L95" s="738"/>
      <c r="M95" s="739"/>
      <c r="N95" s="738"/>
      <c r="O95" s="739"/>
      <c r="P95" s="738"/>
      <c r="Q95" s="739"/>
      <c r="R95" s="738"/>
      <c r="S95" s="739"/>
      <c r="T95" s="738"/>
      <c r="U95" s="739"/>
      <c r="V95" s="738"/>
      <c r="W95" s="739"/>
      <c r="X95" s="738"/>
      <c r="Y95" s="739"/>
      <c r="Z95" s="738"/>
      <c r="AA95" s="799"/>
      <c r="AB95" s="724"/>
      <c r="AC95" s="724"/>
    </row>
    <row r="96" spans="1:29" ht="14.25">
      <c r="A96" s="788">
        <v>6.1</v>
      </c>
      <c r="B96" s="789" t="s">
        <v>2582</v>
      </c>
      <c r="C96" s="790"/>
      <c r="D96" s="738"/>
      <c r="E96" s="791">
        <v>10</v>
      </c>
      <c r="F96" s="792">
        <v>5</v>
      </c>
      <c r="G96" s="739"/>
      <c r="H96" s="738"/>
      <c r="I96" s="739"/>
      <c r="J96" s="738"/>
      <c r="K96" s="739"/>
      <c r="L96" s="738"/>
      <c r="M96" s="739"/>
      <c r="N96" s="738"/>
      <c r="O96" s="739"/>
      <c r="P96" s="738"/>
      <c r="Q96" s="739"/>
      <c r="R96" s="738"/>
      <c r="S96" s="739"/>
      <c r="T96" s="738"/>
      <c r="U96" s="739"/>
      <c r="V96" s="738"/>
      <c r="W96" s="739"/>
      <c r="X96" s="738"/>
      <c r="Y96" s="739"/>
      <c r="Z96" s="738"/>
      <c r="AA96" s="793"/>
      <c r="AB96" s="724"/>
      <c r="AC96" s="724"/>
    </row>
    <row r="97" spans="1:29" ht="14.25">
      <c r="A97" s="788">
        <v>6.2</v>
      </c>
      <c r="B97" s="789" t="s">
        <v>2583</v>
      </c>
      <c r="C97" s="790"/>
      <c r="D97" s="738"/>
      <c r="E97" s="791">
        <v>10</v>
      </c>
      <c r="F97" s="792">
        <v>5</v>
      </c>
      <c r="G97" s="739"/>
      <c r="H97" s="738"/>
      <c r="I97" s="739"/>
      <c r="J97" s="738"/>
      <c r="K97" s="739"/>
      <c r="L97" s="738"/>
      <c r="M97" s="739"/>
      <c r="N97" s="738"/>
      <c r="O97" s="739"/>
      <c r="P97" s="738"/>
      <c r="Q97" s="739"/>
      <c r="R97" s="738"/>
      <c r="S97" s="739"/>
      <c r="T97" s="738"/>
      <c r="U97" s="739"/>
      <c r="V97" s="738"/>
      <c r="W97" s="739"/>
      <c r="X97" s="738"/>
      <c r="Y97" s="739"/>
      <c r="Z97" s="738"/>
      <c r="AA97" s="793"/>
      <c r="AB97" s="724"/>
      <c r="AC97" s="724"/>
    </row>
    <row r="98" spans="1:29" ht="14.25">
      <c r="A98" s="788">
        <v>6.3</v>
      </c>
      <c r="B98" s="789" t="s">
        <v>2584</v>
      </c>
      <c r="C98" s="790"/>
      <c r="D98" s="738"/>
      <c r="E98" s="791">
        <v>10</v>
      </c>
      <c r="F98" s="792">
        <v>5</v>
      </c>
      <c r="G98" s="739"/>
      <c r="H98" s="738"/>
      <c r="I98" s="739"/>
      <c r="J98" s="738"/>
      <c r="K98" s="739"/>
      <c r="L98" s="738"/>
      <c r="M98" s="739"/>
      <c r="N98" s="738"/>
      <c r="O98" s="739"/>
      <c r="P98" s="738"/>
      <c r="Q98" s="739"/>
      <c r="R98" s="738"/>
      <c r="S98" s="739"/>
      <c r="T98" s="738"/>
      <c r="U98" s="739"/>
      <c r="V98" s="738"/>
      <c r="W98" s="739"/>
      <c r="X98" s="738"/>
      <c r="Y98" s="739"/>
      <c r="Z98" s="738"/>
      <c r="AA98" s="793"/>
      <c r="AB98" s="724"/>
      <c r="AC98" s="724"/>
    </row>
    <row r="99" spans="1:29" ht="14.25">
      <c r="A99" s="788">
        <v>6.4</v>
      </c>
      <c r="B99" s="789" t="s">
        <v>2585</v>
      </c>
      <c r="C99" s="790"/>
      <c r="D99" s="738"/>
      <c r="E99" s="791">
        <v>10</v>
      </c>
      <c r="F99" s="792">
        <v>5</v>
      </c>
      <c r="G99" s="739"/>
      <c r="H99" s="738"/>
      <c r="I99" s="739"/>
      <c r="J99" s="738"/>
      <c r="K99" s="739"/>
      <c r="L99" s="738"/>
      <c r="M99" s="739"/>
      <c r="N99" s="738"/>
      <c r="O99" s="739"/>
      <c r="P99" s="738"/>
      <c r="Q99" s="739"/>
      <c r="R99" s="738"/>
      <c r="S99" s="739"/>
      <c r="T99" s="738"/>
      <c r="U99" s="739"/>
      <c r="V99" s="738"/>
      <c r="W99" s="739"/>
      <c r="X99" s="738"/>
      <c r="Y99" s="739"/>
      <c r="Z99" s="738"/>
      <c r="AA99" s="793"/>
      <c r="AB99" s="724"/>
      <c r="AC99" s="724"/>
    </row>
    <row r="100" spans="1:29" ht="14.25">
      <c r="A100" s="788">
        <v>6.5</v>
      </c>
      <c r="B100" s="789" t="s">
        <v>2586</v>
      </c>
      <c r="C100" s="790"/>
      <c r="D100" s="738"/>
      <c r="E100" s="791">
        <v>10</v>
      </c>
      <c r="F100" s="792">
        <v>5</v>
      </c>
      <c r="G100" s="739"/>
      <c r="H100" s="738"/>
      <c r="I100" s="739"/>
      <c r="J100" s="738"/>
      <c r="K100" s="739"/>
      <c r="L100" s="738"/>
      <c r="M100" s="739"/>
      <c r="N100" s="738"/>
      <c r="O100" s="739"/>
      <c r="P100" s="738"/>
      <c r="Q100" s="739"/>
      <c r="R100" s="738"/>
      <c r="S100" s="739"/>
      <c r="T100" s="738"/>
      <c r="U100" s="739"/>
      <c r="V100" s="738"/>
      <c r="W100" s="739"/>
      <c r="X100" s="738"/>
      <c r="Y100" s="739"/>
      <c r="Z100" s="738"/>
      <c r="AA100" s="793"/>
      <c r="AB100" s="724"/>
      <c r="AC100" s="724"/>
    </row>
    <row r="101" spans="1:29" ht="14.25">
      <c r="A101" s="788">
        <v>6.6</v>
      </c>
      <c r="B101" s="789" t="s">
        <v>2587</v>
      </c>
      <c r="C101" s="790"/>
      <c r="D101" s="738"/>
      <c r="E101" s="791">
        <v>10</v>
      </c>
      <c r="F101" s="792">
        <v>5</v>
      </c>
      <c r="G101" s="739"/>
      <c r="H101" s="738"/>
      <c r="I101" s="739"/>
      <c r="J101" s="738"/>
      <c r="K101" s="739"/>
      <c r="L101" s="738"/>
      <c r="M101" s="739"/>
      <c r="N101" s="738"/>
      <c r="O101" s="739"/>
      <c r="P101" s="738"/>
      <c r="Q101" s="739"/>
      <c r="R101" s="738"/>
      <c r="S101" s="739"/>
      <c r="T101" s="738"/>
      <c r="U101" s="739"/>
      <c r="V101" s="738"/>
      <c r="W101" s="739"/>
      <c r="X101" s="738"/>
      <c r="Y101" s="739"/>
      <c r="Z101" s="738"/>
      <c r="AA101" s="793"/>
      <c r="AB101" s="724"/>
      <c r="AC101" s="724"/>
    </row>
    <row r="102" spans="1:29" ht="14.25">
      <c r="A102" s="788">
        <v>6.7</v>
      </c>
      <c r="B102" s="789" t="s">
        <v>2588</v>
      </c>
      <c r="C102" s="790"/>
      <c r="D102" s="738"/>
      <c r="E102" s="791">
        <v>10</v>
      </c>
      <c r="F102" s="792">
        <v>5</v>
      </c>
      <c r="G102" s="739"/>
      <c r="H102" s="738"/>
      <c r="I102" s="739"/>
      <c r="J102" s="738"/>
      <c r="K102" s="739"/>
      <c r="L102" s="738"/>
      <c r="M102" s="739"/>
      <c r="N102" s="738"/>
      <c r="O102" s="739"/>
      <c r="P102" s="738"/>
      <c r="Q102" s="739"/>
      <c r="R102" s="738"/>
      <c r="S102" s="739"/>
      <c r="T102" s="738"/>
      <c r="U102" s="739"/>
      <c r="V102" s="738"/>
      <c r="W102" s="739"/>
      <c r="X102" s="738"/>
      <c r="Y102" s="739"/>
      <c r="Z102" s="738"/>
      <c r="AA102" s="793"/>
      <c r="AB102" s="724"/>
      <c r="AC102" s="724"/>
    </row>
    <row r="103" spans="1:29" ht="14.25">
      <c r="A103" s="788">
        <v>6.8</v>
      </c>
      <c r="B103" s="789" t="s">
        <v>2589</v>
      </c>
      <c r="C103" s="790"/>
      <c r="D103" s="738"/>
      <c r="E103" s="791">
        <v>10</v>
      </c>
      <c r="F103" s="792">
        <v>5</v>
      </c>
      <c r="G103" s="739"/>
      <c r="H103" s="738"/>
      <c r="I103" s="739"/>
      <c r="J103" s="738"/>
      <c r="K103" s="739"/>
      <c r="L103" s="738"/>
      <c r="M103" s="739"/>
      <c r="N103" s="738"/>
      <c r="O103" s="739"/>
      <c r="P103" s="738"/>
      <c r="Q103" s="739"/>
      <c r="R103" s="738"/>
      <c r="S103" s="739"/>
      <c r="T103" s="738"/>
      <c r="U103" s="739"/>
      <c r="V103" s="738"/>
      <c r="W103" s="739"/>
      <c r="X103" s="738"/>
      <c r="Y103" s="739"/>
      <c r="Z103" s="738"/>
      <c r="AA103" s="793"/>
      <c r="AB103" s="724"/>
      <c r="AC103" s="724"/>
    </row>
    <row r="104" spans="1:29" ht="14.25">
      <c r="A104" s="788">
        <v>6.9</v>
      </c>
      <c r="B104" s="789" t="s">
        <v>2590</v>
      </c>
      <c r="C104" s="790"/>
      <c r="D104" s="738"/>
      <c r="E104" s="791">
        <v>10</v>
      </c>
      <c r="F104" s="792">
        <v>5</v>
      </c>
      <c r="G104" s="739"/>
      <c r="H104" s="738"/>
      <c r="I104" s="739"/>
      <c r="J104" s="738"/>
      <c r="K104" s="739"/>
      <c r="L104" s="738"/>
      <c r="M104" s="739"/>
      <c r="N104" s="738"/>
      <c r="O104" s="739"/>
      <c r="P104" s="738"/>
      <c r="Q104" s="739"/>
      <c r="R104" s="738"/>
      <c r="S104" s="739"/>
      <c r="T104" s="738"/>
      <c r="U104" s="739"/>
      <c r="V104" s="738"/>
      <c r="W104" s="739"/>
      <c r="X104" s="738"/>
      <c r="Y104" s="739"/>
      <c r="Z104" s="738"/>
      <c r="AA104" s="793"/>
      <c r="AB104" s="724"/>
      <c r="AC104" s="724"/>
    </row>
    <row r="105" spans="1:29" ht="14.25">
      <c r="A105" s="788" t="s">
        <v>2591</v>
      </c>
      <c r="B105" s="789" t="s">
        <v>2592</v>
      </c>
      <c r="C105" s="790"/>
      <c r="D105" s="738"/>
      <c r="E105" s="791">
        <v>10</v>
      </c>
      <c r="F105" s="792">
        <v>5</v>
      </c>
      <c r="G105" s="739"/>
      <c r="H105" s="738"/>
      <c r="I105" s="739"/>
      <c r="J105" s="738"/>
      <c r="K105" s="739"/>
      <c r="L105" s="738"/>
      <c r="M105" s="739"/>
      <c r="N105" s="738"/>
      <c r="O105" s="739"/>
      <c r="P105" s="738"/>
      <c r="Q105" s="739"/>
      <c r="R105" s="738"/>
      <c r="S105" s="739"/>
      <c r="T105" s="738"/>
      <c r="U105" s="739"/>
      <c r="V105" s="738"/>
      <c r="W105" s="739"/>
      <c r="X105" s="738"/>
      <c r="Y105" s="739"/>
      <c r="Z105" s="738"/>
      <c r="AA105" s="793"/>
      <c r="AB105" s="724"/>
      <c r="AC105" s="724"/>
    </row>
    <row r="106" spans="1:29" ht="14.25">
      <c r="A106" s="788">
        <v>6.11</v>
      </c>
      <c r="B106" s="789" t="s">
        <v>2593</v>
      </c>
      <c r="C106" s="790"/>
      <c r="D106" s="738"/>
      <c r="E106" s="791">
        <v>10</v>
      </c>
      <c r="F106" s="792">
        <v>5</v>
      </c>
      <c r="G106" s="739"/>
      <c r="H106" s="738"/>
      <c r="I106" s="739"/>
      <c r="J106" s="738"/>
      <c r="K106" s="739"/>
      <c r="L106" s="738"/>
      <c r="M106" s="739"/>
      <c r="N106" s="738"/>
      <c r="O106" s="739"/>
      <c r="P106" s="738"/>
      <c r="Q106" s="739"/>
      <c r="R106" s="738"/>
      <c r="S106" s="739"/>
      <c r="T106" s="738"/>
      <c r="U106" s="739"/>
      <c r="V106" s="738"/>
      <c r="W106" s="739"/>
      <c r="X106" s="738"/>
      <c r="Y106" s="739"/>
      <c r="Z106" s="738"/>
      <c r="AA106" s="793"/>
      <c r="AB106" s="724"/>
      <c r="AC106" s="724"/>
    </row>
    <row r="107" spans="1:29" ht="14.25">
      <c r="A107" s="788">
        <v>6.12</v>
      </c>
      <c r="B107" s="789" t="s">
        <v>2594</v>
      </c>
      <c r="C107" s="790"/>
      <c r="D107" s="738"/>
      <c r="E107" s="791">
        <v>10</v>
      </c>
      <c r="F107" s="792">
        <v>5</v>
      </c>
      <c r="G107" s="739"/>
      <c r="H107" s="738"/>
      <c r="I107" s="739"/>
      <c r="J107" s="738"/>
      <c r="K107" s="739"/>
      <c r="L107" s="738"/>
      <c r="M107" s="739"/>
      <c r="N107" s="738"/>
      <c r="O107" s="739"/>
      <c r="P107" s="738"/>
      <c r="Q107" s="739"/>
      <c r="R107" s="738"/>
      <c r="S107" s="739"/>
      <c r="T107" s="738"/>
      <c r="U107" s="739"/>
      <c r="V107" s="738"/>
      <c r="W107" s="739"/>
      <c r="X107" s="738"/>
      <c r="Y107" s="739"/>
      <c r="Z107" s="738"/>
      <c r="AA107" s="793"/>
      <c r="AB107" s="724"/>
      <c r="AC107" s="724"/>
    </row>
    <row r="108" spans="1:29" ht="14.25">
      <c r="A108" s="788">
        <v>6.13</v>
      </c>
      <c r="B108" s="789" t="s">
        <v>2595</v>
      </c>
      <c r="C108" s="790"/>
      <c r="D108" s="738"/>
      <c r="E108" s="791">
        <v>10</v>
      </c>
      <c r="F108" s="792">
        <v>5</v>
      </c>
      <c r="G108" s="739"/>
      <c r="H108" s="738"/>
      <c r="I108" s="739"/>
      <c r="J108" s="738"/>
      <c r="K108" s="739"/>
      <c r="L108" s="738"/>
      <c r="M108" s="739"/>
      <c r="N108" s="738"/>
      <c r="O108" s="739"/>
      <c r="P108" s="738"/>
      <c r="Q108" s="739"/>
      <c r="R108" s="738"/>
      <c r="S108" s="739"/>
      <c r="T108" s="738"/>
      <c r="U108" s="739"/>
      <c r="V108" s="738"/>
      <c r="W108" s="739"/>
      <c r="X108" s="738"/>
      <c r="Y108" s="739"/>
      <c r="Z108" s="738"/>
      <c r="AA108" s="793"/>
      <c r="AB108" s="724"/>
      <c r="AC108" s="724"/>
    </row>
    <row r="109" spans="1:29" ht="14.25">
      <c r="A109" s="788">
        <v>6.14</v>
      </c>
      <c r="B109" s="789" t="s">
        <v>2596</v>
      </c>
      <c r="C109" s="790"/>
      <c r="D109" s="738"/>
      <c r="E109" s="791">
        <v>10</v>
      </c>
      <c r="F109" s="792">
        <v>5</v>
      </c>
      <c r="G109" s="739"/>
      <c r="H109" s="738"/>
      <c r="I109" s="739"/>
      <c r="J109" s="738"/>
      <c r="K109" s="739"/>
      <c r="L109" s="738"/>
      <c r="M109" s="739"/>
      <c r="N109" s="738"/>
      <c r="O109" s="739"/>
      <c r="P109" s="738"/>
      <c r="Q109" s="739"/>
      <c r="R109" s="738"/>
      <c r="S109" s="739"/>
      <c r="T109" s="738"/>
      <c r="U109" s="739"/>
      <c r="V109" s="738"/>
      <c r="W109" s="739"/>
      <c r="X109" s="738"/>
      <c r="Y109" s="739"/>
      <c r="Z109" s="738"/>
      <c r="AA109" s="793"/>
      <c r="AB109" s="724"/>
      <c r="AC109" s="724"/>
    </row>
    <row r="110" spans="1:29" ht="14.25">
      <c r="A110" s="788">
        <v>6.15</v>
      </c>
      <c r="B110" s="789" t="s">
        <v>2597</v>
      </c>
      <c r="C110" s="790">
        <v>25</v>
      </c>
      <c r="D110" s="738">
        <v>5</v>
      </c>
      <c r="E110" s="791">
        <v>70</v>
      </c>
      <c r="F110" s="792">
        <v>12</v>
      </c>
      <c r="G110" s="739"/>
      <c r="H110" s="738"/>
      <c r="I110" s="739"/>
      <c r="J110" s="738"/>
      <c r="K110" s="739"/>
      <c r="L110" s="738"/>
      <c r="M110" s="739"/>
      <c r="N110" s="738"/>
      <c r="O110" s="739">
        <v>5</v>
      </c>
      <c r="P110" s="738">
        <v>1</v>
      </c>
      <c r="Q110" s="739"/>
      <c r="R110" s="738"/>
      <c r="S110" s="739"/>
      <c r="T110" s="738"/>
      <c r="U110" s="739"/>
      <c r="V110" s="738"/>
      <c r="W110" s="739"/>
      <c r="X110" s="738"/>
      <c r="Y110" s="739"/>
      <c r="Z110" s="738"/>
      <c r="AA110" s="793"/>
      <c r="AB110" s="724"/>
      <c r="AC110" s="724"/>
    </row>
    <row r="111" spans="1:29" ht="14.25">
      <c r="A111" s="788">
        <v>6.16</v>
      </c>
      <c r="B111" s="789" t="s">
        <v>2598</v>
      </c>
      <c r="C111" s="790">
        <v>20</v>
      </c>
      <c r="D111" s="738">
        <v>4</v>
      </c>
      <c r="E111" s="791">
        <v>50</v>
      </c>
      <c r="F111" s="792">
        <v>8</v>
      </c>
      <c r="G111" s="739"/>
      <c r="H111" s="738"/>
      <c r="I111" s="739"/>
      <c r="J111" s="738"/>
      <c r="K111" s="739"/>
      <c r="L111" s="738"/>
      <c r="M111" s="739"/>
      <c r="N111" s="738"/>
      <c r="O111" s="739">
        <v>5</v>
      </c>
      <c r="P111" s="738">
        <v>1</v>
      </c>
      <c r="Q111" s="739"/>
      <c r="R111" s="738"/>
      <c r="S111" s="739"/>
      <c r="T111" s="738"/>
      <c r="U111" s="739"/>
      <c r="V111" s="738"/>
      <c r="W111" s="739"/>
      <c r="X111" s="738"/>
      <c r="Y111" s="739"/>
      <c r="Z111" s="738"/>
      <c r="AA111" s="793"/>
      <c r="AB111" s="724"/>
      <c r="AC111" s="724"/>
    </row>
    <row r="112" spans="1:29" ht="14.25">
      <c r="A112" s="788">
        <v>6.17</v>
      </c>
      <c r="B112" s="789" t="s">
        <v>2599</v>
      </c>
      <c r="C112" s="790">
        <v>5</v>
      </c>
      <c r="D112" s="738">
        <v>1</v>
      </c>
      <c r="E112" s="791">
        <v>20</v>
      </c>
      <c r="F112" s="792">
        <v>4</v>
      </c>
      <c r="G112" s="739"/>
      <c r="H112" s="738"/>
      <c r="I112" s="739"/>
      <c r="J112" s="738"/>
      <c r="K112" s="739"/>
      <c r="L112" s="738"/>
      <c r="M112" s="739"/>
      <c r="N112" s="738"/>
      <c r="O112" s="739">
        <v>3</v>
      </c>
      <c r="P112" s="738">
        <v>1</v>
      </c>
      <c r="Q112" s="739"/>
      <c r="R112" s="738"/>
      <c r="S112" s="739"/>
      <c r="T112" s="738"/>
      <c r="U112" s="739"/>
      <c r="V112" s="738"/>
      <c r="W112" s="739"/>
      <c r="X112" s="738"/>
      <c r="Y112" s="739"/>
      <c r="Z112" s="738"/>
      <c r="AA112" s="793"/>
      <c r="AB112" s="724"/>
      <c r="AC112" s="724"/>
    </row>
    <row r="113" spans="1:29" ht="14.25">
      <c r="A113" s="788">
        <v>6.18</v>
      </c>
      <c r="B113" s="789" t="s">
        <v>2600</v>
      </c>
      <c r="C113" s="790">
        <v>25</v>
      </c>
      <c r="D113" s="738">
        <v>5</v>
      </c>
      <c r="E113" s="791">
        <v>70</v>
      </c>
      <c r="F113" s="792">
        <v>12</v>
      </c>
      <c r="G113" s="739"/>
      <c r="H113" s="738"/>
      <c r="I113" s="739"/>
      <c r="J113" s="738"/>
      <c r="K113" s="739"/>
      <c r="L113" s="738"/>
      <c r="M113" s="739">
        <v>10</v>
      </c>
      <c r="N113" s="738">
        <v>5</v>
      </c>
      <c r="O113" s="739">
        <v>8</v>
      </c>
      <c r="P113" s="738">
        <v>2</v>
      </c>
      <c r="Q113" s="739"/>
      <c r="R113" s="738"/>
      <c r="S113" s="739"/>
      <c r="T113" s="738"/>
      <c r="U113" s="739"/>
      <c r="V113" s="738"/>
      <c r="W113" s="739"/>
      <c r="X113" s="738"/>
      <c r="Y113" s="739"/>
      <c r="Z113" s="738"/>
      <c r="AA113" s="793"/>
      <c r="AB113" s="724"/>
      <c r="AC113" s="724"/>
    </row>
    <row r="114" spans="1:29" ht="14.25">
      <c r="A114" s="788">
        <v>6.19</v>
      </c>
      <c r="B114" s="789" t="s">
        <v>2601</v>
      </c>
      <c r="C114" s="790">
        <v>25</v>
      </c>
      <c r="D114" s="738">
        <v>5</v>
      </c>
      <c r="E114" s="791">
        <v>70</v>
      </c>
      <c r="F114" s="792">
        <v>12</v>
      </c>
      <c r="G114" s="739"/>
      <c r="H114" s="738"/>
      <c r="I114" s="739"/>
      <c r="J114" s="738"/>
      <c r="K114" s="739"/>
      <c r="L114" s="738"/>
      <c r="M114" s="739">
        <v>8</v>
      </c>
      <c r="N114" s="738">
        <v>5</v>
      </c>
      <c r="O114" s="739">
        <v>2</v>
      </c>
      <c r="P114" s="738">
        <v>1</v>
      </c>
      <c r="Q114" s="739"/>
      <c r="R114" s="738"/>
      <c r="S114" s="739"/>
      <c r="T114" s="738"/>
      <c r="U114" s="739"/>
      <c r="V114" s="738"/>
      <c r="W114" s="739"/>
      <c r="X114" s="738"/>
      <c r="Y114" s="739"/>
      <c r="Z114" s="738"/>
      <c r="AA114" s="793"/>
      <c r="AB114" s="724"/>
      <c r="AC114" s="724"/>
    </row>
    <row r="115" spans="1:29" ht="14.25">
      <c r="A115" s="795" t="s">
        <v>684</v>
      </c>
      <c r="B115" s="789" t="s">
        <v>2602</v>
      </c>
      <c r="C115" s="790">
        <v>15</v>
      </c>
      <c r="D115" s="738">
        <v>5</v>
      </c>
      <c r="E115" s="791">
        <v>40</v>
      </c>
      <c r="F115" s="792">
        <v>6</v>
      </c>
      <c r="G115" s="739"/>
      <c r="H115" s="738"/>
      <c r="I115" s="739"/>
      <c r="J115" s="738"/>
      <c r="K115" s="739"/>
      <c r="L115" s="738"/>
      <c r="M115" s="739">
        <v>8</v>
      </c>
      <c r="N115" s="738">
        <v>5</v>
      </c>
      <c r="O115" s="739">
        <v>5</v>
      </c>
      <c r="P115" s="738">
        <v>1</v>
      </c>
      <c r="Q115" s="739"/>
      <c r="R115" s="738"/>
      <c r="S115" s="739"/>
      <c r="T115" s="738"/>
      <c r="U115" s="739"/>
      <c r="V115" s="738"/>
      <c r="W115" s="739"/>
      <c r="X115" s="738"/>
      <c r="Y115" s="739"/>
      <c r="Z115" s="738"/>
      <c r="AA115" s="793"/>
      <c r="AB115" s="724"/>
      <c r="AC115" s="724"/>
    </row>
    <row r="116" spans="1:29" ht="14.25">
      <c r="A116" s="788">
        <v>6.21</v>
      </c>
      <c r="B116" s="789" t="s">
        <v>2603</v>
      </c>
      <c r="C116" s="790">
        <v>8</v>
      </c>
      <c r="D116" s="738">
        <v>2</v>
      </c>
      <c r="E116" s="791">
        <v>50</v>
      </c>
      <c r="F116" s="792">
        <v>8</v>
      </c>
      <c r="G116" s="739"/>
      <c r="H116" s="738"/>
      <c r="I116" s="739"/>
      <c r="J116" s="738"/>
      <c r="K116" s="739"/>
      <c r="L116" s="738"/>
      <c r="M116" s="739">
        <v>3</v>
      </c>
      <c r="N116" s="738">
        <v>1</v>
      </c>
      <c r="O116" s="739"/>
      <c r="P116" s="738"/>
      <c r="Q116" s="739"/>
      <c r="R116" s="738"/>
      <c r="S116" s="739"/>
      <c r="T116" s="738"/>
      <c r="U116" s="739"/>
      <c r="V116" s="738"/>
      <c r="W116" s="739"/>
      <c r="X116" s="738"/>
      <c r="Y116" s="739"/>
      <c r="Z116" s="738"/>
      <c r="AA116" s="793"/>
      <c r="AB116" s="724"/>
      <c r="AC116" s="724"/>
    </row>
    <row r="117" spans="1:29" ht="14.25">
      <c r="A117" s="788">
        <v>6.22</v>
      </c>
      <c r="B117" s="789" t="s">
        <v>2604</v>
      </c>
      <c r="C117" s="790">
        <v>8</v>
      </c>
      <c r="D117" s="738">
        <v>2</v>
      </c>
      <c r="E117" s="791">
        <v>50</v>
      </c>
      <c r="F117" s="792">
        <v>8</v>
      </c>
      <c r="G117" s="739"/>
      <c r="H117" s="738"/>
      <c r="I117" s="739"/>
      <c r="J117" s="738"/>
      <c r="K117" s="739"/>
      <c r="L117" s="738"/>
      <c r="M117" s="739">
        <v>3</v>
      </c>
      <c r="N117" s="738">
        <v>1</v>
      </c>
      <c r="O117" s="739"/>
      <c r="P117" s="738"/>
      <c r="Q117" s="739"/>
      <c r="R117" s="738"/>
      <c r="S117" s="739"/>
      <c r="T117" s="738"/>
      <c r="U117" s="739"/>
      <c r="V117" s="738"/>
      <c r="W117" s="739"/>
      <c r="X117" s="738"/>
      <c r="Y117" s="739"/>
      <c r="Z117" s="738"/>
      <c r="AA117" s="793"/>
      <c r="AB117" s="724"/>
      <c r="AC117" s="724"/>
    </row>
    <row r="118" spans="1:29" ht="14.25">
      <c r="A118" s="788">
        <v>6.23</v>
      </c>
      <c r="B118" s="789" t="s">
        <v>2605</v>
      </c>
      <c r="C118" s="790">
        <v>8</v>
      </c>
      <c r="D118" s="738">
        <v>2</v>
      </c>
      <c r="E118" s="791">
        <v>40</v>
      </c>
      <c r="F118" s="792">
        <v>8</v>
      </c>
      <c r="G118" s="739"/>
      <c r="H118" s="738"/>
      <c r="I118" s="739"/>
      <c r="J118" s="738"/>
      <c r="K118" s="739"/>
      <c r="L118" s="738"/>
      <c r="M118" s="739">
        <v>3</v>
      </c>
      <c r="N118" s="738">
        <v>1</v>
      </c>
      <c r="O118" s="739"/>
      <c r="P118" s="738"/>
      <c r="Q118" s="739"/>
      <c r="R118" s="738"/>
      <c r="S118" s="739"/>
      <c r="T118" s="738"/>
      <c r="U118" s="739"/>
      <c r="V118" s="738"/>
      <c r="W118" s="739"/>
      <c r="X118" s="738"/>
      <c r="Y118" s="739"/>
      <c r="Z118" s="738"/>
      <c r="AA118" s="793"/>
      <c r="AB118" s="724"/>
      <c r="AC118" s="724"/>
    </row>
    <row r="119" spans="1:29" ht="14.25">
      <c r="A119" s="788">
        <v>6.24</v>
      </c>
      <c r="B119" s="789" t="s">
        <v>2606</v>
      </c>
      <c r="C119" s="790">
        <v>8</v>
      </c>
      <c r="D119" s="738">
        <v>2</v>
      </c>
      <c r="E119" s="791">
        <v>50</v>
      </c>
      <c r="F119" s="792">
        <v>8</v>
      </c>
      <c r="G119" s="739"/>
      <c r="H119" s="738"/>
      <c r="I119" s="739"/>
      <c r="J119" s="738"/>
      <c r="K119" s="739"/>
      <c r="L119" s="738"/>
      <c r="M119" s="739">
        <v>5</v>
      </c>
      <c r="N119" s="738">
        <v>1</v>
      </c>
      <c r="O119" s="739">
        <v>2</v>
      </c>
      <c r="P119" s="738">
        <v>1</v>
      </c>
      <c r="Q119" s="739"/>
      <c r="R119" s="738"/>
      <c r="S119" s="739"/>
      <c r="T119" s="738"/>
      <c r="U119" s="739"/>
      <c r="V119" s="738"/>
      <c r="W119" s="739"/>
      <c r="X119" s="738"/>
      <c r="Y119" s="739"/>
      <c r="Z119" s="738"/>
      <c r="AA119" s="793"/>
      <c r="AB119" s="724"/>
      <c r="AC119" s="724"/>
    </row>
    <row r="120" spans="1:29" ht="14.25">
      <c r="A120" s="788">
        <v>6.25</v>
      </c>
      <c r="B120" s="789" t="s">
        <v>2607</v>
      </c>
      <c r="C120" s="790">
        <v>8</v>
      </c>
      <c r="D120" s="738">
        <v>2</v>
      </c>
      <c r="E120" s="791">
        <v>50</v>
      </c>
      <c r="F120" s="792">
        <v>8</v>
      </c>
      <c r="G120" s="739"/>
      <c r="H120" s="738"/>
      <c r="I120" s="739"/>
      <c r="J120" s="738"/>
      <c r="K120" s="739"/>
      <c r="L120" s="738"/>
      <c r="M120" s="790">
        <v>8</v>
      </c>
      <c r="N120" s="738">
        <v>2</v>
      </c>
      <c r="O120" s="739">
        <v>3</v>
      </c>
      <c r="P120" s="738">
        <v>1</v>
      </c>
      <c r="Q120" s="739"/>
      <c r="R120" s="738"/>
      <c r="S120" s="739"/>
      <c r="T120" s="738"/>
      <c r="U120" s="739"/>
      <c r="V120" s="738"/>
      <c r="W120" s="739"/>
      <c r="X120" s="738"/>
      <c r="Y120" s="739"/>
      <c r="Z120" s="738"/>
      <c r="AA120" s="793"/>
      <c r="AB120" s="724"/>
      <c r="AC120" s="724"/>
    </row>
    <row r="121" spans="1:29" ht="14.25">
      <c r="A121" s="788">
        <v>6.26</v>
      </c>
      <c r="B121" s="789" t="s">
        <v>2608</v>
      </c>
      <c r="C121" s="790">
        <v>8</v>
      </c>
      <c r="D121" s="738">
        <v>2</v>
      </c>
      <c r="E121" s="791">
        <v>40</v>
      </c>
      <c r="F121" s="792">
        <v>8</v>
      </c>
      <c r="G121" s="739"/>
      <c r="H121" s="738"/>
      <c r="I121" s="739"/>
      <c r="J121" s="738"/>
      <c r="K121" s="739"/>
      <c r="L121" s="738"/>
      <c r="M121" s="790">
        <v>8</v>
      </c>
      <c r="N121" s="738">
        <v>2</v>
      </c>
      <c r="O121" s="739">
        <v>3</v>
      </c>
      <c r="P121" s="738">
        <v>1</v>
      </c>
      <c r="Q121" s="739"/>
      <c r="R121" s="738"/>
      <c r="S121" s="739"/>
      <c r="T121" s="738"/>
      <c r="U121" s="739"/>
      <c r="V121" s="738"/>
      <c r="W121" s="739"/>
      <c r="X121" s="738"/>
      <c r="Y121" s="739"/>
      <c r="Z121" s="738"/>
      <c r="AA121" s="793"/>
      <c r="AB121" s="724"/>
      <c r="AC121" s="724"/>
    </row>
    <row r="122" spans="1:29" ht="14.25">
      <c r="A122" s="788">
        <v>6.27</v>
      </c>
      <c r="B122" s="789" t="s">
        <v>2609</v>
      </c>
      <c r="C122" s="790">
        <v>8</v>
      </c>
      <c r="D122" s="738">
        <v>2</v>
      </c>
      <c r="E122" s="791">
        <v>50</v>
      </c>
      <c r="F122" s="792">
        <v>8</v>
      </c>
      <c r="G122" s="739"/>
      <c r="H122" s="738"/>
      <c r="I122" s="739"/>
      <c r="J122" s="738"/>
      <c r="K122" s="739"/>
      <c r="L122" s="738"/>
      <c r="M122" s="790">
        <v>8</v>
      </c>
      <c r="N122" s="738">
        <v>2</v>
      </c>
      <c r="O122" s="739">
        <v>5</v>
      </c>
      <c r="P122" s="738">
        <v>1</v>
      </c>
      <c r="Q122" s="739"/>
      <c r="R122" s="738"/>
      <c r="S122" s="739"/>
      <c r="T122" s="738"/>
      <c r="U122" s="739"/>
      <c r="V122" s="738"/>
      <c r="W122" s="739"/>
      <c r="X122" s="738"/>
      <c r="Y122" s="739"/>
      <c r="Z122" s="738"/>
      <c r="AA122" s="793"/>
      <c r="AB122" s="724"/>
      <c r="AC122" s="724"/>
    </row>
    <row r="123" spans="1:29" ht="14.25">
      <c r="A123" s="788">
        <v>6.28</v>
      </c>
      <c r="B123" s="789" t="s">
        <v>2610</v>
      </c>
      <c r="C123" s="790"/>
      <c r="D123" s="738"/>
      <c r="E123" s="791">
        <v>50</v>
      </c>
      <c r="F123" s="792">
        <v>8</v>
      </c>
      <c r="G123" s="739"/>
      <c r="H123" s="738"/>
      <c r="I123" s="739"/>
      <c r="J123" s="738"/>
      <c r="K123" s="739"/>
      <c r="L123" s="738"/>
      <c r="M123" s="739"/>
      <c r="N123" s="738"/>
      <c r="O123" s="739">
        <v>4</v>
      </c>
      <c r="P123" s="738">
        <v>1</v>
      </c>
      <c r="Q123" s="739"/>
      <c r="R123" s="738"/>
      <c r="S123" s="739"/>
      <c r="T123" s="738"/>
      <c r="U123" s="739"/>
      <c r="V123" s="738"/>
      <c r="W123" s="739"/>
      <c r="X123" s="738"/>
      <c r="Y123" s="739"/>
      <c r="Z123" s="738"/>
      <c r="AA123" s="793"/>
      <c r="AB123" s="724"/>
      <c r="AC123" s="724"/>
    </row>
    <row r="124" spans="1:29" ht="14.25">
      <c r="A124" s="760">
        <v>7</v>
      </c>
      <c r="B124" s="796" t="s">
        <v>2611</v>
      </c>
      <c r="C124" s="790"/>
      <c r="D124" s="738"/>
      <c r="E124" s="797"/>
      <c r="F124" s="798"/>
      <c r="G124" s="739"/>
      <c r="H124" s="738"/>
      <c r="I124" s="739"/>
      <c r="J124" s="738"/>
      <c r="K124" s="739"/>
      <c r="L124" s="738"/>
      <c r="M124" s="739"/>
      <c r="N124" s="738"/>
      <c r="O124" s="739"/>
      <c r="P124" s="738"/>
      <c r="Q124" s="739"/>
      <c r="R124" s="738"/>
      <c r="S124" s="739"/>
      <c r="T124" s="738"/>
      <c r="U124" s="739"/>
      <c r="V124" s="738"/>
      <c r="W124" s="739"/>
      <c r="X124" s="738"/>
      <c r="Y124" s="739"/>
      <c r="Z124" s="738"/>
      <c r="AA124" s="799"/>
      <c r="AB124" s="724"/>
      <c r="AC124" s="724"/>
    </row>
    <row r="125" spans="1:29" ht="28.5">
      <c r="A125" s="788">
        <v>7.1</v>
      </c>
      <c r="B125" s="789" t="s">
        <v>2612</v>
      </c>
      <c r="C125" s="803">
        <v>40</v>
      </c>
      <c r="D125" s="804">
        <v>2</v>
      </c>
      <c r="E125" s="791">
        <v>300</v>
      </c>
      <c r="F125" s="792">
        <v>12</v>
      </c>
      <c r="G125" s="739"/>
      <c r="H125" s="738"/>
      <c r="I125" s="739"/>
      <c r="J125" s="738"/>
      <c r="K125" s="739">
        <v>5</v>
      </c>
      <c r="L125" s="738"/>
      <c r="M125" s="803">
        <v>1</v>
      </c>
      <c r="N125" s="804"/>
      <c r="O125" s="803">
        <f>Q125*0.1</f>
        <v>0</v>
      </c>
      <c r="P125" s="804">
        <v>2</v>
      </c>
      <c r="Q125" s="739"/>
      <c r="R125" s="738"/>
      <c r="S125" s="739"/>
      <c r="T125" s="738"/>
      <c r="U125" s="739"/>
      <c r="V125" s="738"/>
      <c r="W125" s="739"/>
      <c r="X125" s="738"/>
      <c r="Y125" s="739"/>
      <c r="Z125" s="738"/>
      <c r="AA125" s="793"/>
      <c r="AB125" s="724"/>
      <c r="AC125" s="724"/>
    </row>
    <row r="126" spans="1:29" ht="28.5">
      <c r="A126" s="788">
        <v>7.2</v>
      </c>
      <c r="B126" s="789" t="s">
        <v>2613</v>
      </c>
      <c r="C126" s="803">
        <v>16</v>
      </c>
      <c r="D126" s="804">
        <v>2</v>
      </c>
      <c r="E126" s="791">
        <v>120</v>
      </c>
      <c r="F126" s="792">
        <v>8</v>
      </c>
      <c r="G126" s="739"/>
      <c r="H126" s="738"/>
      <c r="I126" s="739"/>
      <c r="J126" s="738"/>
      <c r="K126" s="739">
        <v>5</v>
      </c>
      <c r="L126" s="738"/>
      <c r="M126" s="803">
        <v>1</v>
      </c>
      <c r="N126" s="804"/>
      <c r="O126" s="803">
        <f>Q126*0.1</f>
        <v>0</v>
      </c>
      <c r="P126" s="804">
        <v>2</v>
      </c>
      <c r="Q126" s="739"/>
      <c r="R126" s="738"/>
      <c r="S126" s="739"/>
      <c r="T126" s="738"/>
      <c r="U126" s="739"/>
      <c r="V126" s="738"/>
      <c r="W126" s="739"/>
      <c r="X126" s="738"/>
      <c r="Y126" s="739"/>
      <c r="Z126" s="738"/>
      <c r="AA126" s="793"/>
      <c r="AB126" s="724"/>
      <c r="AC126" s="724"/>
    </row>
    <row r="127" spans="1:29" ht="14.25">
      <c r="A127" s="788">
        <v>7.3</v>
      </c>
      <c r="B127" s="789" t="s">
        <v>2614</v>
      </c>
      <c r="C127" s="803">
        <v>4</v>
      </c>
      <c r="D127" s="804">
        <v>1</v>
      </c>
      <c r="E127" s="791">
        <v>30</v>
      </c>
      <c r="F127" s="792">
        <v>5</v>
      </c>
      <c r="G127" s="739"/>
      <c r="H127" s="738"/>
      <c r="I127" s="739"/>
      <c r="J127" s="738"/>
      <c r="K127" s="739">
        <v>1</v>
      </c>
      <c r="L127" s="738"/>
      <c r="M127" s="803">
        <v>1</v>
      </c>
      <c r="N127" s="804"/>
      <c r="O127" s="803">
        <f>Q127*0.1</f>
        <v>0</v>
      </c>
      <c r="P127" s="804">
        <v>1</v>
      </c>
      <c r="Q127" s="739"/>
      <c r="R127" s="738"/>
      <c r="S127" s="739"/>
      <c r="T127" s="738"/>
      <c r="U127" s="739"/>
      <c r="V127" s="738"/>
      <c r="W127" s="739"/>
      <c r="X127" s="738"/>
      <c r="Y127" s="739"/>
      <c r="Z127" s="738"/>
      <c r="AA127" s="793"/>
      <c r="AB127" s="724"/>
      <c r="AC127" s="724"/>
    </row>
    <row r="128" spans="1:29" ht="14.25">
      <c r="A128" s="788">
        <v>7.4</v>
      </c>
      <c r="B128" s="789" t="s">
        <v>2615</v>
      </c>
      <c r="C128" s="803">
        <v>40</v>
      </c>
      <c r="D128" s="804">
        <v>5</v>
      </c>
      <c r="E128" s="791">
        <v>300</v>
      </c>
      <c r="F128" s="792">
        <v>30</v>
      </c>
      <c r="G128" s="739"/>
      <c r="H128" s="738"/>
      <c r="I128" s="739"/>
      <c r="J128" s="738"/>
      <c r="K128" s="739">
        <v>8</v>
      </c>
      <c r="L128" s="738"/>
      <c r="M128" s="803">
        <v>80</v>
      </c>
      <c r="N128" s="804">
        <v>8</v>
      </c>
      <c r="O128" s="739">
        <v>50</v>
      </c>
      <c r="P128" s="738">
        <v>8</v>
      </c>
      <c r="Q128" s="739"/>
      <c r="R128" s="738"/>
      <c r="S128" s="739"/>
      <c r="T128" s="738"/>
      <c r="U128" s="739"/>
      <c r="V128" s="738"/>
      <c r="W128" s="739"/>
      <c r="X128" s="738"/>
      <c r="Y128" s="739"/>
      <c r="Z128" s="738"/>
      <c r="AA128" s="793"/>
      <c r="AB128" s="724"/>
      <c r="AC128" s="724"/>
    </row>
    <row r="129" spans="1:29" ht="14.25">
      <c r="A129" s="788">
        <v>7.5</v>
      </c>
      <c r="B129" s="789" t="s">
        <v>2616</v>
      </c>
      <c r="C129" s="803">
        <v>36</v>
      </c>
      <c r="D129" s="804">
        <v>5</v>
      </c>
      <c r="E129" s="791">
        <v>270</v>
      </c>
      <c r="F129" s="792">
        <v>30</v>
      </c>
      <c r="G129" s="739"/>
      <c r="H129" s="738"/>
      <c r="I129" s="739"/>
      <c r="J129" s="738"/>
      <c r="K129" s="739">
        <v>8</v>
      </c>
      <c r="L129" s="738"/>
      <c r="M129" s="803">
        <v>80</v>
      </c>
      <c r="N129" s="804">
        <v>8</v>
      </c>
      <c r="O129" s="739">
        <v>5</v>
      </c>
      <c r="P129" s="738">
        <v>1</v>
      </c>
      <c r="Q129" s="739"/>
      <c r="R129" s="738"/>
      <c r="S129" s="739"/>
      <c r="T129" s="738"/>
      <c r="U129" s="739"/>
      <c r="V129" s="738"/>
      <c r="W129" s="739"/>
      <c r="X129" s="738"/>
      <c r="Y129" s="739"/>
      <c r="Z129" s="738"/>
      <c r="AA129" s="793"/>
      <c r="AB129" s="724"/>
      <c r="AC129" s="724"/>
    </row>
    <row r="130" spans="1:29" ht="28.5">
      <c r="A130" s="788">
        <v>7.6</v>
      </c>
      <c r="B130" s="789" t="s">
        <v>2617</v>
      </c>
      <c r="C130" s="803">
        <v>16</v>
      </c>
      <c r="D130" s="804">
        <v>4</v>
      </c>
      <c r="E130" s="791">
        <v>300</v>
      </c>
      <c r="F130" s="792">
        <v>25</v>
      </c>
      <c r="G130" s="739"/>
      <c r="H130" s="745"/>
      <c r="I130" s="746"/>
      <c r="J130" s="745"/>
      <c r="K130" s="746"/>
      <c r="L130" s="745"/>
      <c r="M130" s="803">
        <v>25</v>
      </c>
      <c r="N130" s="804">
        <v>4</v>
      </c>
      <c r="O130" s="805">
        <v>10</v>
      </c>
      <c r="P130" s="804">
        <v>2</v>
      </c>
      <c r="Q130" s="746"/>
      <c r="R130" s="745"/>
      <c r="S130" s="746"/>
      <c r="T130" s="745"/>
      <c r="U130" s="746"/>
      <c r="V130" s="745"/>
      <c r="W130" s="746"/>
      <c r="X130" s="745"/>
      <c r="Y130" s="746"/>
      <c r="Z130" s="745"/>
      <c r="AA130" s="793"/>
      <c r="AB130" s="724"/>
      <c r="AC130" s="724"/>
    </row>
    <row r="131" spans="1:29" ht="28.5">
      <c r="A131" s="788">
        <v>7.7</v>
      </c>
      <c r="B131" s="789" t="s">
        <v>2618</v>
      </c>
      <c r="C131" s="803">
        <v>24</v>
      </c>
      <c r="D131" s="804">
        <v>1</v>
      </c>
      <c r="E131" s="791">
        <v>180</v>
      </c>
      <c r="F131" s="792">
        <v>5</v>
      </c>
      <c r="G131" s="739"/>
      <c r="H131" s="738"/>
      <c r="I131" s="739"/>
      <c r="J131" s="738"/>
      <c r="K131" s="739">
        <v>5</v>
      </c>
      <c r="L131" s="738"/>
      <c r="M131" s="803">
        <v>5</v>
      </c>
      <c r="N131" s="804"/>
      <c r="O131" s="805"/>
      <c r="P131" s="804"/>
      <c r="Q131" s="739"/>
      <c r="R131" s="738"/>
      <c r="S131" s="739"/>
      <c r="T131" s="738"/>
      <c r="U131" s="739"/>
      <c r="V131" s="738"/>
      <c r="W131" s="739"/>
      <c r="X131" s="738"/>
      <c r="Y131" s="739"/>
      <c r="Z131" s="738"/>
      <c r="AA131" s="793"/>
      <c r="AB131" s="724"/>
      <c r="AC131" s="724"/>
    </row>
    <row r="132" spans="1:29" ht="14.25">
      <c r="A132" s="788">
        <v>7.8</v>
      </c>
      <c r="B132" s="789" t="s">
        <v>2619</v>
      </c>
      <c r="C132" s="803">
        <v>40</v>
      </c>
      <c r="D132" s="804">
        <v>1</v>
      </c>
      <c r="E132" s="791">
        <v>300</v>
      </c>
      <c r="F132" s="792">
        <v>10</v>
      </c>
      <c r="G132" s="739"/>
      <c r="H132" s="738"/>
      <c r="I132" s="739"/>
      <c r="J132" s="738"/>
      <c r="K132" s="739">
        <v>5</v>
      </c>
      <c r="L132" s="738"/>
      <c r="M132" s="803">
        <v>5</v>
      </c>
      <c r="N132" s="804"/>
      <c r="O132" s="805"/>
      <c r="P132" s="804"/>
      <c r="Q132" s="739"/>
      <c r="R132" s="738"/>
      <c r="S132" s="739"/>
      <c r="T132" s="738"/>
      <c r="U132" s="739"/>
      <c r="V132" s="738"/>
      <c r="W132" s="739"/>
      <c r="X132" s="738"/>
      <c r="Y132" s="739"/>
      <c r="Z132" s="738"/>
      <c r="AA132" s="793"/>
      <c r="AB132" s="724"/>
      <c r="AC132" s="724"/>
    </row>
    <row r="133" spans="1:29" ht="14.25">
      <c r="A133" s="788">
        <v>7.9</v>
      </c>
      <c r="B133" s="789" t="s">
        <v>2620</v>
      </c>
      <c r="C133" s="803">
        <v>16</v>
      </c>
      <c r="D133" s="804">
        <v>1</v>
      </c>
      <c r="E133" s="791">
        <v>120</v>
      </c>
      <c r="F133" s="792">
        <v>15</v>
      </c>
      <c r="G133" s="739"/>
      <c r="H133" s="745"/>
      <c r="I133" s="746"/>
      <c r="J133" s="745"/>
      <c r="K133" s="805">
        <v>5</v>
      </c>
      <c r="L133" s="745"/>
      <c r="M133" s="803">
        <v>3</v>
      </c>
      <c r="N133" s="804"/>
      <c r="O133" s="746"/>
      <c r="P133" s="745"/>
      <c r="Q133" s="746"/>
      <c r="R133" s="745"/>
      <c r="S133" s="746"/>
      <c r="T133" s="745"/>
      <c r="U133" s="746"/>
      <c r="V133" s="745"/>
      <c r="W133" s="746"/>
      <c r="X133" s="745"/>
      <c r="Y133" s="746"/>
      <c r="Z133" s="745"/>
      <c r="AA133" s="793"/>
      <c r="AB133" s="724"/>
      <c r="AC133" s="724"/>
    </row>
    <row r="134" spans="1:29" ht="28.5">
      <c r="A134" s="795" t="s">
        <v>2401</v>
      </c>
      <c r="B134" s="789" t="s">
        <v>2621</v>
      </c>
      <c r="C134" s="803">
        <v>28</v>
      </c>
      <c r="D134" s="804">
        <v>3</v>
      </c>
      <c r="E134" s="791">
        <v>300</v>
      </c>
      <c r="F134" s="792">
        <v>20</v>
      </c>
      <c r="G134" s="739"/>
      <c r="H134" s="738"/>
      <c r="I134" s="739"/>
      <c r="J134" s="738"/>
      <c r="K134" s="739">
        <v>5</v>
      </c>
      <c r="L134" s="738"/>
      <c r="M134" s="803">
        <v>50</v>
      </c>
      <c r="N134" s="804">
        <v>8</v>
      </c>
      <c r="O134" s="739">
        <v>5</v>
      </c>
      <c r="P134" s="738">
        <v>1</v>
      </c>
      <c r="Q134" s="739"/>
      <c r="R134" s="738"/>
      <c r="S134" s="739"/>
      <c r="T134" s="738"/>
      <c r="U134" s="739"/>
      <c r="V134" s="738"/>
      <c r="W134" s="739"/>
      <c r="X134" s="738"/>
      <c r="Y134" s="739"/>
      <c r="Z134" s="738"/>
      <c r="AA134" s="793"/>
      <c r="AB134" s="724"/>
      <c r="AC134" s="724"/>
    </row>
    <row r="135" spans="1:29" ht="28.5">
      <c r="A135" s="788">
        <v>7.11</v>
      </c>
      <c r="B135" s="789" t="s">
        <v>2622</v>
      </c>
      <c r="C135" s="803">
        <v>36</v>
      </c>
      <c r="D135" s="804">
        <v>4</v>
      </c>
      <c r="E135" s="791">
        <v>270</v>
      </c>
      <c r="F135" s="792">
        <v>30</v>
      </c>
      <c r="G135" s="739"/>
      <c r="H135" s="738"/>
      <c r="I135" s="739"/>
      <c r="J135" s="738"/>
      <c r="K135" s="739">
        <v>8</v>
      </c>
      <c r="L135" s="738"/>
      <c r="M135" s="803">
        <v>80</v>
      </c>
      <c r="N135" s="804">
        <v>8</v>
      </c>
      <c r="O135" s="739">
        <v>10</v>
      </c>
      <c r="P135" s="738">
        <v>2</v>
      </c>
      <c r="Q135" s="739"/>
      <c r="R135" s="738"/>
      <c r="S135" s="739"/>
      <c r="T135" s="738"/>
      <c r="U135" s="739"/>
      <c r="V135" s="738"/>
      <c r="W135" s="739"/>
      <c r="X135" s="738"/>
      <c r="Y135" s="739"/>
      <c r="Z135" s="738"/>
      <c r="AA135" s="793"/>
      <c r="AB135" s="724"/>
      <c r="AC135" s="724"/>
    </row>
    <row r="136" spans="1:29" ht="28.5">
      <c r="A136" s="788">
        <v>7.12</v>
      </c>
      <c r="B136" s="789" t="s">
        <v>2623</v>
      </c>
      <c r="C136" s="803">
        <v>40</v>
      </c>
      <c r="D136" s="804">
        <v>4</v>
      </c>
      <c r="E136" s="791">
        <v>300</v>
      </c>
      <c r="F136" s="792">
        <v>30</v>
      </c>
      <c r="G136" s="739"/>
      <c r="H136" s="738"/>
      <c r="I136" s="739"/>
      <c r="J136" s="738"/>
      <c r="K136" s="739">
        <v>2</v>
      </c>
      <c r="L136" s="738"/>
      <c r="M136" s="803">
        <v>40</v>
      </c>
      <c r="N136" s="804">
        <v>5</v>
      </c>
      <c r="O136" s="739">
        <v>5</v>
      </c>
      <c r="P136" s="738">
        <v>1</v>
      </c>
      <c r="Q136" s="739"/>
      <c r="R136" s="738"/>
      <c r="S136" s="739"/>
      <c r="T136" s="738"/>
      <c r="U136" s="739"/>
      <c r="V136" s="738"/>
      <c r="W136" s="739"/>
      <c r="X136" s="738"/>
      <c r="Y136" s="739"/>
      <c r="Z136" s="738"/>
      <c r="AA136" s="793"/>
      <c r="AB136" s="724"/>
      <c r="AC136" s="724"/>
    </row>
    <row r="137" spans="1:29" ht="28.5">
      <c r="A137" s="788">
        <v>7.13</v>
      </c>
      <c r="B137" s="789" t="s">
        <v>2624</v>
      </c>
      <c r="C137" s="803">
        <v>32</v>
      </c>
      <c r="D137" s="804">
        <v>5</v>
      </c>
      <c r="E137" s="791">
        <v>240</v>
      </c>
      <c r="F137" s="792">
        <v>30</v>
      </c>
      <c r="G137" s="739"/>
      <c r="H137" s="738"/>
      <c r="I137" s="739"/>
      <c r="J137" s="738"/>
      <c r="K137" s="739">
        <v>5</v>
      </c>
      <c r="L137" s="738"/>
      <c r="M137" s="803">
        <v>80</v>
      </c>
      <c r="N137" s="804">
        <v>8</v>
      </c>
      <c r="O137" s="739">
        <v>10</v>
      </c>
      <c r="P137" s="738">
        <v>2</v>
      </c>
      <c r="Q137" s="739"/>
      <c r="R137" s="738"/>
      <c r="S137" s="739"/>
      <c r="T137" s="738"/>
      <c r="U137" s="739"/>
      <c r="V137" s="738"/>
      <c r="W137" s="739"/>
      <c r="X137" s="738"/>
      <c r="Y137" s="739"/>
      <c r="Z137" s="738"/>
      <c r="AA137" s="793"/>
      <c r="AB137" s="724"/>
      <c r="AC137" s="724"/>
    </row>
    <row r="138" spans="1:29" ht="14.25">
      <c r="A138" s="806">
        <v>7.14</v>
      </c>
      <c r="B138" s="807" t="s">
        <v>2625</v>
      </c>
      <c r="C138" s="790"/>
      <c r="D138" s="763"/>
      <c r="E138" s="764">
        <v>90</v>
      </c>
      <c r="F138" s="765">
        <v>5</v>
      </c>
      <c r="G138" s="739"/>
      <c r="H138" s="763"/>
      <c r="I138" s="766"/>
      <c r="J138" s="763"/>
      <c r="K138" s="766"/>
      <c r="L138" s="763"/>
      <c r="M138" s="766"/>
      <c r="N138" s="763"/>
      <c r="O138" s="766">
        <v>15</v>
      </c>
      <c r="P138" s="763">
        <v>3</v>
      </c>
      <c r="Q138" s="766"/>
      <c r="R138" s="763"/>
      <c r="S138" s="766"/>
      <c r="T138" s="763"/>
      <c r="U138" s="766">
        <v>90</v>
      </c>
      <c r="V138" s="763">
        <v>5</v>
      </c>
      <c r="W138" s="766"/>
      <c r="X138" s="763"/>
      <c r="Y138" s="766"/>
      <c r="Z138" s="763"/>
      <c r="AA138" s="767"/>
      <c r="AB138" s="724"/>
      <c r="AC138" s="724"/>
    </row>
    <row r="139" spans="1:29" ht="14.25">
      <c r="A139" s="760">
        <v>8</v>
      </c>
      <c r="B139" s="808" t="s">
        <v>2626</v>
      </c>
      <c r="C139" s="809"/>
      <c r="D139" s="763"/>
      <c r="E139" s="764"/>
      <c r="F139" s="765"/>
      <c r="G139" s="766"/>
      <c r="H139" s="763"/>
      <c r="I139" s="766"/>
      <c r="J139" s="763"/>
      <c r="K139" s="766"/>
      <c r="L139" s="763"/>
      <c r="M139" s="766"/>
      <c r="N139" s="763"/>
      <c r="O139" s="766"/>
      <c r="P139" s="763"/>
      <c r="Q139" s="766"/>
      <c r="R139" s="763"/>
      <c r="S139" s="766"/>
      <c r="T139" s="763"/>
      <c r="U139" s="766"/>
      <c r="V139" s="763"/>
      <c r="W139" s="766"/>
      <c r="X139" s="763"/>
      <c r="Y139" s="766"/>
      <c r="Z139" s="763"/>
      <c r="AA139" s="767"/>
      <c r="AB139" s="724"/>
      <c r="AC139" s="724"/>
    </row>
    <row r="140" spans="1:29" ht="28.5">
      <c r="A140" s="806">
        <v>8.1</v>
      </c>
      <c r="B140" s="810" t="s">
        <v>2627</v>
      </c>
      <c r="C140" s="809"/>
      <c r="D140" s="763"/>
      <c r="E140" s="764">
        <f>0.1*E147</f>
        <v>396</v>
      </c>
      <c r="F140" s="765">
        <f>0.1*F147</f>
        <v>96.600000000000009</v>
      </c>
      <c r="G140" s="766"/>
      <c r="H140" s="763"/>
      <c r="I140" s="766"/>
      <c r="J140" s="763"/>
      <c r="K140" s="766"/>
      <c r="L140" s="763"/>
      <c r="M140" s="766"/>
      <c r="N140" s="763"/>
      <c r="O140" s="766"/>
      <c r="P140" s="763"/>
      <c r="Q140" s="766"/>
      <c r="R140" s="763"/>
      <c r="S140" s="766"/>
      <c r="T140" s="763"/>
      <c r="U140" s="766"/>
      <c r="V140" s="763"/>
      <c r="W140" s="766"/>
      <c r="X140" s="763"/>
      <c r="Y140" s="766"/>
      <c r="Z140" s="763"/>
      <c r="AA140" s="767">
        <f>0.1*AA147</f>
        <v>19.5</v>
      </c>
      <c r="AB140" s="724"/>
      <c r="AC140" s="724"/>
    </row>
    <row r="141" spans="1:29" ht="28.5">
      <c r="A141" s="806">
        <v>8.1999999999999993</v>
      </c>
      <c r="B141" s="810" t="s">
        <v>2472</v>
      </c>
      <c r="C141" s="809"/>
      <c r="D141" s="763"/>
      <c r="E141" s="764">
        <f>0.05*E147</f>
        <v>198</v>
      </c>
      <c r="F141" s="765"/>
      <c r="G141" s="766"/>
      <c r="H141" s="763"/>
      <c r="I141" s="766"/>
      <c r="J141" s="763"/>
      <c r="K141" s="766"/>
      <c r="L141" s="763"/>
      <c r="M141" s="766"/>
      <c r="N141" s="763"/>
      <c r="O141" s="766"/>
      <c r="P141" s="763"/>
      <c r="Q141" s="766"/>
      <c r="R141" s="763"/>
      <c r="S141" s="766"/>
      <c r="T141" s="763"/>
      <c r="U141" s="766"/>
      <c r="V141" s="763"/>
      <c r="W141" s="766"/>
      <c r="X141" s="763"/>
      <c r="Y141" s="766"/>
      <c r="Z141" s="763"/>
      <c r="AA141" s="767">
        <f>0.05*AA147</f>
        <v>9.75</v>
      </c>
      <c r="AB141" s="724"/>
      <c r="AC141" s="724"/>
    </row>
    <row r="142" spans="1:29" ht="14.25">
      <c r="A142" s="806">
        <v>8.3000000000000007</v>
      </c>
      <c r="B142" s="810" t="s">
        <v>2628</v>
      </c>
      <c r="C142" s="809"/>
      <c r="D142" s="763"/>
      <c r="E142" s="764">
        <v>30</v>
      </c>
      <c r="F142" s="765"/>
      <c r="G142" s="766"/>
      <c r="H142" s="763"/>
      <c r="I142" s="766"/>
      <c r="J142" s="763"/>
      <c r="K142" s="766"/>
      <c r="L142" s="763"/>
      <c r="M142" s="766"/>
      <c r="N142" s="763"/>
      <c r="O142" s="766"/>
      <c r="P142" s="763"/>
      <c r="Q142" s="766"/>
      <c r="R142" s="763"/>
      <c r="S142" s="766"/>
      <c r="T142" s="763"/>
      <c r="U142" s="766"/>
      <c r="V142" s="763"/>
      <c r="W142" s="766"/>
      <c r="X142" s="763"/>
      <c r="Y142" s="766"/>
      <c r="Z142" s="763"/>
      <c r="AA142" s="767"/>
      <c r="AB142" s="724"/>
      <c r="AC142" s="724"/>
    </row>
    <row r="143" spans="1:29" ht="14.25">
      <c r="A143" s="806">
        <v>8.4</v>
      </c>
      <c r="B143" s="810" t="s">
        <v>2629</v>
      </c>
      <c r="C143" s="809"/>
      <c r="D143" s="763"/>
      <c r="E143" s="764">
        <v>25</v>
      </c>
      <c r="F143" s="765"/>
      <c r="G143" s="766"/>
      <c r="H143" s="763"/>
      <c r="I143" s="766"/>
      <c r="J143" s="763"/>
      <c r="K143" s="766"/>
      <c r="L143" s="763"/>
      <c r="M143" s="766"/>
      <c r="N143" s="763"/>
      <c r="O143" s="766"/>
      <c r="P143" s="763"/>
      <c r="Q143" s="766"/>
      <c r="R143" s="763"/>
      <c r="S143" s="766"/>
      <c r="T143" s="763"/>
      <c r="U143" s="766"/>
      <c r="V143" s="763"/>
      <c r="W143" s="766"/>
      <c r="X143" s="763"/>
      <c r="Y143" s="766"/>
      <c r="Z143" s="763"/>
      <c r="AA143" s="767"/>
      <c r="AB143" s="724"/>
      <c r="AC143" s="724"/>
    </row>
    <row r="144" spans="1:29" ht="29.25" thickBot="1">
      <c r="A144" s="806">
        <v>8.5</v>
      </c>
      <c r="B144" s="810" t="s">
        <v>2630</v>
      </c>
      <c r="C144" s="809"/>
      <c r="D144" s="763"/>
      <c r="E144" s="764">
        <v>40</v>
      </c>
      <c r="F144" s="765">
        <v>8</v>
      </c>
      <c r="G144" s="766"/>
      <c r="H144" s="763"/>
      <c r="I144" s="766"/>
      <c r="J144" s="763"/>
      <c r="K144" s="766"/>
      <c r="L144" s="763"/>
      <c r="M144" s="766"/>
      <c r="N144" s="763"/>
      <c r="O144" s="766"/>
      <c r="P144" s="763"/>
      <c r="Q144" s="766"/>
      <c r="R144" s="763"/>
      <c r="S144" s="766"/>
      <c r="T144" s="763"/>
      <c r="U144" s="766"/>
      <c r="V144" s="763"/>
      <c r="W144" s="766"/>
      <c r="X144" s="763"/>
      <c r="Y144" s="766"/>
      <c r="Z144" s="763"/>
      <c r="AA144" s="767"/>
      <c r="AB144" s="724"/>
      <c r="AC144" s="724"/>
    </row>
    <row r="145" spans="1:29" ht="15.75" thickBot="1">
      <c r="A145" s="811"/>
      <c r="B145" s="812" t="s">
        <v>2102</v>
      </c>
      <c r="C145" s="813">
        <f>SUM(C4:C144)</f>
        <v>604</v>
      </c>
      <c r="D145" s="814">
        <f>SUM(D4:D144)</f>
        <v>77</v>
      </c>
      <c r="E145" s="813">
        <f t="shared" ref="E145:Z145" si="0">SUM(E4:E144)</f>
        <v>4649</v>
      </c>
      <c r="F145" s="814">
        <f t="shared" si="0"/>
        <v>1070.5999999999999</v>
      </c>
      <c r="G145" s="813">
        <f t="shared" si="0"/>
        <v>0</v>
      </c>
      <c r="H145" s="814">
        <f t="shared" si="0"/>
        <v>0</v>
      </c>
      <c r="I145" s="813">
        <f t="shared" si="0"/>
        <v>6</v>
      </c>
      <c r="J145" s="814">
        <f t="shared" si="0"/>
        <v>1</v>
      </c>
      <c r="K145" s="813">
        <f t="shared" si="0"/>
        <v>62</v>
      </c>
      <c r="L145" s="814">
        <f t="shared" si="0"/>
        <v>0</v>
      </c>
      <c r="M145" s="813">
        <f t="shared" si="0"/>
        <v>562.5</v>
      </c>
      <c r="N145" s="814">
        <f t="shared" si="0"/>
        <v>74</v>
      </c>
      <c r="O145" s="813">
        <f t="shared" si="0"/>
        <v>193.5</v>
      </c>
      <c r="P145" s="814">
        <f t="shared" si="0"/>
        <v>37</v>
      </c>
      <c r="Q145" s="813">
        <f t="shared" si="0"/>
        <v>0</v>
      </c>
      <c r="R145" s="814">
        <f t="shared" si="0"/>
        <v>0</v>
      </c>
      <c r="S145" s="813">
        <f t="shared" si="0"/>
        <v>0</v>
      </c>
      <c r="T145" s="814">
        <f t="shared" si="0"/>
        <v>0</v>
      </c>
      <c r="U145" s="813">
        <f t="shared" si="0"/>
        <v>95</v>
      </c>
      <c r="V145" s="814">
        <f t="shared" si="0"/>
        <v>5</v>
      </c>
      <c r="W145" s="813">
        <f t="shared" si="0"/>
        <v>0</v>
      </c>
      <c r="X145" s="814">
        <f t="shared" si="0"/>
        <v>0</v>
      </c>
      <c r="Y145" s="813">
        <f t="shared" si="0"/>
        <v>0</v>
      </c>
      <c r="Z145" s="814">
        <f t="shared" si="0"/>
        <v>0</v>
      </c>
      <c r="AA145" s="815">
        <f>SUM(AA4:AA144)</f>
        <v>224.25</v>
      </c>
      <c r="AB145" s="724"/>
      <c r="AC145" s="724"/>
    </row>
    <row r="146" spans="1:29" ht="13.5" thickBot="1">
      <c r="A146" s="816"/>
      <c r="B146" s="724"/>
      <c r="C146" s="781"/>
      <c r="D146" s="781"/>
      <c r="E146" s="781"/>
      <c r="F146" s="781"/>
      <c r="G146" s="781"/>
      <c r="H146" s="781"/>
      <c r="I146" s="781"/>
      <c r="J146" s="781"/>
      <c r="K146" s="781"/>
      <c r="L146" s="781"/>
      <c r="M146" s="781"/>
      <c r="N146" s="781"/>
      <c r="O146" s="781"/>
      <c r="P146" s="781"/>
      <c r="Q146" s="781"/>
      <c r="R146" s="781"/>
      <c r="S146" s="781"/>
      <c r="T146" s="781"/>
      <c r="U146" s="781"/>
      <c r="V146" s="781"/>
      <c r="W146" s="781"/>
      <c r="X146" s="781"/>
      <c r="Y146" s="781"/>
      <c r="Z146" s="781"/>
      <c r="AA146" s="781"/>
      <c r="AB146" s="724"/>
      <c r="AC146" s="724"/>
    </row>
    <row r="147" spans="1:29" ht="13.5" thickBot="1">
      <c r="A147" s="816"/>
      <c r="B147" s="724"/>
      <c r="C147" s="817">
        <f t="shared" ref="C147:M147" si="1">SUM(C4:C138)</f>
        <v>604</v>
      </c>
      <c r="D147" s="817">
        <f t="shared" si="1"/>
        <v>77</v>
      </c>
      <c r="E147" s="817">
        <f t="shared" si="1"/>
        <v>3960</v>
      </c>
      <c r="F147" s="817">
        <f t="shared" si="1"/>
        <v>966</v>
      </c>
      <c r="G147" s="817">
        <f t="shared" si="1"/>
        <v>0</v>
      </c>
      <c r="H147" s="817">
        <f t="shared" si="1"/>
        <v>0</v>
      </c>
      <c r="I147" s="817">
        <f t="shared" si="1"/>
        <v>6</v>
      </c>
      <c r="J147" s="817">
        <f t="shared" si="1"/>
        <v>1</v>
      </c>
      <c r="K147" s="817">
        <f t="shared" si="1"/>
        <v>62</v>
      </c>
      <c r="L147" s="817">
        <f t="shared" si="1"/>
        <v>0</v>
      </c>
      <c r="M147" s="817">
        <f t="shared" si="1"/>
        <v>562.5</v>
      </c>
      <c r="N147" s="817">
        <f>SUM(N4:N138)</f>
        <v>74</v>
      </c>
      <c r="O147" s="817">
        <f t="shared" ref="O147:AA147" si="2">SUM(O4:O138)</f>
        <v>193.5</v>
      </c>
      <c r="P147" s="817">
        <f t="shared" si="2"/>
        <v>37</v>
      </c>
      <c r="Q147" s="817">
        <f t="shared" si="2"/>
        <v>0</v>
      </c>
      <c r="R147" s="817">
        <f t="shared" si="2"/>
        <v>0</v>
      </c>
      <c r="S147" s="817">
        <f t="shared" si="2"/>
        <v>0</v>
      </c>
      <c r="T147" s="817">
        <f t="shared" si="2"/>
        <v>0</v>
      </c>
      <c r="U147" s="817">
        <f t="shared" si="2"/>
        <v>95</v>
      </c>
      <c r="V147" s="817">
        <f t="shared" si="2"/>
        <v>5</v>
      </c>
      <c r="W147" s="817">
        <f t="shared" si="2"/>
        <v>0</v>
      </c>
      <c r="X147" s="817">
        <f t="shared" si="2"/>
        <v>0</v>
      </c>
      <c r="Y147" s="817">
        <f t="shared" si="2"/>
        <v>0</v>
      </c>
      <c r="Z147" s="817">
        <f t="shared" si="2"/>
        <v>0</v>
      </c>
      <c r="AA147" s="817">
        <f t="shared" si="2"/>
        <v>195</v>
      </c>
      <c r="AB147" s="724"/>
      <c r="AC147" s="724"/>
    </row>
    <row r="148" spans="1:29">
      <c r="A148" s="816"/>
      <c r="B148" s="724"/>
      <c r="C148" s="781"/>
      <c r="D148" s="781"/>
      <c r="E148" s="781"/>
      <c r="F148" s="781"/>
      <c r="G148" s="781"/>
      <c r="H148" s="781"/>
      <c r="I148" s="781"/>
      <c r="J148" s="781"/>
      <c r="K148" s="781"/>
      <c r="L148" s="781"/>
      <c r="M148" s="781"/>
      <c r="N148" s="781"/>
      <c r="O148" s="781"/>
      <c r="P148" s="781"/>
      <c r="Q148" s="781"/>
      <c r="R148" s="781"/>
      <c r="S148" s="781"/>
      <c r="T148" s="781"/>
      <c r="U148" s="781"/>
      <c r="V148" s="781"/>
      <c r="W148" s="781"/>
      <c r="X148" s="781"/>
      <c r="Y148" s="781"/>
      <c r="Z148" s="781"/>
      <c r="AA148" s="781"/>
      <c r="AB148" s="724"/>
      <c r="AC148" s="724"/>
    </row>
    <row r="149" spans="1:29">
      <c r="A149" s="816"/>
      <c r="B149" s="724"/>
      <c r="C149" s="781"/>
      <c r="D149" s="781"/>
      <c r="E149" s="781"/>
      <c r="F149" s="781"/>
      <c r="G149" s="781"/>
      <c r="H149" s="781"/>
      <c r="I149" s="781"/>
      <c r="J149" s="781"/>
      <c r="K149" s="781"/>
      <c r="L149" s="781"/>
      <c r="M149" s="781"/>
      <c r="N149" s="781"/>
      <c r="O149" s="781"/>
      <c r="P149" s="781"/>
      <c r="Q149" s="781"/>
      <c r="R149" s="781"/>
      <c r="S149" s="781"/>
      <c r="T149" s="781"/>
      <c r="U149" s="781"/>
      <c r="V149" s="781"/>
      <c r="W149" s="781"/>
      <c r="X149" s="781"/>
      <c r="Y149" s="781"/>
      <c r="Z149" s="781"/>
      <c r="AA149" s="781"/>
      <c r="AB149" s="724"/>
      <c r="AC149" s="724"/>
    </row>
    <row r="150" spans="1:29">
      <c r="A150" s="816"/>
      <c r="B150" s="724"/>
      <c r="C150" s="781"/>
      <c r="D150" s="781"/>
      <c r="E150" s="781"/>
      <c r="F150" s="781"/>
      <c r="G150" s="781"/>
      <c r="H150" s="781"/>
      <c r="I150" s="781"/>
      <c r="J150" s="781"/>
      <c r="K150" s="781"/>
      <c r="L150" s="781"/>
      <c r="M150" s="781"/>
      <c r="N150" s="781"/>
      <c r="O150" s="781"/>
      <c r="P150" s="781"/>
      <c r="Q150" s="781"/>
      <c r="R150" s="781"/>
      <c r="S150" s="781"/>
      <c r="T150" s="781"/>
      <c r="U150" s="781"/>
      <c r="V150" s="781"/>
      <c r="W150" s="781"/>
      <c r="X150" s="781"/>
      <c r="Y150" s="781"/>
      <c r="Z150" s="781"/>
      <c r="AA150" s="781"/>
      <c r="AB150" s="724"/>
      <c r="AC150" s="724"/>
    </row>
    <row r="151" spans="1:29">
      <c r="A151" s="816"/>
      <c r="B151" s="724"/>
      <c r="C151" s="781"/>
      <c r="D151" s="781"/>
      <c r="E151" s="781"/>
      <c r="F151" s="781"/>
      <c r="G151" s="781"/>
      <c r="H151" s="781"/>
      <c r="I151" s="781"/>
      <c r="J151" s="781"/>
      <c r="K151" s="781"/>
      <c r="L151" s="781"/>
      <c r="M151" s="781"/>
      <c r="N151" s="781"/>
      <c r="O151" s="781"/>
      <c r="P151" s="781"/>
      <c r="Q151" s="781"/>
      <c r="R151" s="781"/>
      <c r="S151" s="781"/>
      <c r="T151" s="781"/>
      <c r="U151" s="781"/>
      <c r="V151" s="781"/>
      <c r="W151" s="781"/>
      <c r="X151" s="781"/>
      <c r="Y151" s="781"/>
      <c r="Z151" s="781"/>
      <c r="AA151" s="781"/>
      <c r="AB151" s="724"/>
      <c r="AC151" s="724"/>
    </row>
    <row r="152" spans="1:29">
      <c r="A152" s="816"/>
      <c r="B152" s="724"/>
      <c r="C152" s="781"/>
      <c r="D152" s="781"/>
      <c r="E152" s="781"/>
      <c r="F152" s="781"/>
      <c r="G152" s="781"/>
      <c r="H152" s="781"/>
      <c r="I152" s="781"/>
      <c r="J152" s="781"/>
      <c r="K152" s="781"/>
      <c r="L152" s="781"/>
      <c r="M152" s="781"/>
      <c r="N152" s="781"/>
      <c r="O152" s="781"/>
      <c r="P152" s="781"/>
      <c r="Q152" s="781"/>
      <c r="R152" s="781"/>
      <c r="S152" s="781"/>
      <c r="T152" s="781"/>
      <c r="U152" s="781"/>
      <c r="V152" s="781"/>
      <c r="W152" s="781"/>
      <c r="X152" s="781"/>
      <c r="Y152" s="781"/>
      <c r="Z152" s="781"/>
      <c r="AA152" s="781"/>
      <c r="AB152" s="724"/>
      <c r="AC152" s="724"/>
    </row>
  </sheetData>
  <mergeCells count="18">
    <mergeCell ref="S3:T3"/>
    <mergeCell ref="U3:V3"/>
    <mergeCell ref="W3:X3"/>
    <mergeCell ref="B1:X1"/>
    <mergeCell ref="Y1:AA1"/>
    <mergeCell ref="A2:AA2"/>
    <mergeCell ref="A3:A4"/>
    <mergeCell ref="B3:B4"/>
    <mergeCell ref="C3:D3"/>
    <mergeCell ref="E3:F3"/>
    <mergeCell ref="G3:H3"/>
    <mergeCell ref="I3:J3"/>
    <mergeCell ref="K3:L3"/>
    <mergeCell ref="Y3:Z3"/>
    <mergeCell ref="AA3:AA4"/>
    <mergeCell ref="M3:N3"/>
    <mergeCell ref="O3:P3"/>
    <mergeCell ref="Q3:R3"/>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9"/>
  <dimension ref="A1:AB64"/>
  <sheetViews>
    <sheetView rightToLeft="1" workbookViewId="0">
      <selection activeCell="F32" sqref="F32"/>
    </sheetView>
  </sheetViews>
  <sheetFormatPr defaultColWidth="8.85546875" defaultRowHeight="12.75"/>
  <cols>
    <col min="1" max="1" width="8.85546875" style="661"/>
    <col min="2" max="2" width="70.42578125" style="661" customWidth="1"/>
    <col min="3" max="16384" width="8.85546875" style="661"/>
  </cols>
  <sheetData>
    <row r="1" spans="1:28" ht="18.75" thickBot="1">
      <c r="A1" s="723"/>
      <c r="B1" s="2347"/>
      <c r="C1" s="2333"/>
      <c r="D1" s="2333"/>
      <c r="E1" s="2333"/>
      <c r="F1" s="2333"/>
      <c r="G1" s="2333"/>
      <c r="H1" s="2333"/>
      <c r="I1" s="2333"/>
      <c r="J1" s="2333"/>
      <c r="K1" s="2333"/>
      <c r="L1" s="2333"/>
      <c r="M1" s="2333"/>
      <c r="N1" s="2333"/>
      <c r="O1" s="2333"/>
      <c r="P1" s="2333"/>
      <c r="Q1" s="2333"/>
      <c r="R1" s="2333"/>
      <c r="S1" s="2333"/>
      <c r="T1" s="2333"/>
      <c r="U1" s="2333"/>
      <c r="V1" s="2333"/>
      <c r="W1" s="2333"/>
      <c r="X1" s="2348"/>
      <c r="Y1" s="2334"/>
      <c r="Z1" s="2334"/>
      <c r="AA1" s="2335"/>
      <c r="AB1" s="724"/>
    </row>
    <row r="2" spans="1:28" ht="21" thickBot="1">
      <c r="A2" s="2336" t="s">
        <v>2318</v>
      </c>
      <c r="B2" s="2337"/>
      <c r="C2" s="2337"/>
      <c r="D2" s="2337"/>
      <c r="E2" s="2337"/>
      <c r="F2" s="2337"/>
      <c r="G2" s="2337"/>
      <c r="H2" s="2337"/>
      <c r="I2" s="2337"/>
      <c r="J2" s="2337"/>
      <c r="K2" s="2337"/>
      <c r="L2" s="2337"/>
      <c r="M2" s="2337"/>
      <c r="N2" s="2337"/>
      <c r="O2" s="2337"/>
      <c r="P2" s="2337"/>
      <c r="Q2" s="2337"/>
      <c r="R2" s="2337"/>
      <c r="S2" s="2337"/>
      <c r="T2" s="2337"/>
      <c r="U2" s="2337"/>
      <c r="V2" s="2337"/>
      <c r="W2" s="2337"/>
      <c r="X2" s="2337"/>
      <c r="Y2" s="2337"/>
      <c r="Z2" s="2337"/>
      <c r="AA2" s="2338"/>
      <c r="AB2" s="725"/>
    </row>
    <row r="3" spans="1:28">
      <c r="A3" s="2339" t="s">
        <v>2306</v>
      </c>
      <c r="B3" s="2341" t="s">
        <v>2307</v>
      </c>
      <c r="C3" s="2331" t="s">
        <v>2255</v>
      </c>
      <c r="D3" s="2332"/>
      <c r="E3" s="2331" t="s">
        <v>2256</v>
      </c>
      <c r="F3" s="2332"/>
      <c r="G3" s="2331" t="s">
        <v>2257</v>
      </c>
      <c r="H3" s="2332"/>
      <c r="I3" s="2331" t="s">
        <v>2258</v>
      </c>
      <c r="J3" s="2332"/>
      <c r="K3" s="2331" t="s">
        <v>2259</v>
      </c>
      <c r="L3" s="2332"/>
      <c r="M3" s="2331" t="s">
        <v>2260</v>
      </c>
      <c r="N3" s="2332"/>
      <c r="O3" s="2331" t="s">
        <v>2261</v>
      </c>
      <c r="P3" s="2332"/>
      <c r="Q3" s="2331" t="s">
        <v>2262</v>
      </c>
      <c r="R3" s="2332"/>
      <c r="S3" s="2331" t="s">
        <v>2263</v>
      </c>
      <c r="T3" s="2332"/>
      <c r="U3" s="2331" t="s">
        <v>2264</v>
      </c>
      <c r="V3" s="2332"/>
      <c r="W3" s="2331" t="s">
        <v>2265</v>
      </c>
      <c r="X3" s="2332"/>
      <c r="Y3" s="2331" t="s">
        <v>2266</v>
      </c>
      <c r="Z3" s="2332"/>
      <c r="AA3" s="2343" t="s">
        <v>2267</v>
      </c>
      <c r="AB3" s="725"/>
    </row>
    <row r="4" spans="1:28" ht="13.5" thickBot="1">
      <c r="A4" s="2345"/>
      <c r="B4" s="2346"/>
      <c r="C4" s="726" t="s">
        <v>2269</v>
      </c>
      <c r="D4" s="727" t="s">
        <v>2270</v>
      </c>
      <c r="E4" s="726" t="s">
        <v>2269</v>
      </c>
      <c r="F4" s="727" t="s">
        <v>2270</v>
      </c>
      <c r="G4" s="726" t="s">
        <v>2269</v>
      </c>
      <c r="H4" s="727" t="s">
        <v>2270</v>
      </c>
      <c r="I4" s="726" t="s">
        <v>2269</v>
      </c>
      <c r="J4" s="727" t="s">
        <v>2270</v>
      </c>
      <c r="K4" s="726" t="s">
        <v>2269</v>
      </c>
      <c r="L4" s="727" t="s">
        <v>2270</v>
      </c>
      <c r="M4" s="726" t="s">
        <v>2269</v>
      </c>
      <c r="N4" s="727" t="s">
        <v>2270</v>
      </c>
      <c r="O4" s="726" t="s">
        <v>2269</v>
      </c>
      <c r="P4" s="727" t="s">
        <v>2270</v>
      </c>
      <c r="Q4" s="726" t="s">
        <v>2269</v>
      </c>
      <c r="R4" s="727" t="s">
        <v>2270</v>
      </c>
      <c r="S4" s="726" t="s">
        <v>2269</v>
      </c>
      <c r="T4" s="727" t="s">
        <v>2270</v>
      </c>
      <c r="U4" s="726" t="s">
        <v>2269</v>
      </c>
      <c r="V4" s="727" t="s">
        <v>2270</v>
      </c>
      <c r="W4" s="726" t="s">
        <v>2269</v>
      </c>
      <c r="X4" s="727" t="s">
        <v>2270</v>
      </c>
      <c r="Y4" s="726" t="s">
        <v>2269</v>
      </c>
      <c r="Z4" s="727" t="s">
        <v>2270</v>
      </c>
      <c r="AA4" s="2344"/>
      <c r="AB4" s="724"/>
    </row>
    <row r="5" spans="1:28" ht="14.25">
      <c r="A5" s="818">
        <v>1</v>
      </c>
      <c r="B5" s="819" t="s">
        <v>2631</v>
      </c>
      <c r="C5" s="784"/>
      <c r="D5" s="731"/>
      <c r="E5" s="732"/>
      <c r="F5" s="731"/>
      <c r="G5" s="820"/>
      <c r="H5" s="821"/>
      <c r="I5" s="732"/>
      <c r="J5" s="731"/>
      <c r="K5" s="732"/>
      <c r="L5" s="731"/>
      <c r="M5" s="732"/>
      <c r="N5" s="731"/>
      <c r="O5" s="732"/>
      <c r="P5" s="731"/>
      <c r="Q5" s="732"/>
      <c r="R5" s="731"/>
      <c r="S5" s="732"/>
      <c r="T5" s="731"/>
      <c r="U5" s="732"/>
      <c r="V5" s="731"/>
      <c r="W5" s="732"/>
      <c r="X5" s="731"/>
      <c r="Y5" s="732"/>
      <c r="Z5" s="731"/>
      <c r="AA5" s="822"/>
      <c r="AB5" s="724"/>
    </row>
    <row r="6" spans="1:28" ht="14.25">
      <c r="A6" s="788">
        <v>1.1000000000000001</v>
      </c>
      <c r="B6" s="789" t="s">
        <v>2632</v>
      </c>
      <c r="C6" s="790"/>
      <c r="D6" s="738"/>
      <c r="E6" s="739"/>
      <c r="F6" s="738"/>
      <c r="G6" s="713"/>
      <c r="H6" s="714">
        <v>25</v>
      </c>
      <c r="I6" s="739"/>
      <c r="J6" s="738"/>
      <c r="K6" s="739"/>
      <c r="L6" s="738"/>
      <c r="M6" s="739"/>
      <c r="N6" s="738"/>
      <c r="O6" s="739"/>
      <c r="P6" s="738"/>
      <c r="Q6" s="739"/>
      <c r="R6" s="738"/>
      <c r="S6" s="739"/>
      <c r="T6" s="738"/>
      <c r="U6" s="739"/>
      <c r="V6" s="738"/>
      <c r="W6" s="739"/>
      <c r="X6" s="738"/>
      <c r="Y6" s="739"/>
      <c r="Z6" s="738"/>
      <c r="AA6" s="823"/>
      <c r="AB6" s="724"/>
    </row>
    <row r="7" spans="1:28" ht="14.25">
      <c r="A7" s="788">
        <v>1.2</v>
      </c>
      <c r="B7" s="789" t="s">
        <v>2633</v>
      </c>
      <c r="C7" s="790"/>
      <c r="D7" s="738"/>
      <c r="E7" s="739"/>
      <c r="F7" s="738"/>
      <c r="G7" s="713"/>
      <c r="H7" s="714">
        <v>20</v>
      </c>
      <c r="I7" s="739"/>
      <c r="J7" s="738"/>
      <c r="K7" s="739"/>
      <c r="L7" s="738"/>
      <c r="M7" s="739"/>
      <c r="N7" s="738"/>
      <c r="O7" s="739"/>
      <c r="P7" s="738"/>
      <c r="Q7" s="739"/>
      <c r="R7" s="738"/>
      <c r="S7" s="739"/>
      <c r="T7" s="738"/>
      <c r="U7" s="739"/>
      <c r="V7" s="738"/>
      <c r="W7" s="739"/>
      <c r="X7" s="738"/>
      <c r="Y7" s="739"/>
      <c r="Z7" s="738"/>
      <c r="AA7" s="823"/>
      <c r="AB7" s="724"/>
    </row>
    <row r="8" spans="1:28" ht="14.25">
      <c r="A8" s="788">
        <v>1.3</v>
      </c>
      <c r="B8" s="789" t="s">
        <v>2634</v>
      </c>
      <c r="C8" s="790"/>
      <c r="D8" s="738"/>
      <c r="E8" s="739"/>
      <c r="F8" s="738"/>
      <c r="G8" s="713"/>
      <c r="H8" s="714">
        <v>40</v>
      </c>
      <c r="I8" s="739"/>
      <c r="J8" s="738"/>
      <c r="K8" s="739"/>
      <c r="L8" s="738"/>
      <c r="M8" s="739"/>
      <c r="N8" s="738"/>
      <c r="O8" s="739"/>
      <c r="P8" s="738"/>
      <c r="Q8" s="739"/>
      <c r="R8" s="738"/>
      <c r="S8" s="739"/>
      <c r="T8" s="738"/>
      <c r="U8" s="739"/>
      <c r="V8" s="738"/>
      <c r="W8" s="739"/>
      <c r="X8" s="738"/>
      <c r="Y8" s="739"/>
      <c r="Z8" s="738"/>
      <c r="AA8" s="823"/>
      <c r="AB8" s="724"/>
    </row>
    <row r="9" spans="1:28" ht="14.25">
      <c r="A9" s="788">
        <v>1.4</v>
      </c>
      <c r="B9" s="789" t="s">
        <v>2635</v>
      </c>
      <c r="C9" s="790"/>
      <c r="D9" s="738"/>
      <c r="E9" s="739"/>
      <c r="F9" s="738"/>
      <c r="G9" s="713">
        <v>5</v>
      </c>
      <c r="H9" s="714"/>
      <c r="I9" s="739"/>
      <c r="J9" s="738"/>
      <c r="K9" s="739"/>
      <c r="L9" s="738"/>
      <c r="M9" s="739"/>
      <c r="N9" s="738"/>
      <c r="O9" s="739"/>
      <c r="P9" s="738"/>
      <c r="Q9" s="739"/>
      <c r="R9" s="738"/>
      <c r="S9" s="739"/>
      <c r="T9" s="738"/>
      <c r="U9" s="739"/>
      <c r="V9" s="738"/>
      <c r="W9" s="739"/>
      <c r="X9" s="738"/>
      <c r="Y9" s="739"/>
      <c r="Z9" s="738"/>
      <c r="AA9" s="823"/>
      <c r="AB9" s="724"/>
    </row>
    <row r="10" spans="1:28" ht="14.25">
      <c r="A10" s="788">
        <v>1.5</v>
      </c>
      <c r="B10" s="824" t="s">
        <v>2636</v>
      </c>
      <c r="C10" s="790"/>
      <c r="D10" s="738"/>
      <c r="E10" s="739"/>
      <c r="F10" s="738"/>
      <c r="G10" s="713"/>
      <c r="H10" s="714">
        <v>25</v>
      </c>
      <c r="I10" s="739"/>
      <c r="J10" s="738"/>
      <c r="K10" s="739"/>
      <c r="L10" s="738"/>
      <c r="M10" s="739"/>
      <c r="N10" s="738"/>
      <c r="O10" s="739"/>
      <c r="P10" s="738"/>
      <c r="Q10" s="739"/>
      <c r="R10" s="738"/>
      <c r="S10" s="739"/>
      <c r="T10" s="738"/>
      <c r="U10" s="739"/>
      <c r="V10" s="738"/>
      <c r="W10" s="739"/>
      <c r="X10" s="738"/>
      <c r="Y10" s="739"/>
      <c r="Z10" s="738"/>
      <c r="AA10" s="823"/>
      <c r="AB10" s="724"/>
    </row>
    <row r="11" spans="1:28" ht="14.25">
      <c r="A11" s="788">
        <v>1.6</v>
      </c>
      <c r="B11" s="825" t="s">
        <v>2637</v>
      </c>
      <c r="C11" s="790"/>
      <c r="D11" s="738"/>
      <c r="E11" s="739"/>
      <c r="F11" s="738"/>
      <c r="G11" s="713"/>
      <c r="H11" s="714">
        <v>20</v>
      </c>
      <c r="I11" s="739"/>
      <c r="J11" s="738"/>
      <c r="K11" s="739"/>
      <c r="L11" s="738"/>
      <c r="M11" s="739"/>
      <c r="N11" s="738"/>
      <c r="O11" s="739"/>
      <c r="P11" s="738"/>
      <c r="Q11" s="739"/>
      <c r="R11" s="738"/>
      <c r="S11" s="739"/>
      <c r="T11" s="738"/>
      <c r="U11" s="739"/>
      <c r="V11" s="738"/>
      <c r="W11" s="739"/>
      <c r="X11" s="738"/>
      <c r="Y11" s="739"/>
      <c r="Z11" s="738"/>
      <c r="AA11" s="823"/>
      <c r="AB11" s="724"/>
    </row>
    <row r="12" spans="1:28" ht="14.25">
      <c r="A12" s="760">
        <v>2</v>
      </c>
      <c r="B12" s="796" t="s">
        <v>2638</v>
      </c>
      <c r="C12" s="794"/>
      <c r="D12" s="745"/>
      <c r="E12" s="746"/>
      <c r="F12" s="745"/>
      <c r="G12" s="826"/>
      <c r="H12" s="827"/>
      <c r="I12" s="746"/>
      <c r="J12" s="745"/>
      <c r="K12" s="746"/>
      <c r="L12" s="745"/>
      <c r="M12" s="746"/>
      <c r="N12" s="745"/>
      <c r="O12" s="746"/>
      <c r="P12" s="745"/>
      <c r="Q12" s="746"/>
      <c r="R12" s="745"/>
      <c r="S12" s="746"/>
      <c r="T12" s="745"/>
      <c r="U12" s="746"/>
      <c r="V12" s="745"/>
      <c r="W12" s="746"/>
      <c r="X12" s="745"/>
      <c r="Y12" s="746"/>
      <c r="Z12" s="745"/>
      <c r="AA12" s="828"/>
      <c r="AB12" s="724"/>
    </row>
    <row r="13" spans="1:28" ht="14.25">
      <c r="A13" s="788">
        <v>2.1</v>
      </c>
      <c r="B13" s="824" t="s">
        <v>2639</v>
      </c>
      <c r="C13" s="790"/>
      <c r="D13" s="738"/>
      <c r="E13" s="739"/>
      <c r="F13" s="738"/>
      <c r="G13" s="713">
        <v>100</v>
      </c>
      <c r="H13" s="714">
        <v>5</v>
      </c>
      <c r="I13" s="739"/>
      <c r="J13" s="738"/>
      <c r="K13" s="739"/>
      <c r="L13" s="738"/>
      <c r="M13" s="739"/>
      <c r="N13" s="738"/>
      <c r="O13" s="739"/>
      <c r="P13" s="738"/>
      <c r="Q13" s="739"/>
      <c r="R13" s="738"/>
      <c r="S13" s="739"/>
      <c r="T13" s="738"/>
      <c r="U13" s="739"/>
      <c r="V13" s="738"/>
      <c r="W13" s="739"/>
      <c r="X13" s="738"/>
      <c r="Y13" s="739"/>
      <c r="Z13" s="738"/>
      <c r="AA13" s="823"/>
      <c r="AB13" s="724"/>
    </row>
    <row r="14" spans="1:28" ht="14.25">
      <c r="A14" s="788">
        <v>2.2000000000000002</v>
      </c>
      <c r="B14" s="824" t="s">
        <v>2640</v>
      </c>
      <c r="C14" s="790"/>
      <c r="D14" s="738"/>
      <c r="E14" s="739"/>
      <c r="F14" s="738"/>
      <c r="G14" s="713">
        <v>30</v>
      </c>
      <c r="H14" s="714">
        <v>5</v>
      </c>
      <c r="I14" s="739"/>
      <c r="J14" s="738"/>
      <c r="K14" s="739"/>
      <c r="L14" s="738"/>
      <c r="M14" s="739"/>
      <c r="N14" s="738"/>
      <c r="O14" s="739"/>
      <c r="P14" s="738"/>
      <c r="Q14" s="739"/>
      <c r="R14" s="738"/>
      <c r="S14" s="739"/>
      <c r="T14" s="738"/>
      <c r="U14" s="739"/>
      <c r="V14" s="738"/>
      <c r="W14" s="739"/>
      <c r="X14" s="738"/>
      <c r="Y14" s="739"/>
      <c r="Z14" s="738"/>
      <c r="AA14" s="823"/>
      <c r="AB14" s="724"/>
    </row>
    <row r="15" spans="1:28" ht="14.25">
      <c r="A15" s="788">
        <v>2.2999999999999998</v>
      </c>
      <c r="B15" s="824" t="s">
        <v>2641</v>
      </c>
      <c r="C15" s="790"/>
      <c r="D15" s="738"/>
      <c r="E15" s="739"/>
      <c r="F15" s="738"/>
      <c r="G15" s="713">
        <v>90</v>
      </c>
      <c r="H15" s="714">
        <v>5</v>
      </c>
      <c r="I15" s="739"/>
      <c r="J15" s="738"/>
      <c r="K15" s="739"/>
      <c r="L15" s="738"/>
      <c r="M15" s="739"/>
      <c r="N15" s="738"/>
      <c r="O15" s="739"/>
      <c r="P15" s="738"/>
      <c r="Q15" s="739"/>
      <c r="R15" s="738"/>
      <c r="S15" s="739"/>
      <c r="T15" s="738"/>
      <c r="U15" s="739"/>
      <c r="V15" s="738"/>
      <c r="W15" s="739"/>
      <c r="X15" s="738"/>
      <c r="Y15" s="739"/>
      <c r="Z15" s="738"/>
      <c r="AA15" s="823"/>
      <c r="AB15" s="724"/>
    </row>
    <row r="16" spans="1:28" ht="14.25">
      <c r="A16" s="788">
        <v>2.4</v>
      </c>
      <c r="B16" s="824" t="s">
        <v>2642</v>
      </c>
      <c r="C16" s="790"/>
      <c r="D16" s="738"/>
      <c r="E16" s="739"/>
      <c r="F16" s="738"/>
      <c r="G16" s="713">
        <v>40</v>
      </c>
      <c r="H16" s="714">
        <v>5</v>
      </c>
      <c r="I16" s="739"/>
      <c r="J16" s="738"/>
      <c r="K16" s="739"/>
      <c r="L16" s="738"/>
      <c r="M16" s="739"/>
      <c r="N16" s="738"/>
      <c r="O16" s="739"/>
      <c r="P16" s="738"/>
      <c r="Q16" s="739"/>
      <c r="R16" s="738"/>
      <c r="S16" s="739"/>
      <c r="T16" s="738"/>
      <c r="U16" s="739"/>
      <c r="V16" s="738"/>
      <c r="W16" s="739"/>
      <c r="X16" s="738"/>
      <c r="Y16" s="739"/>
      <c r="Z16" s="738"/>
      <c r="AA16" s="823"/>
      <c r="AB16" s="724"/>
    </row>
    <row r="17" spans="1:28" ht="14.25">
      <c r="A17" s="788">
        <v>2.5</v>
      </c>
      <c r="B17" s="824" t="s">
        <v>2643</v>
      </c>
      <c r="C17" s="790"/>
      <c r="D17" s="738"/>
      <c r="E17" s="739"/>
      <c r="F17" s="738"/>
      <c r="G17" s="713">
        <v>50</v>
      </c>
      <c r="H17" s="714">
        <v>5</v>
      </c>
      <c r="I17" s="739"/>
      <c r="J17" s="738"/>
      <c r="K17" s="739"/>
      <c r="L17" s="738"/>
      <c r="M17" s="739"/>
      <c r="N17" s="738"/>
      <c r="O17" s="739"/>
      <c r="P17" s="738"/>
      <c r="Q17" s="739"/>
      <c r="R17" s="738"/>
      <c r="S17" s="739"/>
      <c r="T17" s="738"/>
      <c r="U17" s="739"/>
      <c r="V17" s="738"/>
      <c r="W17" s="739"/>
      <c r="X17" s="738"/>
      <c r="Y17" s="739"/>
      <c r="Z17" s="738"/>
      <c r="AA17" s="823"/>
      <c r="AB17" s="724"/>
    </row>
    <row r="18" spans="1:28" ht="14.25">
      <c r="A18" s="788">
        <v>2.6</v>
      </c>
      <c r="B18" s="824" t="s">
        <v>2644</v>
      </c>
      <c r="C18" s="790"/>
      <c r="D18" s="738"/>
      <c r="E18" s="739"/>
      <c r="F18" s="738"/>
      <c r="G18" s="713">
        <v>90</v>
      </c>
      <c r="H18" s="714">
        <v>5</v>
      </c>
      <c r="I18" s="739"/>
      <c r="J18" s="738"/>
      <c r="K18" s="739"/>
      <c r="L18" s="738"/>
      <c r="M18" s="739"/>
      <c r="N18" s="738"/>
      <c r="O18" s="739"/>
      <c r="P18" s="738"/>
      <c r="Q18" s="739"/>
      <c r="R18" s="738"/>
      <c r="S18" s="739"/>
      <c r="T18" s="738"/>
      <c r="U18" s="739"/>
      <c r="V18" s="738"/>
      <c r="W18" s="739"/>
      <c r="X18" s="738"/>
      <c r="Y18" s="739"/>
      <c r="Z18" s="738"/>
      <c r="AA18" s="823"/>
      <c r="AB18" s="724"/>
    </row>
    <row r="19" spans="1:28" ht="14.25">
      <c r="A19" s="788">
        <v>2.7</v>
      </c>
      <c r="B19" s="824" t="s">
        <v>2645</v>
      </c>
      <c r="C19" s="794"/>
      <c r="D19" s="745"/>
      <c r="E19" s="746"/>
      <c r="F19" s="745"/>
      <c r="G19" s="713">
        <v>60</v>
      </c>
      <c r="H19" s="714">
        <v>5</v>
      </c>
      <c r="I19" s="746"/>
      <c r="J19" s="745"/>
      <c r="K19" s="746"/>
      <c r="L19" s="745"/>
      <c r="M19" s="746"/>
      <c r="N19" s="745"/>
      <c r="O19" s="746"/>
      <c r="P19" s="745"/>
      <c r="Q19" s="746"/>
      <c r="R19" s="745"/>
      <c r="S19" s="746"/>
      <c r="T19" s="745"/>
      <c r="U19" s="746"/>
      <c r="V19" s="745"/>
      <c r="W19" s="746"/>
      <c r="X19" s="745"/>
      <c r="Y19" s="746"/>
      <c r="Z19" s="745"/>
      <c r="AA19" s="823"/>
      <c r="AB19" s="724"/>
    </row>
    <row r="20" spans="1:28" ht="28.5">
      <c r="A20" s="788">
        <v>2.8</v>
      </c>
      <c r="B20" s="824" t="s">
        <v>2646</v>
      </c>
      <c r="C20" s="790"/>
      <c r="D20" s="738"/>
      <c r="E20" s="739"/>
      <c r="F20" s="738"/>
      <c r="G20" s="713">
        <v>80</v>
      </c>
      <c r="H20" s="714">
        <v>5</v>
      </c>
      <c r="I20" s="739"/>
      <c r="J20" s="738"/>
      <c r="K20" s="739"/>
      <c r="L20" s="738"/>
      <c r="M20" s="739"/>
      <c r="N20" s="738"/>
      <c r="O20" s="739"/>
      <c r="P20" s="738"/>
      <c r="Q20" s="739"/>
      <c r="R20" s="738"/>
      <c r="S20" s="739"/>
      <c r="T20" s="738"/>
      <c r="U20" s="739"/>
      <c r="V20" s="738"/>
      <c r="W20" s="739"/>
      <c r="X20" s="738"/>
      <c r="Y20" s="739"/>
      <c r="Z20" s="738"/>
      <c r="AA20" s="823"/>
      <c r="AB20" s="724"/>
    </row>
    <row r="21" spans="1:28" ht="14.25">
      <c r="A21" s="788">
        <v>2.9</v>
      </c>
      <c r="B21" s="824" t="s">
        <v>2647</v>
      </c>
      <c r="C21" s="790"/>
      <c r="D21" s="738"/>
      <c r="E21" s="739"/>
      <c r="F21" s="738"/>
      <c r="G21" s="713">
        <v>80</v>
      </c>
      <c r="H21" s="714">
        <v>5</v>
      </c>
      <c r="I21" s="739"/>
      <c r="J21" s="738"/>
      <c r="K21" s="739"/>
      <c r="L21" s="738"/>
      <c r="M21" s="739"/>
      <c r="N21" s="738"/>
      <c r="O21" s="739"/>
      <c r="P21" s="738"/>
      <c r="Q21" s="739"/>
      <c r="R21" s="738"/>
      <c r="S21" s="739"/>
      <c r="T21" s="738"/>
      <c r="U21" s="739"/>
      <c r="V21" s="738"/>
      <c r="W21" s="739"/>
      <c r="X21" s="738"/>
      <c r="Y21" s="739"/>
      <c r="Z21" s="738"/>
      <c r="AA21" s="823"/>
      <c r="AB21" s="724"/>
    </row>
    <row r="22" spans="1:28" ht="14.25">
      <c r="A22" s="795" t="s">
        <v>2648</v>
      </c>
      <c r="B22" s="824" t="s">
        <v>2649</v>
      </c>
      <c r="C22" s="790"/>
      <c r="D22" s="738"/>
      <c r="E22" s="739"/>
      <c r="F22" s="738"/>
      <c r="G22" s="713">
        <v>40</v>
      </c>
      <c r="H22" s="714">
        <v>5</v>
      </c>
      <c r="I22" s="739"/>
      <c r="J22" s="738"/>
      <c r="K22" s="739"/>
      <c r="L22" s="738"/>
      <c r="M22" s="739"/>
      <c r="N22" s="738"/>
      <c r="O22" s="739"/>
      <c r="P22" s="738"/>
      <c r="Q22" s="739"/>
      <c r="R22" s="738"/>
      <c r="S22" s="739"/>
      <c r="T22" s="738"/>
      <c r="U22" s="739"/>
      <c r="V22" s="738"/>
      <c r="W22" s="739"/>
      <c r="X22" s="738"/>
      <c r="Y22" s="739"/>
      <c r="Z22" s="738"/>
      <c r="AA22" s="823"/>
      <c r="AB22" s="724"/>
    </row>
    <row r="23" spans="1:28" ht="14.25">
      <c r="A23" s="760">
        <v>3</v>
      </c>
      <c r="B23" s="796" t="s">
        <v>2650</v>
      </c>
      <c r="C23" s="790"/>
      <c r="D23" s="738"/>
      <c r="E23" s="739"/>
      <c r="F23" s="738"/>
      <c r="G23" s="826"/>
      <c r="H23" s="827"/>
      <c r="I23" s="739"/>
      <c r="J23" s="738"/>
      <c r="K23" s="739"/>
      <c r="L23" s="738"/>
      <c r="M23" s="739"/>
      <c r="N23" s="738"/>
      <c r="O23" s="739"/>
      <c r="P23" s="738"/>
      <c r="Q23" s="739"/>
      <c r="R23" s="738"/>
      <c r="S23" s="739"/>
      <c r="T23" s="738"/>
      <c r="U23" s="739"/>
      <c r="V23" s="738"/>
      <c r="W23" s="739"/>
      <c r="X23" s="738"/>
      <c r="Y23" s="739"/>
      <c r="Z23" s="738"/>
      <c r="AA23" s="828"/>
      <c r="AB23" s="724"/>
    </row>
    <row r="24" spans="1:28" ht="14.25">
      <c r="A24" s="788">
        <v>3.1</v>
      </c>
      <c r="B24" s="824" t="s">
        <v>2651</v>
      </c>
      <c r="C24" s="790"/>
      <c r="D24" s="738"/>
      <c r="E24" s="739"/>
      <c r="F24" s="738"/>
      <c r="G24" s="713">
        <v>25</v>
      </c>
      <c r="H24" s="714">
        <v>2</v>
      </c>
      <c r="I24" s="739"/>
      <c r="J24" s="738"/>
      <c r="K24" s="739"/>
      <c r="L24" s="738"/>
      <c r="M24" s="739"/>
      <c r="N24" s="738"/>
      <c r="O24" s="739"/>
      <c r="P24" s="738"/>
      <c r="Q24" s="739"/>
      <c r="R24" s="738"/>
      <c r="S24" s="739">
        <v>2</v>
      </c>
      <c r="T24" s="738"/>
      <c r="U24" s="739"/>
      <c r="V24" s="738"/>
      <c r="W24" s="739"/>
      <c r="X24" s="738"/>
      <c r="Y24" s="739"/>
      <c r="Z24" s="738"/>
      <c r="AA24" s="823">
        <v>150</v>
      </c>
      <c r="AB24" s="724"/>
    </row>
    <row r="25" spans="1:28" ht="14.25">
      <c r="A25" s="788">
        <v>3.2</v>
      </c>
      <c r="B25" s="824" t="s">
        <v>2652</v>
      </c>
      <c r="C25" s="790"/>
      <c r="D25" s="738"/>
      <c r="E25" s="739"/>
      <c r="F25" s="738"/>
      <c r="G25" s="713">
        <v>15</v>
      </c>
      <c r="H25" s="714">
        <v>2</v>
      </c>
      <c r="I25" s="739"/>
      <c r="J25" s="738"/>
      <c r="K25" s="739"/>
      <c r="L25" s="738"/>
      <c r="M25" s="739"/>
      <c r="N25" s="738"/>
      <c r="O25" s="739"/>
      <c r="P25" s="738"/>
      <c r="Q25" s="739"/>
      <c r="R25" s="738"/>
      <c r="S25" s="739">
        <v>1</v>
      </c>
      <c r="T25" s="738"/>
      <c r="U25" s="739"/>
      <c r="V25" s="738"/>
      <c r="W25" s="739"/>
      <c r="X25" s="738"/>
      <c r="Y25" s="739"/>
      <c r="Z25" s="738"/>
      <c r="AA25" s="823">
        <v>60</v>
      </c>
      <c r="AB25" s="724"/>
    </row>
    <row r="26" spans="1:28" ht="14.25">
      <c r="A26" s="788">
        <v>3.3</v>
      </c>
      <c r="B26" s="824" t="s">
        <v>2653</v>
      </c>
      <c r="C26" s="790"/>
      <c r="D26" s="738"/>
      <c r="E26" s="739"/>
      <c r="F26" s="738"/>
      <c r="G26" s="713">
        <v>25</v>
      </c>
      <c r="H26" s="714">
        <v>2</v>
      </c>
      <c r="I26" s="739"/>
      <c r="J26" s="738"/>
      <c r="K26" s="739"/>
      <c r="L26" s="738"/>
      <c r="M26" s="739"/>
      <c r="N26" s="738"/>
      <c r="O26" s="739"/>
      <c r="P26" s="738"/>
      <c r="Q26" s="739"/>
      <c r="R26" s="738"/>
      <c r="S26" s="739">
        <v>2</v>
      </c>
      <c r="T26" s="738"/>
      <c r="U26" s="739"/>
      <c r="V26" s="738"/>
      <c r="W26" s="739"/>
      <c r="X26" s="738"/>
      <c r="Y26" s="739"/>
      <c r="Z26" s="738"/>
      <c r="AA26" s="823">
        <v>150</v>
      </c>
      <c r="AB26" s="724"/>
    </row>
    <row r="27" spans="1:28" ht="14.25">
      <c r="A27" s="788">
        <v>3.4</v>
      </c>
      <c r="B27" s="824" t="s">
        <v>2654</v>
      </c>
      <c r="C27" s="790"/>
      <c r="D27" s="738"/>
      <c r="E27" s="739"/>
      <c r="F27" s="738"/>
      <c r="G27" s="713">
        <v>15</v>
      </c>
      <c r="H27" s="714">
        <v>2</v>
      </c>
      <c r="I27" s="739"/>
      <c r="J27" s="738"/>
      <c r="K27" s="739"/>
      <c r="L27" s="738"/>
      <c r="M27" s="739"/>
      <c r="N27" s="738"/>
      <c r="O27" s="739"/>
      <c r="P27" s="738"/>
      <c r="Q27" s="739"/>
      <c r="R27" s="738"/>
      <c r="S27" s="739">
        <v>1</v>
      </c>
      <c r="T27" s="738"/>
      <c r="U27" s="739"/>
      <c r="V27" s="738"/>
      <c r="W27" s="739"/>
      <c r="X27" s="738"/>
      <c r="Y27" s="739"/>
      <c r="Z27" s="738"/>
      <c r="AA27" s="823">
        <v>40</v>
      </c>
      <c r="AB27" s="724"/>
    </row>
    <row r="28" spans="1:28" ht="14.25">
      <c r="A28" s="788">
        <v>3.5</v>
      </c>
      <c r="B28" s="824" t="s">
        <v>2655</v>
      </c>
      <c r="C28" s="794"/>
      <c r="D28" s="745"/>
      <c r="E28" s="746"/>
      <c r="F28" s="745"/>
      <c r="G28" s="713">
        <v>25</v>
      </c>
      <c r="H28" s="714">
        <v>2</v>
      </c>
      <c r="I28" s="746"/>
      <c r="J28" s="745"/>
      <c r="K28" s="746"/>
      <c r="L28" s="745"/>
      <c r="M28" s="746"/>
      <c r="N28" s="745"/>
      <c r="O28" s="746"/>
      <c r="P28" s="745"/>
      <c r="Q28" s="746"/>
      <c r="R28" s="745"/>
      <c r="S28" s="805">
        <v>2</v>
      </c>
      <c r="T28" s="745"/>
      <c r="U28" s="746"/>
      <c r="V28" s="745"/>
      <c r="W28" s="746"/>
      <c r="X28" s="745"/>
      <c r="Y28" s="746"/>
      <c r="Z28" s="745"/>
      <c r="AA28" s="823">
        <v>120</v>
      </c>
      <c r="AB28" s="724"/>
    </row>
    <row r="29" spans="1:28" ht="14.25">
      <c r="A29" s="788">
        <v>3.6</v>
      </c>
      <c r="B29" s="824" t="s">
        <v>2656</v>
      </c>
      <c r="C29" s="790"/>
      <c r="D29" s="738"/>
      <c r="E29" s="739"/>
      <c r="F29" s="738"/>
      <c r="G29" s="713">
        <v>30</v>
      </c>
      <c r="H29" s="714">
        <v>2</v>
      </c>
      <c r="I29" s="739"/>
      <c r="J29" s="738"/>
      <c r="K29" s="739"/>
      <c r="L29" s="738"/>
      <c r="M29" s="739"/>
      <c r="N29" s="738"/>
      <c r="O29" s="739"/>
      <c r="P29" s="738"/>
      <c r="Q29" s="739"/>
      <c r="R29" s="738"/>
      <c r="S29" s="739">
        <v>3</v>
      </c>
      <c r="T29" s="738"/>
      <c r="U29" s="739"/>
      <c r="V29" s="738"/>
      <c r="W29" s="739"/>
      <c r="X29" s="738"/>
      <c r="Y29" s="739"/>
      <c r="Z29" s="738"/>
      <c r="AA29" s="823">
        <v>160</v>
      </c>
      <c r="AB29" s="724"/>
    </row>
    <row r="30" spans="1:28" ht="14.25">
      <c r="A30" s="788">
        <v>3.7</v>
      </c>
      <c r="B30" s="824" t="s">
        <v>2657</v>
      </c>
      <c r="C30" s="790"/>
      <c r="D30" s="738"/>
      <c r="E30" s="739"/>
      <c r="F30" s="738"/>
      <c r="G30" s="713">
        <v>20</v>
      </c>
      <c r="H30" s="714">
        <v>2</v>
      </c>
      <c r="I30" s="739"/>
      <c r="J30" s="738"/>
      <c r="K30" s="739"/>
      <c r="L30" s="738"/>
      <c r="M30" s="739"/>
      <c r="N30" s="738"/>
      <c r="O30" s="739"/>
      <c r="P30" s="738"/>
      <c r="Q30" s="739"/>
      <c r="R30" s="738"/>
      <c r="S30" s="739">
        <v>2</v>
      </c>
      <c r="T30" s="738"/>
      <c r="U30" s="739"/>
      <c r="V30" s="738"/>
      <c r="W30" s="739"/>
      <c r="X30" s="738"/>
      <c r="Y30" s="739"/>
      <c r="Z30" s="738"/>
      <c r="AA30" s="823">
        <v>80</v>
      </c>
      <c r="AB30" s="724"/>
    </row>
    <row r="31" spans="1:28" ht="28.5">
      <c r="A31" s="788">
        <v>3.8</v>
      </c>
      <c r="B31" s="824" t="s">
        <v>2658</v>
      </c>
      <c r="C31" s="790"/>
      <c r="D31" s="738"/>
      <c r="E31" s="739"/>
      <c r="F31" s="738"/>
      <c r="G31" s="713">
        <v>25</v>
      </c>
      <c r="H31" s="714">
        <v>2</v>
      </c>
      <c r="I31" s="739"/>
      <c r="J31" s="738"/>
      <c r="K31" s="739"/>
      <c r="L31" s="738"/>
      <c r="M31" s="739"/>
      <c r="N31" s="738"/>
      <c r="O31" s="739"/>
      <c r="P31" s="738"/>
      <c r="Q31" s="739"/>
      <c r="R31" s="738"/>
      <c r="S31" s="739">
        <v>2</v>
      </c>
      <c r="T31" s="738"/>
      <c r="U31" s="739"/>
      <c r="V31" s="738"/>
      <c r="W31" s="739"/>
      <c r="X31" s="738"/>
      <c r="Y31" s="739"/>
      <c r="Z31" s="738"/>
      <c r="AA31" s="823">
        <v>120</v>
      </c>
      <c r="AB31" s="724"/>
    </row>
    <row r="32" spans="1:28" ht="14.25">
      <c r="A32" s="788">
        <v>3.9</v>
      </c>
      <c r="B32" s="824" t="s">
        <v>2659</v>
      </c>
      <c r="C32" s="790"/>
      <c r="D32" s="738"/>
      <c r="E32" s="739"/>
      <c r="F32" s="738"/>
      <c r="G32" s="713">
        <v>25</v>
      </c>
      <c r="H32" s="714">
        <v>2</v>
      </c>
      <c r="I32" s="739"/>
      <c r="J32" s="738"/>
      <c r="K32" s="739"/>
      <c r="L32" s="738"/>
      <c r="M32" s="739"/>
      <c r="N32" s="738"/>
      <c r="O32" s="739"/>
      <c r="P32" s="738"/>
      <c r="Q32" s="739"/>
      <c r="R32" s="738"/>
      <c r="S32" s="739">
        <v>2</v>
      </c>
      <c r="T32" s="738"/>
      <c r="U32" s="739"/>
      <c r="V32" s="738"/>
      <c r="W32" s="739"/>
      <c r="X32" s="738"/>
      <c r="Y32" s="739"/>
      <c r="Z32" s="738"/>
      <c r="AA32" s="823">
        <v>120</v>
      </c>
      <c r="AB32" s="724"/>
    </row>
    <row r="33" spans="1:28" ht="14.25">
      <c r="A33" s="795" t="s">
        <v>1340</v>
      </c>
      <c r="B33" s="824" t="s">
        <v>2660</v>
      </c>
      <c r="C33" s="790"/>
      <c r="D33" s="738"/>
      <c r="E33" s="739"/>
      <c r="F33" s="738"/>
      <c r="G33" s="713">
        <v>15</v>
      </c>
      <c r="H33" s="714">
        <v>2</v>
      </c>
      <c r="I33" s="739"/>
      <c r="J33" s="738"/>
      <c r="K33" s="739"/>
      <c r="L33" s="738"/>
      <c r="M33" s="739"/>
      <c r="N33" s="738"/>
      <c r="O33" s="739"/>
      <c r="P33" s="738"/>
      <c r="Q33" s="739"/>
      <c r="R33" s="738"/>
      <c r="S33" s="739">
        <v>2</v>
      </c>
      <c r="T33" s="738"/>
      <c r="U33" s="739"/>
      <c r="V33" s="738"/>
      <c r="W33" s="739"/>
      <c r="X33" s="738"/>
      <c r="Y33" s="739"/>
      <c r="Z33" s="738"/>
      <c r="AA33" s="823">
        <v>40</v>
      </c>
      <c r="AB33" s="724"/>
    </row>
    <row r="34" spans="1:28" ht="14.25">
      <c r="A34" s="760">
        <v>4</v>
      </c>
      <c r="B34" s="829" t="s">
        <v>2661</v>
      </c>
      <c r="C34" s="790"/>
      <c r="D34" s="738"/>
      <c r="E34" s="739"/>
      <c r="F34" s="738"/>
      <c r="G34" s="826"/>
      <c r="H34" s="827"/>
      <c r="I34" s="739"/>
      <c r="J34" s="738"/>
      <c r="K34" s="739"/>
      <c r="L34" s="738"/>
      <c r="M34" s="739"/>
      <c r="N34" s="738"/>
      <c r="O34" s="739"/>
      <c r="P34" s="738"/>
      <c r="Q34" s="739"/>
      <c r="R34" s="738"/>
      <c r="S34" s="739"/>
      <c r="T34" s="738"/>
      <c r="U34" s="739"/>
      <c r="V34" s="738"/>
      <c r="W34" s="739"/>
      <c r="X34" s="738"/>
      <c r="Y34" s="739"/>
      <c r="Z34" s="738"/>
      <c r="AA34" s="828"/>
      <c r="AB34" s="724"/>
    </row>
    <row r="35" spans="1:28" ht="14.25">
      <c r="A35" s="788">
        <v>4.0999999999999996</v>
      </c>
      <c r="B35" s="825" t="s">
        <v>2662</v>
      </c>
      <c r="C35" s="790"/>
      <c r="D35" s="738"/>
      <c r="E35" s="739"/>
      <c r="F35" s="738"/>
      <c r="G35" s="713">
        <v>5</v>
      </c>
      <c r="H35" s="714">
        <v>2</v>
      </c>
      <c r="I35" s="739"/>
      <c r="J35" s="738"/>
      <c r="K35" s="739">
        <v>1</v>
      </c>
      <c r="L35" s="738"/>
      <c r="M35" s="739"/>
      <c r="N35" s="738"/>
      <c r="O35" s="739"/>
      <c r="P35" s="738"/>
      <c r="Q35" s="739">
        <v>5</v>
      </c>
      <c r="R35" s="738">
        <v>2</v>
      </c>
      <c r="S35" s="739"/>
      <c r="T35" s="738"/>
      <c r="U35" s="739"/>
      <c r="V35" s="738"/>
      <c r="W35" s="739"/>
      <c r="X35" s="738"/>
      <c r="Y35" s="739"/>
      <c r="Z35" s="738"/>
      <c r="AA35" s="823">
        <v>80</v>
      </c>
      <c r="AB35" s="724"/>
    </row>
    <row r="36" spans="1:28" ht="14.25">
      <c r="A36" s="788">
        <v>4.2</v>
      </c>
      <c r="B36" s="825" t="s">
        <v>2663</v>
      </c>
      <c r="C36" s="790"/>
      <c r="D36" s="738"/>
      <c r="E36" s="739"/>
      <c r="F36" s="738"/>
      <c r="G36" s="713">
        <v>5</v>
      </c>
      <c r="H36" s="714">
        <v>2</v>
      </c>
      <c r="I36" s="739"/>
      <c r="J36" s="738"/>
      <c r="K36" s="739">
        <v>1</v>
      </c>
      <c r="L36" s="738"/>
      <c r="M36" s="739"/>
      <c r="N36" s="738"/>
      <c r="O36" s="739"/>
      <c r="P36" s="738"/>
      <c r="Q36" s="739">
        <v>5</v>
      </c>
      <c r="R36" s="738">
        <v>2</v>
      </c>
      <c r="S36" s="739"/>
      <c r="T36" s="738"/>
      <c r="U36" s="739"/>
      <c r="V36" s="738"/>
      <c r="W36" s="739"/>
      <c r="X36" s="738"/>
      <c r="Y36" s="739"/>
      <c r="Z36" s="738"/>
      <c r="AA36" s="823">
        <v>80</v>
      </c>
      <c r="AB36" s="724"/>
    </row>
    <row r="37" spans="1:28" ht="14.25">
      <c r="A37" s="760">
        <v>5</v>
      </c>
      <c r="B37" s="830" t="s">
        <v>2664</v>
      </c>
      <c r="C37" s="790"/>
      <c r="D37" s="738"/>
      <c r="E37" s="739"/>
      <c r="F37" s="738"/>
      <c r="G37" s="826"/>
      <c r="H37" s="827"/>
      <c r="I37" s="739"/>
      <c r="J37" s="738"/>
      <c r="K37" s="739"/>
      <c r="L37" s="738"/>
      <c r="M37" s="739"/>
      <c r="N37" s="738"/>
      <c r="O37" s="739"/>
      <c r="P37" s="738"/>
      <c r="Q37" s="739"/>
      <c r="R37" s="738"/>
      <c r="S37" s="739"/>
      <c r="T37" s="738"/>
      <c r="U37" s="739"/>
      <c r="V37" s="738"/>
      <c r="W37" s="739"/>
      <c r="X37" s="738"/>
      <c r="Y37" s="739"/>
      <c r="Z37" s="738"/>
      <c r="AA37" s="828"/>
      <c r="AB37" s="724"/>
    </row>
    <row r="38" spans="1:28" ht="14.25">
      <c r="A38" s="788">
        <v>5.0999999999999996</v>
      </c>
      <c r="B38" s="825" t="s">
        <v>2665</v>
      </c>
      <c r="C38" s="794"/>
      <c r="D38" s="745"/>
      <c r="E38" s="746"/>
      <c r="F38" s="745"/>
      <c r="G38" s="713">
        <v>150</v>
      </c>
      <c r="H38" s="714">
        <v>40</v>
      </c>
      <c r="I38" s="746"/>
      <c r="J38" s="745"/>
      <c r="K38" s="746"/>
      <c r="L38" s="745"/>
      <c r="M38" s="746"/>
      <c r="N38" s="745"/>
      <c r="O38" s="746"/>
      <c r="P38" s="745"/>
      <c r="Q38" s="746"/>
      <c r="R38" s="745"/>
      <c r="S38" s="746"/>
      <c r="T38" s="745"/>
      <c r="U38" s="746"/>
      <c r="V38" s="745"/>
      <c r="W38" s="746"/>
      <c r="X38" s="745"/>
      <c r="Y38" s="746"/>
      <c r="Z38" s="745"/>
      <c r="AA38" s="823"/>
      <c r="AB38" s="724"/>
    </row>
    <row r="39" spans="1:28" ht="14.25">
      <c r="A39" s="788">
        <v>5.2</v>
      </c>
      <c r="B39" s="789" t="s">
        <v>2666</v>
      </c>
      <c r="C39" s="790"/>
      <c r="D39" s="738"/>
      <c r="E39" s="739"/>
      <c r="F39" s="738"/>
      <c r="G39" s="713">
        <v>30</v>
      </c>
      <c r="H39" s="714">
        <v>5</v>
      </c>
      <c r="I39" s="739"/>
      <c r="J39" s="738"/>
      <c r="K39" s="739"/>
      <c r="L39" s="738"/>
      <c r="M39" s="739"/>
      <c r="N39" s="738"/>
      <c r="O39" s="739"/>
      <c r="P39" s="738"/>
      <c r="Q39" s="739"/>
      <c r="R39" s="738"/>
      <c r="S39" s="739"/>
      <c r="T39" s="738"/>
      <c r="U39" s="739"/>
      <c r="V39" s="738"/>
      <c r="W39" s="739"/>
      <c r="X39" s="738"/>
      <c r="Y39" s="739"/>
      <c r="Z39" s="738"/>
      <c r="AA39" s="823"/>
      <c r="AB39" s="724"/>
    </row>
    <row r="40" spans="1:28" ht="14.25">
      <c r="A40" s="760">
        <v>6</v>
      </c>
      <c r="B40" s="796" t="s">
        <v>2667</v>
      </c>
      <c r="C40" s="790"/>
      <c r="D40" s="738"/>
      <c r="E40" s="739"/>
      <c r="F40" s="738"/>
      <c r="G40" s="826"/>
      <c r="H40" s="827"/>
      <c r="I40" s="739"/>
      <c r="J40" s="738"/>
      <c r="K40" s="739"/>
      <c r="L40" s="738"/>
      <c r="M40" s="739"/>
      <c r="N40" s="738"/>
      <c r="O40" s="739"/>
      <c r="P40" s="738"/>
      <c r="Q40" s="739"/>
      <c r="R40" s="738"/>
      <c r="S40" s="739"/>
      <c r="T40" s="738"/>
      <c r="U40" s="739"/>
      <c r="V40" s="738"/>
      <c r="W40" s="739"/>
      <c r="X40" s="738"/>
      <c r="Y40" s="739"/>
      <c r="Z40" s="738"/>
      <c r="AA40" s="828"/>
      <c r="AB40" s="724"/>
    </row>
    <row r="41" spans="1:28" ht="14.25">
      <c r="A41" s="788">
        <v>6.1</v>
      </c>
      <c r="B41" s="825" t="s">
        <v>2668</v>
      </c>
      <c r="C41" s="790"/>
      <c r="D41" s="738"/>
      <c r="E41" s="739"/>
      <c r="F41" s="738"/>
      <c r="G41" s="713">
        <v>10</v>
      </c>
      <c r="H41" s="714"/>
      <c r="I41" s="739"/>
      <c r="J41" s="738"/>
      <c r="K41" s="739"/>
      <c r="L41" s="738"/>
      <c r="M41" s="739"/>
      <c r="N41" s="738"/>
      <c r="O41" s="739"/>
      <c r="P41" s="738"/>
      <c r="Q41" s="739"/>
      <c r="R41" s="738"/>
      <c r="S41" s="739"/>
      <c r="T41" s="738"/>
      <c r="U41" s="739"/>
      <c r="V41" s="738"/>
      <c r="W41" s="739"/>
      <c r="X41" s="738"/>
      <c r="Y41" s="739"/>
      <c r="Z41" s="738"/>
      <c r="AA41" s="823"/>
      <c r="AB41" s="724"/>
    </row>
    <row r="42" spans="1:28" ht="14.25">
      <c r="A42" s="788">
        <v>6.2</v>
      </c>
      <c r="B42" s="825" t="s">
        <v>2669</v>
      </c>
      <c r="C42" s="790"/>
      <c r="D42" s="738"/>
      <c r="E42" s="739"/>
      <c r="F42" s="738"/>
      <c r="G42" s="713">
        <v>12</v>
      </c>
      <c r="H42" s="714"/>
      <c r="I42" s="739"/>
      <c r="J42" s="738"/>
      <c r="K42" s="739"/>
      <c r="L42" s="738"/>
      <c r="M42" s="739"/>
      <c r="N42" s="738"/>
      <c r="O42" s="739"/>
      <c r="P42" s="738"/>
      <c r="Q42" s="739"/>
      <c r="R42" s="738"/>
      <c r="S42" s="739"/>
      <c r="T42" s="738"/>
      <c r="U42" s="739"/>
      <c r="V42" s="738"/>
      <c r="W42" s="739"/>
      <c r="X42" s="738"/>
      <c r="Y42" s="739"/>
      <c r="Z42" s="738"/>
      <c r="AA42" s="823"/>
      <c r="AB42" s="724"/>
    </row>
    <row r="43" spans="1:28" ht="14.25">
      <c r="A43" s="788">
        <v>6.3</v>
      </c>
      <c r="B43" s="825" t="s">
        <v>2670</v>
      </c>
      <c r="C43" s="790"/>
      <c r="D43" s="738"/>
      <c r="E43" s="739"/>
      <c r="F43" s="738"/>
      <c r="G43" s="713">
        <v>80</v>
      </c>
      <c r="H43" s="714">
        <v>5</v>
      </c>
      <c r="I43" s="739"/>
      <c r="J43" s="738"/>
      <c r="K43" s="739"/>
      <c r="L43" s="738"/>
      <c r="M43" s="739"/>
      <c r="N43" s="738"/>
      <c r="O43" s="739"/>
      <c r="P43" s="738"/>
      <c r="Q43" s="739"/>
      <c r="R43" s="738"/>
      <c r="S43" s="739"/>
      <c r="T43" s="738"/>
      <c r="U43" s="739"/>
      <c r="V43" s="738"/>
      <c r="W43" s="739"/>
      <c r="X43" s="738"/>
      <c r="Y43" s="739"/>
      <c r="Z43" s="738"/>
      <c r="AA43" s="823"/>
      <c r="AB43" s="724"/>
    </row>
    <row r="44" spans="1:28" ht="14.25">
      <c r="A44" s="831">
        <v>7</v>
      </c>
      <c r="B44" s="832" t="s">
        <v>2611</v>
      </c>
      <c r="C44" s="809"/>
      <c r="D44" s="763"/>
      <c r="E44" s="766"/>
      <c r="F44" s="763"/>
      <c r="G44" s="833"/>
      <c r="H44" s="834"/>
      <c r="I44" s="766"/>
      <c r="J44" s="763"/>
      <c r="K44" s="766"/>
      <c r="L44" s="763"/>
      <c r="M44" s="766"/>
      <c r="N44" s="763"/>
      <c r="O44" s="766"/>
      <c r="P44" s="763"/>
      <c r="Q44" s="766"/>
      <c r="R44" s="763"/>
      <c r="S44" s="766"/>
      <c r="T44" s="763"/>
      <c r="U44" s="766"/>
      <c r="V44" s="763"/>
      <c r="W44" s="766"/>
      <c r="X44" s="763"/>
      <c r="Y44" s="766"/>
      <c r="Z44" s="763"/>
      <c r="AA44" s="835"/>
      <c r="AB44" s="724"/>
    </row>
    <row r="45" spans="1:28" ht="14.25">
      <c r="A45" s="760">
        <v>8</v>
      </c>
      <c r="B45" s="808" t="s">
        <v>2626</v>
      </c>
      <c r="C45" s="809"/>
      <c r="D45" s="763"/>
      <c r="E45" s="764"/>
      <c r="F45" s="765"/>
      <c r="G45" s="766"/>
      <c r="H45" s="763"/>
      <c r="I45" s="766"/>
      <c r="J45" s="763"/>
      <c r="K45" s="766"/>
      <c r="L45" s="763"/>
      <c r="M45" s="766"/>
      <c r="N45" s="763"/>
      <c r="O45" s="766"/>
      <c r="P45" s="763"/>
      <c r="Q45" s="766"/>
      <c r="R45" s="763"/>
      <c r="S45" s="766"/>
      <c r="T45" s="763"/>
      <c r="U45" s="766"/>
      <c r="V45" s="763"/>
      <c r="W45" s="766"/>
      <c r="X45" s="763"/>
      <c r="Y45" s="766"/>
      <c r="Z45" s="763"/>
      <c r="AA45" s="767"/>
      <c r="AB45" s="724"/>
    </row>
    <row r="46" spans="1:28" ht="14.25">
      <c r="A46" s="806">
        <v>8.1</v>
      </c>
      <c r="B46" s="810" t="s">
        <v>2627</v>
      </c>
      <c r="C46" s="809"/>
      <c r="D46" s="763"/>
      <c r="E46" s="764"/>
      <c r="F46" s="765"/>
      <c r="G46" s="772">
        <f>0.1*G53</f>
        <v>117.7</v>
      </c>
      <c r="H46" s="771">
        <f>0.1*H53</f>
        <v>25.400000000000002</v>
      </c>
      <c r="I46" s="772"/>
      <c r="J46" s="771"/>
      <c r="K46" s="772"/>
      <c r="L46" s="771"/>
      <c r="M46" s="772"/>
      <c r="N46" s="771"/>
      <c r="O46" s="772"/>
      <c r="P46" s="771"/>
      <c r="Q46" s="772"/>
      <c r="R46" s="771"/>
      <c r="S46" s="772"/>
      <c r="T46" s="771"/>
      <c r="U46" s="772"/>
      <c r="V46" s="771"/>
      <c r="W46" s="772"/>
      <c r="X46" s="771"/>
      <c r="Y46" s="772"/>
      <c r="Z46" s="771"/>
      <c r="AA46" s="767">
        <f>0.1*AA53</f>
        <v>120</v>
      </c>
      <c r="AB46" s="724"/>
    </row>
    <row r="47" spans="1:28" ht="14.25">
      <c r="A47" s="806">
        <v>8.1999999999999993</v>
      </c>
      <c r="B47" s="810" t="s">
        <v>2472</v>
      </c>
      <c r="C47" s="809"/>
      <c r="D47" s="763"/>
      <c r="E47" s="764"/>
      <c r="F47" s="765"/>
      <c r="G47" s="772">
        <f>0.05*G53</f>
        <v>58.85</v>
      </c>
      <c r="H47" s="771"/>
      <c r="I47" s="772"/>
      <c r="J47" s="771"/>
      <c r="K47" s="772"/>
      <c r="L47" s="771"/>
      <c r="M47" s="772"/>
      <c r="N47" s="771"/>
      <c r="O47" s="772"/>
      <c r="P47" s="771"/>
      <c r="Q47" s="772"/>
      <c r="R47" s="771"/>
      <c r="S47" s="772"/>
      <c r="T47" s="771"/>
      <c r="U47" s="772"/>
      <c r="V47" s="771"/>
      <c r="W47" s="772"/>
      <c r="X47" s="771"/>
      <c r="Y47" s="772"/>
      <c r="Z47" s="771"/>
      <c r="AA47" s="767">
        <f>0.05*AA53</f>
        <v>60</v>
      </c>
      <c r="AB47" s="724"/>
    </row>
    <row r="48" spans="1:28" ht="14.25">
      <c r="A48" s="806">
        <v>8.3000000000000007</v>
      </c>
      <c r="B48" s="810" t="s">
        <v>2628</v>
      </c>
      <c r="C48" s="809"/>
      <c r="D48" s="763"/>
      <c r="E48" s="764"/>
      <c r="F48" s="765"/>
      <c r="G48" s="772">
        <v>50</v>
      </c>
      <c r="H48" s="771"/>
      <c r="I48" s="772"/>
      <c r="J48" s="771"/>
      <c r="K48" s="772"/>
      <c r="L48" s="771"/>
      <c r="M48" s="772"/>
      <c r="N48" s="771"/>
      <c r="O48" s="772"/>
      <c r="P48" s="771"/>
      <c r="Q48" s="772"/>
      <c r="R48" s="771"/>
      <c r="S48" s="772"/>
      <c r="T48" s="771"/>
      <c r="U48" s="772"/>
      <c r="V48" s="771"/>
      <c r="W48" s="772"/>
      <c r="X48" s="771"/>
      <c r="Y48" s="772"/>
      <c r="Z48" s="771"/>
      <c r="AA48" s="767"/>
      <c r="AB48" s="724"/>
    </row>
    <row r="49" spans="1:28" ht="14.25">
      <c r="A49" s="806">
        <v>8.4</v>
      </c>
      <c r="B49" s="810" t="s">
        <v>2629</v>
      </c>
      <c r="C49" s="809"/>
      <c r="D49" s="763"/>
      <c r="E49" s="764"/>
      <c r="F49" s="765"/>
      <c r="G49" s="772">
        <v>60</v>
      </c>
      <c r="H49" s="771"/>
      <c r="I49" s="772"/>
      <c r="J49" s="771"/>
      <c r="K49" s="772"/>
      <c r="L49" s="771"/>
      <c r="M49" s="772"/>
      <c r="N49" s="771"/>
      <c r="O49" s="772"/>
      <c r="P49" s="771"/>
      <c r="Q49" s="772"/>
      <c r="R49" s="771"/>
      <c r="S49" s="772"/>
      <c r="T49" s="771"/>
      <c r="U49" s="772"/>
      <c r="V49" s="771"/>
      <c r="W49" s="772"/>
      <c r="X49" s="771"/>
      <c r="Y49" s="772"/>
      <c r="Z49" s="771"/>
      <c r="AA49" s="767"/>
      <c r="AB49" s="724"/>
    </row>
    <row r="50" spans="1:28" ht="15" thickBot="1">
      <c r="A50" s="806">
        <v>8.5</v>
      </c>
      <c r="B50" s="810" t="s">
        <v>2630</v>
      </c>
      <c r="C50" s="809"/>
      <c r="D50" s="763"/>
      <c r="E50" s="764"/>
      <c r="F50" s="765"/>
      <c r="G50" s="772">
        <v>80</v>
      </c>
      <c r="H50" s="771">
        <v>8</v>
      </c>
      <c r="I50" s="772"/>
      <c r="J50" s="771"/>
      <c r="K50" s="772"/>
      <c r="L50" s="771"/>
      <c r="M50" s="772"/>
      <c r="N50" s="771"/>
      <c r="O50" s="772"/>
      <c r="P50" s="771"/>
      <c r="Q50" s="772"/>
      <c r="R50" s="771"/>
      <c r="S50" s="772"/>
      <c r="T50" s="771"/>
      <c r="U50" s="772"/>
      <c r="V50" s="771"/>
      <c r="W50" s="772"/>
      <c r="X50" s="771"/>
      <c r="Y50" s="772"/>
      <c r="Z50" s="771"/>
      <c r="AA50" s="767"/>
      <c r="AB50" s="724"/>
    </row>
    <row r="51" spans="1:28" ht="18.75" thickBot="1">
      <c r="A51" s="836"/>
      <c r="B51" s="837" t="s">
        <v>2102</v>
      </c>
      <c r="C51" s="838">
        <f t="shared" ref="C51:AA51" si="0">SUM(C4:C50)</f>
        <v>0</v>
      </c>
      <c r="D51" s="814">
        <f t="shared" si="0"/>
        <v>0</v>
      </c>
      <c r="E51" s="775">
        <f t="shared" si="0"/>
        <v>0</v>
      </c>
      <c r="F51" s="776">
        <f t="shared" si="0"/>
        <v>0</v>
      </c>
      <c r="G51" s="775">
        <f t="shared" si="0"/>
        <v>1543.55</v>
      </c>
      <c r="H51" s="776">
        <f t="shared" si="0"/>
        <v>287.39999999999998</v>
      </c>
      <c r="I51" s="775">
        <f t="shared" si="0"/>
        <v>0</v>
      </c>
      <c r="J51" s="776">
        <f t="shared" si="0"/>
        <v>0</v>
      </c>
      <c r="K51" s="775">
        <f t="shared" si="0"/>
        <v>2</v>
      </c>
      <c r="L51" s="776">
        <f t="shared" si="0"/>
        <v>0</v>
      </c>
      <c r="M51" s="775">
        <f t="shared" si="0"/>
        <v>0</v>
      </c>
      <c r="N51" s="776">
        <f t="shared" si="0"/>
        <v>0</v>
      </c>
      <c r="O51" s="775">
        <f t="shared" si="0"/>
        <v>0</v>
      </c>
      <c r="P51" s="776">
        <f t="shared" si="0"/>
        <v>0</v>
      </c>
      <c r="Q51" s="775">
        <f t="shared" si="0"/>
        <v>10</v>
      </c>
      <c r="R51" s="776">
        <f t="shared" si="0"/>
        <v>4</v>
      </c>
      <c r="S51" s="775">
        <f t="shared" si="0"/>
        <v>19</v>
      </c>
      <c r="T51" s="776">
        <f t="shared" si="0"/>
        <v>0</v>
      </c>
      <c r="U51" s="775">
        <f t="shared" si="0"/>
        <v>0</v>
      </c>
      <c r="V51" s="776">
        <f t="shared" si="0"/>
        <v>0</v>
      </c>
      <c r="W51" s="775">
        <f t="shared" si="0"/>
        <v>0</v>
      </c>
      <c r="X51" s="776">
        <f t="shared" si="0"/>
        <v>0</v>
      </c>
      <c r="Y51" s="775">
        <f t="shared" si="0"/>
        <v>0</v>
      </c>
      <c r="Z51" s="776">
        <f t="shared" si="0"/>
        <v>0</v>
      </c>
      <c r="AA51" s="777">
        <f t="shared" si="0"/>
        <v>1380</v>
      </c>
      <c r="AB51" s="724"/>
    </row>
    <row r="52" spans="1:28" ht="15" thickBot="1">
      <c r="A52" s="839"/>
      <c r="B52" s="840"/>
      <c r="C52" s="781"/>
      <c r="D52" s="781"/>
      <c r="E52" s="781"/>
      <c r="F52" s="781"/>
      <c r="G52" s="781"/>
      <c r="H52" s="781"/>
      <c r="I52" s="781"/>
      <c r="J52" s="781"/>
      <c r="K52" s="781"/>
      <c r="L52" s="781"/>
      <c r="M52" s="781"/>
      <c r="N52" s="781"/>
      <c r="O52" s="781"/>
      <c r="P52" s="781"/>
      <c r="Q52" s="781"/>
      <c r="R52" s="781"/>
      <c r="S52" s="781"/>
      <c r="T52" s="781"/>
      <c r="U52" s="781"/>
      <c r="V52" s="781"/>
      <c r="W52" s="781"/>
      <c r="X52" s="781"/>
      <c r="Y52" s="781"/>
      <c r="Z52" s="781"/>
      <c r="AA52" s="781"/>
      <c r="AB52" s="724"/>
    </row>
    <row r="53" spans="1:28" ht="15" thickBot="1">
      <c r="A53" s="839"/>
      <c r="B53" s="840"/>
      <c r="C53" s="817">
        <f>SUM(C4:C44)</f>
        <v>0</v>
      </c>
      <c r="D53" s="817">
        <f t="shared" ref="D53:Z53" si="1">SUM(D4:D44)</f>
        <v>0</v>
      </c>
      <c r="E53" s="817">
        <f t="shared" si="1"/>
        <v>0</v>
      </c>
      <c r="F53" s="817">
        <f t="shared" si="1"/>
        <v>0</v>
      </c>
      <c r="G53" s="817">
        <f t="shared" si="1"/>
        <v>1177</v>
      </c>
      <c r="H53" s="817">
        <f t="shared" si="1"/>
        <v>254</v>
      </c>
      <c r="I53" s="817">
        <f t="shared" si="1"/>
        <v>0</v>
      </c>
      <c r="J53" s="817">
        <f t="shared" si="1"/>
        <v>0</v>
      </c>
      <c r="K53" s="817">
        <f t="shared" si="1"/>
        <v>2</v>
      </c>
      <c r="L53" s="817">
        <f t="shared" si="1"/>
        <v>0</v>
      </c>
      <c r="M53" s="817">
        <f t="shared" si="1"/>
        <v>0</v>
      </c>
      <c r="N53" s="817">
        <f t="shared" si="1"/>
        <v>0</v>
      </c>
      <c r="O53" s="817">
        <f t="shared" si="1"/>
        <v>0</v>
      </c>
      <c r="P53" s="817">
        <f t="shared" si="1"/>
        <v>0</v>
      </c>
      <c r="Q53" s="817">
        <f t="shared" si="1"/>
        <v>10</v>
      </c>
      <c r="R53" s="817">
        <f t="shared" si="1"/>
        <v>4</v>
      </c>
      <c r="S53" s="817">
        <f t="shared" si="1"/>
        <v>19</v>
      </c>
      <c r="T53" s="817">
        <f t="shared" si="1"/>
        <v>0</v>
      </c>
      <c r="U53" s="817">
        <f t="shared" si="1"/>
        <v>0</v>
      </c>
      <c r="V53" s="817">
        <f t="shared" si="1"/>
        <v>0</v>
      </c>
      <c r="W53" s="817">
        <f t="shared" si="1"/>
        <v>0</v>
      </c>
      <c r="X53" s="817">
        <f t="shared" si="1"/>
        <v>0</v>
      </c>
      <c r="Y53" s="817">
        <f t="shared" si="1"/>
        <v>0</v>
      </c>
      <c r="Z53" s="817">
        <f t="shared" si="1"/>
        <v>0</v>
      </c>
      <c r="AA53" s="817">
        <f>SUM(AA4:AA44)</f>
        <v>1200</v>
      </c>
      <c r="AB53" s="724"/>
    </row>
    <row r="54" spans="1:28" ht="14.25">
      <c r="A54" s="839"/>
      <c r="B54" s="840"/>
      <c r="C54" s="781"/>
      <c r="D54" s="781"/>
      <c r="E54" s="781"/>
      <c r="F54" s="781"/>
      <c r="G54" s="781"/>
      <c r="H54" s="781"/>
      <c r="I54" s="781"/>
      <c r="J54" s="781"/>
      <c r="K54" s="781"/>
      <c r="L54" s="781"/>
      <c r="M54" s="781"/>
      <c r="N54" s="781"/>
      <c r="O54" s="781"/>
      <c r="P54" s="781"/>
      <c r="Q54" s="781"/>
      <c r="R54" s="781"/>
      <c r="S54" s="781"/>
      <c r="T54" s="781"/>
      <c r="U54" s="781"/>
      <c r="V54" s="781"/>
      <c r="W54" s="781"/>
      <c r="X54" s="781"/>
      <c r="Y54" s="724"/>
      <c r="Z54" s="724"/>
      <c r="AA54" s="724"/>
      <c r="AB54" s="724"/>
    </row>
    <row r="55" spans="1:28" ht="14.25">
      <c r="A55" s="839"/>
      <c r="B55" s="840"/>
      <c r="C55" s="781"/>
      <c r="D55" s="781"/>
      <c r="E55" s="781"/>
      <c r="F55" s="781"/>
      <c r="G55" s="781"/>
      <c r="H55" s="781"/>
      <c r="I55" s="781"/>
      <c r="J55" s="781"/>
      <c r="K55" s="781"/>
      <c r="L55" s="781"/>
      <c r="M55" s="781"/>
      <c r="N55" s="781"/>
      <c r="O55" s="781"/>
      <c r="P55" s="781"/>
      <c r="Q55" s="781"/>
      <c r="R55" s="781"/>
      <c r="S55" s="781"/>
      <c r="T55" s="781"/>
      <c r="U55" s="781"/>
      <c r="V55" s="781"/>
      <c r="W55" s="781"/>
      <c r="X55" s="781"/>
      <c r="Y55" s="724"/>
      <c r="Z55" s="724"/>
      <c r="AA55" s="724"/>
      <c r="AB55" s="724"/>
    </row>
    <row r="56" spans="1:28" ht="14.25">
      <c r="A56" s="839"/>
      <c r="B56" s="840"/>
      <c r="C56" s="781"/>
      <c r="D56" s="781"/>
      <c r="E56" s="781"/>
      <c r="F56" s="781"/>
      <c r="G56" s="781"/>
      <c r="H56" s="781"/>
      <c r="I56" s="781"/>
      <c r="J56" s="781"/>
      <c r="K56" s="781"/>
      <c r="L56" s="781"/>
      <c r="M56" s="781"/>
      <c r="N56" s="781"/>
      <c r="O56" s="781"/>
      <c r="P56" s="781"/>
      <c r="Q56" s="781"/>
      <c r="R56" s="781"/>
      <c r="S56" s="781"/>
      <c r="T56" s="781"/>
      <c r="U56" s="781"/>
      <c r="V56" s="781"/>
      <c r="W56" s="781"/>
      <c r="X56" s="781"/>
      <c r="Y56" s="781"/>
      <c r="Z56" s="781"/>
      <c r="AA56" s="781"/>
      <c r="AB56" s="724"/>
    </row>
    <row r="57" spans="1:28" ht="14.25">
      <c r="A57" s="839"/>
      <c r="B57" s="840"/>
      <c r="C57" s="781"/>
      <c r="D57" s="781"/>
      <c r="E57" s="781"/>
      <c r="F57" s="781"/>
      <c r="G57" s="781"/>
      <c r="H57" s="781"/>
      <c r="I57" s="781"/>
      <c r="J57" s="781"/>
      <c r="K57" s="781"/>
      <c r="L57" s="781"/>
      <c r="M57" s="781"/>
      <c r="N57" s="781"/>
      <c r="O57" s="781"/>
      <c r="P57" s="781"/>
      <c r="Q57" s="781"/>
      <c r="R57" s="781"/>
      <c r="S57" s="781"/>
      <c r="T57" s="781"/>
      <c r="U57" s="781"/>
      <c r="V57" s="781"/>
      <c r="W57" s="781"/>
      <c r="X57" s="781"/>
      <c r="Y57" s="781"/>
      <c r="Z57" s="781"/>
      <c r="AA57" s="781"/>
      <c r="AB57" s="724"/>
    </row>
    <row r="58" spans="1:28" ht="14.25">
      <c r="A58" s="839"/>
      <c r="B58" s="840"/>
      <c r="C58" s="781"/>
      <c r="D58" s="781"/>
      <c r="E58" s="781"/>
      <c r="F58" s="781"/>
      <c r="G58" s="781"/>
      <c r="H58" s="781"/>
      <c r="I58" s="781"/>
      <c r="J58" s="781"/>
      <c r="K58" s="781"/>
      <c r="L58" s="781"/>
      <c r="M58" s="781"/>
      <c r="N58" s="781"/>
      <c r="O58" s="781"/>
      <c r="P58" s="781"/>
      <c r="Q58" s="781"/>
      <c r="R58" s="781"/>
      <c r="S58" s="781"/>
      <c r="T58" s="781"/>
      <c r="U58" s="781"/>
      <c r="V58" s="781"/>
      <c r="W58" s="781"/>
      <c r="X58" s="781"/>
      <c r="Y58" s="781"/>
      <c r="Z58" s="781"/>
      <c r="AA58" s="781"/>
      <c r="AB58" s="724"/>
    </row>
    <row r="59" spans="1:28" ht="14.25">
      <c r="A59" s="839"/>
      <c r="B59" s="840"/>
      <c r="C59" s="781"/>
      <c r="D59" s="781"/>
      <c r="E59" s="781"/>
      <c r="F59" s="781"/>
      <c r="G59" s="781"/>
      <c r="H59" s="781"/>
      <c r="I59" s="781"/>
      <c r="J59" s="781"/>
      <c r="K59" s="781"/>
      <c r="L59" s="781"/>
      <c r="M59" s="781"/>
      <c r="N59" s="781"/>
      <c r="O59" s="781"/>
      <c r="P59" s="781"/>
      <c r="Q59" s="781"/>
      <c r="R59" s="781"/>
      <c r="S59" s="781"/>
      <c r="T59" s="781"/>
      <c r="U59" s="781"/>
      <c r="V59" s="781"/>
      <c r="W59" s="781"/>
      <c r="X59" s="781"/>
      <c r="Y59" s="781"/>
      <c r="Z59" s="781"/>
      <c r="AA59" s="781"/>
      <c r="AB59" s="724"/>
    </row>
    <row r="60" spans="1:28" ht="14.25">
      <c r="A60" s="839"/>
      <c r="B60" s="840"/>
      <c r="C60" s="781"/>
      <c r="D60" s="781"/>
      <c r="E60" s="781"/>
      <c r="F60" s="781"/>
      <c r="G60" s="781"/>
      <c r="H60" s="781"/>
      <c r="I60" s="781"/>
      <c r="J60" s="781"/>
      <c r="K60" s="781"/>
      <c r="L60" s="781"/>
      <c r="M60" s="781"/>
      <c r="N60" s="781"/>
      <c r="O60" s="781"/>
      <c r="P60" s="781"/>
      <c r="Q60" s="781"/>
      <c r="R60" s="781"/>
      <c r="S60" s="781"/>
      <c r="T60" s="781"/>
      <c r="U60" s="781"/>
      <c r="V60" s="781"/>
      <c r="W60" s="781"/>
      <c r="X60" s="781"/>
      <c r="Y60" s="781"/>
      <c r="Z60" s="781"/>
      <c r="AA60" s="781"/>
      <c r="AB60" s="724"/>
    </row>
    <row r="61" spans="1:28" ht="14.25">
      <c r="A61" s="839"/>
      <c r="B61" s="840"/>
      <c r="C61" s="781"/>
      <c r="D61" s="781"/>
      <c r="E61" s="781"/>
      <c r="F61" s="781"/>
      <c r="G61" s="781"/>
      <c r="H61" s="781"/>
      <c r="I61" s="781"/>
      <c r="J61" s="781"/>
      <c r="K61" s="781"/>
      <c r="L61" s="781"/>
      <c r="M61" s="781"/>
      <c r="N61" s="781"/>
      <c r="O61" s="781"/>
      <c r="P61" s="781"/>
      <c r="Q61" s="781"/>
      <c r="R61" s="781"/>
      <c r="S61" s="781"/>
      <c r="T61" s="781"/>
      <c r="U61" s="781"/>
      <c r="V61" s="781"/>
      <c r="W61" s="781"/>
      <c r="X61" s="781"/>
      <c r="Y61" s="781"/>
      <c r="Z61" s="781"/>
      <c r="AA61" s="781"/>
      <c r="AB61" s="724"/>
    </row>
    <row r="62" spans="1:28" ht="14.25">
      <c r="A62" s="839"/>
      <c r="B62" s="840"/>
      <c r="C62" s="781"/>
      <c r="D62" s="781"/>
      <c r="E62" s="781"/>
      <c r="F62" s="781"/>
      <c r="G62" s="781"/>
      <c r="H62" s="781"/>
      <c r="I62" s="781"/>
      <c r="J62" s="781"/>
      <c r="K62" s="781"/>
      <c r="L62" s="781"/>
      <c r="M62" s="781"/>
      <c r="N62" s="781"/>
      <c r="O62" s="781"/>
      <c r="P62" s="781"/>
      <c r="Q62" s="781"/>
      <c r="R62" s="781"/>
      <c r="S62" s="781"/>
      <c r="T62" s="781"/>
      <c r="U62" s="781"/>
      <c r="V62" s="781"/>
      <c r="W62" s="781"/>
      <c r="X62" s="781"/>
      <c r="Y62" s="781"/>
      <c r="Z62" s="781"/>
      <c r="AA62" s="781"/>
      <c r="AB62" s="724"/>
    </row>
    <row r="63" spans="1:28" ht="14.25">
      <c r="A63" s="839"/>
      <c r="B63" s="840"/>
      <c r="C63" s="781"/>
      <c r="D63" s="781"/>
      <c r="E63" s="781"/>
      <c r="F63" s="781"/>
      <c r="G63" s="781"/>
      <c r="H63" s="781"/>
      <c r="I63" s="781"/>
      <c r="J63" s="781"/>
      <c r="K63" s="781"/>
      <c r="L63" s="781"/>
      <c r="M63" s="781"/>
      <c r="N63" s="781"/>
      <c r="O63" s="781"/>
      <c r="P63" s="781"/>
      <c r="Q63" s="781"/>
      <c r="R63" s="781"/>
      <c r="S63" s="781"/>
      <c r="T63" s="781"/>
      <c r="U63" s="781"/>
      <c r="V63" s="781"/>
      <c r="W63" s="781"/>
      <c r="X63" s="781"/>
      <c r="Y63" s="781"/>
      <c r="Z63" s="781"/>
      <c r="AA63" s="781"/>
      <c r="AB63" s="724"/>
    </row>
    <row r="64" spans="1:28" ht="14.25">
      <c r="A64" s="839"/>
      <c r="B64" s="840"/>
      <c r="C64" s="781"/>
      <c r="D64" s="781"/>
      <c r="E64" s="781"/>
      <c r="F64" s="781"/>
      <c r="G64" s="781"/>
      <c r="H64" s="781"/>
      <c r="I64" s="781"/>
      <c r="J64" s="781"/>
      <c r="K64" s="781"/>
      <c r="L64" s="781"/>
      <c r="M64" s="781"/>
      <c r="N64" s="781"/>
      <c r="O64" s="781"/>
      <c r="P64" s="781"/>
      <c r="Q64" s="781"/>
      <c r="R64" s="781"/>
      <c r="S64" s="781"/>
      <c r="T64" s="781"/>
      <c r="U64" s="781"/>
      <c r="V64" s="781"/>
      <c r="W64" s="781"/>
      <c r="X64" s="781"/>
      <c r="Y64" s="781"/>
      <c r="Z64" s="781"/>
      <c r="AA64" s="781"/>
      <c r="AB64" s="724"/>
    </row>
  </sheetData>
  <mergeCells count="18">
    <mergeCell ref="S3:T3"/>
    <mergeCell ref="U3:V3"/>
    <mergeCell ref="W3:X3"/>
    <mergeCell ref="B1:X1"/>
    <mergeCell ref="Y1:AA1"/>
    <mergeCell ref="A2:AA2"/>
    <mergeCell ref="A3:A4"/>
    <mergeCell ref="B3:B4"/>
    <mergeCell ref="C3:D3"/>
    <mergeCell ref="E3:F3"/>
    <mergeCell ref="G3:H3"/>
    <mergeCell ref="I3:J3"/>
    <mergeCell ref="K3:L3"/>
    <mergeCell ref="Y3:Z3"/>
    <mergeCell ref="AA3:AA4"/>
    <mergeCell ref="M3:N3"/>
    <mergeCell ref="O3:P3"/>
    <mergeCell ref="Q3:R3"/>
  </mergeCells>
  <conditionalFormatting sqref="B10:B11 B13:B22">
    <cfRule type="expression" dxfId="469" priority="2" stopIfTrue="1">
      <formula>IF(AND(#REF!&lt;&gt;"",#REF!&gt;15),1,0)</formula>
    </cfRule>
  </conditionalFormatting>
  <conditionalFormatting sqref="B24:B36">
    <cfRule type="expression" dxfId="468" priority="3" stopIfTrue="1">
      <formula>IF(AND(#REF!&lt;&gt;"",#REF!&gt;15),1,0)</formula>
    </cfRule>
  </conditionalFormatting>
  <conditionalFormatting sqref="B38">
    <cfRule type="expression" dxfId="467" priority="4" stopIfTrue="1">
      <formula>IF(AND(#REF!&lt;&gt;"",#REF!&gt;15),1,0)</formula>
    </cfRule>
  </conditionalFormatting>
  <conditionalFormatting sqref="B41:B43">
    <cfRule type="expression" dxfId="466" priority="1" stopIfTrue="1">
      <formula>IF(AND(#REF!&lt;&gt;"",#REF!&gt;15),1,0)</formula>
    </cfRule>
  </conditionalFormatting>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0"/>
  <dimension ref="A1:AB80"/>
  <sheetViews>
    <sheetView rightToLeft="1" workbookViewId="0">
      <selection activeCell="F32" sqref="F32"/>
    </sheetView>
  </sheetViews>
  <sheetFormatPr defaultColWidth="8.85546875" defaultRowHeight="12.75"/>
  <cols>
    <col min="1" max="1" width="8.85546875" style="661"/>
    <col min="2" max="2" width="63.7109375" style="661" customWidth="1"/>
    <col min="3" max="16384" width="8.85546875" style="661"/>
  </cols>
  <sheetData>
    <row r="1" spans="1:27" ht="18.75" thickBot="1">
      <c r="A1" s="723"/>
      <c r="B1" s="2333"/>
      <c r="C1" s="2333"/>
      <c r="D1" s="2333"/>
      <c r="E1" s="2333"/>
      <c r="F1" s="2333"/>
      <c r="G1" s="2333"/>
      <c r="H1" s="2333"/>
      <c r="I1" s="2333"/>
      <c r="J1" s="2333"/>
      <c r="K1" s="2333"/>
      <c r="L1" s="2333"/>
      <c r="M1" s="2333"/>
      <c r="N1" s="2333"/>
      <c r="O1" s="2333"/>
      <c r="P1" s="2333"/>
      <c r="Q1" s="2333"/>
      <c r="R1" s="2333"/>
      <c r="S1" s="2333"/>
      <c r="T1" s="2333"/>
      <c r="U1" s="2333"/>
      <c r="V1" s="2333"/>
      <c r="W1" s="2333"/>
      <c r="X1" s="2333"/>
      <c r="Y1" s="2334"/>
      <c r="Z1" s="2334"/>
      <c r="AA1" s="2335"/>
    </row>
    <row r="2" spans="1:27" ht="21" thickBot="1">
      <c r="A2" s="2336" t="s">
        <v>2671</v>
      </c>
      <c r="B2" s="2337"/>
      <c r="C2" s="2337"/>
      <c r="D2" s="2337"/>
      <c r="E2" s="2337"/>
      <c r="F2" s="2337"/>
      <c r="G2" s="2337"/>
      <c r="H2" s="2337"/>
      <c r="I2" s="2337"/>
      <c r="J2" s="2337"/>
      <c r="K2" s="2337"/>
      <c r="L2" s="2337"/>
      <c r="M2" s="2337"/>
      <c r="N2" s="2337"/>
      <c r="O2" s="2337"/>
      <c r="P2" s="2337"/>
      <c r="Q2" s="2337"/>
      <c r="R2" s="2337"/>
      <c r="S2" s="2337"/>
      <c r="T2" s="2337"/>
      <c r="U2" s="2337"/>
      <c r="V2" s="2337"/>
      <c r="W2" s="2337"/>
      <c r="X2" s="2337"/>
      <c r="Y2" s="2337"/>
      <c r="Z2" s="2337"/>
      <c r="AA2" s="2338"/>
    </row>
    <row r="3" spans="1:27">
      <c r="A3" s="2339" t="s">
        <v>2306</v>
      </c>
      <c r="B3" s="2341" t="s">
        <v>2307</v>
      </c>
      <c r="C3" s="2331" t="s">
        <v>2255</v>
      </c>
      <c r="D3" s="2332"/>
      <c r="E3" s="2331" t="s">
        <v>2256</v>
      </c>
      <c r="F3" s="2332"/>
      <c r="G3" s="2331" t="s">
        <v>2257</v>
      </c>
      <c r="H3" s="2332"/>
      <c r="I3" s="2331" t="s">
        <v>2258</v>
      </c>
      <c r="J3" s="2332"/>
      <c r="K3" s="2331" t="s">
        <v>2259</v>
      </c>
      <c r="L3" s="2332"/>
      <c r="M3" s="2331" t="s">
        <v>2260</v>
      </c>
      <c r="N3" s="2332"/>
      <c r="O3" s="2331" t="s">
        <v>2261</v>
      </c>
      <c r="P3" s="2332"/>
      <c r="Q3" s="2331" t="s">
        <v>2262</v>
      </c>
      <c r="R3" s="2332"/>
      <c r="S3" s="2331" t="s">
        <v>2263</v>
      </c>
      <c r="T3" s="2332"/>
      <c r="U3" s="2331" t="s">
        <v>2264</v>
      </c>
      <c r="V3" s="2332"/>
      <c r="W3" s="2331" t="s">
        <v>2265</v>
      </c>
      <c r="X3" s="2332"/>
      <c r="Y3" s="2331" t="s">
        <v>2266</v>
      </c>
      <c r="Z3" s="2332"/>
      <c r="AA3" s="2343" t="s">
        <v>2267</v>
      </c>
    </row>
    <row r="4" spans="1:27" ht="13.5" thickBot="1">
      <c r="A4" s="2345"/>
      <c r="B4" s="2346"/>
      <c r="C4" s="726" t="s">
        <v>2269</v>
      </c>
      <c r="D4" s="727" t="s">
        <v>2270</v>
      </c>
      <c r="E4" s="726" t="s">
        <v>2269</v>
      </c>
      <c r="F4" s="727" t="s">
        <v>2270</v>
      </c>
      <c r="G4" s="726" t="s">
        <v>2269</v>
      </c>
      <c r="H4" s="727" t="s">
        <v>2270</v>
      </c>
      <c r="I4" s="726" t="s">
        <v>2269</v>
      </c>
      <c r="J4" s="727" t="s">
        <v>2270</v>
      </c>
      <c r="K4" s="726" t="s">
        <v>2269</v>
      </c>
      <c r="L4" s="727" t="s">
        <v>2270</v>
      </c>
      <c r="M4" s="726" t="s">
        <v>2269</v>
      </c>
      <c r="N4" s="727" t="s">
        <v>2270</v>
      </c>
      <c r="O4" s="726" t="s">
        <v>2269</v>
      </c>
      <c r="P4" s="727" t="s">
        <v>2270</v>
      </c>
      <c r="Q4" s="726" t="s">
        <v>2269</v>
      </c>
      <c r="R4" s="727" t="s">
        <v>2270</v>
      </c>
      <c r="S4" s="726" t="s">
        <v>2269</v>
      </c>
      <c r="T4" s="727" t="s">
        <v>2270</v>
      </c>
      <c r="U4" s="726" t="s">
        <v>2269</v>
      </c>
      <c r="V4" s="727" t="s">
        <v>2270</v>
      </c>
      <c r="W4" s="726" t="s">
        <v>2269</v>
      </c>
      <c r="X4" s="727" t="s">
        <v>2270</v>
      </c>
      <c r="Y4" s="726" t="s">
        <v>2269</v>
      </c>
      <c r="Z4" s="727" t="s">
        <v>2270</v>
      </c>
      <c r="AA4" s="2344"/>
    </row>
    <row r="5" spans="1:27" ht="14.25">
      <c r="A5" s="818">
        <v>1</v>
      </c>
      <c r="B5" s="819" t="s">
        <v>2326</v>
      </c>
      <c r="C5" s="784"/>
      <c r="D5" s="731"/>
      <c r="E5" s="732"/>
      <c r="F5" s="731"/>
      <c r="G5" s="732"/>
      <c r="H5" s="731"/>
      <c r="I5" s="820"/>
      <c r="J5" s="821"/>
      <c r="K5" s="732"/>
      <c r="L5" s="731"/>
      <c r="M5" s="732"/>
      <c r="N5" s="731"/>
      <c r="O5" s="732"/>
      <c r="P5" s="731"/>
      <c r="Q5" s="732"/>
      <c r="R5" s="731"/>
      <c r="S5" s="732"/>
      <c r="T5" s="731"/>
      <c r="U5" s="732"/>
      <c r="V5" s="731"/>
      <c r="W5" s="732"/>
      <c r="X5" s="731"/>
      <c r="Y5" s="732"/>
      <c r="Z5" s="731"/>
      <c r="AA5" s="822"/>
    </row>
    <row r="6" spans="1:27" ht="14.25">
      <c r="A6" s="788">
        <v>1.1000000000000001</v>
      </c>
      <c r="B6" s="789" t="s">
        <v>2672</v>
      </c>
      <c r="C6" s="790"/>
      <c r="D6" s="738"/>
      <c r="E6" s="739"/>
      <c r="F6" s="738"/>
      <c r="G6" s="739"/>
      <c r="H6" s="738"/>
      <c r="I6" s="713"/>
      <c r="J6" s="714">
        <v>15</v>
      </c>
      <c r="K6" s="739"/>
      <c r="L6" s="738"/>
      <c r="M6" s="739"/>
      <c r="N6" s="738"/>
      <c r="O6" s="739"/>
      <c r="P6" s="738"/>
      <c r="Q6" s="739"/>
      <c r="R6" s="738"/>
      <c r="S6" s="739"/>
      <c r="T6" s="738"/>
      <c r="U6" s="739"/>
      <c r="V6" s="738"/>
      <c r="W6" s="739"/>
      <c r="X6" s="738"/>
      <c r="Y6" s="739"/>
      <c r="Z6" s="738"/>
      <c r="AA6" s="823"/>
    </row>
    <row r="7" spans="1:27" ht="14.25">
      <c r="A7" s="788">
        <v>1.2</v>
      </c>
      <c r="B7" s="789" t="s">
        <v>2673</v>
      </c>
      <c r="C7" s="790"/>
      <c r="D7" s="738"/>
      <c r="E7" s="739"/>
      <c r="F7" s="738"/>
      <c r="G7" s="739"/>
      <c r="H7" s="738"/>
      <c r="I7" s="713"/>
      <c r="J7" s="714">
        <v>15</v>
      </c>
      <c r="K7" s="739"/>
      <c r="L7" s="738"/>
      <c r="M7" s="739"/>
      <c r="N7" s="738"/>
      <c r="O7" s="739"/>
      <c r="P7" s="738"/>
      <c r="Q7" s="739"/>
      <c r="R7" s="738"/>
      <c r="S7" s="739"/>
      <c r="T7" s="738"/>
      <c r="U7" s="739"/>
      <c r="V7" s="738"/>
      <c r="W7" s="739"/>
      <c r="X7" s="738"/>
      <c r="Y7" s="739"/>
      <c r="Z7" s="738"/>
      <c r="AA7" s="823"/>
    </row>
    <row r="8" spans="1:27" ht="14.25">
      <c r="A8" s="788">
        <v>1.3</v>
      </c>
      <c r="B8" s="789" t="s">
        <v>2674</v>
      </c>
      <c r="C8" s="790"/>
      <c r="D8" s="738"/>
      <c r="E8" s="739"/>
      <c r="F8" s="738"/>
      <c r="G8" s="739"/>
      <c r="H8" s="738"/>
      <c r="I8" s="713"/>
      <c r="J8" s="714">
        <v>15</v>
      </c>
      <c r="K8" s="739"/>
      <c r="L8" s="738"/>
      <c r="M8" s="739"/>
      <c r="N8" s="738"/>
      <c r="O8" s="739"/>
      <c r="P8" s="738"/>
      <c r="Q8" s="739"/>
      <c r="R8" s="738"/>
      <c r="S8" s="739"/>
      <c r="T8" s="738"/>
      <c r="U8" s="739"/>
      <c r="V8" s="738"/>
      <c r="W8" s="739"/>
      <c r="X8" s="738"/>
      <c r="Y8" s="739"/>
      <c r="Z8" s="738"/>
      <c r="AA8" s="823"/>
    </row>
    <row r="9" spans="1:27" ht="14.25">
      <c r="A9" s="788">
        <v>1.4</v>
      </c>
      <c r="B9" s="789" t="s">
        <v>2675</v>
      </c>
      <c r="C9" s="790"/>
      <c r="D9" s="738"/>
      <c r="E9" s="739"/>
      <c r="F9" s="738"/>
      <c r="G9" s="739"/>
      <c r="H9" s="738"/>
      <c r="I9" s="713"/>
      <c r="J9" s="714">
        <v>15</v>
      </c>
      <c r="K9" s="739"/>
      <c r="L9" s="738"/>
      <c r="M9" s="739"/>
      <c r="N9" s="738"/>
      <c r="O9" s="739"/>
      <c r="P9" s="738"/>
      <c r="Q9" s="739"/>
      <c r="R9" s="738"/>
      <c r="S9" s="739"/>
      <c r="T9" s="738"/>
      <c r="U9" s="739"/>
      <c r="V9" s="738"/>
      <c r="W9" s="739"/>
      <c r="X9" s="738"/>
      <c r="Y9" s="739"/>
      <c r="Z9" s="738"/>
      <c r="AA9" s="823"/>
    </row>
    <row r="10" spans="1:27" ht="14.25">
      <c r="A10" s="788">
        <v>1.5</v>
      </c>
      <c r="B10" s="789" t="s">
        <v>2676</v>
      </c>
      <c r="C10" s="790"/>
      <c r="D10" s="738"/>
      <c r="E10" s="739"/>
      <c r="F10" s="738"/>
      <c r="G10" s="739"/>
      <c r="H10" s="738"/>
      <c r="I10" s="713"/>
      <c r="J10" s="714">
        <v>15</v>
      </c>
      <c r="K10" s="739"/>
      <c r="L10" s="738"/>
      <c r="M10" s="739"/>
      <c r="N10" s="738"/>
      <c r="O10" s="739"/>
      <c r="P10" s="738"/>
      <c r="Q10" s="739"/>
      <c r="R10" s="738"/>
      <c r="S10" s="739"/>
      <c r="T10" s="738"/>
      <c r="U10" s="739"/>
      <c r="V10" s="738"/>
      <c r="W10" s="739"/>
      <c r="X10" s="738"/>
      <c r="Y10" s="739"/>
      <c r="Z10" s="738"/>
      <c r="AA10" s="823"/>
    </row>
    <row r="11" spans="1:27" ht="14.25">
      <c r="A11" s="788">
        <v>1.6</v>
      </c>
      <c r="B11" s="789" t="s">
        <v>2677</v>
      </c>
      <c r="C11" s="790"/>
      <c r="D11" s="738"/>
      <c r="E11" s="739"/>
      <c r="F11" s="738"/>
      <c r="G11" s="739"/>
      <c r="H11" s="738"/>
      <c r="I11" s="713"/>
      <c r="J11" s="714">
        <v>15</v>
      </c>
      <c r="K11" s="739"/>
      <c r="L11" s="738"/>
      <c r="M11" s="739"/>
      <c r="N11" s="738"/>
      <c r="O11" s="739"/>
      <c r="P11" s="738"/>
      <c r="Q11" s="739"/>
      <c r="R11" s="738"/>
      <c r="S11" s="739"/>
      <c r="T11" s="738"/>
      <c r="U11" s="739"/>
      <c r="V11" s="738"/>
      <c r="W11" s="739"/>
      <c r="X11" s="738"/>
      <c r="Y11" s="739"/>
      <c r="Z11" s="738"/>
      <c r="AA11" s="823"/>
    </row>
    <row r="12" spans="1:27" ht="14.25">
      <c r="A12" s="788">
        <v>1.7</v>
      </c>
      <c r="B12" s="789" t="s">
        <v>2678</v>
      </c>
      <c r="C12" s="794"/>
      <c r="D12" s="745"/>
      <c r="E12" s="746"/>
      <c r="F12" s="745"/>
      <c r="G12" s="746"/>
      <c r="H12" s="745"/>
      <c r="I12" s="713"/>
      <c r="J12" s="714">
        <v>15</v>
      </c>
      <c r="K12" s="746"/>
      <c r="L12" s="745"/>
      <c r="M12" s="746"/>
      <c r="N12" s="745"/>
      <c r="O12" s="746"/>
      <c r="P12" s="745"/>
      <c r="Q12" s="746"/>
      <c r="R12" s="745"/>
      <c r="S12" s="746"/>
      <c r="T12" s="745"/>
      <c r="U12" s="746"/>
      <c r="V12" s="745"/>
      <c r="W12" s="746"/>
      <c r="X12" s="745"/>
      <c r="Y12" s="746"/>
      <c r="Z12" s="745"/>
      <c r="AA12" s="823"/>
    </row>
    <row r="13" spans="1:27" ht="14.25">
      <c r="A13" s="788">
        <v>1.8</v>
      </c>
      <c r="B13" s="789" t="s">
        <v>2679</v>
      </c>
      <c r="C13" s="790"/>
      <c r="D13" s="738"/>
      <c r="E13" s="739"/>
      <c r="F13" s="738"/>
      <c r="G13" s="739"/>
      <c r="H13" s="738"/>
      <c r="I13" s="713"/>
      <c r="J13" s="714">
        <v>15</v>
      </c>
      <c r="K13" s="739"/>
      <c r="L13" s="738"/>
      <c r="M13" s="739"/>
      <c r="N13" s="738"/>
      <c r="O13" s="739"/>
      <c r="P13" s="738"/>
      <c r="Q13" s="739"/>
      <c r="R13" s="738"/>
      <c r="S13" s="739"/>
      <c r="T13" s="738"/>
      <c r="U13" s="739"/>
      <c r="V13" s="738"/>
      <c r="W13" s="739"/>
      <c r="X13" s="738"/>
      <c r="Y13" s="739"/>
      <c r="Z13" s="738"/>
      <c r="AA13" s="823"/>
    </row>
    <row r="14" spans="1:27" ht="14.25">
      <c r="A14" s="788">
        <v>1.9</v>
      </c>
      <c r="B14" s="789" t="s">
        <v>2680</v>
      </c>
      <c r="C14" s="790"/>
      <c r="D14" s="738"/>
      <c r="E14" s="739"/>
      <c r="F14" s="738"/>
      <c r="G14" s="739"/>
      <c r="H14" s="738"/>
      <c r="I14" s="713"/>
      <c r="J14" s="714">
        <v>15</v>
      </c>
      <c r="K14" s="739"/>
      <c r="L14" s="738"/>
      <c r="M14" s="739"/>
      <c r="N14" s="738"/>
      <c r="O14" s="739"/>
      <c r="P14" s="738"/>
      <c r="Q14" s="739"/>
      <c r="R14" s="738"/>
      <c r="S14" s="739"/>
      <c r="T14" s="738"/>
      <c r="U14" s="739"/>
      <c r="V14" s="738"/>
      <c r="W14" s="739"/>
      <c r="X14" s="738"/>
      <c r="Y14" s="739"/>
      <c r="Z14" s="738"/>
      <c r="AA14" s="823"/>
    </row>
    <row r="15" spans="1:27" ht="14.25">
      <c r="A15" s="795" t="s">
        <v>2321</v>
      </c>
      <c r="B15" s="789" t="s">
        <v>2681</v>
      </c>
      <c r="C15" s="790"/>
      <c r="D15" s="738"/>
      <c r="E15" s="739"/>
      <c r="F15" s="738"/>
      <c r="G15" s="739"/>
      <c r="H15" s="738"/>
      <c r="I15" s="713"/>
      <c r="J15" s="714">
        <v>15</v>
      </c>
      <c r="K15" s="739"/>
      <c r="L15" s="738"/>
      <c r="M15" s="739"/>
      <c r="N15" s="738"/>
      <c r="O15" s="739"/>
      <c r="P15" s="738"/>
      <c r="Q15" s="739"/>
      <c r="R15" s="738"/>
      <c r="S15" s="739"/>
      <c r="T15" s="738"/>
      <c r="U15" s="739"/>
      <c r="V15" s="738"/>
      <c r="W15" s="739"/>
      <c r="X15" s="738"/>
      <c r="Y15" s="739"/>
      <c r="Z15" s="738"/>
      <c r="AA15" s="823"/>
    </row>
    <row r="16" spans="1:27" ht="14.25">
      <c r="A16" s="788">
        <v>1.1100000000000001</v>
      </c>
      <c r="B16" s="789" t="s">
        <v>2682</v>
      </c>
      <c r="C16" s="790">
        <v>2</v>
      </c>
      <c r="D16" s="738"/>
      <c r="E16" s="739"/>
      <c r="F16" s="738"/>
      <c r="G16" s="739"/>
      <c r="H16" s="738"/>
      <c r="I16" s="713">
        <v>30</v>
      </c>
      <c r="J16" s="714">
        <v>25</v>
      </c>
      <c r="K16" s="739"/>
      <c r="L16" s="738"/>
      <c r="M16" s="739"/>
      <c r="N16" s="738"/>
      <c r="O16" s="739">
        <v>4</v>
      </c>
      <c r="P16" s="738">
        <v>1</v>
      </c>
      <c r="Q16" s="739"/>
      <c r="R16" s="738"/>
      <c r="S16" s="739"/>
      <c r="T16" s="738"/>
      <c r="U16" s="739"/>
      <c r="V16" s="738"/>
      <c r="W16" s="739"/>
      <c r="X16" s="738"/>
      <c r="Y16" s="739"/>
      <c r="Z16" s="738"/>
      <c r="AA16" s="823"/>
    </row>
    <row r="17" spans="1:27" ht="14.25">
      <c r="A17" s="788">
        <v>1.1200000000000001</v>
      </c>
      <c r="B17" s="789" t="s">
        <v>2683</v>
      </c>
      <c r="C17" s="790"/>
      <c r="D17" s="738"/>
      <c r="E17" s="739"/>
      <c r="F17" s="738"/>
      <c r="G17" s="739"/>
      <c r="H17" s="738"/>
      <c r="I17" s="713"/>
      <c r="J17" s="714">
        <v>15</v>
      </c>
      <c r="K17" s="739"/>
      <c r="L17" s="738"/>
      <c r="M17" s="739"/>
      <c r="N17" s="738"/>
      <c r="O17" s="739"/>
      <c r="P17" s="738"/>
      <c r="Q17" s="739"/>
      <c r="R17" s="738"/>
      <c r="S17" s="739"/>
      <c r="T17" s="738"/>
      <c r="U17" s="739"/>
      <c r="V17" s="738"/>
      <c r="W17" s="739"/>
      <c r="X17" s="738"/>
      <c r="Y17" s="739"/>
      <c r="Z17" s="738"/>
      <c r="AA17" s="823"/>
    </row>
    <row r="18" spans="1:27" ht="14.25">
      <c r="A18" s="795">
        <v>1.1299999999999999</v>
      </c>
      <c r="B18" s="789" t="s">
        <v>2684</v>
      </c>
      <c r="C18" s="790"/>
      <c r="D18" s="738"/>
      <c r="E18" s="739"/>
      <c r="F18" s="738"/>
      <c r="G18" s="739"/>
      <c r="H18" s="738"/>
      <c r="I18" s="713"/>
      <c r="J18" s="714">
        <v>8</v>
      </c>
      <c r="K18" s="739"/>
      <c r="L18" s="738"/>
      <c r="M18" s="739"/>
      <c r="N18" s="738"/>
      <c r="O18" s="739"/>
      <c r="P18" s="738"/>
      <c r="Q18" s="739"/>
      <c r="R18" s="738"/>
      <c r="S18" s="739"/>
      <c r="T18" s="738"/>
      <c r="U18" s="739"/>
      <c r="V18" s="738"/>
      <c r="W18" s="739"/>
      <c r="X18" s="738"/>
      <c r="Y18" s="739"/>
      <c r="Z18" s="738"/>
      <c r="AA18" s="823"/>
    </row>
    <row r="19" spans="1:27" ht="14.25">
      <c r="A19" s="788">
        <v>1.1399999999999999</v>
      </c>
      <c r="B19" s="789" t="s">
        <v>2685</v>
      </c>
      <c r="C19" s="790"/>
      <c r="D19" s="738"/>
      <c r="E19" s="739"/>
      <c r="F19" s="738"/>
      <c r="G19" s="739"/>
      <c r="H19" s="738"/>
      <c r="I19" s="713">
        <v>20</v>
      </c>
      <c r="J19" s="714">
        <v>5</v>
      </c>
      <c r="K19" s="739"/>
      <c r="L19" s="738"/>
      <c r="M19" s="739"/>
      <c r="N19" s="738"/>
      <c r="O19" s="739"/>
      <c r="P19" s="738"/>
      <c r="Q19" s="739"/>
      <c r="R19" s="738"/>
      <c r="S19" s="739"/>
      <c r="T19" s="738"/>
      <c r="U19" s="739"/>
      <c r="V19" s="738"/>
      <c r="W19" s="739"/>
      <c r="X19" s="738"/>
      <c r="Y19" s="739"/>
      <c r="Z19" s="738"/>
      <c r="AA19" s="823"/>
    </row>
    <row r="20" spans="1:27" ht="14.25">
      <c r="A20" s="788">
        <v>1.1499999999999999</v>
      </c>
      <c r="B20" s="841" t="s">
        <v>2686</v>
      </c>
      <c r="C20" s="790"/>
      <c r="D20" s="738"/>
      <c r="E20" s="739"/>
      <c r="F20" s="738"/>
      <c r="G20" s="739"/>
      <c r="H20" s="738"/>
      <c r="I20" s="713"/>
      <c r="J20" s="714">
        <v>15</v>
      </c>
      <c r="K20" s="739"/>
      <c r="L20" s="738"/>
      <c r="M20" s="739"/>
      <c r="N20" s="738"/>
      <c r="O20" s="739"/>
      <c r="P20" s="738"/>
      <c r="Q20" s="739"/>
      <c r="R20" s="738"/>
      <c r="S20" s="739"/>
      <c r="T20" s="738"/>
      <c r="U20" s="739"/>
      <c r="V20" s="738"/>
      <c r="W20" s="739"/>
      <c r="X20" s="738"/>
      <c r="Y20" s="739"/>
      <c r="Z20" s="738"/>
      <c r="AA20" s="823"/>
    </row>
    <row r="21" spans="1:27" ht="14.25">
      <c r="A21" s="760">
        <v>2</v>
      </c>
      <c r="B21" s="796" t="s">
        <v>2340</v>
      </c>
      <c r="C21" s="790"/>
      <c r="D21" s="738"/>
      <c r="E21" s="739"/>
      <c r="F21" s="738"/>
      <c r="G21" s="739"/>
      <c r="H21" s="738"/>
      <c r="I21" s="826"/>
      <c r="J21" s="827"/>
      <c r="K21" s="739"/>
      <c r="L21" s="738"/>
      <c r="M21" s="739"/>
      <c r="N21" s="738"/>
      <c r="O21" s="739"/>
      <c r="P21" s="738"/>
      <c r="Q21" s="739"/>
      <c r="R21" s="738"/>
      <c r="S21" s="739"/>
      <c r="T21" s="738"/>
      <c r="U21" s="739"/>
      <c r="V21" s="738"/>
      <c r="W21" s="739"/>
      <c r="X21" s="738"/>
      <c r="Y21" s="739"/>
      <c r="Z21" s="738"/>
      <c r="AA21" s="828"/>
    </row>
    <row r="22" spans="1:27" ht="14.25">
      <c r="A22" s="788">
        <v>2.1</v>
      </c>
      <c r="B22" s="789" t="s">
        <v>2687</v>
      </c>
      <c r="C22" s="790"/>
      <c r="D22" s="738"/>
      <c r="E22" s="739"/>
      <c r="F22" s="738"/>
      <c r="G22" s="739"/>
      <c r="H22" s="738"/>
      <c r="I22" s="713">
        <v>25</v>
      </c>
      <c r="J22" s="714">
        <v>8</v>
      </c>
      <c r="K22" s="739"/>
      <c r="L22" s="738"/>
      <c r="M22" s="739"/>
      <c r="N22" s="738"/>
      <c r="O22" s="739"/>
      <c r="P22" s="738"/>
      <c r="Q22" s="739"/>
      <c r="R22" s="738"/>
      <c r="S22" s="739"/>
      <c r="T22" s="738"/>
      <c r="U22" s="739"/>
      <c r="V22" s="738"/>
      <c r="W22" s="739"/>
      <c r="X22" s="738"/>
      <c r="Y22" s="739"/>
      <c r="Z22" s="738"/>
      <c r="AA22" s="823"/>
    </row>
    <row r="23" spans="1:27" ht="14.25">
      <c r="A23" s="788">
        <v>2.2000000000000002</v>
      </c>
      <c r="B23" s="789" t="s">
        <v>2688</v>
      </c>
      <c r="C23" s="790"/>
      <c r="D23" s="738"/>
      <c r="E23" s="739"/>
      <c r="F23" s="738"/>
      <c r="G23" s="739"/>
      <c r="H23" s="738"/>
      <c r="I23" s="713">
        <v>25</v>
      </c>
      <c r="J23" s="714">
        <v>8</v>
      </c>
      <c r="K23" s="739"/>
      <c r="L23" s="738"/>
      <c r="M23" s="739"/>
      <c r="N23" s="738"/>
      <c r="O23" s="739"/>
      <c r="P23" s="738"/>
      <c r="Q23" s="739"/>
      <c r="R23" s="738"/>
      <c r="S23" s="739"/>
      <c r="T23" s="738"/>
      <c r="U23" s="739"/>
      <c r="V23" s="738"/>
      <c r="W23" s="739"/>
      <c r="X23" s="738"/>
      <c r="Y23" s="739"/>
      <c r="Z23" s="738"/>
      <c r="AA23" s="823"/>
    </row>
    <row r="24" spans="1:27" ht="14.25">
      <c r="A24" s="788">
        <v>2.2999999999999998</v>
      </c>
      <c r="B24" s="789" t="s">
        <v>2689</v>
      </c>
      <c r="C24" s="794"/>
      <c r="D24" s="745"/>
      <c r="E24" s="746"/>
      <c r="F24" s="745"/>
      <c r="G24" s="746"/>
      <c r="H24" s="745"/>
      <c r="I24" s="713">
        <v>25</v>
      </c>
      <c r="J24" s="714">
        <v>8</v>
      </c>
      <c r="K24" s="746"/>
      <c r="L24" s="745"/>
      <c r="M24" s="746"/>
      <c r="N24" s="745"/>
      <c r="O24" s="746"/>
      <c r="P24" s="745"/>
      <c r="Q24" s="746"/>
      <c r="R24" s="745"/>
      <c r="S24" s="746"/>
      <c r="T24" s="745"/>
      <c r="U24" s="746"/>
      <c r="V24" s="745"/>
      <c r="W24" s="746"/>
      <c r="X24" s="745"/>
      <c r="Y24" s="746"/>
      <c r="Z24" s="745"/>
      <c r="AA24" s="823"/>
    </row>
    <row r="25" spans="1:27" ht="14.25">
      <c r="A25" s="788">
        <v>2.4</v>
      </c>
      <c r="B25" s="789" t="s">
        <v>2690</v>
      </c>
      <c r="C25" s="790"/>
      <c r="D25" s="738"/>
      <c r="E25" s="739"/>
      <c r="F25" s="738"/>
      <c r="G25" s="739"/>
      <c r="H25" s="738"/>
      <c r="I25" s="713">
        <v>60</v>
      </c>
      <c r="J25" s="714">
        <v>8</v>
      </c>
      <c r="K25" s="746"/>
      <c r="L25" s="745"/>
      <c r="M25" s="746"/>
      <c r="N25" s="745"/>
      <c r="O25" s="746"/>
      <c r="P25" s="745"/>
      <c r="Q25" s="746"/>
      <c r="R25" s="745"/>
      <c r="S25" s="746"/>
      <c r="T25" s="745"/>
      <c r="U25" s="746"/>
      <c r="V25" s="745"/>
      <c r="W25" s="746"/>
      <c r="X25" s="745"/>
      <c r="Y25" s="746"/>
      <c r="Z25" s="745"/>
      <c r="AA25" s="823"/>
    </row>
    <row r="26" spans="1:27" ht="14.25">
      <c r="A26" s="788">
        <v>2.5</v>
      </c>
      <c r="B26" s="789" t="s">
        <v>2691</v>
      </c>
      <c r="C26" s="790"/>
      <c r="D26" s="738"/>
      <c r="E26" s="739"/>
      <c r="F26" s="738"/>
      <c r="G26" s="739"/>
      <c r="H26" s="738"/>
      <c r="I26" s="713">
        <v>30</v>
      </c>
      <c r="J26" s="714">
        <v>8</v>
      </c>
      <c r="K26" s="739"/>
      <c r="L26" s="738"/>
      <c r="M26" s="739"/>
      <c r="N26" s="738"/>
      <c r="O26" s="739"/>
      <c r="P26" s="738"/>
      <c r="Q26" s="739"/>
      <c r="R26" s="738"/>
      <c r="S26" s="739"/>
      <c r="T26" s="738"/>
      <c r="U26" s="739"/>
      <c r="V26" s="738"/>
      <c r="W26" s="739"/>
      <c r="X26" s="738"/>
      <c r="Y26" s="739"/>
      <c r="Z26" s="738"/>
      <c r="AA26" s="823"/>
    </row>
    <row r="27" spans="1:27" ht="14.25">
      <c r="A27" s="760">
        <v>3</v>
      </c>
      <c r="B27" s="796" t="s">
        <v>2692</v>
      </c>
      <c r="C27" s="790"/>
      <c r="D27" s="738"/>
      <c r="E27" s="739"/>
      <c r="F27" s="738"/>
      <c r="G27" s="739"/>
      <c r="H27" s="738"/>
      <c r="I27" s="826"/>
      <c r="J27" s="827"/>
      <c r="K27" s="739"/>
      <c r="L27" s="738"/>
      <c r="M27" s="739"/>
      <c r="N27" s="738"/>
      <c r="O27" s="739"/>
      <c r="P27" s="738"/>
      <c r="Q27" s="739"/>
      <c r="R27" s="738"/>
      <c r="S27" s="739"/>
      <c r="T27" s="738"/>
      <c r="U27" s="739"/>
      <c r="V27" s="738"/>
      <c r="W27" s="739"/>
      <c r="X27" s="738"/>
      <c r="Y27" s="739"/>
      <c r="Z27" s="738"/>
      <c r="AA27" s="828"/>
    </row>
    <row r="28" spans="1:27" ht="14.25">
      <c r="A28" s="788">
        <v>3.1</v>
      </c>
      <c r="B28" s="789" t="s">
        <v>2693</v>
      </c>
      <c r="C28" s="790"/>
      <c r="D28" s="738"/>
      <c r="E28" s="739"/>
      <c r="F28" s="738"/>
      <c r="G28" s="739"/>
      <c r="H28" s="738"/>
      <c r="I28" s="713">
        <v>5</v>
      </c>
      <c r="J28" s="714"/>
      <c r="K28" s="739"/>
      <c r="L28" s="738"/>
      <c r="M28" s="739"/>
      <c r="N28" s="738"/>
      <c r="O28" s="739"/>
      <c r="P28" s="738"/>
      <c r="Q28" s="739"/>
      <c r="R28" s="738"/>
      <c r="S28" s="739"/>
      <c r="T28" s="738"/>
      <c r="U28" s="739"/>
      <c r="V28" s="738"/>
      <c r="W28" s="739"/>
      <c r="X28" s="738"/>
      <c r="Y28" s="739"/>
      <c r="Z28" s="738"/>
      <c r="AA28" s="823">
        <v>10</v>
      </c>
    </row>
    <row r="29" spans="1:27" ht="14.25">
      <c r="A29" s="788">
        <v>3.2</v>
      </c>
      <c r="B29" s="789" t="s">
        <v>2694</v>
      </c>
      <c r="C29" s="790"/>
      <c r="D29" s="738"/>
      <c r="E29" s="739"/>
      <c r="F29" s="738"/>
      <c r="G29" s="739"/>
      <c r="H29" s="738"/>
      <c r="I29" s="713">
        <v>15</v>
      </c>
      <c r="J29" s="714">
        <v>5</v>
      </c>
      <c r="K29" s="739"/>
      <c r="L29" s="738"/>
      <c r="M29" s="739"/>
      <c r="N29" s="738"/>
      <c r="O29" s="739"/>
      <c r="P29" s="738"/>
      <c r="Q29" s="739"/>
      <c r="R29" s="738"/>
      <c r="S29" s="739"/>
      <c r="T29" s="738"/>
      <c r="U29" s="739"/>
      <c r="V29" s="738"/>
      <c r="W29" s="739"/>
      <c r="X29" s="738"/>
      <c r="Y29" s="739"/>
      <c r="Z29" s="738"/>
      <c r="AA29" s="823">
        <v>10</v>
      </c>
    </row>
    <row r="30" spans="1:27" ht="14.25">
      <c r="A30" s="788">
        <v>3.3</v>
      </c>
      <c r="B30" s="789" t="s">
        <v>2695</v>
      </c>
      <c r="C30" s="790">
        <v>5</v>
      </c>
      <c r="D30" s="738">
        <v>1</v>
      </c>
      <c r="E30" s="739"/>
      <c r="F30" s="738"/>
      <c r="G30" s="739"/>
      <c r="H30" s="738"/>
      <c r="I30" s="713">
        <v>25</v>
      </c>
      <c r="J30" s="714">
        <v>5</v>
      </c>
      <c r="K30" s="739"/>
      <c r="L30" s="738"/>
      <c r="M30" s="739"/>
      <c r="N30" s="738"/>
      <c r="O30" s="739"/>
      <c r="P30" s="738"/>
      <c r="Q30" s="739"/>
      <c r="R30" s="738"/>
      <c r="S30" s="739"/>
      <c r="T30" s="738"/>
      <c r="U30" s="739"/>
      <c r="V30" s="738"/>
      <c r="W30" s="739"/>
      <c r="X30" s="738"/>
      <c r="Y30" s="739"/>
      <c r="Z30" s="738"/>
      <c r="AA30" s="823">
        <v>20</v>
      </c>
    </row>
    <row r="31" spans="1:27" ht="14.25">
      <c r="A31" s="760">
        <v>4</v>
      </c>
      <c r="B31" s="796" t="s">
        <v>2696</v>
      </c>
      <c r="C31" s="790"/>
      <c r="D31" s="738"/>
      <c r="E31" s="739"/>
      <c r="F31" s="738"/>
      <c r="G31" s="739"/>
      <c r="H31" s="738"/>
      <c r="I31" s="826"/>
      <c r="J31" s="827"/>
      <c r="K31" s="739"/>
      <c r="L31" s="738"/>
      <c r="M31" s="739"/>
      <c r="N31" s="738"/>
      <c r="O31" s="739"/>
      <c r="P31" s="738"/>
      <c r="Q31" s="739"/>
      <c r="R31" s="738"/>
      <c r="S31" s="739"/>
      <c r="T31" s="738"/>
      <c r="U31" s="739"/>
      <c r="V31" s="738"/>
      <c r="W31" s="739"/>
      <c r="X31" s="738"/>
      <c r="Y31" s="739"/>
      <c r="Z31" s="738"/>
      <c r="AA31" s="828"/>
    </row>
    <row r="32" spans="1:27" ht="14.25">
      <c r="A32" s="788">
        <v>4.0999999999999996</v>
      </c>
      <c r="B32" s="789" t="s">
        <v>2697</v>
      </c>
      <c r="C32" s="790"/>
      <c r="D32" s="738"/>
      <c r="E32" s="739">
        <v>4</v>
      </c>
      <c r="F32" s="738"/>
      <c r="G32" s="739"/>
      <c r="H32" s="738"/>
      <c r="I32" s="713">
        <v>8</v>
      </c>
      <c r="J32" s="714">
        <v>8</v>
      </c>
      <c r="K32" s="739"/>
      <c r="L32" s="738"/>
      <c r="M32" s="739"/>
      <c r="N32" s="738"/>
      <c r="O32" s="739"/>
      <c r="P32" s="738"/>
      <c r="Q32" s="739"/>
      <c r="R32" s="738"/>
      <c r="S32" s="739"/>
      <c r="T32" s="738"/>
      <c r="U32" s="739"/>
      <c r="V32" s="738"/>
      <c r="W32" s="739"/>
      <c r="X32" s="738"/>
      <c r="Y32" s="739"/>
      <c r="Z32" s="738"/>
      <c r="AA32" s="823"/>
    </row>
    <row r="33" spans="1:27" ht="14.25">
      <c r="A33" s="788">
        <v>4.2</v>
      </c>
      <c r="B33" s="789" t="s">
        <v>2698</v>
      </c>
      <c r="C33" s="790"/>
      <c r="D33" s="738"/>
      <c r="E33" s="739">
        <v>3</v>
      </c>
      <c r="F33" s="738"/>
      <c r="G33" s="739"/>
      <c r="H33" s="738"/>
      <c r="I33" s="713">
        <v>8</v>
      </c>
      <c r="J33" s="714">
        <v>8</v>
      </c>
      <c r="K33" s="739"/>
      <c r="L33" s="738"/>
      <c r="M33" s="739"/>
      <c r="N33" s="738"/>
      <c r="O33" s="739"/>
      <c r="P33" s="738"/>
      <c r="Q33" s="739"/>
      <c r="R33" s="738"/>
      <c r="S33" s="739"/>
      <c r="T33" s="738"/>
      <c r="U33" s="739"/>
      <c r="V33" s="738"/>
      <c r="W33" s="739"/>
      <c r="X33" s="738"/>
      <c r="Y33" s="739"/>
      <c r="Z33" s="738"/>
      <c r="AA33" s="823"/>
    </row>
    <row r="34" spans="1:27" ht="14.25">
      <c r="A34" s="788">
        <v>4.3</v>
      </c>
      <c r="B34" s="789" t="s">
        <v>2699</v>
      </c>
      <c r="C34" s="794"/>
      <c r="D34" s="745"/>
      <c r="E34" s="805">
        <v>3</v>
      </c>
      <c r="F34" s="804"/>
      <c r="G34" s="805"/>
      <c r="H34" s="804"/>
      <c r="I34" s="842">
        <v>8</v>
      </c>
      <c r="J34" s="843">
        <v>8</v>
      </c>
      <c r="K34" s="805">
        <v>4</v>
      </c>
      <c r="L34" s="804"/>
      <c r="M34" s="805">
        <v>8</v>
      </c>
      <c r="N34" s="804">
        <v>2</v>
      </c>
      <c r="O34" s="805"/>
      <c r="P34" s="804"/>
      <c r="Q34" s="805"/>
      <c r="R34" s="745"/>
      <c r="S34" s="746"/>
      <c r="T34" s="745"/>
      <c r="U34" s="746"/>
      <c r="V34" s="745"/>
      <c r="W34" s="746"/>
      <c r="X34" s="745"/>
      <c r="Y34" s="746"/>
      <c r="Z34" s="745"/>
      <c r="AA34" s="823"/>
    </row>
    <row r="35" spans="1:27" ht="14.25">
      <c r="A35" s="788">
        <v>4.4000000000000004</v>
      </c>
      <c r="B35" s="789" t="s">
        <v>2700</v>
      </c>
      <c r="C35" s="790"/>
      <c r="D35" s="738"/>
      <c r="E35" s="739"/>
      <c r="F35" s="738"/>
      <c r="G35" s="739"/>
      <c r="H35" s="738"/>
      <c r="I35" s="713">
        <v>8</v>
      </c>
      <c r="J35" s="714">
        <v>8</v>
      </c>
      <c r="K35" s="739"/>
      <c r="L35" s="738"/>
      <c r="M35" s="739"/>
      <c r="N35" s="738"/>
      <c r="O35" s="739"/>
      <c r="P35" s="738"/>
      <c r="Q35" s="739"/>
      <c r="R35" s="738"/>
      <c r="S35" s="739"/>
      <c r="T35" s="738"/>
      <c r="U35" s="739"/>
      <c r="V35" s="738"/>
      <c r="W35" s="739"/>
      <c r="X35" s="738"/>
      <c r="Y35" s="739"/>
      <c r="Z35" s="738"/>
      <c r="AA35" s="823"/>
    </row>
    <row r="36" spans="1:27" ht="14.25">
      <c r="A36" s="788">
        <v>4.5</v>
      </c>
      <c r="B36" s="789" t="s">
        <v>2701</v>
      </c>
      <c r="C36" s="790"/>
      <c r="D36" s="738"/>
      <c r="E36" s="739"/>
      <c r="F36" s="738"/>
      <c r="G36" s="739"/>
      <c r="H36" s="738"/>
      <c r="I36" s="713">
        <v>8</v>
      </c>
      <c r="J36" s="714">
        <v>8</v>
      </c>
      <c r="K36" s="739"/>
      <c r="L36" s="738"/>
      <c r="M36" s="739"/>
      <c r="N36" s="738"/>
      <c r="O36" s="739"/>
      <c r="P36" s="738"/>
      <c r="Q36" s="739"/>
      <c r="R36" s="738"/>
      <c r="S36" s="739"/>
      <c r="T36" s="738"/>
      <c r="U36" s="739"/>
      <c r="V36" s="738"/>
      <c r="W36" s="739"/>
      <c r="X36" s="738"/>
      <c r="Y36" s="739"/>
      <c r="Z36" s="738"/>
      <c r="AA36" s="823"/>
    </row>
    <row r="37" spans="1:27" ht="14.25">
      <c r="A37" s="788">
        <v>4.5999999999999996</v>
      </c>
      <c r="B37" s="789" t="s">
        <v>2702</v>
      </c>
      <c r="C37" s="790"/>
      <c r="D37" s="738"/>
      <c r="E37" s="739"/>
      <c r="F37" s="738"/>
      <c r="G37" s="739"/>
      <c r="H37" s="738"/>
      <c r="I37" s="713">
        <v>12</v>
      </c>
      <c r="J37" s="714">
        <v>8</v>
      </c>
      <c r="K37" s="739"/>
      <c r="L37" s="738"/>
      <c r="M37" s="739"/>
      <c r="N37" s="738"/>
      <c r="O37" s="739"/>
      <c r="P37" s="738"/>
      <c r="Q37" s="739"/>
      <c r="R37" s="738"/>
      <c r="S37" s="739"/>
      <c r="T37" s="738"/>
      <c r="U37" s="739"/>
      <c r="V37" s="738"/>
      <c r="W37" s="739"/>
      <c r="X37" s="738"/>
      <c r="Y37" s="739"/>
      <c r="Z37" s="738"/>
      <c r="AA37" s="823"/>
    </row>
    <row r="38" spans="1:27" ht="14.25">
      <c r="A38" s="788">
        <v>4.7</v>
      </c>
      <c r="B38" s="825" t="s">
        <v>2703</v>
      </c>
      <c r="C38" s="790"/>
      <c r="D38" s="738"/>
      <c r="E38" s="739"/>
      <c r="F38" s="738"/>
      <c r="G38" s="739"/>
      <c r="H38" s="738"/>
      <c r="I38" s="713">
        <v>20</v>
      </c>
      <c r="J38" s="714">
        <v>8</v>
      </c>
      <c r="K38" s="739"/>
      <c r="L38" s="738"/>
      <c r="M38" s="739"/>
      <c r="N38" s="738"/>
      <c r="O38" s="739"/>
      <c r="P38" s="738"/>
      <c r="Q38" s="739"/>
      <c r="R38" s="738"/>
      <c r="S38" s="739"/>
      <c r="T38" s="738"/>
      <c r="U38" s="739"/>
      <c r="V38" s="738"/>
      <c r="W38" s="739"/>
      <c r="X38" s="738"/>
      <c r="Y38" s="739"/>
      <c r="Z38" s="738"/>
      <c r="AA38" s="823"/>
    </row>
    <row r="39" spans="1:27" ht="14.25">
      <c r="A39" s="788">
        <v>4.8</v>
      </c>
      <c r="B39" s="825" t="s">
        <v>2704</v>
      </c>
      <c r="C39" s="790"/>
      <c r="D39" s="738"/>
      <c r="E39" s="739"/>
      <c r="F39" s="738"/>
      <c r="G39" s="739"/>
      <c r="H39" s="738"/>
      <c r="I39" s="713">
        <v>20</v>
      </c>
      <c r="J39" s="714">
        <v>8</v>
      </c>
      <c r="K39" s="739"/>
      <c r="L39" s="738"/>
      <c r="M39" s="739"/>
      <c r="N39" s="738"/>
      <c r="O39" s="739"/>
      <c r="P39" s="738"/>
      <c r="Q39" s="739"/>
      <c r="R39" s="738"/>
      <c r="S39" s="739"/>
      <c r="T39" s="738"/>
      <c r="U39" s="739"/>
      <c r="V39" s="738"/>
      <c r="W39" s="739"/>
      <c r="X39" s="738"/>
      <c r="Y39" s="739"/>
      <c r="Z39" s="738"/>
      <c r="AA39" s="823"/>
    </row>
    <row r="40" spans="1:27" ht="14.25">
      <c r="A40" s="788">
        <v>4.9000000000000004</v>
      </c>
      <c r="B40" s="824" t="s">
        <v>2705</v>
      </c>
      <c r="C40" s="790"/>
      <c r="D40" s="738"/>
      <c r="E40" s="739"/>
      <c r="F40" s="738"/>
      <c r="G40" s="739"/>
      <c r="H40" s="738"/>
      <c r="I40" s="713">
        <v>25</v>
      </c>
      <c r="J40" s="714">
        <v>8</v>
      </c>
      <c r="K40" s="739"/>
      <c r="L40" s="738"/>
      <c r="M40" s="739"/>
      <c r="N40" s="738"/>
      <c r="O40" s="739"/>
      <c r="P40" s="738"/>
      <c r="Q40" s="739"/>
      <c r="R40" s="738"/>
      <c r="S40" s="739"/>
      <c r="T40" s="738"/>
      <c r="U40" s="739"/>
      <c r="V40" s="738"/>
      <c r="W40" s="739"/>
      <c r="X40" s="738"/>
      <c r="Y40" s="739"/>
      <c r="Z40" s="738"/>
      <c r="AA40" s="823"/>
    </row>
    <row r="41" spans="1:27" ht="14.25">
      <c r="A41" s="795" t="s">
        <v>1346</v>
      </c>
      <c r="B41" s="825" t="s">
        <v>2706</v>
      </c>
      <c r="C41" s="790"/>
      <c r="D41" s="738"/>
      <c r="E41" s="739"/>
      <c r="F41" s="738"/>
      <c r="G41" s="739"/>
      <c r="H41" s="738"/>
      <c r="I41" s="713">
        <v>25</v>
      </c>
      <c r="J41" s="714">
        <v>8</v>
      </c>
      <c r="K41" s="739"/>
      <c r="L41" s="738"/>
      <c r="M41" s="739"/>
      <c r="N41" s="738"/>
      <c r="O41" s="739"/>
      <c r="P41" s="738"/>
      <c r="Q41" s="739"/>
      <c r="R41" s="738"/>
      <c r="S41" s="739"/>
      <c r="T41" s="738"/>
      <c r="U41" s="739"/>
      <c r="V41" s="738"/>
      <c r="W41" s="739"/>
      <c r="X41" s="738"/>
      <c r="Y41" s="739"/>
      <c r="Z41" s="738"/>
      <c r="AA41" s="823"/>
    </row>
    <row r="42" spans="1:27" ht="14.25">
      <c r="A42" s="788">
        <v>4.1100000000000003</v>
      </c>
      <c r="B42" s="825" t="s">
        <v>2707</v>
      </c>
      <c r="C42" s="790"/>
      <c r="D42" s="738"/>
      <c r="E42" s="739"/>
      <c r="F42" s="738"/>
      <c r="G42" s="739"/>
      <c r="H42" s="738"/>
      <c r="I42" s="713">
        <v>20</v>
      </c>
      <c r="J42" s="714">
        <v>8</v>
      </c>
      <c r="K42" s="739"/>
      <c r="L42" s="738"/>
      <c r="M42" s="739"/>
      <c r="N42" s="738"/>
      <c r="O42" s="739"/>
      <c r="P42" s="738"/>
      <c r="Q42" s="739"/>
      <c r="R42" s="738"/>
      <c r="S42" s="739"/>
      <c r="T42" s="738"/>
      <c r="U42" s="739"/>
      <c r="V42" s="738"/>
      <c r="W42" s="739"/>
      <c r="X42" s="738"/>
      <c r="Y42" s="739"/>
      <c r="Z42" s="738"/>
      <c r="AA42" s="823"/>
    </row>
    <row r="43" spans="1:27" ht="14.25">
      <c r="A43" s="795">
        <v>4.12</v>
      </c>
      <c r="B43" s="825" t="s">
        <v>2708</v>
      </c>
      <c r="C43" s="790"/>
      <c r="D43" s="738"/>
      <c r="E43" s="739"/>
      <c r="F43" s="738"/>
      <c r="G43" s="739"/>
      <c r="H43" s="738"/>
      <c r="I43" s="713">
        <v>30</v>
      </c>
      <c r="J43" s="714">
        <v>8</v>
      </c>
      <c r="K43" s="739"/>
      <c r="L43" s="738"/>
      <c r="M43" s="739"/>
      <c r="N43" s="738"/>
      <c r="O43" s="739"/>
      <c r="P43" s="738"/>
      <c r="Q43" s="739"/>
      <c r="R43" s="738"/>
      <c r="S43" s="739"/>
      <c r="T43" s="738"/>
      <c r="U43" s="739"/>
      <c r="V43" s="738"/>
      <c r="W43" s="739"/>
      <c r="X43" s="738"/>
      <c r="Y43" s="739"/>
      <c r="Z43" s="738"/>
      <c r="AA43" s="823"/>
    </row>
    <row r="44" spans="1:27" ht="14.25">
      <c r="A44" s="788">
        <v>4.13</v>
      </c>
      <c r="B44" s="825" t="s">
        <v>2709</v>
      </c>
      <c r="C44" s="794"/>
      <c r="D44" s="745"/>
      <c r="E44" s="746"/>
      <c r="F44" s="745"/>
      <c r="G44" s="746"/>
      <c r="H44" s="745"/>
      <c r="I44" s="713">
        <v>15</v>
      </c>
      <c r="J44" s="714">
        <v>8</v>
      </c>
      <c r="K44" s="739"/>
      <c r="L44" s="738"/>
      <c r="M44" s="739"/>
      <c r="N44" s="738"/>
      <c r="O44" s="739"/>
      <c r="P44" s="738"/>
      <c r="Q44" s="739"/>
      <c r="R44" s="738"/>
      <c r="S44" s="739"/>
      <c r="T44" s="738"/>
      <c r="U44" s="739"/>
      <c r="V44" s="738"/>
      <c r="W44" s="739"/>
      <c r="X44" s="738"/>
      <c r="Y44" s="739"/>
      <c r="Z44" s="738"/>
      <c r="AA44" s="823"/>
    </row>
    <row r="45" spans="1:27" ht="14.25">
      <c r="A45" s="795">
        <v>4.1399999999999997</v>
      </c>
      <c r="B45" s="825" t="s">
        <v>2710</v>
      </c>
      <c r="C45" s="794"/>
      <c r="D45" s="745"/>
      <c r="E45" s="746"/>
      <c r="F45" s="745"/>
      <c r="G45" s="746"/>
      <c r="H45" s="745"/>
      <c r="I45" s="713">
        <v>10</v>
      </c>
      <c r="J45" s="714">
        <v>4</v>
      </c>
      <c r="K45" s="746"/>
      <c r="L45" s="745"/>
      <c r="M45" s="746"/>
      <c r="N45" s="745"/>
      <c r="O45" s="746"/>
      <c r="P45" s="745"/>
      <c r="Q45" s="746"/>
      <c r="R45" s="745"/>
      <c r="S45" s="746"/>
      <c r="T45" s="745"/>
      <c r="U45" s="746"/>
      <c r="V45" s="745"/>
      <c r="W45" s="746"/>
      <c r="X45" s="745"/>
      <c r="Y45" s="746"/>
      <c r="Z45" s="745"/>
      <c r="AA45" s="823"/>
    </row>
    <row r="46" spans="1:27" ht="14.25">
      <c r="A46" s="760">
        <v>5</v>
      </c>
      <c r="B46" s="789" t="s">
        <v>2711</v>
      </c>
      <c r="C46" s="790"/>
      <c r="D46" s="738"/>
      <c r="E46" s="739"/>
      <c r="F46" s="738"/>
      <c r="G46" s="739"/>
      <c r="H46" s="738"/>
      <c r="I46" s="826"/>
      <c r="J46" s="827"/>
      <c r="K46" s="739"/>
      <c r="L46" s="738"/>
      <c r="M46" s="739"/>
      <c r="N46" s="738"/>
      <c r="O46" s="739"/>
      <c r="P46" s="738"/>
      <c r="Q46" s="739"/>
      <c r="R46" s="738"/>
      <c r="S46" s="739"/>
      <c r="T46" s="738"/>
      <c r="U46" s="739"/>
      <c r="V46" s="738"/>
      <c r="W46" s="739"/>
      <c r="X46" s="738"/>
      <c r="Y46" s="739"/>
      <c r="Z46" s="738"/>
      <c r="AA46" s="828"/>
    </row>
    <row r="47" spans="1:27" ht="14.25">
      <c r="A47" s="788">
        <v>5.0999999999999996</v>
      </c>
      <c r="B47" s="789" t="s">
        <v>2712</v>
      </c>
      <c r="C47" s="790"/>
      <c r="D47" s="738"/>
      <c r="E47" s="739"/>
      <c r="F47" s="738"/>
      <c r="G47" s="739"/>
      <c r="H47" s="738"/>
      <c r="I47" s="713">
        <v>30</v>
      </c>
      <c r="J47" s="714">
        <v>10</v>
      </c>
      <c r="K47" s="739"/>
      <c r="L47" s="738"/>
      <c r="M47" s="739"/>
      <c r="N47" s="738"/>
      <c r="O47" s="739"/>
      <c r="P47" s="738"/>
      <c r="Q47" s="739"/>
      <c r="R47" s="738"/>
      <c r="S47" s="739"/>
      <c r="T47" s="738"/>
      <c r="U47" s="739"/>
      <c r="V47" s="738"/>
      <c r="W47" s="739"/>
      <c r="X47" s="738"/>
      <c r="Y47" s="739"/>
      <c r="Z47" s="738"/>
      <c r="AA47" s="823">
        <v>50</v>
      </c>
    </row>
    <row r="48" spans="1:27" ht="28.5">
      <c r="A48" s="788">
        <v>5.2</v>
      </c>
      <c r="B48" s="789" t="s">
        <v>2713</v>
      </c>
      <c r="C48" s="790"/>
      <c r="D48" s="738"/>
      <c r="E48" s="739"/>
      <c r="F48" s="738"/>
      <c r="G48" s="739"/>
      <c r="H48" s="738"/>
      <c r="I48" s="713">
        <v>30</v>
      </c>
      <c r="J48" s="714">
        <v>5</v>
      </c>
      <c r="K48" s="739"/>
      <c r="L48" s="738"/>
      <c r="M48" s="739"/>
      <c r="N48" s="738"/>
      <c r="O48" s="739"/>
      <c r="P48" s="738"/>
      <c r="Q48" s="739"/>
      <c r="R48" s="738"/>
      <c r="S48" s="739"/>
      <c r="T48" s="738"/>
      <c r="U48" s="739"/>
      <c r="V48" s="738"/>
      <c r="W48" s="739"/>
      <c r="X48" s="738"/>
      <c r="Y48" s="739"/>
      <c r="Z48" s="738"/>
      <c r="AA48" s="823">
        <v>30</v>
      </c>
    </row>
    <row r="49" spans="1:27" ht="28.5">
      <c r="A49" s="788">
        <v>5.3</v>
      </c>
      <c r="B49" s="789" t="s">
        <v>2714</v>
      </c>
      <c r="C49" s="790"/>
      <c r="D49" s="738"/>
      <c r="E49" s="739"/>
      <c r="F49" s="738"/>
      <c r="G49" s="739"/>
      <c r="H49" s="738"/>
      <c r="I49" s="713">
        <v>15</v>
      </c>
      <c r="J49" s="714">
        <v>5</v>
      </c>
      <c r="K49" s="739"/>
      <c r="L49" s="738"/>
      <c r="M49" s="739"/>
      <c r="N49" s="738"/>
      <c r="O49" s="739"/>
      <c r="P49" s="738"/>
      <c r="Q49" s="739"/>
      <c r="R49" s="738"/>
      <c r="S49" s="739"/>
      <c r="T49" s="738"/>
      <c r="U49" s="739"/>
      <c r="V49" s="738"/>
      <c r="W49" s="739"/>
      <c r="X49" s="738"/>
      <c r="Y49" s="739"/>
      <c r="Z49" s="738"/>
      <c r="AA49" s="823">
        <v>20</v>
      </c>
    </row>
    <row r="50" spans="1:27" ht="28.5">
      <c r="A50" s="788">
        <v>5.4</v>
      </c>
      <c r="B50" s="789" t="s">
        <v>2715</v>
      </c>
      <c r="C50" s="790"/>
      <c r="D50" s="738"/>
      <c r="E50" s="739"/>
      <c r="F50" s="738"/>
      <c r="G50" s="739"/>
      <c r="H50" s="738"/>
      <c r="I50" s="713">
        <v>15</v>
      </c>
      <c r="J50" s="714">
        <v>5</v>
      </c>
      <c r="K50" s="739"/>
      <c r="L50" s="738"/>
      <c r="M50" s="739"/>
      <c r="N50" s="738"/>
      <c r="O50" s="739"/>
      <c r="P50" s="738"/>
      <c r="Q50" s="739"/>
      <c r="R50" s="738"/>
      <c r="S50" s="739"/>
      <c r="T50" s="738"/>
      <c r="U50" s="739"/>
      <c r="V50" s="738"/>
      <c r="W50" s="739"/>
      <c r="X50" s="738"/>
      <c r="Y50" s="739"/>
      <c r="Z50" s="738"/>
      <c r="AA50" s="823">
        <v>20</v>
      </c>
    </row>
    <row r="51" spans="1:27" ht="28.5">
      <c r="A51" s="788">
        <v>5.5</v>
      </c>
      <c r="B51" s="789" t="s">
        <v>2716</v>
      </c>
      <c r="C51" s="790"/>
      <c r="D51" s="738"/>
      <c r="E51" s="739"/>
      <c r="F51" s="738"/>
      <c r="G51" s="739"/>
      <c r="H51" s="738"/>
      <c r="I51" s="713">
        <v>15</v>
      </c>
      <c r="J51" s="714">
        <v>5</v>
      </c>
      <c r="K51" s="739"/>
      <c r="L51" s="738"/>
      <c r="M51" s="739"/>
      <c r="N51" s="738"/>
      <c r="O51" s="739"/>
      <c r="P51" s="738"/>
      <c r="Q51" s="739"/>
      <c r="R51" s="738"/>
      <c r="S51" s="739"/>
      <c r="T51" s="738"/>
      <c r="U51" s="739"/>
      <c r="V51" s="738"/>
      <c r="W51" s="739"/>
      <c r="X51" s="738"/>
      <c r="Y51" s="739"/>
      <c r="Z51" s="738"/>
      <c r="AA51" s="823">
        <v>20</v>
      </c>
    </row>
    <row r="52" spans="1:27" ht="28.5">
      <c r="A52" s="788">
        <v>5.6</v>
      </c>
      <c r="B52" s="789" t="s">
        <v>2717</v>
      </c>
      <c r="C52" s="790"/>
      <c r="D52" s="738"/>
      <c r="E52" s="739"/>
      <c r="F52" s="738"/>
      <c r="G52" s="739"/>
      <c r="H52" s="738"/>
      <c r="I52" s="713">
        <v>15</v>
      </c>
      <c r="J52" s="714">
        <v>5</v>
      </c>
      <c r="K52" s="739"/>
      <c r="L52" s="738"/>
      <c r="M52" s="739"/>
      <c r="N52" s="738"/>
      <c r="O52" s="739"/>
      <c r="P52" s="738"/>
      <c r="Q52" s="739"/>
      <c r="R52" s="738"/>
      <c r="S52" s="739"/>
      <c r="T52" s="738"/>
      <c r="U52" s="739"/>
      <c r="V52" s="738"/>
      <c r="W52" s="739"/>
      <c r="X52" s="738"/>
      <c r="Y52" s="739"/>
      <c r="Z52" s="738"/>
      <c r="AA52" s="823">
        <v>20</v>
      </c>
    </row>
    <row r="53" spans="1:27" ht="30">
      <c r="A53" s="788">
        <v>5.7</v>
      </c>
      <c r="B53" s="789" t="s">
        <v>2718</v>
      </c>
      <c r="C53" s="790"/>
      <c r="D53" s="738"/>
      <c r="E53" s="739"/>
      <c r="F53" s="738"/>
      <c r="G53" s="739"/>
      <c r="H53" s="738"/>
      <c r="I53" s="713">
        <v>20</v>
      </c>
      <c r="J53" s="714">
        <v>5</v>
      </c>
      <c r="K53" s="739"/>
      <c r="L53" s="738"/>
      <c r="M53" s="739"/>
      <c r="N53" s="738"/>
      <c r="O53" s="739"/>
      <c r="P53" s="738"/>
      <c r="Q53" s="739"/>
      <c r="R53" s="738"/>
      <c r="S53" s="739"/>
      <c r="T53" s="738"/>
      <c r="U53" s="739"/>
      <c r="V53" s="738"/>
      <c r="W53" s="739"/>
      <c r="X53" s="738"/>
      <c r="Y53" s="739"/>
      <c r="Z53" s="738"/>
      <c r="AA53" s="823">
        <v>40</v>
      </c>
    </row>
    <row r="54" spans="1:27" ht="30">
      <c r="A54" s="788">
        <v>5.8</v>
      </c>
      <c r="B54" s="789" t="s">
        <v>2718</v>
      </c>
      <c r="C54" s="790"/>
      <c r="D54" s="738"/>
      <c r="E54" s="739"/>
      <c r="F54" s="738"/>
      <c r="G54" s="739"/>
      <c r="H54" s="738"/>
      <c r="I54" s="713">
        <v>15</v>
      </c>
      <c r="J54" s="714">
        <v>5</v>
      </c>
      <c r="K54" s="739"/>
      <c r="L54" s="738"/>
      <c r="M54" s="739"/>
      <c r="N54" s="738"/>
      <c r="O54" s="739"/>
      <c r="P54" s="738"/>
      <c r="Q54" s="739"/>
      <c r="R54" s="738"/>
      <c r="S54" s="739"/>
      <c r="T54" s="738"/>
      <c r="U54" s="739"/>
      <c r="V54" s="738"/>
      <c r="W54" s="739"/>
      <c r="X54" s="738"/>
      <c r="Y54" s="739"/>
      <c r="Z54" s="738"/>
      <c r="AA54" s="823">
        <v>20</v>
      </c>
    </row>
    <row r="55" spans="1:27" ht="30">
      <c r="A55" s="788">
        <v>5.9</v>
      </c>
      <c r="B55" s="789" t="s">
        <v>2719</v>
      </c>
      <c r="C55" s="790"/>
      <c r="D55" s="738"/>
      <c r="E55" s="739"/>
      <c r="F55" s="738"/>
      <c r="G55" s="739"/>
      <c r="H55" s="738"/>
      <c r="I55" s="713">
        <v>15</v>
      </c>
      <c r="J55" s="714">
        <v>5</v>
      </c>
      <c r="K55" s="739"/>
      <c r="L55" s="738"/>
      <c r="M55" s="739"/>
      <c r="N55" s="738"/>
      <c r="O55" s="739"/>
      <c r="P55" s="738"/>
      <c r="Q55" s="739"/>
      <c r="R55" s="738"/>
      <c r="S55" s="739"/>
      <c r="T55" s="738"/>
      <c r="U55" s="739"/>
      <c r="V55" s="738"/>
      <c r="W55" s="739"/>
      <c r="X55" s="738"/>
      <c r="Y55" s="739"/>
      <c r="Z55" s="738"/>
      <c r="AA55" s="823">
        <v>20</v>
      </c>
    </row>
    <row r="56" spans="1:27" ht="14.25">
      <c r="A56" s="795" t="s">
        <v>615</v>
      </c>
      <c r="B56" s="789" t="s">
        <v>2720</v>
      </c>
      <c r="C56" s="790"/>
      <c r="D56" s="738"/>
      <c r="E56" s="739"/>
      <c r="F56" s="738"/>
      <c r="G56" s="739"/>
      <c r="H56" s="738"/>
      <c r="I56" s="713">
        <v>20</v>
      </c>
      <c r="J56" s="714">
        <v>8</v>
      </c>
      <c r="K56" s="739"/>
      <c r="L56" s="738"/>
      <c r="M56" s="739"/>
      <c r="N56" s="738"/>
      <c r="O56" s="739"/>
      <c r="P56" s="738"/>
      <c r="Q56" s="739"/>
      <c r="R56" s="738"/>
      <c r="S56" s="739"/>
      <c r="T56" s="738"/>
      <c r="U56" s="739"/>
      <c r="V56" s="738"/>
      <c r="W56" s="739"/>
      <c r="X56" s="738"/>
      <c r="Y56" s="739"/>
      <c r="Z56" s="738"/>
      <c r="AA56" s="823"/>
    </row>
    <row r="57" spans="1:27" ht="14.25">
      <c r="A57" s="788">
        <v>5.1100000000000003</v>
      </c>
      <c r="B57" s="789" t="s">
        <v>2721</v>
      </c>
      <c r="C57" s="790"/>
      <c r="D57" s="738"/>
      <c r="E57" s="739"/>
      <c r="F57" s="738"/>
      <c r="G57" s="739"/>
      <c r="H57" s="738"/>
      <c r="I57" s="713">
        <v>15</v>
      </c>
      <c r="J57" s="714">
        <v>5</v>
      </c>
      <c r="K57" s="739"/>
      <c r="L57" s="738"/>
      <c r="M57" s="739"/>
      <c r="N57" s="738"/>
      <c r="O57" s="739"/>
      <c r="P57" s="738"/>
      <c r="Q57" s="739"/>
      <c r="R57" s="738"/>
      <c r="S57" s="739"/>
      <c r="T57" s="738"/>
      <c r="U57" s="739"/>
      <c r="V57" s="738"/>
      <c r="W57" s="739"/>
      <c r="X57" s="738"/>
      <c r="Y57" s="739"/>
      <c r="Z57" s="738"/>
      <c r="AA57" s="823">
        <v>20</v>
      </c>
    </row>
    <row r="58" spans="1:27" ht="14.25">
      <c r="A58" s="795">
        <v>5.12</v>
      </c>
      <c r="B58" s="789" t="s">
        <v>2722</v>
      </c>
      <c r="C58" s="790"/>
      <c r="D58" s="738"/>
      <c r="E58" s="739"/>
      <c r="F58" s="738"/>
      <c r="G58" s="739"/>
      <c r="H58" s="738"/>
      <c r="I58" s="713">
        <v>15</v>
      </c>
      <c r="J58" s="714">
        <v>5</v>
      </c>
      <c r="K58" s="739"/>
      <c r="L58" s="738"/>
      <c r="M58" s="739"/>
      <c r="N58" s="738"/>
      <c r="O58" s="739"/>
      <c r="P58" s="738"/>
      <c r="Q58" s="739"/>
      <c r="R58" s="738"/>
      <c r="S58" s="739"/>
      <c r="T58" s="738"/>
      <c r="U58" s="739"/>
      <c r="V58" s="738"/>
      <c r="W58" s="739"/>
      <c r="X58" s="738"/>
      <c r="Y58" s="739"/>
      <c r="Z58" s="738"/>
      <c r="AA58" s="823">
        <v>20</v>
      </c>
    </row>
    <row r="59" spans="1:27" ht="14.25">
      <c r="A59" s="760">
        <v>6</v>
      </c>
      <c r="B59" s="796" t="s">
        <v>2723</v>
      </c>
      <c r="C59" s="790"/>
      <c r="D59" s="738"/>
      <c r="E59" s="739"/>
      <c r="F59" s="738"/>
      <c r="G59" s="739"/>
      <c r="H59" s="738"/>
      <c r="I59" s="826"/>
      <c r="J59" s="827"/>
      <c r="K59" s="739"/>
      <c r="L59" s="738"/>
      <c r="M59" s="739"/>
      <c r="N59" s="738"/>
      <c r="O59" s="739"/>
      <c r="P59" s="738"/>
      <c r="Q59" s="739"/>
      <c r="R59" s="738"/>
      <c r="S59" s="739"/>
      <c r="T59" s="738"/>
      <c r="U59" s="739"/>
      <c r="V59" s="738"/>
      <c r="W59" s="739"/>
      <c r="X59" s="738"/>
      <c r="Y59" s="739"/>
      <c r="Z59" s="738"/>
      <c r="AA59" s="828"/>
    </row>
    <row r="60" spans="1:27" ht="14.25">
      <c r="A60" s="788">
        <v>6.1</v>
      </c>
      <c r="B60" s="789" t="s">
        <v>2724</v>
      </c>
      <c r="C60" s="790"/>
      <c r="D60" s="738"/>
      <c r="E60" s="739"/>
      <c r="F60" s="738"/>
      <c r="G60" s="739"/>
      <c r="H60" s="738"/>
      <c r="I60" s="713">
        <v>40</v>
      </c>
      <c r="J60" s="714">
        <v>10</v>
      </c>
      <c r="K60" s="739"/>
      <c r="L60" s="738"/>
      <c r="M60" s="739"/>
      <c r="N60" s="738"/>
      <c r="O60" s="739"/>
      <c r="P60" s="738"/>
      <c r="Q60" s="739"/>
      <c r="R60" s="738"/>
      <c r="S60" s="739"/>
      <c r="T60" s="738"/>
      <c r="U60" s="739"/>
      <c r="V60" s="738"/>
      <c r="W60" s="739"/>
      <c r="X60" s="738"/>
      <c r="Y60" s="739"/>
      <c r="Z60" s="738"/>
      <c r="AA60" s="823"/>
    </row>
    <row r="61" spans="1:27" ht="14.25">
      <c r="A61" s="788">
        <v>6.2</v>
      </c>
      <c r="B61" s="789" t="s">
        <v>2725</v>
      </c>
      <c r="C61" s="790"/>
      <c r="D61" s="738"/>
      <c r="E61" s="739"/>
      <c r="F61" s="738"/>
      <c r="G61" s="739"/>
      <c r="H61" s="738"/>
      <c r="I61" s="713">
        <v>20</v>
      </c>
      <c r="J61" s="714">
        <v>5</v>
      </c>
      <c r="K61" s="739"/>
      <c r="L61" s="738"/>
      <c r="M61" s="739"/>
      <c r="N61" s="738"/>
      <c r="O61" s="739"/>
      <c r="P61" s="738"/>
      <c r="Q61" s="739"/>
      <c r="R61" s="738"/>
      <c r="S61" s="739"/>
      <c r="T61" s="738"/>
      <c r="U61" s="739"/>
      <c r="V61" s="738"/>
      <c r="W61" s="739"/>
      <c r="X61" s="738"/>
      <c r="Y61" s="739"/>
      <c r="Z61" s="738"/>
      <c r="AA61" s="823"/>
    </row>
    <row r="62" spans="1:27" ht="14.25">
      <c r="A62" s="788">
        <v>6.3</v>
      </c>
      <c r="B62" s="789" t="s">
        <v>2726</v>
      </c>
      <c r="C62" s="790"/>
      <c r="D62" s="738"/>
      <c r="E62" s="739"/>
      <c r="F62" s="738"/>
      <c r="G62" s="739"/>
      <c r="H62" s="738"/>
      <c r="I62" s="713">
        <v>40</v>
      </c>
      <c r="J62" s="714">
        <v>5</v>
      </c>
      <c r="K62" s="739"/>
      <c r="L62" s="738"/>
      <c r="M62" s="739"/>
      <c r="N62" s="738"/>
      <c r="O62" s="739"/>
      <c r="P62" s="738"/>
      <c r="Q62" s="739"/>
      <c r="R62" s="738"/>
      <c r="S62" s="739"/>
      <c r="T62" s="738"/>
      <c r="U62" s="739"/>
      <c r="V62" s="738"/>
      <c r="W62" s="739"/>
      <c r="X62" s="738"/>
      <c r="Y62" s="739"/>
      <c r="Z62" s="738"/>
      <c r="AA62" s="823"/>
    </row>
    <row r="63" spans="1:27" ht="14.25">
      <c r="A63" s="788">
        <v>6.4</v>
      </c>
      <c r="B63" s="789" t="s">
        <v>2727</v>
      </c>
      <c r="C63" s="790"/>
      <c r="D63" s="738"/>
      <c r="E63" s="739"/>
      <c r="F63" s="738"/>
      <c r="G63" s="739"/>
      <c r="H63" s="738"/>
      <c r="I63" s="713">
        <v>20</v>
      </c>
      <c r="J63" s="714">
        <v>5</v>
      </c>
      <c r="K63" s="739"/>
      <c r="L63" s="738"/>
      <c r="M63" s="739"/>
      <c r="N63" s="738"/>
      <c r="O63" s="739"/>
      <c r="P63" s="738"/>
      <c r="Q63" s="739"/>
      <c r="R63" s="738"/>
      <c r="S63" s="739"/>
      <c r="T63" s="738"/>
      <c r="U63" s="739"/>
      <c r="V63" s="738"/>
      <c r="W63" s="739"/>
      <c r="X63" s="738"/>
      <c r="Y63" s="739"/>
      <c r="Z63" s="738"/>
      <c r="AA63" s="823"/>
    </row>
    <row r="64" spans="1:27" ht="14.25">
      <c r="A64" s="788">
        <v>6.5</v>
      </c>
      <c r="B64" s="789" t="s">
        <v>2728</v>
      </c>
      <c r="C64" s="790"/>
      <c r="D64" s="738"/>
      <c r="E64" s="739"/>
      <c r="F64" s="738"/>
      <c r="G64" s="739"/>
      <c r="H64" s="738"/>
      <c r="I64" s="713">
        <v>40</v>
      </c>
      <c r="J64" s="714">
        <v>5</v>
      </c>
      <c r="K64" s="739"/>
      <c r="L64" s="738"/>
      <c r="M64" s="739"/>
      <c r="N64" s="738"/>
      <c r="O64" s="739"/>
      <c r="P64" s="738"/>
      <c r="Q64" s="739"/>
      <c r="R64" s="738"/>
      <c r="S64" s="739"/>
      <c r="T64" s="738"/>
      <c r="U64" s="739"/>
      <c r="V64" s="738"/>
      <c r="W64" s="739"/>
      <c r="X64" s="738"/>
      <c r="Y64" s="739"/>
      <c r="Z64" s="738"/>
      <c r="AA64" s="823"/>
    </row>
    <row r="65" spans="1:28" ht="14.25">
      <c r="A65" s="788">
        <v>6.6</v>
      </c>
      <c r="B65" s="789" t="s">
        <v>2729</v>
      </c>
      <c r="C65" s="790"/>
      <c r="D65" s="738"/>
      <c r="E65" s="739"/>
      <c r="F65" s="738"/>
      <c r="G65" s="739"/>
      <c r="H65" s="738"/>
      <c r="I65" s="713">
        <v>50</v>
      </c>
      <c r="J65" s="714">
        <v>5</v>
      </c>
      <c r="K65" s="739"/>
      <c r="L65" s="738"/>
      <c r="M65" s="739"/>
      <c r="N65" s="738"/>
      <c r="O65" s="739"/>
      <c r="P65" s="738"/>
      <c r="Q65" s="739"/>
      <c r="R65" s="738"/>
      <c r="S65" s="739"/>
      <c r="T65" s="738"/>
      <c r="U65" s="739"/>
      <c r="V65" s="738"/>
      <c r="W65" s="739"/>
      <c r="X65" s="738"/>
      <c r="Y65" s="739"/>
      <c r="Z65" s="738"/>
      <c r="AA65" s="823"/>
    </row>
    <row r="66" spans="1:28" ht="14.25">
      <c r="A66" s="788">
        <v>6.7</v>
      </c>
      <c r="B66" s="789" t="s">
        <v>2730</v>
      </c>
      <c r="C66" s="790"/>
      <c r="D66" s="738"/>
      <c r="E66" s="739"/>
      <c r="F66" s="738"/>
      <c r="G66" s="739"/>
      <c r="H66" s="738"/>
      <c r="I66" s="713">
        <v>40</v>
      </c>
      <c r="J66" s="714">
        <v>5</v>
      </c>
      <c r="K66" s="739"/>
      <c r="L66" s="738"/>
      <c r="M66" s="739"/>
      <c r="N66" s="738"/>
      <c r="O66" s="739"/>
      <c r="P66" s="738"/>
      <c r="Q66" s="739"/>
      <c r="R66" s="738"/>
      <c r="S66" s="739"/>
      <c r="T66" s="738"/>
      <c r="U66" s="739"/>
      <c r="V66" s="738"/>
      <c r="W66" s="739"/>
      <c r="X66" s="738"/>
      <c r="Y66" s="739"/>
      <c r="Z66" s="738"/>
      <c r="AA66" s="823"/>
    </row>
    <row r="67" spans="1:28" ht="14.25">
      <c r="A67" s="760">
        <v>7</v>
      </c>
      <c r="B67" s="796" t="s">
        <v>2611</v>
      </c>
      <c r="C67" s="790"/>
      <c r="D67" s="738"/>
      <c r="E67" s="739"/>
      <c r="F67" s="738"/>
      <c r="G67" s="739"/>
      <c r="H67" s="738"/>
      <c r="I67" s="826"/>
      <c r="J67" s="827"/>
      <c r="K67" s="739"/>
      <c r="L67" s="738"/>
      <c r="M67" s="739"/>
      <c r="N67" s="738"/>
      <c r="O67" s="739"/>
      <c r="P67" s="738"/>
      <c r="Q67" s="739"/>
      <c r="R67" s="738"/>
      <c r="S67" s="739"/>
      <c r="T67" s="738"/>
      <c r="U67" s="739"/>
      <c r="V67" s="738"/>
      <c r="W67" s="739"/>
      <c r="X67" s="738"/>
      <c r="Y67" s="739"/>
      <c r="Z67" s="738"/>
      <c r="AA67" s="828"/>
    </row>
    <row r="68" spans="1:28" ht="28.5">
      <c r="A68" s="788">
        <v>7.1</v>
      </c>
      <c r="B68" s="789" t="s">
        <v>2731</v>
      </c>
      <c r="C68" s="790"/>
      <c r="D68" s="738"/>
      <c r="E68" s="739"/>
      <c r="F68" s="738"/>
      <c r="G68" s="739"/>
      <c r="H68" s="738"/>
      <c r="I68" s="713">
        <v>150</v>
      </c>
      <c r="J68" s="714">
        <v>30</v>
      </c>
      <c r="K68" s="739"/>
      <c r="L68" s="738"/>
      <c r="M68" s="739"/>
      <c r="N68" s="738"/>
      <c r="O68" s="739"/>
      <c r="P68" s="738"/>
      <c r="Q68" s="739"/>
      <c r="R68" s="738"/>
      <c r="S68" s="739"/>
      <c r="T68" s="738"/>
      <c r="U68" s="739"/>
      <c r="V68" s="738"/>
      <c r="W68" s="739"/>
      <c r="X68" s="738"/>
      <c r="Y68" s="739"/>
      <c r="Z68" s="738"/>
      <c r="AA68" s="823"/>
    </row>
    <row r="69" spans="1:28" ht="28.5">
      <c r="A69" s="788">
        <v>7.2</v>
      </c>
      <c r="B69" s="789" t="s">
        <v>2732</v>
      </c>
      <c r="C69" s="790"/>
      <c r="D69" s="738"/>
      <c r="E69" s="739"/>
      <c r="F69" s="738"/>
      <c r="G69" s="739"/>
      <c r="H69" s="738"/>
      <c r="I69" s="713">
        <v>150</v>
      </c>
      <c r="J69" s="714">
        <v>30</v>
      </c>
      <c r="K69" s="739"/>
      <c r="L69" s="738"/>
      <c r="M69" s="739"/>
      <c r="N69" s="738"/>
      <c r="O69" s="739"/>
      <c r="P69" s="738"/>
      <c r="Q69" s="739"/>
      <c r="R69" s="738"/>
      <c r="S69" s="739"/>
      <c r="T69" s="738"/>
      <c r="U69" s="739"/>
      <c r="V69" s="738"/>
      <c r="W69" s="739"/>
      <c r="X69" s="738"/>
      <c r="Y69" s="739"/>
      <c r="Z69" s="738"/>
      <c r="AA69" s="823"/>
    </row>
    <row r="70" spans="1:28" ht="28.5">
      <c r="A70" s="806">
        <v>7.3</v>
      </c>
      <c r="B70" s="807" t="s">
        <v>2733</v>
      </c>
      <c r="C70" s="809"/>
      <c r="D70" s="763"/>
      <c r="E70" s="766">
        <v>10</v>
      </c>
      <c r="F70" s="763"/>
      <c r="G70" s="766"/>
      <c r="H70" s="763"/>
      <c r="I70" s="718">
        <v>70</v>
      </c>
      <c r="J70" s="844">
        <v>20</v>
      </c>
      <c r="K70" s="766"/>
      <c r="L70" s="763"/>
      <c r="M70" s="766"/>
      <c r="N70" s="763"/>
      <c r="O70" s="766">
        <v>3</v>
      </c>
      <c r="P70" s="763"/>
      <c r="Q70" s="766"/>
      <c r="R70" s="763"/>
      <c r="S70" s="766"/>
      <c r="T70" s="763"/>
      <c r="U70" s="766"/>
      <c r="V70" s="763"/>
      <c r="W70" s="766"/>
      <c r="X70" s="763"/>
      <c r="Y70" s="766"/>
      <c r="Z70" s="763"/>
      <c r="AA70" s="845"/>
    </row>
    <row r="71" spans="1:28" ht="14.25">
      <c r="A71" s="760">
        <v>8</v>
      </c>
      <c r="B71" s="808" t="s">
        <v>2626</v>
      </c>
      <c r="C71" s="809"/>
      <c r="D71" s="763"/>
      <c r="E71" s="764"/>
      <c r="F71" s="765"/>
      <c r="G71" s="766"/>
      <c r="H71" s="763"/>
      <c r="I71" s="766"/>
      <c r="J71" s="763"/>
      <c r="K71" s="766"/>
      <c r="L71" s="763"/>
      <c r="M71" s="766"/>
      <c r="N71" s="763"/>
      <c r="O71" s="766"/>
      <c r="P71" s="763"/>
      <c r="Q71" s="766"/>
      <c r="R71" s="763"/>
      <c r="S71" s="766"/>
      <c r="T71" s="763"/>
      <c r="U71" s="766"/>
      <c r="V71" s="763"/>
      <c r="W71" s="766"/>
      <c r="X71" s="763"/>
      <c r="Y71" s="766"/>
      <c r="Z71" s="763"/>
      <c r="AA71" s="767"/>
    </row>
    <row r="72" spans="1:28" ht="14.25">
      <c r="A72" s="806">
        <v>8.1</v>
      </c>
      <c r="B72" s="810" t="s">
        <v>2627</v>
      </c>
      <c r="C72" s="809"/>
      <c r="D72" s="763"/>
      <c r="E72" s="764"/>
      <c r="F72" s="765"/>
      <c r="G72" s="766"/>
      <c r="H72" s="763"/>
      <c r="I72" s="772">
        <f>0.1*I79</f>
        <v>131.70000000000002</v>
      </c>
      <c r="J72" s="771">
        <f>0.1*J79</f>
        <v>56.400000000000006</v>
      </c>
      <c r="K72" s="772"/>
      <c r="L72" s="771"/>
      <c r="M72" s="772"/>
      <c r="N72" s="771"/>
      <c r="O72" s="772"/>
      <c r="P72" s="771"/>
      <c r="Q72" s="772"/>
      <c r="R72" s="771"/>
      <c r="S72" s="772"/>
      <c r="T72" s="771"/>
      <c r="U72" s="772"/>
      <c r="V72" s="771"/>
      <c r="W72" s="772"/>
      <c r="X72" s="771"/>
      <c r="Y72" s="772"/>
      <c r="Z72" s="771"/>
      <c r="AA72" s="767">
        <f>0.1*AA79</f>
        <v>32</v>
      </c>
    </row>
    <row r="73" spans="1:28" ht="14.25">
      <c r="A73" s="806">
        <v>8.1999999999999993</v>
      </c>
      <c r="B73" s="810" t="s">
        <v>2472</v>
      </c>
      <c r="C73" s="809"/>
      <c r="D73" s="763"/>
      <c r="E73" s="764"/>
      <c r="F73" s="765"/>
      <c r="G73" s="766"/>
      <c r="H73" s="763"/>
      <c r="I73" s="772">
        <f>0.05*I79</f>
        <v>65.850000000000009</v>
      </c>
      <c r="J73" s="771"/>
      <c r="K73" s="772"/>
      <c r="L73" s="771"/>
      <c r="M73" s="772"/>
      <c r="N73" s="771"/>
      <c r="O73" s="772"/>
      <c r="P73" s="771"/>
      <c r="Q73" s="772"/>
      <c r="R73" s="771"/>
      <c r="S73" s="772"/>
      <c r="T73" s="771"/>
      <c r="U73" s="772"/>
      <c r="V73" s="771"/>
      <c r="W73" s="772"/>
      <c r="X73" s="771"/>
      <c r="Y73" s="772"/>
      <c r="Z73" s="771"/>
      <c r="AA73" s="767">
        <f>0.05*AA79</f>
        <v>16</v>
      </c>
    </row>
    <row r="74" spans="1:28" ht="14.25">
      <c r="A74" s="806">
        <v>8.3000000000000007</v>
      </c>
      <c r="B74" s="810" t="s">
        <v>2628</v>
      </c>
      <c r="C74" s="809"/>
      <c r="D74" s="763"/>
      <c r="E74" s="764"/>
      <c r="F74" s="765"/>
      <c r="G74" s="766"/>
      <c r="H74" s="763"/>
      <c r="I74" s="772">
        <v>30</v>
      </c>
      <c r="J74" s="771"/>
      <c r="K74" s="772"/>
      <c r="L74" s="771"/>
      <c r="M74" s="772"/>
      <c r="N74" s="771"/>
      <c r="O74" s="772"/>
      <c r="P74" s="771"/>
      <c r="Q74" s="772"/>
      <c r="R74" s="771"/>
      <c r="S74" s="772"/>
      <c r="T74" s="771"/>
      <c r="U74" s="772"/>
      <c r="V74" s="771"/>
      <c r="W74" s="772"/>
      <c r="X74" s="771"/>
      <c r="Y74" s="772"/>
      <c r="Z74" s="771"/>
      <c r="AA74" s="767"/>
    </row>
    <row r="75" spans="1:28" ht="14.25">
      <c r="A75" s="806">
        <v>8.4</v>
      </c>
      <c r="B75" s="810" t="s">
        <v>2629</v>
      </c>
      <c r="C75" s="809"/>
      <c r="D75" s="763"/>
      <c r="E75" s="764"/>
      <c r="F75" s="765"/>
      <c r="G75" s="766"/>
      <c r="H75" s="763"/>
      <c r="I75" s="772">
        <v>40</v>
      </c>
      <c r="J75" s="771"/>
      <c r="K75" s="772"/>
      <c r="L75" s="771"/>
      <c r="M75" s="772"/>
      <c r="N75" s="771"/>
      <c r="O75" s="772"/>
      <c r="P75" s="771"/>
      <c r="Q75" s="772"/>
      <c r="R75" s="771"/>
      <c r="S75" s="772"/>
      <c r="T75" s="771"/>
      <c r="U75" s="772"/>
      <c r="V75" s="771"/>
      <c r="W75" s="772"/>
      <c r="X75" s="771"/>
      <c r="Y75" s="772"/>
      <c r="Z75" s="771"/>
      <c r="AA75" s="767"/>
    </row>
    <row r="76" spans="1:28" ht="15" thickBot="1">
      <c r="A76" s="806">
        <v>8.5</v>
      </c>
      <c r="B76" s="810" t="s">
        <v>2630</v>
      </c>
      <c r="C76" s="809"/>
      <c r="D76" s="763"/>
      <c r="E76" s="764"/>
      <c r="F76" s="765"/>
      <c r="G76" s="766"/>
      <c r="H76" s="763"/>
      <c r="I76" s="772">
        <v>40</v>
      </c>
      <c r="J76" s="771">
        <v>8</v>
      </c>
      <c r="K76" s="772"/>
      <c r="L76" s="771"/>
      <c r="M76" s="772"/>
      <c r="N76" s="771"/>
      <c r="O76" s="772"/>
      <c r="P76" s="771"/>
      <c r="Q76" s="772"/>
      <c r="R76" s="771"/>
      <c r="S76" s="772"/>
      <c r="T76" s="771"/>
      <c r="U76" s="772"/>
      <c r="V76" s="771"/>
      <c r="W76" s="772"/>
      <c r="X76" s="771"/>
      <c r="Y76" s="772"/>
      <c r="Z76" s="771"/>
      <c r="AA76" s="767"/>
    </row>
    <row r="77" spans="1:28" ht="15.75" thickBot="1">
      <c r="A77" s="836"/>
      <c r="B77" s="812" t="s">
        <v>2296</v>
      </c>
      <c r="C77" s="838">
        <f>SUM(C5:C76)</f>
        <v>7</v>
      </c>
      <c r="D77" s="814">
        <f>SUM(D5:D76)</f>
        <v>1</v>
      </c>
      <c r="E77" s="838">
        <f t="shared" ref="E77:Z77" si="0">SUM(E5:E76)</f>
        <v>20</v>
      </c>
      <c r="F77" s="814">
        <f t="shared" si="0"/>
        <v>0</v>
      </c>
      <c r="G77" s="838">
        <f t="shared" si="0"/>
        <v>0</v>
      </c>
      <c r="H77" s="814">
        <f t="shared" si="0"/>
        <v>0</v>
      </c>
      <c r="I77" s="846">
        <f t="shared" si="0"/>
        <v>1624.55</v>
      </c>
      <c r="J77" s="776">
        <f t="shared" si="0"/>
        <v>628.4</v>
      </c>
      <c r="K77" s="846">
        <f t="shared" si="0"/>
        <v>4</v>
      </c>
      <c r="L77" s="776">
        <f t="shared" si="0"/>
        <v>0</v>
      </c>
      <c r="M77" s="846">
        <f t="shared" si="0"/>
        <v>8</v>
      </c>
      <c r="N77" s="776">
        <f t="shared" si="0"/>
        <v>2</v>
      </c>
      <c r="O77" s="846">
        <f t="shared" si="0"/>
        <v>7</v>
      </c>
      <c r="P77" s="776">
        <f t="shared" si="0"/>
        <v>1</v>
      </c>
      <c r="Q77" s="846">
        <f t="shared" si="0"/>
        <v>0</v>
      </c>
      <c r="R77" s="776">
        <f t="shared" si="0"/>
        <v>0</v>
      </c>
      <c r="S77" s="846">
        <f t="shared" si="0"/>
        <v>0</v>
      </c>
      <c r="T77" s="776">
        <f t="shared" si="0"/>
        <v>0</v>
      </c>
      <c r="U77" s="846">
        <f t="shared" si="0"/>
        <v>0</v>
      </c>
      <c r="V77" s="776">
        <f t="shared" si="0"/>
        <v>0</v>
      </c>
      <c r="W77" s="846">
        <f t="shared" si="0"/>
        <v>0</v>
      </c>
      <c r="X77" s="776">
        <f t="shared" si="0"/>
        <v>0</v>
      </c>
      <c r="Y77" s="846">
        <f t="shared" si="0"/>
        <v>0</v>
      </c>
      <c r="Z77" s="776">
        <f t="shared" si="0"/>
        <v>0</v>
      </c>
      <c r="AA77" s="777">
        <f>SUM(AA5:AA76)</f>
        <v>368</v>
      </c>
    </row>
    <row r="78" spans="1:28" ht="15" thickBot="1">
      <c r="A78" s="839"/>
      <c r="B78" s="840"/>
      <c r="C78" s="781"/>
      <c r="D78" s="781"/>
      <c r="E78" s="781"/>
      <c r="F78" s="781"/>
      <c r="G78" s="781"/>
      <c r="H78" s="781"/>
      <c r="I78" s="781"/>
      <c r="J78" s="781"/>
      <c r="K78" s="781"/>
      <c r="L78" s="781"/>
      <c r="M78" s="781"/>
      <c r="N78" s="781"/>
      <c r="O78" s="781"/>
      <c r="P78" s="781"/>
      <c r="Q78" s="781"/>
      <c r="R78" s="781"/>
      <c r="S78" s="781"/>
      <c r="T78" s="781"/>
      <c r="U78" s="781"/>
      <c r="V78" s="781"/>
      <c r="W78" s="781"/>
      <c r="X78" s="781"/>
      <c r="Y78" s="781"/>
      <c r="Z78" s="781"/>
      <c r="AA78" s="781"/>
      <c r="AB78" s="724"/>
    </row>
    <row r="79" spans="1:28" ht="15" thickBot="1">
      <c r="A79" s="839"/>
      <c r="B79" s="840"/>
      <c r="C79" s="817">
        <f>SUM(C5:C70)</f>
        <v>7</v>
      </c>
      <c r="D79" s="817">
        <f t="shared" ref="D79:Z79" si="1">SUM(D5:D70)</f>
        <v>1</v>
      </c>
      <c r="E79" s="817">
        <f t="shared" si="1"/>
        <v>20</v>
      </c>
      <c r="F79" s="817">
        <f t="shared" si="1"/>
        <v>0</v>
      </c>
      <c r="G79" s="817">
        <f t="shared" si="1"/>
        <v>0</v>
      </c>
      <c r="H79" s="817">
        <f t="shared" si="1"/>
        <v>0</v>
      </c>
      <c r="I79" s="817">
        <f t="shared" si="1"/>
        <v>1317</v>
      </c>
      <c r="J79" s="817">
        <f t="shared" si="1"/>
        <v>564</v>
      </c>
      <c r="K79" s="817">
        <f t="shared" si="1"/>
        <v>4</v>
      </c>
      <c r="L79" s="817">
        <f t="shared" si="1"/>
        <v>0</v>
      </c>
      <c r="M79" s="817">
        <f t="shared" si="1"/>
        <v>8</v>
      </c>
      <c r="N79" s="817">
        <f t="shared" si="1"/>
        <v>2</v>
      </c>
      <c r="O79" s="817">
        <f t="shared" si="1"/>
        <v>7</v>
      </c>
      <c r="P79" s="817">
        <f t="shared" si="1"/>
        <v>1</v>
      </c>
      <c r="Q79" s="817">
        <f t="shared" si="1"/>
        <v>0</v>
      </c>
      <c r="R79" s="817">
        <f t="shared" si="1"/>
        <v>0</v>
      </c>
      <c r="S79" s="817">
        <f t="shared" si="1"/>
        <v>0</v>
      </c>
      <c r="T79" s="817">
        <f t="shared" si="1"/>
        <v>0</v>
      </c>
      <c r="U79" s="817">
        <f t="shared" si="1"/>
        <v>0</v>
      </c>
      <c r="V79" s="817">
        <f t="shared" si="1"/>
        <v>0</v>
      </c>
      <c r="W79" s="817">
        <f t="shared" si="1"/>
        <v>0</v>
      </c>
      <c r="X79" s="817">
        <f t="shared" si="1"/>
        <v>0</v>
      </c>
      <c r="Y79" s="817">
        <f t="shared" si="1"/>
        <v>0</v>
      </c>
      <c r="Z79" s="817">
        <f t="shared" si="1"/>
        <v>0</v>
      </c>
      <c r="AA79" s="817">
        <f>SUM(AA5:AA70)</f>
        <v>320</v>
      </c>
      <c r="AB79" s="724"/>
    </row>
    <row r="80" spans="1:28" ht="14.25">
      <c r="A80" s="839"/>
      <c r="B80" s="840"/>
      <c r="C80" s="781"/>
      <c r="D80" s="781"/>
      <c r="E80" s="781"/>
      <c r="F80" s="781"/>
      <c r="G80" s="781"/>
      <c r="H80" s="781"/>
      <c r="I80" s="781"/>
      <c r="J80" s="781"/>
      <c r="K80" s="781"/>
      <c r="L80" s="781"/>
      <c r="M80" s="781"/>
      <c r="N80" s="781"/>
      <c r="O80" s="781"/>
      <c r="P80" s="781"/>
      <c r="Q80" s="781"/>
      <c r="R80" s="781"/>
      <c r="S80" s="781"/>
      <c r="T80" s="781"/>
      <c r="U80" s="781"/>
      <c r="V80" s="781"/>
      <c r="W80" s="781"/>
      <c r="X80" s="781"/>
      <c r="Y80" s="724"/>
      <c r="Z80" s="724"/>
      <c r="AA80" s="724"/>
      <c r="AB80" s="724"/>
    </row>
  </sheetData>
  <mergeCells count="18">
    <mergeCell ref="S3:T3"/>
    <mergeCell ref="U3:V3"/>
    <mergeCell ref="W3:X3"/>
    <mergeCell ref="B1:X1"/>
    <mergeCell ref="Y1:AA1"/>
    <mergeCell ref="A2:AA2"/>
    <mergeCell ref="A3:A4"/>
    <mergeCell ref="B3:B4"/>
    <mergeCell ref="C3:D3"/>
    <mergeCell ref="E3:F3"/>
    <mergeCell ref="G3:H3"/>
    <mergeCell ref="I3:J3"/>
    <mergeCell ref="K3:L3"/>
    <mergeCell ref="Y3:Z3"/>
    <mergeCell ref="AA3:AA4"/>
    <mergeCell ref="M3:N3"/>
    <mergeCell ref="O3:P3"/>
    <mergeCell ref="Q3:R3"/>
  </mergeCells>
  <conditionalFormatting sqref="B38:B45">
    <cfRule type="expression" dxfId="465" priority="3" stopIfTrue="1">
      <formula>IF(AND(#REF!&lt;&gt;"",#REF!&gt;15),1,0)</formula>
    </cfRule>
  </conditionalFormatting>
  <conditionalFormatting sqref="B60:B66 B68:B70">
    <cfRule type="expression" dxfId="464" priority="2" stopIfTrue="1">
      <formula>IF(AND(#REF!&lt;&gt;"",#REF!&gt;15),1,0)</formula>
    </cfRule>
  </conditionalFormatting>
  <conditionalFormatting sqref="B72:B77">
    <cfRule type="expression" dxfId="463" priority="1" stopIfTrue="1">
      <formula>IF(AND(#REF!&lt;&gt;"",#REF!&gt;15),1,0)</formula>
    </cfRule>
  </conditionalFormatting>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51"/>
  <dimension ref="A1:AB153"/>
  <sheetViews>
    <sheetView rightToLeft="1" workbookViewId="0">
      <selection activeCell="F32" sqref="F32"/>
    </sheetView>
  </sheetViews>
  <sheetFormatPr defaultColWidth="8.85546875" defaultRowHeight="12.75"/>
  <cols>
    <col min="1" max="1" width="8.85546875" style="661"/>
    <col min="2" max="2" width="70.85546875" style="661" customWidth="1"/>
    <col min="3" max="16384" width="8.85546875" style="661"/>
  </cols>
  <sheetData>
    <row r="1" spans="1:27" ht="18.75" thickBot="1">
      <c r="A1" s="723"/>
      <c r="B1" s="2333" t="s">
        <v>2246</v>
      </c>
      <c r="C1" s="2333"/>
      <c r="D1" s="2333"/>
      <c r="E1" s="2333"/>
      <c r="F1" s="2333"/>
      <c r="G1" s="2333"/>
      <c r="H1" s="2333"/>
      <c r="I1" s="2333"/>
      <c r="J1" s="2333"/>
      <c r="K1" s="2333"/>
      <c r="L1" s="2333"/>
      <c r="M1" s="2333"/>
      <c r="N1" s="2333"/>
      <c r="O1" s="2333"/>
      <c r="P1" s="2333"/>
      <c r="Q1" s="2333"/>
      <c r="R1" s="2333"/>
      <c r="S1" s="2333"/>
      <c r="T1" s="2333"/>
      <c r="U1" s="2333"/>
      <c r="V1" s="2333"/>
      <c r="W1" s="2333"/>
      <c r="X1" s="2333"/>
      <c r="Y1" s="2334"/>
      <c r="Z1" s="2334"/>
      <c r="AA1" s="2335"/>
    </row>
    <row r="2" spans="1:27" ht="21" thickBot="1">
      <c r="A2" s="2336" t="s">
        <v>2319</v>
      </c>
      <c r="B2" s="2337"/>
      <c r="C2" s="2337"/>
      <c r="D2" s="2337"/>
      <c r="E2" s="2337"/>
      <c r="F2" s="2337"/>
      <c r="G2" s="2337"/>
      <c r="H2" s="2337"/>
      <c r="I2" s="2337"/>
      <c r="J2" s="2337"/>
      <c r="K2" s="2337"/>
      <c r="L2" s="2337"/>
      <c r="M2" s="2337"/>
      <c r="N2" s="2337"/>
      <c r="O2" s="2337"/>
      <c r="P2" s="2337"/>
      <c r="Q2" s="2337"/>
      <c r="R2" s="2337"/>
      <c r="S2" s="2337"/>
      <c r="T2" s="2337"/>
      <c r="U2" s="2337"/>
      <c r="V2" s="2337"/>
      <c r="W2" s="2337"/>
      <c r="X2" s="2337"/>
      <c r="Y2" s="2337"/>
      <c r="Z2" s="2337"/>
      <c r="AA2" s="2338"/>
    </row>
    <row r="3" spans="1:27">
      <c r="A3" s="2339" t="s">
        <v>2306</v>
      </c>
      <c r="B3" s="2341" t="s">
        <v>2307</v>
      </c>
      <c r="C3" s="2331" t="s">
        <v>2255</v>
      </c>
      <c r="D3" s="2332"/>
      <c r="E3" s="2331" t="s">
        <v>2256</v>
      </c>
      <c r="F3" s="2332"/>
      <c r="G3" s="2331" t="s">
        <v>2257</v>
      </c>
      <c r="H3" s="2332"/>
      <c r="I3" s="2331" t="s">
        <v>2258</v>
      </c>
      <c r="J3" s="2332"/>
      <c r="K3" s="2331" t="s">
        <v>2259</v>
      </c>
      <c r="L3" s="2332"/>
      <c r="M3" s="2331" t="s">
        <v>2260</v>
      </c>
      <c r="N3" s="2332"/>
      <c r="O3" s="2331" t="s">
        <v>2261</v>
      </c>
      <c r="P3" s="2332"/>
      <c r="Q3" s="2331" t="s">
        <v>2262</v>
      </c>
      <c r="R3" s="2332"/>
      <c r="S3" s="2331" t="s">
        <v>2263</v>
      </c>
      <c r="T3" s="2332"/>
      <c r="U3" s="2331" t="s">
        <v>2264</v>
      </c>
      <c r="V3" s="2332"/>
      <c r="W3" s="2331" t="s">
        <v>2265</v>
      </c>
      <c r="X3" s="2332"/>
      <c r="Y3" s="2331" t="s">
        <v>2266</v>
      </c>
      <c r="Z3" s="2332"/>
      <c r="AA3" s="2343" t="s">
        <v>2267</v>
      </c>
    </row>
    <row r="4" spans="1:27" ht="13.5" thickBot="1">
      <c r="A4" s="2345"/>
      <c r="B4" s="2346"/>
      <c r="C4" s="726" t="s">
        <v>2269</v>
      </c>
      <c r="D4" s="727" t="s">
        <v>2270</v>
      </c>
      <c r="E4" s="726" t="s">
        <v>2269</v>
      </c>
      <c r="F4" s="727" t="s">
        <v>2270</v>
      </c>
      <c r="G4" s="726" t="s">
        <v>2269</v>
      </c>
      <c r="H4" s="727" t="s">
        <v>2270</v>
      </c>
      <c r="I4" s="726" t="s">
        <v>2269</v>
      </c>
      <c r="J4" s="727" t="s">
        <v>2270</v>
      </c>
      <c r="K4" s="726" t="s">
        <v>2269</v>
      </c>
      <c r="L4" s="727" t="s">
        <v>2270</v>
      </c>
      <c r="M4" s="726" t="s">
        <v>2269</v>
      </c>
      <c r="N4" s="727" t="s">
        <v>2270</v>
      </c>
      <c r="O4" s="726" t="s">
        <v>2269</v>
      </c>
      <c r="P4" s="727" t="s">
        <v>2270</v>
      </c>
      <c r="Q4" s="726" t="s">
        <v>2269</v>
      </c>
      <c r="R4" s="727" t="s">
        <v>2270</v>
      </c>
      <c r="S4" s="726" t="s">
        <v>2269</v>
      </c>
      <c r="T4" s="727" t="s">
        <v>2270</v>
      </c>
      <c r="U4" s="726" t="s">
        <v>2269</v>
      </c>
      <c r="V4" s="727" t="s">
        <v>2270</v>
      </c>
      <c r="W4" s="726" t="s">
        <v>2269</v>
      </c>
      <c r="X4" s="727" t="s">
        <v>2270</v>
      </c>
      <c r="Y4" s="726" t="s">
        <v>2269</v>
      </c>
      <c r="Z4" s="727" t="s">
        <v>2270</v>
      </c>
      <c r="AA4" s="2344"/>
    </row>
    <row r="5" spans="1:27" ht="14.25">
      <c r="A5" s="728">
        <v>1</v>
      </c>
      <c r="B5" s="819" t="s">
        <v>2734</v>
      </c>
      <c r="C5" s="784"/>
      <c r="D5" s="731"/>
      <c r="E5" s="732"/>
      <c r="F5" s="731"/>
      <c r="G5" s="732"/>
      <c r="H5" s="731"/>
      <c r="I5" s="732"/>
      <c r="J5" s="731"/>
      <c r="K5" s="847"/>
      <c r="L5" s="848"/>
      <c r="M5" s="732"/>
      <c r="N5" s="731"/>
      <c r="O5" s="732"/>
      <c r="P5" s="731"/>
      <c r="Q5" s="732"/>
      <c r="R5" s="731"/>
      <c r="S5" s="732"/>
      <c r="T5" s="731"/>
      <c r="U5" s="732"/>
      <c r="V5" s="731"/>
      <c r="W5" s="732"/>
      <c r="X5" s="731"/>
      <c r="Y5" s="732"/>
      <c r="Z5" s="731"/>
      <c r="AA5" s="849"/>
    </row>
    <row r="6" spans="1:27" ht="14.25">
      <c r="A6" s="735">
        <v>1.1000000000000001</v>
      </c>
      <c r="B6" s="789" t="s">
        <v>2735</v>
      </c>
      <c r="C6" s="790"/>
      <c r="D6" s="738"/>
      <c r="E6" s="739"/>
      <c r="F6" s="738"/>
      <c r="G6" s="739"/>
      <c r="H6" s="738"/>
      <c r="I6" s="739"/>
      <c r="J6" s="738"/>
      <c r="K6" s="739">
        <f>SUM(K7:K22)</f>
        <v>135</v>
      </c>
      <c r="L6" s="738">
        <f>SUM(L7:L22)</f>
        <v>77</v>
      </c>
      <c r="M6" s="739"/>
      <c r="N6" s="738"/>
      <c r="O6" s="739"/>
      <c r="P6" s="738"/>
      <c r="Q6" s="739"/>
      <c r="R6" s="738"/>
      <c r="S6" s="739"/>
      <c r="T6" s="738"/>
      <c r="U6" s="739"/>
      <c r="V6" s="738"/>
      <c r="W6" s="739"/>
      <c r="X6" s="738"/>
      <c r="Y6" s="739"/>
      <c r="Z6" s="738"/>
      <c r="AA6" s="740">
        <f>SUM(AA7:AA22)</f>
        <v>0</v>
      </c>
    </row>
    <row r="7" spans="1:27" ht="14.25">
      <c r="A7" s="735" t="s">
        <v>2736</v>
      </c>
      <c r="B7" s="800" t="s">
        <v>2737</v>
      </c>
      <c r="C7" s="790"/>
      <c r="D7" s="738"/>
      <c r="E7" s="739"/>
      <c r="F7" s="738"/>
      <c r="G7" s="739"/>
      <c r="H7" s="738"/>
      <c r="I7" s="739"/>
      <c r="J7" s="738"/>
      <c r="K7" s="739">
        <v>15</v>
      </c>
      <c r="L7" s="738">
        <v>2</v>
      </c>
      <c r="M7" s="739"/>
      <c r="N7" s="738"/>
      <c r="O7" s="739"/>
      <c r="P7" s="738"/>
      <c r="Q7" s="739"/>
      <c r="R7" s="738"/>
      <c r="S7" s="739"/>
      <c r="T7" s="738"/>
      <c r="U7" s="739"/>
      <c r="V7" s="738"/>
      <c r="W7" s="739"/>
      <c r="X7" s="738"/>
      <c r="Y7" s="739"/>
      <c r="Z7" s="738"/>
      <c r="AA7" s="740"/>
    </row>
    <row r="8" spans="1:27" ht="14.25">
      <c r="A8" s="735" t="s">
        <v>2738</v>
      </c>
      <c r="B8" s="800" t="s">
        <v>2739</v>
      </c>
      <c r="C8" s="790"/>
      <c r="D8" s="738"/>
      <c r="E8" s="739"/>
      <c r="F8" s="738"/>
      <c r="G8" s="739"/>
      <c r="H8" s="738"/>
      <c r="I8" s="739"/>
      <c r="J8" s="738"/>
      <c r="K8" s="739">
        <v>20</v>
      </c>
      <c r="L8" s="738">
        <v>5</v>
      </c>
      <c r="M8" s="739"/>
      <c r="N8" s="738"/>
      <c r="O8" s="739"/>
      <c r="P8" s="738"/>
      <c r="Q8" s="739"/>
      <c r="R8" s="738"/>
      <c r="S8" s="739"/>
      <c r="T8" s="738"/>
      <c r="U8" s="739"/>
      <c r="V8" s="738"/>
      <c r="W8" s="739"/>
      <c r="X8" s="738"/>
      <c r="Y8" s="739"/>
      <c r="Z8" s="738"/>
      <c r="AA8" s="740"/>
    </row>
    <row r="9" spans="1:27" ht="14.25">
      <c r="A9" s="735" t="s">
        <v>2740</v>
      </c>
      <c r="B9" s="800" t="s">
        <v>2741</v>
      </c>
      <c r="C9" s="790"/>
      <c r="D9" s="738"/>
      <c r="E9" s="739"/>
      <c r="F9" s="738"/>
      <c r="G9" s="739"/>
      <c r="H9" s="738"/>
      <c r="I9" s="739"/>
      <c r="J9" s="738"/>
      <c r="K9" s="739">
        <v>20</v>
      </c>
      <c r="L9" s="738">
        <v>5</v>
      </c>
      <c r="M9" s="739"/>
      <c r="N9" s="738"/>
      <c r="O9" s="739"/>
      <c r="P9" s="738"/>
      <c r="Q9" s="739"/>
      <c r="R9" s="738"/>
      <c r="S9" s="739"/>
      <c r="T9" s="738"/>
      <c r="U9" s="739"/>
      <c r="V9" s="738"/>
      <c r="W9" s="739"/>
      <c r="X9" s="738"/>
      <c r="Y9" s="739"/>
      <c r="Z9" s="738"/>
      <c r="AA9" s="740"/>
    </row>
    <row r="10" spans="1:27" ht="14.25">
      <c r="A10" s="735" t="s">
        <v>2742</v>
      </c>
      <c r="B10" s="800" t="s">
        <v>2743</v>
      </c>
      <c r="C10" s="790">
        <v>10</v>
      </c>
      <c r="D10" s="738">
        <v>5</v>
      </c>
      <c r="E10" s="739"/>
      <c r="F10" s="738"/>
      <c r="G10" s="739"/>
      <c r="H10" s="738"/>
      <c r="I10" s="739"/>
      <c r="J10" s="738"/>
      <c r="K10" s="739">
        <v>20</v>
      </c>
      <c r="L10" s="738">
        <v>5</v>
      </c>
      <c r="M10" s="739"/>
      <c r="N10" s="738"/>
      <c r="O10" s="739"/>
      <c r="P10" s="738"/>
      <c r="Q10" s="739"/>
      <c r="R10" s="738"/>
      <c r="S10" s="739"/>
      <c r="T10" s="738"/>
      <c r="U10" s="739"/>
      <c r="V10" s="738"/>
      <c r="W10" s="739"/>
      <c r="X10" s="738"/>
      <c r="Y10" s="739"/>
      <c r="Z10" s="738"/>
      <c r="AA10" s="740"/>
    </row>
    <row r="11" spans="1:27" ht="14.25">
      <c r="A11" s="735" t="s">
        <v>2744</v>
      </c>
      <c r="B11" s="800" t="s">
        <v>2745</v>
      </c>
      <c r="C11" s="790"/>
      <c r="D11" s="738"/>
      <c r="E11" s="739"/>
      <c r="F11" s="738"/>
      <c r="G11" s="739"/>
      <c r="H11" s="738"/>
      <c r="I11" s="739"/>
      <c r="J11" s="738"/>
      <c r="K11" s="739">
        <v>5</v>
      </c>
      <c r="L11" s="738">
        <v>5</v>
      </c>
      <c r="M11" s="739"/>
      <c r="N11" s="738"/>
      <c r="O11" s="739"/>
      <c r="P11" s="738"/>
      <c r="Q11" s="739"/>
      <c r="R11" s="738"/>
      <c r="S11" s="739"/>
      <c r="T11" s="738"/>
      <c r="U11" s="739"/>
      <c r="V11" s="738"/>
      <c r="W11" s="739"/>
      <c r="X11" s="738"/>
      <c r="Y11" s="739"/>
      <c r="Z11" s="738"/>
      <c r="AA11" s="740"/>
    </row>
    <row r="12" spans="1:27" ht="14.25">
      <c r="A12" s="735" t="s">
        <v>2746</v>
      </c>
      <c r="B12" s="800" t="s">
        <v>2747</v>
      </c>
      <c r="C12" s="794"/>
      <c r="D12" s="745"/>
      <c r="E12" s="746"/>
      <c r="F12" s="745"/>
      <c r="G12" s="746"/>
      <c r="H12" s="745"/>
      <c r="I12" s="746"/>
      <c r="J12" s="745"/>
      <c r="K12" s="739">
        <v>5</v>
      </c>
      <c r="L12" s="738">
        <v>5</v>
      </c>
      <c r="M12" s="746"/>
      <c r="N12" s="745"/>
      <c r="O12" s="746"/>
      <c r="P12" s="745"/>
      <c r="Q12" s="746"/>
      <c r="R12" s="745"/>
      <c r="S12" s="746"/>
      <c r="T12" s="745"/>
      <c r="U12" s="746"/>
      <c r="V12" s="745"/>
      <c r="W12" s="746"/>
      <c r="X12" s="745"/>
      <c r="Y12" s="746"/>
      <c r="Z12" s="745"/>
      <c r="AA12" s="740"/>
    </row>
    <row r="13" spans="1:27" ht="14.25">
      <c r="A13" s="735" t="s">
        <v>2748</v>
      </c>
      <c r="B13" s="800" t="s">
        <v>2749</v>
      </c>
      <c r="C13" s="790"/>
      <c r="D13" s="738"/>
      <c r="E13" s="739"/>
      <c r="F13" s="738"/>
      <c r="G13" s="739"/>
      <c r="H13" s="738"/>
      <c r="I13" s="739"/>
      <c r="J13" s="738"/>
      <c r="K13" s="739">
        <v>5</v>
      </c>
      <c r="L13" s="738">
        <v>5</v>
      </c>
      <c r="M13" s="739"/>
      <c r="N13" s="738"/>
      <c r="O13" s="739"/>
      <c r="P13" s="738"/>
      <c r="Q13" s="739"/>
      <c r="R13" s="738"/>
      <c r="S13" s="739"/>
      <c r="T13" s="738"/>
      <c r="U13" s="739"/>
      <c r="V13" s="738"/>
      <c r="W13" s="739"/>
      <c r="X13" s="738"/>
      <c r="Y13" s="739"/>
      <c r="Z13" s="738"/>
      <c r="AA13" s="740"/>
    </row>
    <row r="14" spans="1:27" ht="14.25">
      <c r="A14" s="735" t="s">
        <v>2750</v>
      </c>
      <c r="B14" s="800" t="s">
        <v>2751</v>
      </c>
      <c r="C14" s="790"/>
      <c r="D14" s="738"/>
      <c r="E14" s="739"/>
      <c r="F14" s="738"/>
      <c r="G14" s="739"/>
      <c r="H14" s="738"/>
      <c r="I14" s="739"/>
      <c r="J14" s="738"/>
      <c r="K14" s="739">
        <v>5</v>
      </c>
      <c r="L14" s="738">
        <v>5</v>
      </c>
      <c r="M14" s="739"/>
      <c r="N14" s="738"/>
      <c r="O14" s="739"/>
      <c r="P14" s="738"/>
      <c r="Q14" s="739"/>
      <c r="R14" s="738"/>
      <c r="S14" s="739"/>
      <c r="T14" s="738"/>
      <c r="U14" s="739"/>
      <c r="V14" s="738"/>
      <c r="W14" s="739"/>
      <c r="X14" s="738"/>
      <c r="Y14" s="739"/>
      <c r="Z14" s="738"/>
      <c r="AA14" s="740"/>
    </row>
    <row r="15" spans="1:27" ht="14.25">
      <c r="A15" s="735" t="s">
        <v>2752</v>
      </c>
      <c r="B15" s="800" t="s">
        <v>2753</v>
      </c>
      <c r="C15" s="790"/>
      <c r="D15" s="738"/>
      <c r="E15" s="739"/>
      <c r="F15" s="738"/>
      <c r="G15" s="739"/>
      <c r="H15" s="738"/>
      <c r="I15" s="739"/>
      <c r="J15" s="738"/>
      <c r="K15" s="739">
        <v>5</v>
      </c>
      <c r="L15" s="738">
        <v>5</v>
      </c>
      <c r="M15" s="739"/>
      <c r="N15" s="738"/>
      <c r="O15" s="739"/>
      <c r="P15" s="738"/>
      <c r="Q15" s="739"/>
      <c r="R15" s="738"/>
      <c r="S15" s="739"/>
      <c r="T15" s="738"/>
      <c r="U15" s="739"/>
      <c r="V15" s="738"/>
      <c r="W15" s="739"/>
      <c r="X15" s="738"/>
      <c r="Y15" s="739"/>
      <c r="Z15" s="738"/>
      <c r="AA15" s="740"/>
    </row>
    <row r="16" spans="1:27" ht="14.25">
      <c r="A16" s="735" t="s">
        <v>2754</v>
      </c>
      <c r="B16" s="800" t="s">
        <v>2755</v>
      </c>
      <c r="C16" s="790"/>
      <c r="D16" s="738"/>
      <c r="E16" s="739"/>
      <c r="F16" s="738"/>
      <c r="G16" s="739"/>
      <c r="H16" s="738"/>
      <c r="I16" s="739"/>
      <c r="J16" s="738"/>
      <c r="K16" s="739">
        <v>5</v>
      </c>
      <c r="L16" s="738">
        <v>5</v>
      </c>
      <c r="M16" s="739"/>
      <c r="N16" s="738"/>
      <c r="O16" s="739"/>
      <c r="P16" s="738"/>
      <c r="Q16" s="739"/>
      <c r="R16" s="738"/>
      <c r="S16" s="739"/>
      <c r="T16" s="738"/>
      <c r="U16" s="739"/>
      <c r="V16" s="738"/>
      <c r="W16" s="739"/>
      <c r="X16" s="738"/>
      <c r="Y16" s="739"/>
      <c r="Z16" s="738"/>
      <c r="AA16" s="740"/>
    </row>
    <row r="17" spans="1:27" ht="14.25">
      <c r="A17" s="735" t="s">
        <v>2756</v>
      </c>
      <c r="B17" s="800" t="s">
        <v>2757</v>
      </c>
      <c r="C17" s="790"/>
      <c r="D17" s="738"/>
      <c r="E17" s="739"/>
      <c r="F17" s="738"/>
      <c r="G17" s="739"/>
      <c r="H17" s="738"/>
      <c r="I17" s="739"/>
      <c r="J17" s="738"/>
      <c r="K17" s="739">
        <v>5</v>
      </c>
      <c r="L17" s="738">
        <v>5</v>
      </c>
      <c r="M17" s="739"/>
      <c r="N17" s="738"/>
      <c r="O17" s="739"/>
      <c r="P17" s="738"/>
      <c r="Q17" s="739"/>
      <c r="R17" s="738"/>
      <c r="S17" s="739"/>
      <c r="T17" s="738"/>
      <c r="U17" s="739"/>
      <c r="V17" s="738"/>
      <c r="W17" s="739"/>
      <c r="X17" s="738"/>
      <c r="Y17" s="739"/>
      <c r="Z17" s="738"/>
      <c r="AA17" s="740"/>
    </row>
    <row r="18" spans="1:27" ht="14.25">
      <c r="A18" s="735" t="s">
        <v>2758</v>
      </c>
      <c r="B18" s="800" t="s">
        <v>2759</v>
      </c>
      <c r="C18" s="790"/>
      <c r="D18" s="738"/>
      <c r="E18" s="739"/>
      <c r="F18" s="738"/>
      <c r="G18" s="739"/>
      <c r="H18" s="738"/>
      <c r="I18" s="739"/>
      <c r="J18" s="738"/>
      <c r="K18" s="739">
        <v>5</v>
      </c>
      <c r="L18" s="738">
        <v>5</v>
      </c>
      <c r="M18" s="739"/>
      <c r="N18" s="738"/>
      <c r="O18" s="739"/>
      <c r="P18" s="738"/>
      <c r="Q18" s="739"/>
      <c r="R18" s="738"/>
      <c r="S18" s="739"/>
      <c r="T18" s="738"/>
      <c r="U18" s="739"/>
      <c r="V18" s="738"/>
      <c r="W18" s="739"/>
      <c r="X18" s="738"/>
      <c r="Y18" s="739"/>
      <c r="Z18" s="738"/>
      <c r="AA18" s="740"/>
    </row>
    <row r="19" spans="1:27" ht="14.25">
      <c r="A19" s="735" t="s">
        <v>2760</v>
      </c>
      <c r="B19" s="800" t="s">
        <v>2761</v>
      </c>
      <c r="C19" s="794"/>
      <c r="D19" s="745"/>
      <c r="E19" s="746"/>
      <c r="F19" s="745"/>
      <c r="G19" s="746"/>
      <c r="H19" s="745"/>
      <c r="I19" s="746"/>
      <c r="J19" s="745"/>
      <c r="K19" s="739">
        <v>5</v>
      </c>
      <c r="L19" s="738">
        <v>5</v>
      </c>
      <c r="M19" s="746"/>
      <c r="N19" s="745"/>
      <c r="O19" s="746"/>
      <c r="P19" s="745"/>
      <c r="Q19" s="746"/>
      <c r="R19" s="745"/>
      <c r="S19" s="746"/>
      <c r="T19" s="745"/>
      <c r="U19" s="746"/>
      <c r="V19" s="745"/>
      <c r="W19" s="746"/>
      <c r="X19" s="745"/>
      <c r="Y19" s="746"/>
      <c r="Z19" s="745"/>
      <c r="AA19" s="740"/>
    </row>
    <row r="20" spans="1:27" ht="14.25">
      <c r="A20" s="735" t="s">
        <v>2762</v>
      </c>
      <c r="B20" s="800" t="s">
        <v>2763</v>
      </c>
      <c r="C20" s="790"/>
      <c r="D20" s="738"/>
      <c r="E20" s="739"/>
      <c r="F20" s="738"/>
      <c r="G20" s="739"/>
      <c r="H20" s="738"/>
      <c r="I20" s="739"/>
      <c r="J20" s="738"/>
      <c r="K20" s="739">
        <v>5</v>
      </c>
      <c r="L20" s="738">
        <v>5</v>
      </c>
      <c r="M20" s="739"/>
      <c r="N20" s="738"/>
      <c r="O20" s="739"/>
      <c r="P20" s="738"/>
      <c r="Q20" s="739"/>
      <c r="R20" s="738"/>
      <c r="S20" s="739"/>
      <c r="T20" s="738"/>
      <c r="U20" s="739"/>
      <c r="V20" s="738"/>
      <c r="W20" s="739"/>
      <c r="X20" s="738"/>
      <c r="Y20" s="739"/>
      <c r="Z20" s="738"/>
      <c r="AA20" s="740"/>
    </row>
    <row r="21" spans="1:27" ht="14.25">
      <c r="A21" s="735" t="s">
        <v>2764</v>
      </c>
      <c r="B21" s="800" t="s">
        <v>2765</v>
      </c>
      <c r="C21" s="790"/>
      <c r="D21" s="738"/>
      <c r="E21" s="739"/>
      <c r="F21" s="738"/>
      <c r="G21" s="739"/>
      <c r="H21" s="738"/>
      <c r="I21" s="739"/>
      <c r="J21" s="738"/>
      <c r="K21" s="739">
        <v>5</v>
      </c>
      <c r="L21" s="738">
        <v>5</v>
      </c>
      <c r="M21" s="739"/>
      <c r="N21" s="738"/>
      <c r="O21" s="739"/>
      <c r="P21" s="738"/>
      <c r="Q21" s="739"/>
      <c r="R21" s="738"/>
      <c r="S21" s="739"/>
      <c r="T21" s="738"/>
      <c r="U21" s="739"/>
      <c r="V21" s="738"/>
      <c r="W21" s="739"/>
      <c r="X21" s="738"/>
      <c r="Y21" s="739"/>
      <c r="Z21" s="738"/>
      <c r="AA21" s="740"/>
    </row>
    <row r="22" spans="1:27" ht="14.25">
      <c r="A22" s="735" t="s">
        <v>2766</v>
      </c>
      <c r="B22" s="800" t="s">
        <v>2767</v>
      </c>
      <c r="C22" s="790"/>
      <c r="D22" s="738"/>
      <c r="E22" s="739"/>
      <c r="F22" s="738"/>
      <c r="G22" s="739"/>
      <c r="H22" s="738"/>
      <c r="I22" s="739"/>
      <c r="J22" s="738"/>
      <c r="K22" s="739">
        <v>5</v>
      </c>
      <c r="L22" s="738">
        <v>5</v>
      </c>
      <c r="M22" s="739"/>
      <c r="N22" s="738"/>
      <c r="O22" s="739"/>
      <c r="P22" s="738"/>
      <c r="Q22" s="739">
        <v>2</v>
      </c>
      <c r="R22" s="738">
        <v>2</v>
      </c>
      <c r="S22" s="739"/>
      <c r="T22" s="738"/>
      <c r="U22" s="739"/>
      <c r="V22" s="738"/>
      <c r="W22" s="739"/>
      <c r="X22" s="738"/>
      <c r="Y22" s="739"/>
      <c r="Z22" s="738"/>
      <c r="AA22" s="740"/>
    </row>
    <row r="23" spans="1:27" ht="14.25">
      <c r="A23" s="735">
        <v>1.2</v>
      </c>
      <c r="B23" s="789" t="s">
        <v>2768</v>
      </c>
      <c r="C23" s="790"/>
      <c r="D23" s="738"/>
      <c r="E23" s="739"/>
      <c r="F23" s="738"/>
      <c r="G23" s="739"/>
      <c r="H23" s="738"/>
      <c r="I23" s="739"/>
      <c r="J23" s="738"/>
      <c r="K23" s="746"/>
      <c r="L23" s="745"/>
      <c r="M23" s="739"/>
      <c r="N23" s="738"/>
      <c r="O23" s="739"/>
      <c r="P23" s="738"/>
      <c r="Q23" s="739"/>
      <c r="R23" s="738"/>
      <c r="S23" s="739"/>
      <c r="T23" s="738"/>
      <c r="U23" s="739"/>
      <c r="V23" s="738"/>
      <c r="W23" s="739"/>
      <c r="X23" s="738"/>
      <c r="Y23" s="739"/>
      <c r="Z23" s="738"/>
      <c r="AA23" s="747"/>
    </row>
    <row r="24" spans="1:27" ht="14.25">
      <c r="A24" s="735" t="s">
        <v>2769</v>
      </c>
      <c r="B24" s="800" t="s">
        <v>2770</v>
      </c>
      <c r="C24" s="790">
        <v>5</v>
      </c>
      <c r="D24" s="738">
        <v>2</v>
      </c>
      <c r="E24" s="739"/>
      <c r="F24" s="738"/>
      <c r="G24" s="739"/>
      <c r="H24" s="738"/>
      <c r="I24" s="739"/>
      <c r="J24" s="738"/>
      <c r="K24" s="739">
        <v>10</v>
      </c>
      <c r="L24" s="738">
        <v>5</v>
      </c>
      <c r="M24" s="739"/>
      <c r="N24" s="738"/>
      <c r="O24" s="739"/>
      <c r="P24" s="738"/>
      <c r="Q24" s="739"/>
      <c r="R24" s="738"/>
      <c r="S24" s="739"/>
      <c r="T24" s="738"/>
      <c r="U24" s="739"/>
      <c r="V24" s="738"/>
      <c r="W24" s="739"/>
      <c r="X24" s="738"/>
      <c r="Y24" s="739"/>
      <c r="Z24" s="738"/>
      <c r="AA24" s="740"/>
    </row>
    <row r="25" spans="1:27" ht="14.25">
      <c r="A25" s="735" t="s">
        <v>2771</v>
      </c>
      <c r="B25" s="800" t="s">
        <v>2772</v>
      </c>
      <c r="C25" s="790"/>
      <c r="D25" s="738"/>
      <c r="E25" s="739"/>
      <c r="F25" s="738"/>
      <c r="G25" s="739"/>
      <c r="H25" s="738"/>
      <c r="I25" s="739"/>
      <c r="J25" s="738"/>
      <c r="K25" s="739">
        <v>15</v>
      </c>
      <c r="L25" s="738">
        <v>8</v>
      </c>
      <c r="M25" s="739"/>
      <c r="N25" s="738"/>
      <c r="O25" s="739"/>
      <c r="P25" s="738"/>
      <c r="Q25" s="739"/>
      <c r="R25" s="738"/>
      <c r="S25" s="739"/>
      <c r="T25" s="738"/>
      <c r="U25" s="739"/>
      <c r="V25" s="738"/>
      <c r="W25" s="739"/>
      <c r="X25" s="738"/>
      <c r="Y25" s="739"/>
      <c r="Z25" s="738"/>
      <c r="AA25" s="740"/>
    </row>
    <row r="26" spans="1:27" ht="14.25">
      <c r="A26" s="735" t="s">
        <v>2773</v>
      </c>
      <c r="B26" s="800" t="s">
        <v>2774</v>
      </c>
      <c r="C26" s="790"/>
      <c r="D26" s="738"/>
      <c r="E26" s="739"/>
      <c r="F26" s="738"/>
      <c r="G26" s="739"/>
      <c r="H26" s="738"/>
      <c r="I26" s="739"/>
      <c r="J26" s="738"/>
      <c r="K26" s="739">
        <v>15</v>
      </c>
      <c r="L26" s="738">
        <v>8</v>
      </c>
      <c r="M26" s="739"/>
      <c r="N26" s="738"/>
      <c r="O26" s="739"/>
      <c r="P26" s="738"/>
      <c r="Q26" s="739"/>
      <c r="R26" s="738"/>
      <c r="S26" s="739"/>
      <c r="T26" s="738"/>
      <c r="U26" s="739"/>
      <c r="V26" s="738"/>
      <c r="W26" s="739"/>
      <c r="X26" s="738"/>
      <c r="Y26" s="739"/>
      <c r="Z26" s="738"/>
      <c r="AA26" s="740"/>
    </row>
    <row r="27" spans="1:27" ht="14.25">
      <c r="A27" s="735" t="s">
        <v>2775</v>
      </c>
      <c r="B27" s="800" t="s">
        <v>2776</v>
      </c>
      <c r="C27" s="790"/>
      <c r="D27" s="738"/>
      <c r="E27" s="739"/>
      <c r="F27" s="738"/>
      <c r="G27" s="739"/>
      <c r="H27" s="738"/>
      <c r="I27" s="739"/>
      <c r="J27" s="738"/>
      <c r="K27" s="739">
        <v>20</v>
      </c>
      <c r="L27" s="738">
        <v>10</v>
      </c>
      <c r="M27" s="739"/>
      <c r="N27" s="738"/>
      <c r="O27" s="739"/>
      <c r="P27" s="738"/>
      <c r="Q27" s="739"/>
      <c r="R27" s="738"/>
      <c r="S27" s="739"/>
      <c r="T27" s="738"/>
      <c r="U27" s="739"/>
      <c r="V27" s="738"/>
      <c r="W27" s="739"/>
      <c r="X27" s="738"/>
      <c r="Y27" s="739"/>
      <c r="Z27" s="738"/>
      <c r="AA27" s="740"/>
    </row>
    <row r="28" spans="1:27" ht="14.25">
      <c r="A28" s="735" t="s">
        <v>2777</v>
      </c>
      <c r="B28" s="800" t="s">
        <v>2778</v>
      </c>
      <c r="C28" s="794"/>
      <c r="D28" s="745"/>
      <c r="E28" s="746"/>
      <c r="F28" s="745"/>
      <c r="G28" s="746"/>
      <c r="H28" s="745"/>
      <c r="I28" s="746"/>
      <c r="J28" s="745"/>
      <c r="K28" s="739">
        <v>10</v>
      </c>
      <c r="L28" s="738">
        <v>5</v>
      </c>
      <c r="M28" s="746"/>
      <c r="N28" s="745"/>
      <c r="O28" s="746"/>
      <c r="P28" s="745"/>
      <c r="Q28" s="739">
        <v>10</v>
      </c>
      <c r="R28" s="738">
        <v>5</v>
      </c>
      <c r="S28" s="746"/>
      <c r="T28" s="745"/>
      <c r="U28" s="746"/>
      <c r="V28" s="745"/>
      <c r="W28" s="746"/>
      <c r="X28" s="745"/>
      <c r="Y28" s="746"/>
      <c r="Z28" s="745"/>
      <c r="AA28" s="740"/>
    </row>
    <row r="29" spans="1:27" ht="14.25">
      <c r="A29" s="742">
        <v>2</v>
      </c>
      <c r="B29" s="796" t="s">
        <v>2779</v>
      </c>
      <c r="C29" s="790"/>
      <c r="D29" s="738"/>
      <c r="E29" s="739"/>
      <c r="F29" s="738"/>
      <c r="G29" s="739"/>
      <c r="H29" s="738"/>
      <c r="I29" s="739"/>
      <c r="J29" s="738"/>
      <c r="K29" s="746"/>
      <c r="L29" s="745"/>
      <c r="M29" s="739"/>
      <c r="N29" s="738"/>
      <c r="O29" s="739"/>
      <c r="P29" s="738"/>
      <c r="Q29" s="739"/>
      <c r="R29" s="738"/>
      <c r="S29" s="739"/>
      <c r="T29" s="738"/>
      <c r="U29" s="739"/>
      <c r="V29" s="738"/>
      <c r="W29" s="739"/>
      <c r="X29" s="738"/>
      <c r="Y29" s="739"/>
      <c r="Z29" s="738"/>
      <c r="AA29" s="747"/>
    </row>
    <row r="30" spans="1:27" ht="14.25">
      <c r="A30" s="735">
        <v>2.1</v>
      </c>
      <c r="B30" s="850" t="s">
        <v>2780</v>
      </c>
      <c r="C30" s="790"/>
      <c r="D30" s="738">
        <v>2</v>
      </c>
      <c r="E30" s="739"/>
      <c r="F30" s="738">
        <v>2</v>
      </c>
      <c r="G30" s="739"/>
      <c r="H30" s="738"/>
      <c r="I30" s="739"/>
      <c r="J30" s="738">
        <v>2</v>
      </c>
      <c r="K30" s="739">
        <v>800</v>
      </c>
      <c r="L30" s="738">
        <v>300</v>
      </c>
      <c r="M30" s="739"/>
      <c r="N30" s="738">
        <v>1</v>
      </c>
      <c r="O30" s="739"/>
      <c r="P30" s="738">
        <v>2</v>
      </c>
      <c r="Q30" s="739"/>
      <c r="R30" s="738">
        <v>2</v>
      </c>
      <c r="S30" s="739"/>
      <c r="T30" s="738"/>
      <c r="U30" s="739"/>
      <c r="V30" s="738"/>
      <c r="W30" s="739"/>
      <c r="X30" s="738"/>
      <c r="Y30" s="739"/>
      <c r="Z30" s="738"/>
      <c r="AA30" s="740">
        <v>500</v>
      </c>
    </row>
    <row r="31" spans="1:27" ht="14.25">
      <c r="A31" s="735">
        <v>2.2000000000000002</v>
      </c>
      <c r="B31" s="850" t="s">
        <v>2781</v>
      </c>
      <c r="C31" s="790"/>
      <c r="D31" s="738">
        <v>2</v>
      </c>
      <c r="E31" s="739"/>
      <c r="F31" s="738">
        <v>2</v>
      </c>
      <c r="G31" s="739"/>
      <c r="H31" s="738"/>
      <c r="I31" s="739"/>
      <c r="J31" s="738">
        <v>2</v>
      </c>
      <c r="K31" s="739">
        <v>500</v>
      </c>
      <c r="L31" s="738">
        <v>100</v>
      </c>
      <c r="M31" s="739"/>
      <c r="N31" s="738">
        <v>1</v>
      </c>
      <c r="O31" s="739"/>
      <c r="P31" s="738">
        <v>2</v>
      </c>
      <c r="Q31" s="739"/>
      <c r="R31" s="738">
        <v>2</v>
      </c>
      <c r="S31" s="739"/>
      <c r="T31" s="738"/>
      <c r="U31" s="739"/>
      <c r="V31" s="738"/>
      <c r="W31" s="739"/>
      <c r="X31" s="738"/>
      <c r="Y31" s="739"/>
      <c r="Z31" s="738"/>
      <c r="AA31" s="740">
        <v>300</v>
      </c>
    </row>
    <row r="32" spans="1:27" ht="14.25">
      <c r="A32" s="735">
        <v>2.2999999999999998</v>
      </c>
      <c r="B32" s="850" t="s">
        <v>2782</v>
      </c>
      <c r="C32" s="790"/>
      <c r="D32" s="738"/>
      <c r="E32" s="739"/>
      <c r="F32" s="738"/>
      <c r="G32" s="739"/>
      <c r="H32" s="738"/>
      <c r="I32" s="739"/>
      <c r="J32" s="738"/>
      <c r="K32" s="739">
        <v>1000</v>
      </c>
      <c r="L32" s="738">
        <v>300</v>
      </c>
      <c r="M32" s="739"/>
      <c r="N32" s="738"/>
      <c r="O32" s="739"/>
      <c r="P32" s="738"/>
      <c r="Q32" s="739"/>
      <c r="R32" s="738"/>
      <c r="S32" s="739"/>
      <c r="T32" s="738"/>
      <c r="U32" s="739"/>
      <c r="V32" s="738"/>
      <c r="W32" s="739"/>
      <c r="X32" s="738"/>
      <c r="Y32" s="739"/>
      <c r="Z32" s="738"/>
      <c r="AA32" s="740">
        <v>700</v>
      </c>
    </row>
    <row r="33" spans="1:27" ht="14.25">
      <c r="A33" s="735">
        <v>2.4</v>
      </c>
      <c r="B33" s="850" t="s">
        <v>2783</v>
      </c>
      <c r="C33" s="790"/>
      <c r="D33" s="738"/>
      <c r="E33" s="739"/>
      <c r="F33" s="738"/>
      <c r="G33" s="739"/>
      <c r="H33" s="738"/>
      <c r="I33" s="739"/>
      <c r="J33" s="738"/>
      <c r="K33" s="739">
        <v>300</v>
      </c>
      <c r="L33" s="738">
        <v>100</v>
      </c>
      <c r="M33" s="739"/>
      <c r="N33" s="738"/>
      <c r="O33" s="739"/>
      <c r="P33" s="738"/>
      <c r="Q33" s="739"/>
      <c r="R33" s="738"/>
      <c r="S33" s="739"/>
      <c r="T33" s="738"/>
      <c r="U33" s="739"/>
      <c r="V33" s="738"/>
      <c r="W33" s="739"/>
      <c r="X33" s="738"/>
      <c r="Y33" s="739"/>
      <c r="Z33" s="738"/>
      <c r="AA33" s="740">
        <v>200</v>
      </c>
    </row>
    <row r="34" spans="1:27" ht="14.25">
      <c r="A34" s="742">
        <v>3</v>
      </c>
      <c r="B34" s="796" t="s">
        <v>2784</v>
      </c>
      <c r="C34" s="790"/>
      <c r="D34" s="738"/>
      <c r="E34" s="739"/>
      <c r="F34" s="738"/>
      <c r="G34" s="739"/>
      <c r="H34" s="738"/>
      <c r="I34" s="739"/>
      <c r="J34" s="738"/>
      <c r="K34" s="746"/>
      <c r="L34" s="745"/>
      <c r="M34" s="739"/>
      <c r="N34" s="738"/>
      <c r="O34" s="739"/>
      <c r="P34" s="738"/>
      <c r="Q34" s="739"/>
      <c r="R34" s="738"/>
      <c r="S34" s="739"/>
      <c r="T34" s="738"/>
      <c r="U34" s="739"/>
      <c r="V34" s="738"/>
      <c r="W34" s="739"/>
      <c r="X34" s="738"/>
      <c r="Y34" s="739"/>
      <c r="Z34" s="738"/>
      <c r="AA34" s="747"/>
    </row>
    <row r="35" spans="1:27" ht="14.25">
      <c r="A35" s="735">
        <v>3.1</v>
      </c>
      <c r="B35" s="789" t="s">
        <v>2785</v>
      </c>
      <c r="C35" s="790"/>
      <c r="D35" s="738">
        <v>8</v>
      </c>
      <c r="E35" s="739"/>
      <c r="F35" s="738">
        <v>8</v>
      </c>
      <c r="G35" s="739"/>
      <c r="H35" s="738"/>
      <c r="I35" s="739"/>
      <c r="J35" s="738">
        <v>4</v>
      </c>
      <c r="K35" s="739">
        <v>80</v>
      </c>
      <c r="L35" s="738">
        <v>50</v>
      </c>
      <c r="M35" s="739"/>
      <c r="N35" s="738">
        <v>2</v>
      </c>
      <c r="O35" s="739"/>
      <c r="P35" s="738">
        <v>8</v>
      </c>
      <c r="Q35" s="739">
        <v>10</v>
      </c>
      <c r="R35" s="738">
        <v>5</v>
      </c>
      <c r="S35" s="739"/>
      <c r="T35" s="738"/>
      <c r="U35" s="739"/>
      <c r="V35" s="738">
        <v>5</v>
      </c>
      <c r="W35" s="739"/>
      <c r="X35" s="738"/>
      <c r="Y35" s="739"/>
      <c r="Z35" s="738"/>
      <c r="AA35" s="740">
        <v>300</v>
      </c>
    </row>
    <row r="36" spans="1:27" ht="14.25">
      <c r="A36" s="735">
        <v>3.2</v>
      </c>
      <c r="B36" s="789" t="s">
        <v>2786</v>
      </c>
      <c r="C36" s="790"/>
      <c r="D36" s="738">
        <v>4</v>
      </c>
      <c r="E36" s="739"/>
      <c r="F36" s="738">
        <v>4</v>
      </c>
      <c r="G36" s="739"/>
      <c r="H36" s="738"/>
      <c r="I36" s="739"/>
      <c r="J36" s="738">
        <v>2</v>
      </c>
      <c r="K36" s="739">
        <v>80</v>
      </c>
      <c r="L36" s="738">
        <v>50</v>
      </c>
      <c r="M36" s="739"/>
      <c r="N36" s="738">
        <v>2</v>
      </c>
      <c r="O36" s="739"/>
      <c r="P36" s="738">
        <v>4</v>
      </c>
      <c r="Q36" s="739">
        <v>3</v>
      </c>
      <c r="R36" s="738">
        <v>3</v>
      </c>
      <c r="S36" s="739"/>
      <c r="T36" s="738"/>
      <c r="U36" s="739"/>
      <c r="V36" s="738">
        <v>3</v>
      </c>
      <c r="W36" s="739"/>
      <c r="X36" s="738"/>
      <c r="Y36" s="739"/>
      <c r="Z36" s="738"/>
      <c r="AA36" s="740">
        <v>250</v>
      </c>
    </row>
    <row r="37" spans="1:27" ht="14.25">
      <c r="A37" s="735">
        <v>3.3</v>
      </c>
      <c r="B37" s="789" t="s">
        <v>2787</v>
      </c>
      <c r="C37" s="790"/>
      <c r="D37" s="738"/>
      <c r="E37" s="739"/>
      <c r="F37" s="738"/>
      <c r="G37" s="739"/>
      <c r="H37" s="738"/>
      <c r="I37" s="739"/>
      <c r="J37" s="738"/>
      <c r="K37" s="739">
        <v>120</v>
      </c>
      <c r="L37" s="738">
        <v>50</v>
      </c>
      <c r="M37" s="739"/>
      <c r="N37" s="738"/>
      <c r="O37" s="739"/>
      <c r="P37" s="738"/>
      <c r="Q37" s="739">
        <v>3</v>
      </c>
      <c r="R37" s="738">
        <v>3</v>
      </c>
      <c r="S37" s="739"/>
      <c r="T37" s="738"/>
      <c r="U37" s="739"/>
      <c r="V37" s="738"/>
      <c r="W37" s="739"/>
      <c r="X37" s="738"/>
      <c r="Y37" s="739"/>
      <c r="Z37" s="738"/>
      <c r="AA37" s="740">
        <v>500</v>
      </c>
    </row>
    <row r="38" spans="1:27" ht="14.25">
      <c r="A38" s="748">
        <v>3.4</v>
      </c>
      <c r="B38" s="851" t="s">
        <v>2788</v>
      </c>
      <c r="C38" s="803"/>
      <c r="D38" s="804">
        <v>3</v>
      </c>
      <c r="E38" s="805"/>
      <c r="F38" s="804">
        <v>3</v>
      </c>
      <c r="G38" s="805"/>
      <c r="H38" s="804"/>
      <c r="I38" s="805"/>
      <c r="J38" s="804">
        <v>3</v>
      </c>
      <c r="K38" s="805">
        <v>80</v>
      </c>
      <c r="L38" s="804">
        <v>10</v>
      </c>
      <c r="M38" s="805"/>
      <c r="N38" s="804"/>
      <c r="O38" s="805"/>
      <c r="P38" s="804">
        <v>2</v>
      </c>
      <c r="Q38" s="805">
        <v>10</v>
      </c>
      <c r="R38" s="804">
        <v>5</v>
      </c>
      <c r="S38" s="805"/>
      <c r="T38" s="804"/>
      <c r="U38" s="805"/>
      <c r="V38" s="804">
        <v>1</v>
      </c>
      <c r="W38" s="805"/>
      <c r="X38" s="804"/>
      <c r="Y38" s="805"/>
      <c r="Z38" s="804"/>
      <c r="AA38" s="852">
        <v>200</v>
      </c>
    </row>
    <row r="39" spans="1:27" ht="14.25">
      <c r="A39" s="735">
        <v>3.5</v>
      </c>
      <c r="B39" s="789" t="s">
        <v>2789</v>
      </c>
      <c r="C39" s="790"/>
      <c r="D39" s="738">
        <v>1</v>
      </c>
      <c r="E39" s="739"/>
      <c r="F39" s="738">
        <v>1</v>
      </c>
      <c r="G39" s="739"/>
      <c r="H39" s="738"/>
      <c r="I39" s="739"/>
      <c r="J39" s="738"/>
      <c r="K39" s="739">
        <v>50</v>
      </c>
      <c r="L39" s="738">
        <v>10</v>
      </c>
      <c r="M39" s="739"/>
      <c r="N39" s="738"/>
      <c r="O39" s="739"/>
      <c r="P39" s="738"/>
      <c r="Q39" s="739"/>
      <c r="R39" s="738"/>
      <c r="S39" s="739"/>
      <c r="T39" s="738"/>
      <c r="U39" s="739"/>
      <c r="V39" s="738"/>
      <c r="W39" s="739"/>
      <c r="X39" s="738"/>
      <c r="Y39" s="739"/>
      <c r="Z39" s="738"/>
      <c r="AA39" s="740">
        <v>100</v>
      </c>
    </row>
    <row r="40" spans="1:27" ht="14.25">
      <c r="A40" s="735">
        <v>3.6</v>
      </c>
      <c r="B40" s="789" t="s">
        <v>2790</v>
      </c>
      <c r="C40" s="790"/>
      <c r="D40" s="738">
        <v>1</v>
      </c>
      <c r="E40" s="739"/>
      <c r="F40" s="738">
        <v>1</v>
      </c>
      <c r="G40" s="739"/>
      <c r="H40" s="738"/>
      <c r="I40" s="739"/>
      <c r="J40" s="738"/>
      <c r="K40" s="739">
        <v>50</v>
      </c>
      <c r="L40" s="738">
        <v>10</v>
      </c>
      <c r="M40" s="739"/>
      <c r="N40" s="738"/>
      <c r="O40" s="739"/>
      <c r="P40" s="738"/>
      <c r="Q40" s="739"/>
      <c r="R40" s="738"/>
      <c r="S40" s="739"/>
      <c r="T40" s="738"/>
      <c r="U40" s="739"/>
      <c r="V40" s="738"/>
      <c r="W40" s="739"/>
      <c r="X40" s="738"/>
      <c r="Y40" s="739"/>
      <c r="Z40" s="738"/>
      <c r="AA40" s="740">
        <v>100</v>
      </c>
    </row>
    <row r="41" spans="1:27" ht="14.25">
      <c r="A41" s="735">
        <v>3.7</v>
      </c>
      <c r="B41" s="789" t="s">
        <v>2791</v>
      </c>
      <c r="C41" s="790"/>
      <c r="D41" s="738">
        <v>1</v>
      </c>
      <c r="E41" s="739"/>
      <c r="F41" s="738">
        <v>1</v>
      </c>
      <c r="G41" s="739"/>
      <c r="H41" s="738"/>
      <c r="I41" s="739"/>
      <c r="J41" s="738"/>
      <c r="K41" s="739">
        <v>50</v>
      </c>
      <c r="L41" s="738">
        <v>10</v>
      </c>
      <c r="M41" s="739"/>
      <c r="N41" s="738"/>
      <c r="O41" s="739"/>
      <c r="P41" s="738"/>
      <c r="Q41" s="739"/>
      <c r="R41" s="738"/>
      <c r="S41" s="739"/>
      <c r="T41" s="738"/>
      <c r="U41" s="739"/>
      <c r="V41" s="738"/>
      <c r="W41" s="739"/>
      <c r="X41" s="738"/>
      <c r="Y41" s="739"/>
      <c r="Z41" s="738"/>
      <c r="AA41" s="740">
        <v>100</v>
      </c>
    </row>
    <row r="42" spans="1:27" ht="14.25">
      <c r="A42" s="735">
        <v>3.8</v>
      </c>
      <c r="B42" s="789" t="s">
        <v>2792</v>
      </c>
      <c r="C42" s="790"/>
      <c r="D42" s="738"/>
      <c r="E42" s="739"/>
      <c r="F42" s="738"/>
      <c r="G42" s="739"/>
      <c r="H42" s="738"/>
      <c r="I42" s="739"/>
      <c r="J42" s="738"/>
      <c r="K42" s="739">
        <v>50</v>
      </c>
      <c r="L42" s="738">
        <v>10</v>
      </c>
      <c r="M42" s="739"/>
      <c r="N42" s="738"/>
      <c r="O42" s="739"/>
      <c r="P42" s="738"/>
      <c r="Q42" s="739"/>
      <c r="R42" s="738"/>
      <c r="S42" s="739"/>
      <c r="T42" s="738"/>
      <c r="U42" s="739"/>
      <c r="V42" s="738"/>
      <c r="W42" s="739"/>
      <c r="X42" s="738"/>
      <c r="Y42" s="739"/>
      <c r="Z42" s="738"/>
      <c r="AA42" s="740">
        <v>100</v>
      </c>
    </row>
    <row r="43" spans="1:27" ht="14.25">
      <c r="A43" s="735">
        <v>3.9</v>
      </c>
      <c r="B43" s="789" t="s">
        <v>2793</v>
      </c>
      <c r="C43" s="790"/>
      <c r="D43" s="738"/>
      <c r="E43" s="739"/>
      <c r="F43" s="738">
        <v>3</v>
      </c>
      <c r="G43" s="739"/>
      <c r="H43" s="738"/>
      <c r="I43" s="739"/>
      <c r="J43" s="738">
        <v>2</v>
      </c>
      <c r="K43" s="739">
        <v>50</v>
      </c>
      <c r="L43" s="738">
        <v>10</v>
      </c>
      <c r="M43" s="739"/>
      <c r="N43" s="738"/>
      <c r="O43" s="739"/>
      <c r="P43" s="738">
        <v>8</v>
      </c>
      <c r="Q43" s="739"/>
      <c r="R43" s="738">
        <v>3</v>
      </c>
      <c r="S43" s="739"/>
      <c r="T43" s="738"/>
      <c r="U43" s="739"/>
      <c r="V43" s="738">
        <v>1</v>
      </c>
      <c r="W43" s="739"/>
      <c r="X43" s="738"/>
      <c r="Y43" s="739"/>
      <c r="Z43" s="738"/>
      <c r="AA43" s="740">
        <v>100</v>
      </c>
    </row>
    <row r="44" spans="1:27" ht="14.25">
      <c r="A44" s="749" t="s">
        <v>1340</v>
      </c>
      <c r="B44" s="789" t="s">
        <v>2794</v>
      </c>
      <c r="C44" s="790"/>
      <c r="D44" s="738"/>
      <c r="E44" s="739"/>
      <c r="F44" s="738">
        <v>3</v>
      </c>
      <c r="G44" s="739"/>
      <c r="H44" s="738"/>
      <c r="I44" s="739"/>
      <c r="J44" s="738">
        <v>2</v>
      </c>
      <c r="K44" s="739">
        <v>50</v>
      </c>
      <c r="L44" s="738">
        <v>10</v>
      </c>
      <c r="M44" s="739"/>
      <c r="N44" s="738"/>
      <c r="O44" s="739"/>
      <c r="P44" s="738">
        <v>8</v>
      </c>
      <c r="Q44" s="739"/>
      <c r="R44" s="738">
        <v>3</v>
      </c>
      <c r="S44" s="739"/>
      <c r="T44" s="738"/>
      <c r="U44" s="739"/>
      <c r="V44" s="738">
        <v>1</v>
      </c>
      <c r="W44" s="739"/>
      <c r="X44" s="738"/>
      <c r="Y44" s="739"/>
      <c r="Z44" s="738"/>
      <c r="AA44" s="740">
        <v>100</v>
      </c>
    </row>
    <row r="45" spans="1:27" ht="14.25">
      <c r="A45" s="742">
        <v>4</v>
      </c>
      <c r="B45" s="796" t="s">
        <v>2795</v>
      </c>
      <c r="C45" s="790"/>
      <c r="D45" s="738"/>
      <c r="E45" s="739"/>
      <c r="F45" s="738"/>
      <c r="G45" s="739"/>
      <c r="H45" s="738"/>
      <c r="I45" s="739"/>
      <c r="J45" s="738"/>
      <c r="K45" s="739"/>
      <c r="L45" s="738"/>
      <c r="M45" s="739"/>
      <c r="N45" s="738"/>
      <c r="O45" s="739"/>
      <c r="P45" s="738"/>
      <c r="Q45" s="739"/>
      <c r="R45" s="738"/>
      <c r="S45" s="739"/>
      <c r="T45" s="738"/>
      <c r="U45" s="739"/>
      <c r="V45" s="738"/>
      <c r="W45" s="739"/>
      <c r="X45" s="738"/>
      <c r="Y45" s="739"/>
      <c r="Z45" s="738"/>
      <c r="AA45" s="740"/>
    </row>
    <row r="46" spans="1:27" ht="14.25">
      <c r="A46" s="735">
        <v>4.0999999999999996</v>
      </c>
      <c r="B46" s="789" t="s">
        <v>2796</v>
      </c>
      <c r="C46" s="790"/>
      <c r="D46" s="738"/>
      <c r="E46" s="739"/>
      <c r="F46" s="738"/>
      <c r="G46" s="739"/>
      <c r="H46" s="738"/>
      <c r="I46" s="739"/>
      <c r="J46" s="738"/>
      <c r="K46" s="746"/>
      <c r="L46" s="745"/>
      <c r="M46" s="739"/>
      <c r="N46" s="738"/>
      <c r="O46" s="739"/>
      <c r="P46" s="738"/>
      <c r="Q46" s="739"/>
      <c r="R46" s="738"/>
      <c r="S46" s="739"/>
      <c r="T46" s="738"/>
      <c r="U46" s="739"/>
      <c r="V46" s="738"/>
      <c r="W46" s="739"/>
      <c r="X46" s="738"/>
      <c r="Y46" s="739"/>
      <c r="Z46" s="738"/>
      <c r="AA46" s="747"/>
    </row>
    <row r="47" spans="1:27" ht="14.25">
      <c r="A47" s="735" t="s">
        <v>2797</v>
      </c>
      <c r="B47" s="800" t="s">
        <v>2798</v>
      </c>
      <c r="C47" s="790"/>
      <c r="D47" s="738"/>
      <c r="E47" s="739"/>
      <c r="F47" s="738"/>
      <c r="G47" s="739"/>
      <c r="H47" s="738"/>
      <c r="I47" s="739"/>
      <c r="J47" s="738"/>
      <c r="K47" s="739">
        <v>20</v>
      </c>
      <c r="L47" s="738">
        <v>5</v>
      </c>
      <c r="M47" s="739"/>
      <c r="N47" s="738"/>
      <c r="O47" s="739"/>
      <c r="P47" s="738"/>
      <c r="Q47" s="739"/>
      <c r="R47" s="738"/>
      <c r="S47" s="739"/>
      <c r="T47" s="738"/>
      <c r="U47" s="739"/>
      <c r="V47" s="738"/>
      <c r="W47" s="739"/>
      <c r="X47" s="738"/>
      <c r="Y47" s="739"/>
      <c r="Z47" s="738"/>
      <c r="AA47" s="740">
        <v>10</v>
      </c>
    </row>
    <row r="48" spans="1:27" ht="14.25">
      <c r="A48" s="735" t="s">
        <v>582</v>
      </c>
      <c r="B48" s="800" t="s">
        <v>2799</v>
      </c>
      <c r="C48" s="790"/>
      <c r="D48" s="738"/>
      <c r="E48" s="739"/>
      <c r="F48" s="738">
        <v>1</v>
      </c>
      <c r="G48" s="739"/>
      <c r="H48" s="738"/>
      <c r="I48" s="739"/>
      <c r="J48" s="738"/>
      <c r="K48" s="739">
        <v>20</v>
      </c>
      <c r="L48" s="738">
        <v>5</v>
      </c>
      <c r="M48" s="739"/>
      <c r="N48" s="738"/>
      <c r="O48" s="739"/>
      <c r="P48" s="738"/>
      <c r="Q48" s="739"/>
      <c r="R48" s="738"/>
      <c r="S48" s="739"/>
      <c r="T48" s="738"/>
      <c r="U48" s="739"/>
      <c r="V48" s="738"/>
      <c r="W48" s="739"/>
      <c r="X48" s="738"/>
      <c r="Y48" s="739"/>
      <c r="Z48" s="738"/>
      <c r="AA48" s="740">
        <v>10</v>
      </c>
    </row>
    <row r="49" spans="1:27" ht="14.25">
      <c r="A49" s="735" t="s">
        <v>2800</v>
      </c>
      <c r="B49" s="800" t="s">
        <v>2801</v>
      </c>
      <c r="C49" s="790"/>
      <c r="D49" s="738"/>
      <c r="E49" s="739"/>
      <c r="F49" s="738">
        <v>1</v>
      </c>
      <c r="G49" s="739"/>
      <c r="H49" s="738"/>
      <c r="I49" s="739"/>
      <c r="J49" s="738"/>
      <c r="K49" s="739">
        <v>20</v>
      </c>
      <c r="L49" s="738">
        <v>5</v>
      </c>
      <c r="M49" s="739"/>
      <c r="N49" s="738"/>
      <c r="O49" s="739"/>
      <c r="P49" s="738"/>
      <c r="Q49" s="739"/>
      <c r="R49" s="738"/>
      <c r="S49" s="739"/>
      <c r="T49" s="738"/>
      <c r="U49" s="739"/>
      <c r="V49" s="738"/>
      <c r="W49" s="739"/>
      <c r="X49" s="738"/>
      <c r="Y49" s="739"/>
      <c r="Z49" s="738"/>
      <c r="AA49" s="740">
        <v>10</v>
      </c>
    </row>
    <row r="50" spans="1:27" ht="14.25">
      <c r="A50" s="735" t="s">
        <v>2802</v>
      </c>
      <c r="B50" s="800" t="s">
        <v>2803</v>
      </c>
      <c r="C50" s="790"/>
      <c r="D50" s="738"/>
      <c r="E50" s="739"/>
      <c r="F50" s="738">
        <v>1</v>
      </c>
      <c r="G50" s="739"/>
      <c r="H50" s="738"/>
      <c r="I50" s="739"/>
      <c r="J50" s="738"/>
      <c r="K50" s="739">
        <v>20</v>
      </c>
      <c r="L50" s="738">
        <v>5</v>
      </c>
      <c r="M50" s="739"/>
      <c r="N50" s="738"/>
      <c r="O50" s="739"/>
      <c r="P50" s="738"/>
      <c r="Q50" s="739"/>
      <c r="R50" s="738"/>
      <c r="S50" s="739"/>
      <c r="T50" s="738"/>
      <c r="U50" s="739"/>
      <c r="V50" s="738"/>
      <c r="W50" s="739"/>
      <c r="X50" s="738"/>
      <c r="Y50" s="739"/>
      <c r="Z50" s="738"/>
      <c r="AA50" s="740">
        <v>10</v>
      </c>
    </row>
    <row r="51" spans="1:27" ht="14.25">
      <c r="A51" s="735" t="s">
        <v>2804</v>
      </c>
      <c r="B51" s="800" t="s">
        <v>2805</v>
      </c>
      <c r="C51" s="790"/>
      <c r="D51" s="738"/>
      <c r="E51" s="739"/>
      <c r="F51" s="738">
        <v>1</v>
      </c>
      <c r="G51" s="739"/>
      <c r="H51" s="738"/>
      <c r="I51" s="739"/>
      <c r="J51" s="738"/>
      <c r="K51" s="739">
        <v>20</v>
      </c>
      <c r="L51" s="738">
        <v>5</v>
      </c>
      <c r="M51" s="739"/>
      <c r="N51" s="738"/>
      <c r="O51" s="739"/>
      <c r="P51" s="738"/>
      <c r="Q51" s="739"/>
      <c r="R51" s="738"/>
      <c r="S51" s="739"/>
      <c r="T51" s="738"/>
      <c r="U51" s="739"/>
      <c r="V51" s="738"/>
      <c r="W51" s="739"/>
      <c r="X51" s="738"/>
      <c r="Y51" s="739"/>
      <c r="Z51" s="738"/>
      <c r="AA51" s="740">
        <v>10</v>
      </c>
    </row>
    <row r="52" spans="1:27" ht="14.25">
      <c r="A52" s="735" t="s">
        <v>2806</v>
      </c>
      <c r="B52" s="800" t="s">
        <v>2807</v>
      </c>
      <c r="C52" s="790"/>
      <c r="D52" s="738"/>
      <c r="E52" s="739"/>
      <c r="F52" s="738">
        <v>1</v>
      </c>
      <c r="G52" s="739"/>
      <c r="H52" s="738"/>
      <c r="I52" s="739"/>
      <c r="J52" s="738"/>
      <c r="K52" s="739">
        <v>20</v>
      </c>
      <c r="L52" s="738">
        <v>5</v>
      </c>
      <c r="M52" s="739"/>
      <c r="N52" s="738"/>
      <c r="O52" s="739"/>
      <c r="P52" s="738"/>
      <c r="Q52" s="739"/>
      <c r="R52" s="738"/>
      <c r="S52" s="739"/>
      <c r="T52" s="738"/>
      <c r="U52" s="739"/>
      <c r="V52" s="738"/>
      <c r="W52" s="739"/>
      <c r="X52" s="738"/>
      <c r="Y52" s="739"/>
      <c r="Z52" s="738"/>
      <c r="AA52" s="740">
        <v>10</v>
      </c>
    </row>
    <row r="53" spans="1:27" ht="14.25">
      <c r="A53" s="735" t="s">
        <v>2808</v>
      </c>
      <c r="B53" s="800" t="s">
        <v>2809</v>
      </c>
      <c r="C53" s="790"/>
      <c r="D53" s="738"/>
      <c r="E53" s="739"/>
      <c r="F53" s="738">
        <v>1</v>
      </c>
      <c r="G53" s="739"/>
      <c r="H53" s="738"/>
      <c r="I53" s="739"/>
      <c r="J53" s="738"/>
      <c r="K53" s="739">
        <v>20</v>
      </c>
      <c r="L53" s="738">
        <v>5</v>
      </c>
      <c r="M53" s="739"/>
      <c r="N53" s="738"/>
      <c r="O53" s="739"/>
      <c r="P53" s="738"/>
      <c r="Q53" s="739"/>
      <c r="R53" s="738"/>
      <c r="S53" s="739"/>
      <c r="T53" s="738"/>
      <c r="U53" s="739"/>
      <c r="V53" s="738"/>
      <c r="W53" s="739"/>
      <c r="X53" s="738"/>
      <c r="Y53" s="739"/>
      <c r="Z53" s="738"/>
      <c r="AA53" s="740">
        <v>10</v>
      </c>
    </row>
    <row r="54" spans="1:27" ht="14.25">
      <c r="A54" s="735" t="s">
        <v>2810</v>
      </c>
      <c r="B54" s="800" t="s">
        <v>2811</v>
      </c>
      <c r="C54" s="790"/>
      <c r="D54" s="738"/>
      <c r="E54" s="739"/>
      <c r="F54" s="738">
        <v>1</v>
      </c>
      <c r="G54" s="739"/>
      <c r="H54" s="738"/>
      <c r="I54" s="739"/>
      <c r="J54" s="738"/>
      <c r="K54" s="739">
        <v>20</v>
      </c>
      <c r="L54" s="738">
        <v>5</v>
      </c>
      <c r="M54" s="739"/>
      <c r="N54" s="738"/>
      <c r="O54" s="739"/>
      <c r="P54" s="738"/>
      <c r="Q54" s="739"/>
      <c r="R54" s="738"/>
      <c r="S54" s="739"/>
      <c r="T54" s="738"/>
      <c r="U54" s="739"/>
      <c r="V54" s="738"/>
      <c r="W54" s="739"/>
      <c r="X54" s="738"/>
      <c r="Y54" s="739"/>
      <c r="Z54" s="738"/>
      <c r="AA54" s="740">
        <v>10</v>
      </c>
    </row>
    <row r="55" spans="1:27" ht="14.25">
      <c r="A55" s="735" t="s">
        <v>2812</v>
      </c>
      <c r="B55" s="800" t="s">
        <v>2813</v>
      </c>
      <c r="C55" s="790"/>
      <c r="D55" s="738"/>
      <c r="E55" s="739"/>
      <c r="F55" s="738">
        <v>1</v>
      </c>
      <c r="G55" s="739"/>
      <c r="H55" s="738"/>
      <c r="I55" s="739"/>
      <c r="J55" s="738"/>
      <c r="K55" s="739">
        <v>20</v>
      </c>
      <c r="L55" s="738">
        <v>5</v>
      </c>
      <c r="M55" s="739"/>
      <c r="N55" s="738"/>
      <c r="O55" s="739"/>
      <c r="P55" s="738"/>
      <c r="Q55" s="739"/>
      <c r="R55" s="738"/>
      <c r="S55" s="739"/>
      <c r="T55" s="738"/>
      <c r="U55" s="739"/>
      <c r="V55" s="738"/>
      <c r="W55" s="739"/>
      <c r="X55" s="738"/>
      <c r="Y55" s="739"/>
      <c r="Z55" s="738"/>
      <c r="AA55" s="740">
        <v>10</v>
      </c>
    </row>
    <row r="56" spans="1:27" ht="14.25">
      <c r="A56" s="735" t="s">
        <v>2814</v>
      </c>
      <c r="B56" s="800" t="s">
        <v>2815</v>
      </c>
      <c r="C56" s="790"/>
      <c r="D56" s="738"/>
      <c r="E56" s="739"/>
      <c r="F56" s="738">
        <v>1</v>
      </c>
      <c r="G56" s="739"/>
      <c r="H56" s="738"/>
      <c r="I56" s="739"/>
      <c r="J56" s="738"/>
      <c r="K56" s="739">
        <v>20</v>
      </c>
      <c r="L56" s="738">
        <v>5</v>
      </c>
      <c r="M56" s="739"/>
      <c r="N56" s="738"/>
      <c r="O56" s="739"/>
      <c r="P56" s="738"/>
      <c r="Q56" s="739"/>
      <c r="R56" s="738"/>
      <c r="S56" s="739"/>
      <c r="T56" s="738"/>
      <c r="U56" s="739"/>
      <c r="V56" s="738"/>
      <c r="W56" s="739"/>
      <c r="X56" s="738"/>
      <c r="Y56" s="739"/>
      <c r="Z56" s="738"/>
      <c r="AA56" s="740">
        <v>10</v>
      </c>
    </row>
    <row r="57" spans="1:27" ht="14.25">
      <c r="A57" s="735">
        <v>4.2</v>
      </c>
      <c r="B57" s="789" t="s">
        <v>2816</v>
      </c>
      <c r="C57" s="790"/>
      <c r="D57" s="738"/>
      <c r="E57" s="739"/>
      <c r="F57" s="738">
        <v>1</v>
      </c>
      <c r="G57" s="739"/>
      <c r="H57" s="738"/>
      <c r="I57" s="739"/>
      <c r="J57" s="738"/>
      <c r="K57" s="746"/>
      <c r="L57" s="745"/>
      <c r="M57" s="739"/>
      <c r="N57" s="738"/>
      <c r="O57" s="739"/>
      <c r="P57" s="738"/>
      <c r="Q57" s="739"/>
      <c r="R57" s="738"/>
      <c r="S57" s="739"/>
      <c r="T57" s="738"/>
      <c r="U57" s="739"/>
      <c r="V57" s="738"/>
      <c r="W57" s="739"/>
      <c r="X57" s="738"/>
      <c r="Y57" s="739"/>
      <c r="Z57" s="738"/>
      <c r="AA57" s="747"/>
    </row>
    <row r="58" spans="1:27" ht="14.25">
      <c r="A58" s="735" t="s">
        <v>585</v>
      </c>
      <c r="B58" s="800" t="s">
        <v>2817</v>
      </c>
      <c r="C58" s="790"/>
      <c r="D58" s="738"/>
      <c r="E58" s="739"/>
      <c r="F58" s="738"/>
      <c r="G58" s="739"/>
      <c r="H58" s="738"/>
      <c r="I58" s="739"/>
      <c r="J58" s="738"/>
      <c r="K58" s="739">
        <v>20</v>
      </c>
      <c r="L58" s="738">
        <v>5</v>
      </c>
      <c r="M58" s="739"/>
      <c r="N58" s="738"/>
      <c r="O58" s="739"/>
      <c r="P58" s="738"/>
      <c r="Q58" s="739"/>
      <c r="R58" s="738"/>
      <c r="S58" s="739"/>
      <c r="T58" s="738"/>
      <c r="U58" s="739"/>
      <c r="V58" s="738"/>
      <c r="W58" s="739"/>
      <c r="X58" s="738"/>
      <c r="Y58" s="739"/>
      <c r="Z58" s="738"/>
      <c r="AA58" s="740">
        <v>10</v>
      </c>
    </row>
    <row r="59" spans="1:27" ht="14.25">
      <c r="A59" s="735" t="s">
        <v>587</v>
      </c>
      <c r="B59" s="800" t="s">
        <v>2818</v>
      </c>
      <c r="C59" s="790"/>
      <c r="D59" s="738"/>
      <c r="E59" s="739"/>
      <c r="F59" s="738"/>
      <c r="G59" s="739"/>
      <c r="H59" s="738"/>
      <c r="I59" s="739"/>
      <c r="J59" s="738"/>
      <c r="K59" s="739">
        <v>20</v>
      </c>
      <c r="L59" s="738">
        <v>5</v>
      </c>
      <c r="M59" s="739"/>
      <c r="N59" s="738"/>
      <c r="O59" s="739"/>
      <c r="P59" s="738"/>
      <c r="Q59" s="739"/>
      <c r="R59" s="738"/>
      <c r="S59" s="739"/>
      <c r="T59" s="738"/>
      <c r="U59" s="739"/>
      <c r="V59" s="738"/>
      <c r="W59" s="739"/>
      <c r="X59" s="738"/>
      <c r="Y59" s="739"/>
      <c r="Z59" s="738"/>
      <c r="AA59" s="740">
        <v>10</v>
      </c>
    </row>
    <row r="60" spans="1:27" ht="14.25">
      <c r="A60" s="735" t="s">
        <v>2819</v>
      </c>
      <c r="B60" s="800" t="s">
        <v>2820</v>
      </c>
      <c r="C60" s="790"/>
      <c r="D60" s="738"/>
      <c r="E60" s="739"/>
      <c r="F60" s="738">
        <v>1</v>
      </c>
      <c r="G60" s="739"/>
      <c r="H60" s="738"/>
      <c r="I60" s="739"/>
      <c r="J60" s="738"/>
      <c r="K60" s="739">
        <v>20</v>
      </c>
      <c r="L60" s="738">
        <v>5</v>
      </c>
      <c r="M60" s="739"/>
      <c r="N60" s="738"/>
      <c r="O60" s="739"/>
      <c r="P60" s="738"/>
      <c r="Q60" s="739"/>
      <c r="R60" s="738"/>
      <c r="S60" s="739"/>
      <c r="T60" s="738"/>
      <c r="U60" s="739"/>
      <c r="V60" s="738"/>
      <c r="W60" s="739"/>
      <c r="X60" s="738"/>
      <c r="Y60" s="739"/>
      <c r="Z60" s="738"/>
      <c r="AA60" s="740">
        <v>10</v>
      </c>
    </row>
    <row r="61" spans="1:27" ht="14.25">
      <c r="A61" s="735" t="s">
        <v>2821</v>
      </c>
      <c r="B61" s="800" t="s">
        <v>2822</v>
      </c>
      <c r="C61" s="790"/>
      <c r="D61" s="738"/>
      <c r="E61" s="739"/>
      <c r="F61" s="738">
        <v>1</v>
      </c>
      <c r="G61" s="739"/>
      <c r="H61" s="738"/>
      <c r="I61" s="739"/>
      <c r="J61" s="738"/>
      <c r="K61" s="739">
        <v>20</v>
      </c>
      <c r="L61" s="738">
        <v>5</v>
      </c>
      <c r="M61" s="739"/>
      <c r="N61" s="738"/>
      <c r="O61" s="739"/>
      <c r="P61" s="738"/>
      <c r="Q61" s="739"/>
      <c r="R61" s="738"/>
      <c r="S61" s="739"/>
      <c r="T61" s="738"/>
      <c r="U61" s="739"/>
      <c r="V61" s="738"/>
      <c r="W61" s="739"/>
      <c r="X61" s="738"/>
      <c r="Y61" s="739"/>
      <c r="Z61" s="738"/>
      <c r="AA61" s="740">
        <v>10</v>
      </c>
    </row>
    <row r="62" spans="1:27" ht="14.25">
      <c r="A62" s="735" t="s">
        <v>2823</v>
      </c>
      <c r="B62" s="800" t="s">
        <v>2824</v>
      </c>
      <c r="C62" s="790"/>
      <c r="D62" s="738"/>
      <c r="E62" s="739"/>
      <c r="F62" s="738">
        <v>1</v>
      </c>
      <c r="G62" s="739"/>
      <c r="H62" s="738"/>
      <c r="I62" s="739"/>
      <c r="J62" s="738"/>
      <c r="K62" s="739">
        <v>20</v>
      </c>
      <c r="L62" s="738">
        <v>5</v>
      </c>
      <c r="M62" s="739"/>
      <c r="N62" s="738"/>
      <c r="O62" s="739"/>
      <c r="P62" s="738"/>
      <c r="Q62" s="739"/>
      <c r="R62" s="738"/>
      <c r="S62" s="739"/>
      <c r="T62" s="738"/>
      <c r="U62" s="739"/>
      <c r="V62" s="738"/>
      <c r="W62" s="739"/>
      <c r="X62" s="738"/>
      <c r="Y62" s="739"/>
      <c r="Z62" s="738"/>
      <c r="AA62" s="740">
        <v>10</v>
      </c>
    </row>
    <row r="63" spans="1:27" ht="14.25">
      <c r="A63" s="735" t="s">
        <v>2825</v>
      </c>
      <c r="B63" s="800" t="s">
        <v>2789</v>
      </c>
      <c r="C63" s="790"/>
      <c r="D63" s="738"/>
      <c r="E63" s="739"/>
      <c r="F63" s="738">
        <v>1</v>
      </c>
      <c r="G63" s="739"/>
      <c r="H63" s="738"/>
      <c r="I63" s="739"/>
      <c r="J63" s="738"/>
      <c r="K63" s="739">
        <v>20</v>
      </c>
      <c r="L63" s="738">
        <v>5</v>
      </c>
      <c r="M63" s="739"/>
      <c r="N63" s="738"/>
      <c r="O63" s="739"/>
      <c r="P63" s="738"/>
      <c r="Q63" s="739"/>
      <c r="R63" s="738"/>
      <c r="S63" s="739"/>
      <c r="T63" s="738"/>
      <c r="U63" s="739"/>
      <c r="V63" s="738"/>
      <c r="W63" s="739"/>
      <c r="X63" s="738"/>
      <c r="Y63" s="739"/>
      <c r="Z63" s="738"/>
      <c r="AA63" s="740">
        <v>10</v>
      </c>
    </row>
    <row r="64" spans="1:27" ht="14.25">
      <c r="A64" s="735" t="s">
        <v>2826</v>
      </c>
      <c r="B64" s="800" t="s">
        <v>2790</v>
      </c>
      <c r="C64" s="790"/>
      <c r="D64" s="738"/>
      <c r="E64" s="739"/>
      <c r="F64" s="738">
        <v>1</v>
      </c>
      <c r="G64" s="739"/>
      <c r="H64" s="738"/>
      <c r="I64" s="739"/>
      <c r="J64" s="738"/>
      <c r="K64" s="739">
        <v>20</v>
      </c>
      <c r="L64" s="738">
        <v>5</v>
      </c>
      <c r="M64" s="739"/>
      <c r="N64" s="738"/>
      <c r="O64" s="739"/>
      <c r="P64" s="738"/>
      <c r="Q64" s="739"/>
      <c r="R64" s="738"/>
      <c r="S64" s="739"/>
      <c r="T64" s="738"/>
      <c r="U64" s="739"/>
      <c r="V64" s="738"/>
      <c r="W64" s="739"/>
      <c r="X64" s="738"/>
      <c r="Y64" s="739"/>
      <c r="Z64" s="738"/>
      <c r="AA64" s="740">
        <v>10</v>
      </c>
    </row>
    <row r="65" spans="1:27" ht="14.25">
      <c r="A65" s="735" t="s">
        <v>2827</v>
      </c>
      <c r="B65" s="800" t="s">
        <v>2828</v>
      </c>
      <c r="C65" s="790"/>
      <c r="D65" s="738"/>
      <c r="E65" s="739"/>
      <c r="F65" s="738">
        <v>1</v>
      </c>
      <c r="G65" s="739"/>
      <c r="H65" s="738"/>
      <c r="I65" s="739"/>
      <c r="J65" s="738"/>
      <c r="K65" s="739">
        <v>20</v>
      </c>
      <c r="L65" s="738">
        <v>5</v>
      </c>
      <c r="M65" s="739"/>
      <c r="N65" s="738"/>
      <c r="O65" s="739"/>
      <c r="P65" s="738"/>
      <c r="Q65" s="739"/>
      <c r="R65" s="738"/>
      <c r="S65" s="739"/>
      <c r="T65" s="738"/>
      <c r="U65" s="739"/>
      <c r="V65" s="738"/>
      <c r="W65" s="739"/>
      <c r="X65" s="738"/>
      <c r="Y65" s="739"/>
      <c r="Z65" s="738"/>
      <c r="AA65" s="740">
        <v>10</v>
      </c>
    </row>
    <row r="66" spans="1:27" ht="14.25">
      <c r="A66" s="735" t="s">
        <v>2829</v>
      </c>
      <c r="B66" s="800" t="s">
        <v>2830</v>
      </c>
      <c r="C66" s="790"/>
      <c r="D66" s="738"/>
      <c r="E66" s="739"/>
      <c r="F66" s="738">
        <v>1</v>
      </c>
      <c r="G66" s="739"/>
      <c r="H66" s="738"/>
      <c r="I66" s="739"/>
      <c r="J66" s="738"/>
      <c r="K66" s="739">
        <v>20</v>
      </c>
      <c r="L66" s="738">
        <v>5</v>
      </c>
      <c r="M66" s="739"/>
      <c r="N66" s="738"/>
      <c r="O66" s="739"/>
      <c r="P66" s="738"/>
      <c r="Q66" s="739"/>
      <c r="R66" s="738"/>
      <c r="S66" s="739"/>
      <c r="T66" s="738"/>
      <c r="U66" s="739"/>
      <c r="V66" s="738"/>
      <c r="W66" s="739"/>
      <c r="X66" s="738"/>
      <c r="Y66" s="739"/>
      <c r="Z66" s="738"/>
      <c r="AA66" s="740">
        <v>10</v>
      </c>
    </row>
    <row r="67" spans="1:27" ht="14.25">
      <c r="A67" s="742">
        <v>5</v>
      </c>
      <c r="B67" s="796" t="s">
        <v>2831</v>
      </c>
      <c r="C67" s="790"/>
      <c r="D67" s="738"/>
      <c r="E67" s="739"/>
      <c r="F67" s="738"/>
      <c r="G67" s="739"/>
      <c r="H67" s="738"/>
      <c r="I67" s="739"/>
      <c r="J67" s="738"/>
      <c r="K67" s="746"/>
      <c r="L67" s="745"/>
      <c r="M67" s="739"/>
      <c r="N67" s="738"/>
      <c r="O67" s="739"/>
      <c r="P67" s="738"/>
      <c r="Q67" s="739"/>
      <c r="R67" s="738"/>
      <c r="S67" s="739"/>
      <c r="T67" s="738"/>
      <c r="U67" s="739"/>
      <c r="V67" s="738"/>
      <c r="W67" s="739"/>
      <c r="X67" s="738"/>
      <c r="Y67" s="739"/>
      <c r="Z67" s="738"/>
      <c r="AA67" s="747"/>
    </row>
    <row r="68" spans="1:27" ht="14.25">
      <c r="A68" s="735">
        <v>5.0999999999999996</v>
      </c>
      <c r="B68" s="789" t="s">
        <v>2832</v>
      </c>
      <c r="C68" s="853"/>
      <c r="D68" s="738"/>
      <c r="E68" s="751"/>
      <c r="F68" s="738"/>
      <c r="G68" s="751"/>
      <c r="H68" s="738"/>
      <c r="I68" s="751"/>
      <c r="J68" s="738"/>
      <c r="K68" s="739">
        <v>20</v>
      </c>
      <c r="L68" s="738">
        <v>5</v>
      </c>
      <c r="M68" s="751"/>
      <c r="N68" s="738"/>
      <c r="O68" s="751"/>
      <c r="P68" s="738"/>
      <c r="Q68" s="854">
        <v>2</v>
      </c>
      <c r="R68" s="738"/>
      <c r="S68" s="751"/>
      <c r="T68" s="738"/>
      <c r="U68" s="751"/>
      <c r="V68" s="738"/>
      <c r="W68" s="751"/>
      <c r="X68" s="738"/>
      <c r="Y68" s="751"/>
      <c r="Z68" s="738"/>
      <c r="AA68" s="740">
        <v>10</v>
      </c>
    </row>
    <row r="69" spans="1:27" ht="14.25">
      <c r="A69" s="735">
        <v>5.2</v>
      </c>
      <c r="B69" s="789" t="s">
        <v>2833</v>
      </c>
      <c r="C69" s="855"/>
      <c r="D69" s="754"/>
      <c r="E69" s="755"/>
      <c r="F69" s="754"/>
      <c r="G69" s="755"/>
      <c r="H69" s="754"/>
      <c r="I69" s="755"/>
      <c r="J69" s="754"/>
      <c r="K69" s="739">
        <v>20</v>
      </c>
      <c r="L69" s="738">
        <v>5</v>
      </c>
      <c r="M69" s="755"/>
      <c r="N69" s="754"/>
      <c r="O69" s="755"/>
      <c r="P69" s="754"/>
      <c r="Q69" s="854">
        <v>2</v>
      </c>
      <c r="R69" s="754"/>
      <c r="S69" s="755"/>
      <c r="T69" s="754"/>
      <c r="U69" s="755"/>
      <c r="V69" s="754"/>
      <c r="W69" s="755"/>
      <c r="X69" s="754"/>
      <c r="Y69" s="755"/>
      <c r="Z69" s="754"/>
      <c r="AA69" s="740">
        <v>10</v>
      </c>
    </row>
    <row r="70" spans="1:27" ht="14.25">
      <c r="A70" s="735">
        <v>5.3</v>
      </c>
      <c r="B70" s="789" t="s">
        <v>2834</v>
      </c>
      <c r="C70" s="790"/>
      <c r="D70" s="738"/>
      <c r="E70" s="739"/>
      <c r="F70" s="738"/>
      <c r="G70" s="739"/>
      <c r="H70" s="738"/>
      <c r="I70" s="739"/>
      <c r="J70" s="738"/>
      <c r="K70" s="739">
        <v>20</v>
      </c>
      <c r="L70" s="738">
        <v>5</v>
      </c>
      <c r="M70" s="739"/>
      <c r="N70" s="738"/>
      <c r="O70" s="739"/>
      <c r="P70" s="738"/>
      <c r="Q70" s="805">
        <v>2</v>
      </c>
      <c r="R70" s="738"/>
      <c r="S70" s="739"/>
      <c r="T70" s="738"/>
      <c r="U70" s="739"/>
      <c r="V70" s="738"/>
      <c r="W70" s="739"/>
      <c r="X70" s="738"/>
      <c r="Y70" s="739"/>
      <c r="Z70" s="738"/>
      <c r="AA70" s="740">
        <v>10</v>
      </c>
    </row>
    <row r="71" spans="1:27" ht="14.25">
      <c r="A71" s="735">
        <v>5.4</v>
      </c>
      <c r="B71" s="789" t="s">
        <v>2835</v>
      </c>
      <c r="C71" s="790"/>
      <c r="D71" s="738"/>
      <c r="E71" s="739"/>
      <c r="F71" s="738"/>
      <c r="G71" s="739"/>
      <c r="H71" s="738"/>
      <c r="I71" s="739"/>
      <c r="J71" s="738"/>
      <c r="K71" s="739">
        <v>20</v>
      </c>
      <c r="L71" s="738">
        <v>5</v>
      </c>
      <c r="M71" s="739"/>
      <c r="N71" s="738"/>
      <c r="O71" s="739"/>
      <c r="P71" s="738"/>
      <c r="Q71" s="805">
        <v>2</v>
      </c>
      <c r="R71" s="738"/>
      <c r="S71" s="739"/>
      <c r="T71" s="738"/>
      <c r="U71" s="739"/>
      <c r="V71" s="738"/>
      <c r="W71" s="739"/>
      <c r="X71" s="738"/>
      <c r="Y71" s="739"/>
      <c r="Z71" s="738"/>
      <c r="AA71" s="740">
        <v>10</v>
      </c>
    </row>
    <row r="72" spans="1:27" ht="14.25">
      <c r="A72" s="735">
        <v>5.5</v>
      </c>
      <c r="B72" s="789" t="s">
        <v>2836</v>
      </c>
      <c r="C72" s="790"/>
      <c r="D72" s="738"/>
      <c r="E72" s="739"/>
      <c r="F72" s="738"/>
      <c r="G72" s="739"/>
      <c r="H72" s="738"/>
      <c r="I72" s="739"/>
      <c r="J72" s="738"/>
      <c r="K72" s="739">
        <v>20</v>
      </c>
      <c r="L72" s="738">
        <v>5</v>
      </c>
      <c r="M72" s="739"/>
      <c r="N72" s="738"/>
      <c r="O72" s="739"/>
      <c r="P72" s="738"/>
      <c r="Q72" s="805">
        <v>2</v>
      </c>
      <c r="R72" s="738"/>
      <c r="S72" s="739"/>
      <c r="T72" s="738"/>
      <c r="U72" s="739"/>
      <c r="V72" s="738"/>
      <c r="W72" s="739"/>
      <c r="X72" s="738"/>
      <c r="Y72" s="739"/>
      <c r="Z72" s="738"/>
      <c r="AA72" s="740">
        <v>10</v>
      </c>
    </row>
    <row r="73" spans="1:27" ht="14.25">
      <c r="A73" s="735">
        <v>5.6</v>
      </c>
      <c r="B73" s="789" t="s">
        <v>2837</v>
      </c>
      <c r="C73" s="790"/>
      <c r="D73" s="738"/>
      <c r="E73" s="739"/>
      <c r="F73" s="738"/>
      <c r="G73" s="739"/>
      <c r="H73" s="738"/>
      <c r="I73" s="739"/>
      <c r="J73" s="738"/>
      <c r="K73" s="739">
        <v>20</v>
      </c>
      <c r="L73" s="738">
        <v>5</v>
      </c>
      <c r="M73" s="739"/>
      <c r="N73" s="738"/>
      <c r="O73" s="739"/>
      <c r="P73" s="738"/>
      <c r="Q73" s="805">
        <v>2</v>
      </c>
      <c r="R73" s="738"/>
      <c r="S73" s="739"/>
      <c r="T73" s="738"/>
      <c r="U73" s="739"/>
      <c r="V73" s="738"/>
      <c r="W73" s="739"/>
      <c r="X73" s="738"/>
      <c r="Y73" s="739"/>
      <c r="Z73" s="738"/>
      <c r="AA73" s="740">
        <v>10</v>
      </c>
    </row>
    <row r="74" spans="1:27" ht="14.25">
      <c r="A74" s="735">
        <v>5.7</v>
      </c>
      <c r="B74" s="789" t="s">
        <v>2838</v>
      </c>
      <c r="C74" s="790"/>
      <c r="D74" s="738"/>
      <c r="E74" s="739"/>
      <c r="F74" s="738"/>
      <c r="G74" s="739"/>
      <c r="H74" s="738"/>
      <c r="I74" s="739"/>
      <c r="J74" s="738"/>
      <c r="K74" s="739">
        <v>20</v>
      </c>
      <c r="L74" s="738">
        <v>5</v>
      </c>
      <c r="M74" s="739"/>
      <c r="N74" s="738"/>
      <c r="O74" s="739"/>
      <c r="P74" s="738"/>
      <c r="Q74" s="805">
        <v>2</v>
      </c>
      <c r="R74" s="738"/>
      <c r="S74" s="739"/>
      <c r="T74" s="738"/>
      <c r="U74" s="739"/>
      <c r="V74" s="738"/>
      <c r="W74" s="739"/>
      <c r="X74" s="738"/>
      <c r="Y74" s="739"/>
      <c r="Z74" s="738"/>
      <c r="AA74" s="740">
        <v>10</v>
      </c>
    </row>
    <row r="75" spans="1:27" ht="14.25">
      <c r="A75" s="735">
        <v>5.8</v>
      </c>
      <c r="B75" s="789" t="s">
        <v>2839</v>
      </c>
      <c r="C75" s="790"/>
      <c r="D75" s="738"/>
      <c r="E75" s="739"/>
      <c r="F75" s="738"/>
      <c r="G75" s="739"/>
      <c r="H75" s="738"/>
      <c r="I75" s="739"/>
      <c r="J75" s="738"/>
      <c r="K75" s="739">
        <v>20</v>
      </c>
      <c r="L75" s="738">
        <v>5</v>
      </c>
      <c r="M75" s="739"/>
      <c r="N75" s="738"/>
      <c r="O75" s="739"/>
      <c r="P75" s="738"/>
      <c r="Q75" s="805">
        <v>2</v>
      </c>
      <c r="R75" s="738"/>
      <c r="S75" s="739"/>
      <c r="T75" s="738"/>
      <c r="U75" s="739"/>
      <c r="V75" s="738"/>
      <c r="W75" s="739"/>
      <c r="X75" s="738"/>
      <c r="Y75" s="739"/>
      <c r="Z75" s="738"/>
      <c r="AA75" s="740">
        <v>10</v>
      </c>
    </row>
    <row r="76" spans="1:27" ht="14.25">
      <c r="A76" s="735">
        <v>5.9</v>
      </c>
      <c r="B76" s="789" t="s">
        <v>2840</v>
      </c>
      <c r="C76" s="790"/>
      <c r="D76" s="738"/>
      <c r="E76" s="739"/>
      <c r="F76" s="738"/>
      <c r="G76" s="739"/>
      <c r="H76" s="738"/>
      <c r="I76" s="739"/>
      <c r="J76" s="738"/>
      <c r="K76" s="739">
        <v>20</v>
      </c>
      <c r="L76" s="738">
        <v>5</v>
      </c>
      <c r="M76" s="739"/>
      <c r="N76" s="738"/>
      <c r="O76" s="739"/>
      <c r="P76" s="738"/>
      <c r="Q76" s="805">
        <v>2</v>
      </c>
      <c r="R76" s="738"/>
      <c r="S76" s="739"/>
      <c r="T76" s="738"/>
      <c r="U76" s="739"/>
      <c r="V76" s="738"/>
      <c r="W76" s="739"/>
      <c r="X76" s="738"/>
      <c r="Y76" s="739"/>
      <c r="Z76" s="738"/>
      <c r="AA76" s="740">
        <v>10</v>
      </c>
    </row>
    <row r="77" spans="1:27" ht="14.25">
      <c r="A77" s="735" t="s">
        <v>615</v>
      </c>
      <c r="B77" s="789" t="s">
        <v>2841</v>
      </c>
      <c r="C77" s="790"/>
      <c r="D77" s="738"/>
      <c r="E77" s="739"/>
      <c r="F77" s="738"/>
      <c r="G77" s="739"/>
      <c r="H77" s="738"/>
      <c r="I77" s="739"/>
      <c r="J77" s="738"/>
      <c r="K77" s="739">
        <v>20</v>
      </c>
      <c r="L77" s="738">
        <v>5</v>
      </c>
      <c r="M77" s="739"/>
      <c r="N77" s="738"/>
      <c r="O77" s="739"/>
      <c r="P77" s="738"/>
      <c r="Q77" s="805">
        <v>2</v>
      </c>
      <c r="R77" s="738"/>
      <c r="S77" s="739"/>
      <c r="T77" s="738"/>
      <c r="U77" s="739"/>
      <c r="V77" s="738"/>
      <c r="W77" s="739"/>
      <c r="X77" s="738"/>
      <c r="Y77" s="739"/>
      <c r="Z77" s="738"/>
      <c r="AA77" s="740">
        <v>10</v>
      </c>
    </row>
    <row r="78" spans="1:27" ht="14.25">
      <c r="A78" s="735">
        <v>5.1100000000000003</v>
      </c>
      <c r="B78" s="789" t="s">
        <v>2842</v>
      </c>
      <c r="C78" s="790"/>
      <c r="D78" s="738"/>
      <c r="E78" s="739"/>
      <c r="F78" s="738"/>
      <c r="G78" s="739"/>
      <c r="H78" s="738"/>
      <c r="I78" s="739"/>
      <c r="J78" s="738"/>
      <c r="K78" s="739">
        <v>20</v>
      </c>
      <c r="L78" s="738">
        <v>5</v>
      </c>
      <c r="M78" s="739"/>
      <c r="N78" s="738"/>
      <c r="O78" s="739"/>
      <c r="P78" s="738"/>
      <c r="Q78" s="805">
        <v>2</v>
      </c>
      <c r="R78" s="738"/>
      <c r="S78" s="739"/>
      <c r="T78" s="738"/>
      <c r="U78" s="739"/>
      <c r="V78" s="738"/>
      <c r="W78" s="739"/>
      <c r="X78" s="738"/>
      <c r="Y78" s="739"/>
      <c r="Z78" s="738"/>
      <c r="AA78" s="740">
        <v>10</v>
      </c>
    </row>
    <row r="79" spans="1:27" ht="14.25">
      <c r="A79" s="735">
        <v>5.12</v>
      </c>
      <c r="B79" s="789" t="s">
        <v>2843</v>
      </c>
      <c r="C79" s="790"/>
      <c r="D79" s="738"/>
      <c r="E79" s="739"/>
      <c r="F79" s="738"/>
      <c r="G79" s="739"/>
      <c r="H79" s="738"/>
      <c r="I79" s="739"/>
      <c r="J79" s="738"/>
      <c r="K79" s="739">
        <v>20</v>
      </c>
      <c r="L79" s="738">
        <v>5</v>
      </c>
      <c r="M79" s="739"/>
      <c r="N79" s="738"/>
      <c r="O79" s="739"/>
      <c r="P79" s="738"/>
      <c r="Q79" s="805">
        <v>2</v>
      </c>
      <c r="R79" s="738"/>
      <c r="S79" s="739"/>
      <c r="T79" s="738"/>
      <c r="U79" s="739"/>
      <c r="V79" s="738"/>
      <c r="W79" s="739"/>
      <c r="X79" s="738"/>
      <c r="Y79" s="739"/>
      <c r="Z79" s="738"/>
      <c r="AA79" s="740">
        <v>10</v>
      </c>
    </row>
    <row r="80" spans="1:27" ht="14.25">
      <c r="A80" s="735">
        <v>5.13</v>
      </c>
      <c r="B80" s="789" t="s">
        <v>2844</v>
      </c>
      <c r="C80" s="790"/>
      <c r="D80" s="738"/>
      <c r="E80" s="739"/>
      <c r="F80" s="738"/>
      <c r="G80" s="739"/>
      <c r="H80" s="738"/>
      <c r="I80" s="739"/>
      <c r="J80" s="738"/>
      <c r="K80" s="739">
        <v>20</v>
      </c>
      <c r="L80" s="738">
        <v>5</v>
      </c>
      <c r="M80" s="739"/>
      <c r="N80" s="738"/>
      <c r="O80" s="739"/>
      <c r="P80" s="738"/>
      <c r="Q80" s="805">
        <v>2</v>
      </c>
      <c r="R80" s="738"/>
      <c r="S80" s="739"/>
      <c r="T80" s="738"/>
      <c r="U80" s="739"/>
      <c r="V80" s="738"/>
      <c r="W80" s="739"/>
      <c r="X80" s="738"/>
      <c r="Y80" s="739"/>
      <c r="Z80" s="738"/>
      <c r="AA80" s="740">
        <v>10</v>
      </c>
    </row>
    <row r="81" spans="1:27" ht="14.25">
      <c r="A81" s="735">
        <v>5.14</v>
      </c>
      <c r="B81" s="789" t="s">
        <v>2845</v>
      </c>
      <c r="C81" s="790"/>
      <c r="D81" s="738"/>
      <c r="E81" s="739"/>
      <c r="F81" s="738"/>
      <c r="G81" s="739"/>
      <c r="H81" s="738"/>
      <c r="I81" s="739"/>
      <c r="J81" s="738"/>
      <c r="K81" s="739">
        <v>20</v>
      </c>
      <c r="L81" s="738">
        <v>5</v>
      </c>
      <c r="M81" s="739"/>
      <c r="N81" s="738"/>
      <c r="O81" s="739"/>
      <c r="P81" s="738"/>
      <c r="Q81" s="805">
        <v>2</v>
      </c>
      <c r="R81" s="738"/>
      <c r="S81" s="739"/>
      <c r="T81" s="738"/>
      <c r="U81" s="739"/>
      <c r="V81" s="738"/>
      <c r="W81" s="739"/>
      <c r="X81" s="738"/>
      <c r="Y81" s="739"/>
      <c r="Z81" s="738"/>
      <c r="AA81" s="740">
        <v>10</v>
      </c>
    </row>
    <row r="82" spans="1:27" ht="14.25">
      <c r="A82" s="742">
        <v>6</v>
      </c>
      <c r="B82" s="796" t="s">
        <v>2340</v>
      </c>
      <c r="C82" s="790"/>
      <c r="D82" s="738"/>
      <c r="E82" s="739"/>
      <c r="F82" s="738"/>
      <c r="G82" s="739"/>
      <c r="H82" s="738"/>
      <c r="I82" s="739"/>
      <c r="J82" s="738"/>
      <c r="K82" s="746"/>
      <c r="L82" s="745"/>
      <c r="M82" s="739"/>
      <c r="N82" s="738"/>
      <c r="O82" s="739"/>
      <c r="P82" s="738"/>
      <c r="Q82" s="805"/>
      <c r="R82" s="738"/>
      <c r="S82" s="739"/>
      <c r="T82" s="738"/>
      <c r="U82" s="739"/>
      <c r="V82" s="738"/>
      <c r="W82" s="739"/>
      <c r="X82" s="738"/>
      <c r="Y82" s="739"/>
      <c r="Z82" s="738"/>
      <c r="AA82" s="747"/>
    </row>
    <row r="83" spans="1:27" ht="14.25">
      <c r="A83" s="735">
        <v>6.1</v>
      </c>
      <c r="B83" s="789" t="s">
        <v>2846</v>
      </c>
      <c r="C83" s="790"/>
      <c r="D83" s="738"/>
      <c r="E83" s="739"/>
      <c r="F83" s="738"/>
      <c r="G83" s="739"/>
      <c r="H83" s="738"/>
      <c r="I83" s="739"/>
      <c r="J83" s="738"/>
      <c r="K83" s="739">
        <v>300</v>
      </c>
      <c r="L83" s="738">
        <v>300</v>
      </c>
      <c r="M83" s="739"/>
      <c r="N83" s="738"/>
      <c r="O83" s="739"/>
      <c r="P83" s="738"/>
      <c r="Q83" s="739"/>
      <c r="R83" s="738"/>
      <c r="S83" s="739"/>
      <c r="T83" s="738"/>
      <c r="U83" s="739"/>
      <c r="V83" s="738"/>
      <c r="W83" s="739"/>
      <c r="X83" s="738"/>
      <c r="Y83" s="739"/>
      <c r="Z83" s="738"/>
      <c r="AA83" s="740">
        <v>300</v>
      </c>
    </row>
    <row r="84" spans="1:27" ht="14.25">
      <c r="A84" s="735">
        <v>6.2</v>
      </c>
      <c r="B84" s="789" t="s">
        <v>2847</v>
      </c>
      <c r="C84" s="790"/>
      <c r="D84" s="738"/>
      <c r="E84" s="739"/>
      <c r="F84" s="738"/>
      <c r="G84" s="739"/>
      <c r="H84" s="738"/>
      <c r="I84" s="739"/>
      <c r="J84" s="738"/>
      <c r="K84" s="739">
        <v>100</v>
      </c>
      <c r="L84" s="738">
        <v>50</v>
      </c>
      <c r="M84" s="739"/>
      <c r="N84" s="738"/>
      <c r="O84" s="739"/>
      <c r="P84" s="738"/>
      <c r="Q84" s="739"/>
      <c r="R84" s="738"/>
      <c r="S84" s="739"/>
      <c r="T84" s="738"/>
      <c r="U84" s="739"/>
      <c r="V84" s="738"/>
      <c r="W84" s="739"/>
      <c r="X84" s="738"/>
      <c r="Y84" s="739"/>
      <c r="Z84" s="738"/>
      <c r="AA84" s="740">
        <v>50</v>
      </c>
    </row>
    <row r="85" spans="1:27" ht="14.25">
      <c r="A85" s="735">
        <v>6.3</v>
      </c>
      <c r="B85" s="850" t="s">
        <v>2848</v>
      </c>
      <c r="C85" s="790"/>
      <c r="D85" s="738"/>
      <c r="E85" s="739"/>
      <c r="F85" s="738"/>
      <c r="G85" s="739"/>
      <c r="H85" s="738"/>
      <c r="I85" s="739"/>
      <c r="J85" s="738"/>
      <c r="K85" s="739">
        <v>20</v>
      </c>
      <c r="L85" s="738">
        <v>5</v>
      </c>
      <c r="M85" s="739"/>
      <c r="N85" s="738"/>
      <c r="O85" s="739"/>
      <c r="P85" s="738"/>
      <c r="Q85" s="739"/>
      <c r="R85" s="738"/>
      <c r="S85" s="739"/>
      <c r="T85" s="738"/>
      <c r="U85" s="739"/>
      <c r="V85" s="738"/>
      <c r="W85" s="739"/>
      <c r="X85" s="738"/>
      <c r="Y85" s="739"/>
      <c r="Z85" s="738"/>
      <c r="AA85" s="740">
        <v>10</v>
      </c>
    </row>
    <row r="86" spans="1:27" ht="14.25">
      <c r="A86" s="735">
        <v>6.4</v>
      </c>
      <c r="B86" s="796" t="s">
        <v>2849</v>
      </c>
      <c r="C86" s="790"/>
      <c r="D86" s="738"/>
      <c r="E86" s="739"/>
      <c r="F86" s="738"/>
      <c r="G86" s="739"/>
      <c r="H86" s="738"/>
      <c r="I86" s="739"/>
      <c r="J86" s="738"/>
      <c r="K86" s="739">
        <v>20</v>
      </c>
      <c r="L86" s="738">
        <v>5</v>
      </c>
      <c r="M86" s="739"/>
      <c r="N86" s="738"/>
      <c r="O86" s="739"/>
      <c r="P86" s="738"/>
      <c r="Q86" s="739"/>
      <c r="R86" s="738"/>
      <c r="S86" s="739"/>
      <c r="T86" s="738"/>
      <c r="U86" s="739"/>
      <c r="V86" s="738"/>
      <c r="W86" s="739"/>
      <c r="X86" s="738"/>
      <c r="Y86" s="739"/>
      <c r="Z86" s="738"/>
      <c r="AA86" s="740">
        <v>10</v>
      </c>
    </row>
    <row r="87" spans="1:27" ht="14.25">
      <c r="A87" s="742">
        <v>7</v>
      </c>
      <c r="B87" s="856" t="s">
        <v>2850</v>
      </c>
      <c r="C87" s="790"/>
      <c r="D87" s="738"/>
      <c r="E87" s="739"/>
      <c r="F87" s="738"/>
      <c r="G87" s="739"/>
      <c r="H87" s="738"/>
      <c r="I87" s="739"/>
      <c r="J87" s="738"/>
      <c r="K87" s="746"/>
      <c r="L87" s="745"/>
      <c r="M87" s="739"/>
      <c r="N87" s="738"/>
      <c r="O87" s="739"/>
      <c r="P87" s="738"/>
      <c r="Q87" s="739"/>
      <c r="R87" s="738"/>
      <c r="S87" s="739"/>
      <c r="T87" s="738"/>
      <c r="U87" s="739"/>
      <c r="V87" s="738"/>
      <c r="W87" s="739"/>
      <c r="X87" s="738"/>
      <c r="Y87" s="739"/>
      <c r="Z87" s="738"/>
      <c r="AA87" s="747"/>
    </row>
    <row r="88" spans="1:27" ht="14.25">
      <c r="A88" s="735">
        <v>7.1</v>
      </c>
      <c r="B88" s="850" t="s">
        <v>2851</v>
      </c>
      <c r="C88" s="790"/>
      <c r="D88" s="738"/>
      <c r="E88" s="739"/>
      <c r="F88" s="738"/>
      <c r="G88" s="739"/>
      <c r="H88" s="738"/>
      <c r="I88" s="739"/>
      <c r="J88" s="738"/>
      <c r="K88" s="739">
        <v>100</v>
      </c>
      <c r="L88" s="738">
        <v>50</v>
      </c>
      <c r="M88" s="739"/>
      <c r="N88" s="738"/>
      <c r="O88" s="739"/>
      <c r="P88" s="738"/>
      <c r="Q88" s="739"/>
      <c r="R88" s="738"/>
      <c r="S88" s="739"/>
      <c r="T88" s="738"/>
      <c r="U88" s="739"/>
      <c r="V88" s="738"/>
      <c r="W88" s="739"/>
      <c r="X88" s="738"/>
      <c r="Y88" s="739"/>
      <c r="Z88" s="738"/>
      <c r="AA88" s="740">
        <v>0</v>
      </c>
    </row>
    <row r="89" spans="1:27" ht="14.25">
      <c r="A89" s="735">
        <v>7.2</v>
      </c>
      <c r="B89" s="850" t="s">
        <v>2852</v>
      </c>
      <c r="C89" s="790">
        <v>50</v>
      </c>
      <c r="D89" s="738">
        <v>20</v>
      </c>
      <c r="E89" s="739"/>
      <c r="F89" s="738"/>
      <c r="G89" s="739"/>
      <c r="H89" s="738"/>
      <c r="I89" s="739"/>
      <c r="J89" s="738"/>
      <c r="K89" s="739">
        <v>150</v>
      </c>
      <c r="L89" s="738">
        <v>30</v>
      </c>
      <c r="M89" s="739"/>
      <c r="N89" s="738"/>
      <c r="O89" s="739"/>
      <c r="P89" s="738"/>
      <c r="Q89" s="739"/>
      <c r="R89" s="738"/>
      <c r="S89" s="739"/>
      <c r="T89" s="738"/>
      <c r="U89" s="739"/>
      <c r="V89" s="738"/>
      <c r="W89" s="739"/>
      <c r="X89" s="738"/>
      <c r="Y89" s="739"/>
      <c r="Z89" s="738"/>
      <c r="AA89" s="740"/>
    </row>
    <row r="90" spans="1:27" ht="14.25">
      <c r="A90" s="742">
        <v>8</v>
      </c>
      <c r="B90" s="856" t="s">
        <v>2853</v>
      </c>
      <c r="C90" s="790"/>
      <c r="D90" s="738"/>
      <c r="E90" s="739"/>
      <c r="F90" s="738"/>
      <c r="G90" s="739"/>
      <c r="H90" s="738"/>
      <c r="I90" s="739"/>
      <c r="J90" s="738"/>
      <c r="K90" s="739"/>
      <c r="L90" s="738"/>
      <c r="M90" s="739"/>
      <c r="N90" s="738"/>
      <c r="O90" s="739"/>
      <c r="P90" s="738"/>
      <c r="Q90" s="739"/>
      <c r="R90" s="738"/>
      <c r="S90" s="739"/>
      <c r="T90" s="738"/>
      <c r="U90" s="739"/>
      <c r="V90" s="738"/>
      <c r="W90" s="739"/>
      <c r="X90" s="738"/>
      <c r="Y90" s="739"/>
      <c r="Z90" s="738"/>
      <c r="AA90" s="740"/>
    </row>
    <row r="91" spans="1:27" ht="14.25">
      <c r="A91" s="735">
        <v>8.1</v>
      </c>
      <c r="B91" s="789" t="s">
        <v>2854</v>
      </c>
      <c r="C91" s="790"/>
      <c r="D91" s="738"/>
      <c r="E91" s="739"/>
      <c r="F91" s="738"/>
      <c r="G91" s="739"/>
      <c r="H91" s="738"/>
      <c r="I91" s="739"/>
      <c r="J91" s="738"/>
      <c r="K91" s="746"/>
      <c r="L91" s="745"/>
      <c r="M91" s="739"/>
      <c r="N91" s="738"/>
      <c r="O91" s="739"/>
      <c r="P91" s="738"/>
      <c r="Q91" s="739"/>
      <c r="R91" s="738"/>
      <c r="S91" s="739"/>
      <c r="T91" s="738"/>
      <c r="U91" s="739"/>
      <c r="V91" s="738"/>
      <c r="W91" s="739"/>
      <c r="X91" s="738"/>
      <c r="Y91" s="739"/>
      <c r="Z91" s="738"/>
      <c r="AA91" s="747"/>
    </row>
    <row r="92" spans="1:27" ht="14.25">
      <c r="A92" s="735" t="s">
        <v>1365</v>
      </c>
      <c r="B92" s="857" t="s">
        <v>2855</v>
      </c>
      <c r="C92" s="790"/>
      <c r="D92" s="738"/>
      <c r="E92" s="739"/>
      <c r="F92" s="738"/>
      <c r="G92" s="739"/>
      <c r="H92" s="738"/>
      <c r="I92" s="739"/>
      <c r="J92" s="738"/>
      <c r="K92" s="739">
        <v>20</v>
      </c>
      <c r="L92" s="738">
        <v>5</v>
      </c>
      <c r="M92" s="739"/>
      <c r="N92" s="738"/>
      <c r="O92" s="739"/>
      <c r="P92" s="738"/>
      <c r="Q92" s="739"/>
      <c r="R92" s="738"/>
      <c r="S92" s="739"/>
      <c r="T92" s="738"/>
      <c r="U92" s="739"/>
      <c r="V92" s="738"/>
      <c r="W92" s="739"/>
      <c r="X92" s="738"/>
      <c r="Y92" s="739"/>
      <c r="Z92" s="738"/>
      <c r="AA92" s="740"/>
    </row>
    <row r="93" spans="1:27" ht="14.25">
      <c r="A93" s="735" t="s">
        <v>1369</v>
      </c>
      <c r="B93" s="857" t="s">
        <v>2856</v>
      </c>
      <c r="C93" s="790"/>
      <c r="D93" s="738"/>
      <c r="E93" s="739"/>
      <c r="F93" s="738"/>
      <c r="G93" s="739"/>
      <c r="H93" s="738"/>
      <c r="I93" s="739"/>
      <c r="J93" s="738"/>
      <c r="K93" s="739">
        <v>20</v>
      </c>
      <c r="L93" s="738">
        <v>5</v>
      </c>
      <c r="M93" s="739"/>
      <c r="N93" s="738"/>
      <c r="O93" s="739"/>
      <c r="P93" s="738"/>
      <c r="Q93" s="739"/>
      <c r="R93" s="738"/>
      <c r="S93" s="739"/>
      <c r="T93" s="738"/>
      <c r="U93" s="739"/>
      <c r="V93" s="738"/>
      <c r="W93" s="739"/>
      <c r="X93" s="738"/>
      <c r="Y93" s="739"/>
      <c r="Z93" s="738"/>
      <c r="AA93" s="740"/>
    </row>
    <row r="94" spans="1:27" ht="14.25">
      <c r="A94" s="735" t="s">
        <v>1372</v>
      </c>
      <c r="B94" s="857" t="s">
        <v>2857</v>
      </c>
      <c r="C94" s="790"/>
      <c r="D94" s="738"/>
      <c r="E94" s="739"/>
      <c r="F94" s="738"/>
      <c r="G94" s="739"/>
      <c r="H94" s="738"/>
      <c r="I94" s="739"/>
      <c r="J94" s="738"/>
      <c r="K94" s="739">
        <v>20</v>
      </c>
      <c r="L94" s="738">
        <v>5</v>
      </c>
      <c r="M94" s="739"/>
      <c r="N94" s="738"/>
      <c r="O94" s="739"/>
      <c r="P94" s="738"/>
      <c r="Q94" s="739"/>
      <c r="R94" s="738"/>
      <c r="S94" s="739"/>
      <c r="T94" s="738"/>
      <c r="U94" s="739"/>
      <c r="V94" s="738"/>
      <c r="W94" s="739"/>
      <c r="X94" s="738"/>
      <c r="Y94" s="739"/>
      <c r="Z94" s="738"/>
      <c r="AA94" s="740"/>
    </row>
    <row r="95" spans="1:27" ht="14.25">
      <c r="A95" s="735" t="s">
        <v>1375</v>
      </c>
      <c r="B95" s="857" t="s">
        <v>2858</v>
      </c>
      <c r="C95" s="790"/>
      <c r="D95" s="738"/>
      <c r="E95" s="739"/>
      <c r="F95" s="738"/>
      <c r="G95" s="739"/>
      <c r="H95" s="738"/>
      <c r="I95" s="739"/>
      <c r="J95" s="738"/>
      <c r="K95" s="739">
        <v>20</v>
      </c>
      <c r="L95" s="738">
        <v>5</v>
      </c>
      <c r="M95" s="739"/>
      <c r="N95" s="738"/>
      <c r="O95" s="739"/>
      <c r="P95" s="738"/>
      <c r="Q95" s="739"/>
      <c r="R95" s="738"/>
      <c r="S95" s="739"/>
      <c r="T95" s="738"/>
      <c r="U95" s="739"/>
      <c r="V95" s="738"/>
      <c r="W95" s="739"/>
      <c r="X95" s="738"/>
      <c r="Y95" s="739"/>
      <c r="Z95" s="738"/>
      <c r="AA95" s="740"/>
    </row>
    <row r="96" spans="1:27" ht="14.25">
      <c r="A96" s="735" t="s">
        <v>1378</v>
      </c>
      <c r="B96" s="857" t="s">
        <v>2859</v>
      </c>
      <c r="C96" s="790"/>
      <c r="D96" s="738"/>
      <c r="E96" s="739"/>
      <c r="F96" s="738"/>
      <c r="G96" s="739"/>
      <c r="H96" s="738"/>
      <c r="I96" s="739"/>
      <c r="J96" s="738"/>
      <c r="K96" s="739">
        <v>20</v>
      </c>
      <c r="L96" s="738">
        <v>5</v>
      </c>
      <c r="M96" s="739"/>
      <c r="N96" s="738"/>
      <c r="O96" s="739"/>
      <c r="P96" s="738"/>
      <c r="Q96" s="739"/>
      <c r="R96" s="738"/>
      <c r="S96" s="739"/>
      <c r="T96" s="738"/>
      <c r="U96" s="739"/>
      <c r="V96" s="738"/>
      <c r="W96" s="739"/>
      <c r="X96" s="738"/>
      <c r="Y96" s="739"/>
      <c r="Z96" s="738"/>
      <c r="AA96" s="740"/>
    </row>
    <row r="97" spans="1:27" ht="14.25">
      <c r="A97" s="735" t="s">
        <v>1381</v>
      </c>
      <c r="B97" s="857" t="s">
        <v>2860</v>
      </c>
      <c r="C97" s="790"/>
      <c r="D97" s="738"/>
      <c r="E97" s="739"/>
      <c r="F97" s="738"/>
      <c r="G97" s="739"/>
      <c r="H97" s="738"/>
      <c r="I97" s="739"/>
      <c r="J97" s="738"/>
      <c r="K97" s="739">
        <v>20</v>
      </c>
      <c r="L97" s="738">
        <v>5</v>
      </c>
      <c r="M97" s="739"/>
      <c r="N97" s="738"/>
      <c r="O97" s="739"/>
      <c r="P97" s="738"/>
      <c r="Q97" s="739"/>
      <c r="R97" s="738"/>
      <c r="S97" s="739"/>
      <c r="T97" s="738"/>
      <c r="U97" s="739"/>
      <c r="V97" s="738"/>
      <c r="W97" s="739"/>
      <c r="X97" s="738"/>
      <c r="Y97" s="739"/>
      <c r="Z97" s="738"/>
      <c r="AA97" s="740"/>
    </row>
    <row r="98" spans="1:27" ht="14.25">
      <c r="A98" s="735" t="s">
        <v>1385</v>
      </c>
      <c r="B98" s="857" t="s">
        <v>2861</v>
      </c>
      <c r="C98" s="790"/>
      <c r="D98" s="738"/>
      <c r="E98" s="739"/>
      <c r="F98" s="738"/>
      <c r="G98" s="739"/>
      <c r="H98" s="738"/>
      <c r="I98" s="739"/>
      <c r="J98" s="738"/>
      <c r="K98" s="739">
        <v>20</v>
      </c>
      <c r="L98" s="738">
        <v>5</v>
      </c>
      <c r="M98" s="739"/>
      <c r="N98" s="738"/>
      <c r="O98" s="739"/>
      <c r="P98" s="738"/>
      <c r="Q98" s="739"/>
      <c r="R98" s="738"/>
      <c r="S98" s="739"/>
      <c r="T98" s="738"/>
      <c r="U98" s="739"/>
      <c r="V98" s="738"/>
      <c r="W98" s="739"/>
      <c r="X98" s="738"/>
      <c r="Y98" s="739"/>
      <c r="Z98" s="738"/>
      <c r="AA98" s="740"/>
    </row>
    <row r="99" spans="1:27" ht="14.25">
      <c r="A99" s="735" t="s">
        <v>1388</v>
      </c>
      <c r="B99" s="857" t="s">
        <v>2862</v>
      </c>
      <c r="C99" s="790"/>
      <c r="D99" s="738"/>
      <c r="E99" s="739"/>
      <c r="F99" s="738"/>
      <c r="G99" s="739"/>
      <c r="H99" s="738"/>
      <c r="I99" s="739"/>
      <c r="J99" s="738"/>
      <c r="K99" s="739">
        <v>20</v>
      </c>
      <c r="L99" s="738">
        <v>5</v>
      </c>
      <c r="M99" s="739"/>
      <c r="N99" s="738"/>
      <c r="O99" s="739"/>
      <c r="P99" s="738"/>
      <c r="Q99" s="739"/>
      <c r="R99" s="738"/>
      <c r="S99" s="739"/>
      <c r="T99" s="738"/>
      <c r="U99" s="739"/>
      <c r="V99" s="738"/>
      <c r="W99" s="739"/>
      <c r="X99" s="738"/>
      <c r="Y99" s="739"/>
      <c r="Z99" s="738"/>
      <c r="AA99" s="740"/>
    </row>
    <row r="100" spans="1:27" ht="14.25">
      <c r="A100" s="735" t="s">
        <v>1391</v>
      </c>
      <c r="B100" s="857" t="s">
        <v>2863</v>
      </c>
      <c r="C100" s="790"/>
      <c r="D100" s="738"/>
      <c r="E100" s="739"/>
      <c r="F100" s="738"/>
      <c r="G100" s="739"/>
      <c r="H100" s="738"/>
      <c r="I100" s="739"/>
      <c r="J100" s="738"/>
      <c r="K100" s="739">
        <v>20</v>
      </c>
      <c r="L100" s="738">
        <v>5</v>
      </c>
      <c r="M100" s="739"/>
      <c r="N100" s="738"/>
      <c r="O100" s="739"/>
      <c r="P100" s="738"/>
      <c r="Q100" s="739"/>
      <c r="R100" s="738"/>
      <c r="S100" s="739"/>
      <c r="T100" s="738"/>
      <c r="U100" s="739"/>
      <c r="V100" s="738"/>
      <c r="W100" s="739"/>
      <c r="X100" s="738"/>
      <c r="Y100" s="739"/>
      <c r="Z100" s="738"/>
      <c r="AA100" s="740"/>
    </row>
    <row r="101" spans="1:27" ht="14.25">
      <c r="A101" s="735" t="s">
        <v>1393</v>
      </c>
      <c r="B101" s="857" t="s">
        <v>2864</v>
      </c>
      <c r="C101" s="790"/>
      <c r="D101" s="738"/>
      <c r="E101" s="739"/>
      <c r="F101" s="738"/>
      <c r="G101" s="739"/>
      <c r="H101" s="738"/>
      <c r="I101" s="739"/>
      <c r="J101" s="738"/>
      <c r="K101" s="739">
        <v>20</v>
      </c>
      <c r="L101" s="738">
        <v>5</v>
      </c>
      <c r="M101" s="739"/>
      <c r="N101" s="738"/>
      <c r="O101" s="739"/>
      <c r="P101" s="738"/>
      <c r="Q101" s="739"/>
      <c r="R101" s="738"/>
      <c r="S101" s="739"/>
      <c r="T101" s="738"/>
      <c r="U101" s="739"/>
      <c r="V101" s="738"/>
      <c r="W101" s="739"/>
      <c r="X101" s="738"/>
      <c r="Y101" s="739"/>
      <c r="Z101" s="738"/>
      <c r="AA101" s="740"/>
    </row>
    <row r="102" spans="1:27" ht="14.25">
      <c r="A102" s="735" t="s">
        <v>1395</v>
      </c>
      <c r="B102" s="857" t="s">
        <v>2865</v>
      </c>
      <c r="C102" s="790"/>
      <c r="D102" s="738"/>
      <c r="E102" s="739"/>
      <c r="F102" s="738"/>
      <c r="G102" s="739"/>
      <c r="H102" s="738"/>
      <c r="I102" s="739"/>
      <c r="J102" s="738"/>
      <c r="K102" s="739">
        <v>20</v>
      </c>
      <c r="L102" s="738">
        <v>5</v>
      </c>
      <c r="M102" s="739"/>
      <c r="N102" s="738"/>
      <c r="O102" s="739"/>
      <c r="P102" s="738"/>
      <c r="Q102" s="739"/>
      <c r="R102" s="738"/>
      <c r="S102" s="739"/>
      <c r="T102" s="738"/>
      <c r="U102" s="739"/>
      <c r="V102" s="738"/>
      <c r="W102" s="739"/>
      <c r="X102" s="738"/>
      <c r="Y102" s="739"/>
      <c r="Z102" s="738"/>
      <c r="AA102" s="740"/>
    </row>
    <row r="103" spans="1:27" ht="14.25">
      <c r="A103" s="735" t="s">
        <v>1398</v>
      </c>
      <c r="B103" s="857" t="s">
        <v>2866</v>
      </c>
      <c r="C103" s="790"/>
      <c r="D103" s="738"/>
      <c r="E103" s="739"/>
      <c r="F103" s="738"/>
      <c r="G103" s="739"/>
      <c r="H103" s="738"/>
      <c r="I103" s="739"/>
      <c r="J103" s="738"/>
      <c r="K103" s="739">
        <v>20</v>
      </c>
      <c r="L103" s="738">
        <v>5</v>
      </c>
      <c r="M103" s="739"/>
      <c r="N103" s="738"/>
      <c r="O103" s="739"/>
      <c r="P103" s="738"/>
      <c r="Q103" s="739"/>
      <c r="R103" s="738"/>
      <c r="S103" s="739"/>
      <c r="T103" s="738"/>
      <c r="U103" s="739"/>
      <c r="V103" s="738"/>
      <c r="W103" s="739"/>
      <c r="X103" s="738"/>
      <c r="Y103" s="739"/>
      <c r="Z103" s="738"/>
      <c r="AA103" s="740"/>
    </row>
    <row r="104" spans="1:27" ht="14.25">
      <c r="A104" s="735" t="s">
        <v>1401</v>
      </c>
      <c r="B104" s="857" t="s">
        <v>2867</v>
      </c>
      <c r="C104" s="790"/>
      <c r="D104" s="738"/>
      <c r="E104" s="739"/>
      <c r="F104" s="738"/>
      <c r="G104" s="739"/>
      <c r="H104" s="738"/>
      <c r="I104" s="739"/>
      <c r="J104" s="738"/>
      <c r="K104" s="739">
        <v>20</v>
      </c>
      <c r="L104" s="738">
        <v>5</v>
      </c>
      <c r="M104" s="739"/>
      <c r="N104" s="738"/>
      <c r="O104" s="739"/>
      <c r="P104" s="738"/>
      <c r="Q104" s="739"/>
      <c r="R104" s="738"/>
      <c r="S104" s="739"/>
      <c r="T104" s="738"/>
      <c r="U104" s="739"/>
      <c r="V104" s="738"/>
      <c r="W104" s="739"/>
      <c r="X104" s="738"/>
      <c r="Y104" s="739"/>
      <c r="Z104" s="738"/>
      <c r="AA104" s="740"/>
    </row>
    <row r="105" spans="1:27" ht="14.25">
      <c r="A105" s="735" t="s">
        <v>1404</v>
      </c>
      <c r="B105" s="857" t="s">
        <v>2868</v>
      </c>
      <c r="C105" s="790"/>
      <c r="D105" s="738"/>
      <c r="E105" s="739"/>
      <c r="F105" s="738"/>
      <c r="G105" s="739"/>
      <c r="H105" s="738"/>
      <c r="I105" s="739"/>
      <c r="J105" s="738"/>
      <c r="K105" s="739">
        <v>20</v>
      </c>
      <c r="L105" s="738">
        <v>5</v>
      </c>
      <c r="M105" s="739"/>
      <c r="N105" s="738"/>
      <c r="O105" s="739"/>
      <c r="P105" s="738"/>
      <c r="Q105" s="739"/>
      <c r="R105" s="738"/>
      <c r="S105" s="739"/>
      <c r="T105" s="738"/>
      <c r="U105" s="739"/>
      <c r="V105" s="738"/>
      <c r="W105" s="739"/>
      <c r="X105" s="738"/>
      <c r="Y105" s="739"/>
      <c r="Z105" s="738"/>
      <c r="AA105" s="740"/>
    </row>
    <row r="106" spans="1:27" ht="14.25">
      <c r="A106" s="735" t="s">
        <v>1407</v>
      </c>
      <c r="B106" s="850" t="s">
        <v>2869</v>
      </c>
      <c r="C106" s="790"/>
      <c r="D106" s="738"/>
      <c r="E106" s="739"/>
      <c r="F106" s="738"/>
      <c r="G106" s="739"/>
      <c r="H106" s="738"/>
      <c r="I106" s="739"/>
      <c r="J106" s="738"/>
      <c r="K106" s="739">
        <v>20</v>
      </c>
      <c r="L106" s="738">
        <v>5</v>
      </c>
      <c r="M106" s="739"/>
      <c r="N106" s="738"/>
      <c r="O106" s="739"/>
      <c r="P106" s="738"/>
      <c r="Q106" s="739"/>
      <c r="R106" s="738"/>
      <c r="S106" s="739"/>
      <c r="T106" s="738"/>
      <c r="U106" s="739"/>
      <c r="V106" s="738"/>
      <c r="W106" s="739"/>
      <c r="X106" s="738"/>
      <c r="Y106" s="739"/>
      <c r="Z106" s="738"/>
      <c r="AA106" s="740"/>
    </row>
    <row r="107" spans="1:27" ht="14.25">
      <c r="A107" s="735">
        <v>8.1999999999999993</v>
      </c>
      <c r="B107" s="789" t="s">
        <v>2870</v>
      </c>
      <c r="C107" s="790"/>
      <c r="D107" s="738"/>
      <c r="E107" s="739"/>
      <c r="F107" s="738"/>
      <c r="G107" s="739"/>
      <c r="H107" s="738"/>
      <c r="I107" s="739"/>
      <c r="J107" s="738"/>
      <c r="K107" s="746"/>
      <c r="L107" s="745"/>
      <c r="M107" s="739"/>
      <c r="N107" s="738"/>
      <c r="O107" s="739"/>
      <c r="P107" s="738"/>
      <c r="Q107" s="739"/>
      <c r="R107" s="738"/>
      <c r="S107" s="739"/>
      <c r="T107" s="738"/>
      <c r="U107" s="739"/>
      <c r="V107" s="738"/>
      <c r="W107" s="739"/>
      <c r="X107" s="738"/>
      <c r="Y107" s="739"/>
      <c r="Z107" s="738"/>
      <c r="AA107" s="747"/>
    </row>
    <row r="108" spans="1:27" ht="14.25">
      <c r="A108" s="735" t="s">
        <v>1420</v>
      </c>
      <c r="B108" s="857" t="s">
        <v>2871</v>
      </c>
      <c r="C108" s="790"/>
      <c r="D108" s="738"/>
      <c r="E108" s="739"/>
      <c r="F108" s="738"/>
      <c r="G108" s="739"/>
      <c r="H108" s="738"/>
      <c r="I108" s="739"/>
      <c r="J108" s="738"/>
      <c r="K108" s="739">
        <v>20</v>
      </c>
      <c r="L108" s="738">
        <v>5</v>
      </c>
      <c r="M108" s="739"/>
      <c r="N108" s="738"/>
      <c r="O108" s="739"/>
      <c r="P108" s="738"/>
      <c r="Q108" s="739"/>
      <c r="R108" s="738"/>
      <c r="S108" s="739"/>
      <c r="T108" s="738"/>
      <c r="U108" s="739"/>
      <c r="V108" s="738"/>
      <c r="W108" s="739"/>
      <c r="X108" s="738"/>
      <c r="Y108" s="739"/>
      <c r="Z108" s="738"/>
      <c r="AA108" s="740"/>
    </row>
    <row r="109" spans="1:27" ht="14.25">
      <c r="A109" s="735" t="s">
        <v>1422</v>
      </c>
      <c r="B109" s="857" t="s">
        <v>2872</v>
      </c>
      <c r="C109" s="790"/>
      <c r="D109" s="738"/>
      <c r="E109" s="739"/>
      <c r="F109" s="738"/>
      <c r="G109" s="739"/>
      <c r="H109" s="738"/>
      <c r="I109" s="739"/>
      <c r="J109" s="738"/>
      <c r="K109" s="739">
        <v>20</v>
      </c>
      <c r="L109" s="738">
        <v>5</v>
      </c>
      <c r="M109" s="739"/>
      <c r="N109" s="738"/>
      <c r="O109" s="739"/>
      <c r="P109" s="738"/>
      <c r="Q109" s="739"/>
      <c r="R109" s="738"/>
      <c r="S109" s="739"/>
      <c r="T109" s="738"/>
      <c r="U109" s="739"/>
      <c r="V109" s="738"/>
      <c r="W109" s="739"/>
      <c r="X109" s="738"/>
      <c r="Y109" s="739"/>
      <c r="Z109" s="738"/>
      <c r="AA109" s="740"/>
    </row>
    <row r="110" spans="1:27" ht="14.25">
      <c r="A110" s="735" t="s">
        <v>1424</v>
      </c>
      <c r="B110" s="857" t="s">
        <v>2873</v>
      </c>
      <c r="C110" s="790"/>
      <c r="D110" s="738"/>
      <c r="E110" s="739"/>
      <c r="F110" s="738"/>
      <c r="G110" s="739"/>
      <c r="H110" s="738"/>
      <c r="I110" s="739"/>
      <c r="J110" s="738"/>
      <c r="K110" s="739">
        <v>20</v>
      </c>
      <c r="L110" s="738">
        <v>5</v>
      </c>
      <c r="M110" s="739"/>
      <c r="N110" s="738"/>
      <c r="O110" s="739"/>
      <c r="P110" s="738"/>
      <c r="Q110" s="739"/>
      <c r="R110" s="738"/>
      <c r="S110" s="739"/>
      <c r="T110" s="738"/>
      <c r="U110" s="739"/>
      <c r="V110" s="738"/>
      <c r="W110" s="739"/>
      <c r="X110" s="738"/>
      <c r="Y110" s="739"/>
      <c r="Z110" s="738"/>
      <c r="AA110" s="740"/>
    </row>
    <row r="111" spans="1:27" ht="14.25">
      <c r="A111" s="735" t="s">
        <v>1426</v>
      </c>
      <c r="B111" s="857" t="s">
        <v>2874</v>
      </c>
      <c r="C111" s="790"/>
      <c r="D111" s="738"/>
      <c r="E111" s="739"/>
      <c r="F111" s="738"/>
      <c r="G111" s="739"/>
      <c r="H111" s="738"/>
      <c r="I111" s="739"/>
      <c r="J111" s="738"/>
      <c r="K111" s="739">
        <v>20</v>
      </c>
      <c r="L111" s="738">
        <v>5</v>
      </c>
      <c r="M111" s="739"/>
      <c r="N111" s="738"/>
      <c r="O111" s="739"/>
      <c r="P111" s="738"/>
      <c r="Q111" s="739"/>
      <c r="R111" s="738"/>
      <c r="S111" s="739"/>
      <c r="T111" s="738"/>
      <c r="U111" s="739"/>
      <c r="V111" s="738"/>
      <c r="W111" s="739"/>
      <c r="X111" s="738"/>
      <c r="Y111" s="739"/>
      <c r="Z111" s="738"/>
      <c r="AA111" s="740"/>
    </row>
    <row r="112" spans="1:27" ht="14.25">
      <c r="A112" s="735" t="s">
        <v>1427</v>
      </c>
      <c r="B112" s="857" t="s">
        <v>2875</v>
      </c>
      <c r="C112" s="790"/>
      <c r="D112" s="738"/>
      <c r="E112" s="739"/>
      <c r="F112" s="738"/>
      <c r="G112" s="739"/>
      <c r="H112" s="738"/>
      <c r="I112" s="739"/>
      <c r="J112" s="738"/>
      <c r="K112" s="739">
        <v>20</v>
      </c>
      <c r="L112" s="738">
        <v>5</v>
      </c>
      <c r="M112" s="739"/>
      <c r="N112" s="738"/>
      <c r="O112" s="739"/>
      <c r="P112" s="738"/>
      <c r="Q112" s="739"/>
      <c r="R112" s="738"/>
      <c r="S112" s="739"/>
      <c r="T112" s="738"/>
      <c r="U112" s="739"/>
      <c r="V112" s="738"/>
      <c r="W112" s="739"/>
      <c r="X112" s="738"/>
      <c r="Y112" s="739"/>
      <c r="Z112" s="738"/>
      <c r="AA112" s="740"/>
    </row>
    <row r="113" spans="1:27" ht="14.25">
      <c r="A113" s="735" t="s">
        <v>1428</v>
      </c>
      <c r="B113" s="857" t="s">
        <v>2876</v>
      </c>
      <c r="C113" s="790"/>
      <c r="D113" s="738"/>
      <c r="E113" s="739"/>
      <c r="F113" s="738"/>
      <c r="G113" s="739"/>
      <c r="H113" s="738"/>
      <c r="I113" s="739"/>
      <c r="J113" s="738"/>
      <c r="K113" s="739">
        <v>20</v>
      </c>
      <c r="L113" s="738">
        <v>5</v>
      </c>
      <c r="M113" s="739"/>
      <c r="N113" s="738"/>
      <c r="O113" s="739"/>
      <c r="P113" s="738"/>
      <c r="Q113" s="739"/>
      <c r="R113" s="738"/>
      <c r="S113" s="739"/>
      <c r="T113" s="738"/>
      <c r="U113" s="739"/>
      <c r="V113" s="738"/>
      <c r="W113" s="739"/>
      <c r="X113" s="738"/>
      <c r="Y113" s="739"/>
      <c r="Z113" s="738"/>
      <c r="AA113" s="740"/>
    </row>
    <row r="114" spans="1:27" ht="14.25">
      <c r="A114" s="735" t="s">
        <v>1429</v>
      </c>
      <c r="B114" s="857" t="s">
        <v>2877</v>
      </c>
      <c r="C114" s="790"/>
      <c r="D114" s="738"/>
      <c r="E114" s="739"/>
      <c r="F114" s="738"/>
      <c r="G114" s="739"/>
      <c r="H114" s="738"/>
      <c r="I114" s="739"/>
      <c r="J114" s="738"/>
      <c r="K114" s="739">
        <v>20</v>
      </c>
      <c r="L114" s="738">
        <v>5</v>
      </c>
      <c r="M114" s="739"/>
      <c r="N114" s="738"/>
      <c r="O114" s="739"/>
      <c r="P114" s="738"/>
      <c r="Q114" s="739"/>
      <c r="R114" s="738"/>
      <c r="S114" s="739"/>
      <c r="T114" s="738"/>
      <c r="U114" s="739"/>
      <c r="V114" s="738"/>
      <c r="W114" s="739"/>
      <c r="X114" s="738"/>
      <c r="Y114" s="739"/>
      <c r="Z114" s="738"/>
      <c r="AA114" s="740"/>
    </row>
    <row r="115" spans="1:27" ht="14.25">
      <c r="A115" s="735" t="s">
        <v>1430</v>
      </c>
      <c r="B115" s="857" t="s">
        <v>2878</v>
      </c>
      <c r="C115" s="790"/>
      <c r="D115" s="738"/>
      <c r="E115" s="739"/>
      <c r="F115" s="738"/>
      <c r="G115" s="739"/>
      <c r="H115" s="738"/>
      <c r="I115" s="739"/>
      <c r="J115" s="738"/>
      <c r="K115" s="739">
        <v>20</v>
      </c>
      <c r="L115" s="738">
        <v>5</v>
      </c>
      <c r="M115" s="739"/>
      <c r="N115" s="738"/>
      <c r="O115" s="739"/>
      <c r="P115" s="738"/>
      <c r="Q115" s="739"/>
      <c r="R115" s="738"/>
      <c r="S115" s="739"/>
      <c r="T115" s="738"/>
      <c r="U115" s="739"/>
      <c r="V115" s="738"/>
      <c r="W115" s="739"/>
      <c r="X115" s="738"/>
      <c r="Y115" s="739"/>
      <c r="Z115" s="738"/>
      <c r="AA115" s="740"/>
    </row>
    <row r="116" spans="1:27" ht="14.25">
      <c r="A116" s="735" t="s">
        <v>1431</v>
      </c>
      <c r="B116" s="857" t="s">
        <v>2879</v>
      </c>
      <c r="C116" s="790"/>
      <c r="D116" s="738"/>
      <c r="E116" s="739"/>
      <c r="F116" s="738"/>
      <c r="G116" s="739"/>
      <c r="H116" s="738"/>
      <c r="I116" s="739"/>
      <c r="J116" s="738"/>
      <c r="K116" s="739">
        <v>20</v>
      </c>
      <c r="L116" s="738">
        <v>5</v>
      </c>
      <c r="M116" s="739"/>
      <c r="N116" s="738"/>
      <c r="O116" s="739"/>
      <c r="P116" s="738"/>
      <c r="Q116" s="739"/>
      <c r="R116" s="738"/>
      <c r="S116" s="739"/>
      <c r="T116" s="738"/>
      <c r="U116" s="739"/>
      <c r="V116" s="738"/>
      <c r="W116" s="739"/>
      <c r="X116" s="738"/>
      <c r="Y116" s="739"/>
      <c r="Z116" s="738"/>
      <c r="AA116" s="740"/>
    </row>
    <row r="117" spans="1:27" ht="14.25">
      <c r="A117" s="735" t="s">
        <v>1432</v>
      </c>
      <c r="B117" s="857" t="s">
        <v>2880</v>
      </c>
      <c r="C117" s="790"/>
      <c r="D117" s="738"/>
      <c r="E117" s="739"/>
      <c r="F117" s="738"/>
      <c r="G117" s="739"/>
      <c r="H117" s="738"/>
      <c r="I117" s="739"/>
      <c r="J117" s="738"/>
      <c r="K117" s="739">
        <v>20</v>
      </c>
      <c r="L117" s="738">
        <v>5</v>
      </c>
      <c r="M117" s="739"/>
      <c r="N117" s="738"/>
      <c r="O117" s="739"/>
      <c r="P117" s="738"/>
      <c r="Q117" s="739"/>
      <c r="R117" s="738"/>
      <c r="S117" s="739"/>
      <c r="T117" s="738"/>
      <c r="U117" s="739"/>
      <c r="V117" s="738"/>
      <c r="W117" s="739"/>
      <c r="X117" s="738"/>
      <c r="Y117" s="739"/>
      <c r="Z117" s="738"/>
      <c r="AA117" s="740"/>
    </row>
    <row r="118" spans="1:27" ht="14.25">
      <c r="A118" s="735" t="s">
        <v>1433</v>
      </c>
      <c r="B118" s="857" t="s">
        <v>2881</v>
      </c>
      <c r="C118" s="790"/>
      <c r="D118" s="738"/>
      <c r="E118" s="739"/>
      <c r="F118" s="738"/>
      <c r="G118" s="739"/>
      <c r="H118" s="738"/>
      <c r="I118" s="739"/>
      <c r="J118" s="738"/>
      <c r="K118" s="739">
        <v>20</v>
      </c>
      <c r="L118" s="738">
        <v>5</v>
      </c>
      <c r="M118" s="739"/>
      <c r="N118" s="738"/>
      <c r="O118" s="739"/>
      <c r="P118" s="738"/>
      <c r="Q118" s="739"/>
      <c r="R118" s="738"/>
      <c r="S118" s="739"/>
      <c r="T118" s="738"/>
      <c r="U118" s="739"/>
      <c r="V118" s="738"/>
      <c r="W118" s="739"/>
      <c r="X118" s="738"/>
      <c r="Y118" s="739"/>
      <c r="Z118" s="738"/>
      <c r="AA118" s="740"/>
    </row>
    <row r="119" spans="1:27" ht="14.25">
      <c r="A119" s="735" t="s">
        <v>1434</v>
      </c>
      <c r="B119" s="857" t="s">
        <v>2882</v>
      </c>
      <c r="C119" s="790"/>
      <c r="D119" s="738"/>
      <c r="E119" s="739"/>
      <c r="F119" s="738"/>
      <c r="G119" s="739"/>
      <c r="H119" s="738"/>
      <c r="I119" s="739"/>
      <c r="J119" s="738"/>
      <c r="K119" s="739">
        <v>20</v>
      </c>
      <c r="L119" s="738">
        <v>5</v>
      </c>
      <c r="M119" s="739"/>
      <c r="N119" s="738"/>
      <c r="O119" s="739"/>
      <c r="P119" s="738"/>
      <c r="Q119" s="739"/>
      <c r="R119" s="738"/>
      <c r="S119" s="739"/>
      <c r="T119" s="738"/>
      <c r="U119" s="739"/>
      <c r="V119" s="738"/>
      <c r="W119" s="739"/>
      <c r="X119" s="738"/>
      <c r="Y119" s="739"/>
      <c r="Z119" s="738"/>
      <c r="AA119" s="740"/>
    </row>
    <row r="120" spans="1:27" ht="14.25">
      <c r="A120" s="735" t="s">
        <v>1435</v>
      </c>
      <c r="B120" s="857" t="s">
        <v>2883</v>
      </c>
      <c r="C120" s="790"/>
      <c r="D120" s="738"/>
      <c r="E120" s="739"/>
      <c r="F120" s="738"/>
      <c r="G120" s="739"/>
      <c r="H120" s="738"/>
      <c r="I120" s="739"/>
      <c r="J120" s="738"/>
      <c r="K120" s="739">
        <v>20</v>
      </c>
      <c r="L120" s="738">
        <v>5</v>
      </c>
      <c r="M120" s="739"/>
      <c r="N120" s="738"/>
      <c r="O120" s="739"/>
      <c r="P120" s="738"/>
      <c r="Q120" s="739"/>
      <c r="R120" s="738"/>
      <c r="S120" s="739"/>
      <c r="T120" s="738"/>
      <c r="U120" s="739"/>
      <c r="V120" s="738"/>
      <c r="W120" s="739"/>
      <c r="X120" s="738"/>
      <c r="Y120" s="739"/>
      <c r="Z120" s="738"/>
      <c r="AA120" s="740"/>
    </row>
    <row r="121" spans="1:27" ht="14.25">
      <c r="A121" s="735" t="s">
        <v>1436</v>
      </c>
      <c r="B121" s="857" t="s">
        <v>2884</v>
      </c>
      <c r="C121" s="790"/>
      <c r="D121" s="738"/>
      <c r="E121" s="739"/>
      <c r="F121" s="738"/>
      <c r="G121" s="739"/>
      <c r="H121" s="738"/>
      <c r="I121" s="739"/>
      <c r="J121" s="738"/>
      <c r="K121" s="739">
        <v>20</v>
      </c>
      <c r="L121" s="738">
        <v>5</v>
      </c>
      <c r="M121" s="739"/>
      <c r="N121" s="738"/>
      <c r="O121" s="739"/>
      <c r="P121" s="738"/>
      <c r="Q121" s="739"/>
      <c r="R121" s="738"/>
      <c r="S121" s="739"/>
      <c r="T121" s="738"/>
      <c r="U121" s="739"/>
      <c r="V121" s="738"/>
      <c r="W121" s="739"/>
      <c r="X121" s="738"/>
      <c r="Y121" s="739"/>
      <c r="Z121" s="738"/>
      <c r="AA121" s="740"/>
    </row>
    <row r="122" spans="1:27" ht="14.25">
      <c r="A122" s="735" t="s">
        <v>1437</v>
      </c>
      <c r="B122" s="857" t="s">
        <v>2885</v>
      </c>
      <c r="C122" s="790"/>
      <c r="D122" s="738"/>
      <c r="E122" s="739"/>
      <c r="F122" s="738"/>
      <c r="G122" s="739"/>
      <c r="H122" s="738"/>
      <c r="I122" s="739"/>
      <c r="J122" s="738"/>
      <c r="K122" s="739">
        <v>20</v>
      </c>
      <c r="L122" s="738">
        <v>5</v>
      </c>
      <c r="M122" s="739"/>
      <c r="N122" s="738"/>
      <c r="O122" s="739"/>
      <c r="P122" s="738"/>
      <c r="Q122" s="739"/>
      <c r="R122" s="738"/>
      <c r="S122" s="739"/>
      <c r="T122" s="738"/>
      <c r="U122" s="739"/>
      <c r="V122" s="738"/>
      <c r="W122" s="739"/>
      <c r="X122" s="738"/>
      <c r="Y122" s="739"/>
      <c r="Z122" s="738"/>
      <c r="AA122" s="740"/>
    </row>
    <row r="123" spans="1:27" ht="14.25">
      <c r="A123" s="735">
        <v>8.3000000000000007</v>
      </c>
      <c r="B123" s="789" t="s">
        <v>2886</v>
      </c>
      <c r="C123" s="790"/>
      <c r="D123" s="738"/>
      <c r="E123" s="739"/>
      <c r="F123" s="738"/>
      <c r="G123" s="739"/>
      <c r="H123" s="738"/>
      <c r="I123" s="739"/>
      <c r="J123" s="738"/>
      <c r="K123" s="746"/>
      <c r="L123" s="745"/>
      <c r="M123" s="739"/>
      <c r="N123" s="738"/>
      <c r="O123" s="739"/>
      <c r="P123" s="738"/>
      <c r="Q123" s="739"/>
      <c r="R123" s="738"/>
      <c r="S123" s="739"/>
      <c r="T123" s="738"/>
      <c r="U123" s="739"/>
      <c r="V123" s="738"/>
      <c r="W123" s="739"/>
      <c r="X123" s="738"/>
      <c r="Y123" s="739"/>
      <c r="Z123" s="738"/>
      <c r="AA123" s="747"/>
    </row>
    <row r="124" spans="1:27" ht="14.25">
      <c r="A124" s="735" t="s">
        <v>1443</v>
      </c>
      <c r="B124" s="857" t="s">
        <v>2887</v>
      </c>
      <c r="C124" s="790"/>
      <c r="D124" s="738"/>
      <c r="E124" s="739"/>
      <c r="F124" s="738"/>
      <c r="G124" s="739"/>
      <c r="H124" s="738"/>
      <c r="I124" s="739"/>
      <c r="J124" s="738"/>
      <c r="K124" s="739">
        <v>20</v>
      </c>
      <c r="L124" s="738">
        <v>5</v>
      </c>
      <c r="M124" s="739"/>
      <c r="N124" s="738"/>
      <c r="O124" s="739"/>
      <c r="P124" s="738"/>
      <c r="Q124" s="739"/>
      <c r="R124" s="738"/>
      <c r="S124" s="739"/>
      <c r="T124" s="738"/>
      <c r="U124" s="739"/>
      <c r="V124" s="738"/>
      <c r="W124" s="739"/>
      <c r="X124" s="738"/>
      <c r="Y124" s="739"/>
      <c r="Z124" s="738"/>
      <c r="AA124" s="740"/>
    </row>
    <row r="125" spans="1:27" ht="14.25">
      <c r="A125" s="735" t="s">
        <v>1444</v>
      </c>
      <c r="B125" s="857" t="s">
        <v>2888</v>
      </c>
      <c r="C125" s="790"/>
      <c r="D125" s="738"/>
      <c r="E125" s="739"/>
      <c r="F125" s="738"/>
      <c r="G125" s="739"/>
      <c r="H125" s="738"/>
      <c r="I125" s="739"/>
      <c r="J125" s="738"/>
      <c r="K125" s="739">
        <v>20</v>
      </c>
      <c r="L125" s="738">
        <v>5</v>
      </c>
      <c r="M125" s="739"/>
      <c r="N125" s="738"/>
      <c r="O125" s="739"/>
      <c r="P125" s="738"/>
      <c r="Q125" s="739"/>
      <c r="R125" s="738"/>
      <c r="S125" s="739"/>
      <c r="T125" s="738"/>
      <c r="U125" s="739"/>
      <c r="V125" s="738"/>
      <c r="W125" s="739"/>
      <c r="X125" s="738"/>
      <c r="Y125" s="739"/>
      <c r="Z125" s="738"/>
      <c r="AA125" s="740"/>
    </row>
    <row r="126" spans="1:27" ht="14.25">
      <c r="A126" s="735" t="s">
        <v>1445</v>
      </c>
      <c r="B126" s="857" t="s">
        <v>2889</v>
      </c>
      <c r="C126" s="790"/>
      <c r="D126" s="738"/>
      <c r="E126" s="739"/>
      <c r="F126" s="738"/>
      <c r="G126" s="739"/>
      <c r="H126" s="738"/>
      <c r="I126" s="739"/>
      <c r="J126" s="738"/>
      <c r="K126" s="739">
        <v>20</v>
      </c>
      <c r="L126" s="738">
        <v>5</v>
      </c>
      <c r="M126" s="739"/>
      <c r="N126" s="738"/>
      <c r="O126" s="739"/>
      <c r="P126" s="738"/>
      <c r="Q126" s="739"/>
      <c r="R126" s="738"/>
      <c r="S126" s="739"/>
      <c r="T126" s="738"/>
      <c r="U126" s="739"/>
      <c r="V126" s="738"/>
      <c r="W126" s="739"/>
      <c r="X126" s="738"/>
      <c r="Y126" s="739"/>
      <c r="Z126" s="738"/>
      <c r="AA126" s="740"/>
    </row>
    <row r="127" spans="1:27" ht="14.25">
      <c r="A127" s="735" t="s">
        <v>1446</v>
      </c>
      <c r="B127" s="857" t="s">
        <v>2890</v>
      </c>
      <c r="C127" s="790"/>
      <c r="D127" s="738"/>
      <c r="E127" s="739"/>
      <c r="F127" s="738"/>
      <c r="G127" s="739"/>
      <c r="H127" s="738"/>
      <c r="I127" s="739"/>
      <c r="J127" s="738"/>
      <c r="K127" s="739">
        <v>20</v>
      </c>
      <c r="L127" s="738">
        <v>5</v>
      </c>
      <c r="M127" s="739"/>
      <c r="N127" s="738"/>
      <c r="O127" s="739"/>
      <c r="P127" s="738"/>
      <c r="Q127" s="739"/>
      <c r="R127" s="738"/>
      <c r="S127" s="739"/>
      <c r="T127" s="738"/>
      <c r="U127" s="739"/>
      <c r="V127" s="738"/>
      <c r="W127" s="739"/>
      <c r="X127" s="738"/>
      <c r="Y127" s="739"/>
      <c r="Z127" s="738"/>
      <c r="AA127" s="740"/>
    </row>
    <row r="128" spans="1:27" ht="14.25">
      <c r="A128" s="735" t="s">
        <v>1449</v>
      </c>
      <c r="B128" s="857" t="s">
        <v>2891</v>
      </c>
      <c r="C128" s="794"/>
      <c r="D128" s="745"/>
      <c r="E128" s="746"/>
      <c r="F128" s="745"/>
      <c r="G128" s="746"/>
      <c r="H128" s="745"/>
      <c r="I128" s="746"/>
      <c r="J128" s="745"/>
      <c r="K128" s="739">
        <v>20</v>
      </c>
      <c r="L128" s="738">
        <v>5</v>
      </c>
      <c r="M128" s="746"/>
      <c r="N128" s="745"/>
      <c r="O128" s="746"/>
      <c r="P128" s="745"/>
      <c r="Q128" s="746"/>
      <c r="R128" s="745"/>
      <c r="S128" s="746"/>
      <c r="T128" s="745"/>
      <c r="U128" s="746"/>
      <c r="V128" s="745"/>
      <c r="W128" s="746"/>
      <c r="X128" s="745"/>
      <c r="Y128" s="746"/>
      <c r="Z128" s="745"/>
      <c r="AA128" s="740"/>
    </row>
    <row r="129" spans="1:27" ht="14.25">
      <c r="A129" s="735" t="s">
        <v>1451</v>
      </c>
      <c r="B129" s="857" t="s">
        <v>2892</v>
      </c>
      <c r="C129" s="790"/>
      <c r="D129" s="738"/>
      <c r="E129" s="739"/>
      <c r="F129" s="738"/>
      <c r="G129" s="739"/>
      <c r="H129" s="738"/>
      <c r="I129" s="739"/>
      <c r="J129" s="738"/>
      <c r="K129" s="739">
        <v>20</v>
      </c>
      <c r="L129" s="738">
        <v>5</v>
      </c>
      <c r="M129" s="739"/>
      <c r="N129" s="738"/>
      <c r="O129" s="739"/>
      <c r="P129" s="738"/>
      <c r="Q129" s="739"/>
      <c r="R129" s="738"/>
      <c r="S129" s="739"/>
      <c r="T129" s="738"/>
      <c r="U129" s="739"/>
      <c r="V129" s="738"/>
      <c r="W129" s="739"/>
      <c r="X129" s="738"/>
      <c r="Y129" s="739"/>
      <c r="Z129" s="738"/>
      <c r="AA129" s="740"/>
    </row>
    <row r="130" spans="1:27" ht="14.25">
      <c r="A130" s="735" t="s">
        <v>1452</v>
      </c>
      <c r="B130" s="857" t="s">
        <v>2893</v>
      </c>
      <c r="C130" s="790"/>
      <c r="D130" s="738"/>
      <c r="E130" s="739"/>
      <c r="F130" s="738"/>
      <c r="G130" s="739"/>
      <c r="H130" s="738"/>
      <c r="I130" s="739"/>
      <c r="J130" s="738"/>
      <c r="K130" s="739">
        <v>20</v>
      </c>
      <c r="L130" s="738">
        <v>5</v>
      </c>
      <c r="M130" s="739"/>
      <c r="N130" s="738"/>
      <c r="O130" s="739"/>
      <c r="P130" s="738"/>
      <c r="Q130" s="739"/>
      <c r="R130" s="738"/>
      <c r="S130" s="739"/>
      <c r="T130" s="738"/>
      <c r="U130" s="739"/>
      <c r="V130" s="738"/>
      <c r="W130" s="739"/>
      <c r="X130" s="738"/>
      <c r="Y130" s="739"/>
      <c r="Z130" s="738"/>
      <c r="AA130" s="740"/>
    </row>
    <row r="131" spans="1:27" ht="14.25">
      <c r="A131" s="735" t="s">
        <v>1453</v>
      </c>
      <c r="B131" s="857" t="s">
        <v>2894</v>
      </c>
      <c r="C131" s="794"/>
      <c r="D131" s="745"/>
      <c r="E131" s="746"/>
      <c r="F131" s="745"/>
      <c r="G131" s="746"/>
      <c r="H131" s="745"/>
      <c r="I131" s="746"/>
      <c r="J131" s="745"/>
      <c r="K131" s="739">
        <v>20</v>
      </c>
      <c r="L131" s="738">
        <v>5</v>
      </c>
      <c r="M131" s="746"/>
      <c r="N131" s="745"/>
      <c r="O131" s="746"/>
      <c r="P131" s="745"/>
      <c r="Q131" s="746"/>
      <c r="R131" s="745"/>
      <c r="S131" s="746"/>
      <c r="T131" s="745"/>
      <c r="U131" s="746"/>
      <c r="V131" s="745"/>
      <c r="W131" s="746"/>
      <c r="X131" s="745"/>
      <c r="Y131" s="746"/>
      <c r="Z131" s="745"/>
      <c r="AA131" s="740"/>
    </row>
    <row r="132" spans="1:27" ht="14.25">
      <c r="A132" s="735" t="s">
        <v>1454</v>
      </c>
      <c r="B132" s="857" t="s">
        <v>2895</v>
      </c>
      <c r="C132" s="790"/>
      <c r="D132" s="738"/>
      <c r="E132" s="739"/>
      <c r="F132" s="738"/>
      <c r="G132" s="739"/>
      <c r="H132" s="738"/>
      <c r="I132" s="739"/>
      <c r="J132" s="738"/>
      <c r="K132" s="739">
        <v>20</v>
      </c>
      <c r="L132" s="738">
        <v>5</v>
      </c>
      <c r="M132" s="739"/>
      <c r="N132" s="738"/>
      <c r="O132" s="739"/>
      <c r="P132" s="738"/>
      <c r="Q132" s="739"/>
      <c r="R132" s="738"/>
      <c r="S132" s="739"/>
      <c r="T132" s="738"/>
      <c r="U132" s="739"/>
      <c r="V132" s="738"/>
      <c r="W132" s="739"/>
      <c r="X132" s="738"/>
      <c r="Y132" s="739"/>
      <c r="Z132" s="738"/>
      <c r="AA132" s="740"/>
    </row>
    <row r="133" spans="1:27" ht="14.25">
      <c r="A133" s="735" t="s">
        <v>1455</v>
      </c>
      <c r="B133" s="857" t="s">
        <v>2896</v>
      </c>
      <c r="C133" s="790"/>
      <c r="D133" s="738"/>
      <c r="E133" s="739"/>
      <c r="F133" s="738"/>
      <c r="G133" s="739"/>
      <c r="H133" s="738"/>
      <c r="I133" s="739"/>
      <c r="J133" s="738"/>
      <c r="K133" s="739">
        <v>20</v>
      </c>
      <c r="L133" s="738">
        <v>5</v>
      </c>
      <c r="M133" s="739"/>
      <c r="N133" s="738"/>
      <c r="O133" s="739"/>
      <c r="P133" s="738"/>
      <c r="Q133" s="739"/>
      <c r="R133" s="738"/>
      <c r="S133" s="739"/>
      <c r="T133" s="738"/>
      <c r="U133" s="739"/>
      <c r="V133" s="738"/>
      <c r="W133" s="739"/>
      <c r="X133" s="738"/>
      <c r="Y133" s="739"/>
      <c r="Z133" s="738"/>
      <c r="AA133" s="740"/>
    </row>
    <row r="134" spans="1:27" ht="14.25">
      <c r="A134" s="735" t="s">
        <v>1456</v>
      </c>
      <c r="B134" s="857" t="s">
        <v>2897</v>
      </c>
      <c r="C134" s="790"/>
      <c r="D134" s="738"/>
      <c r="E134" s="739"/>
      <c r="F134" s="738"/>
      <c r="G134" s="739"/>
      <c r="H134" s="738"/>
      <c r="I134" s="739"/>
      <c r="J134" s="738"/>
      <c r="K134" s="739">
        <v>20</v>
      </c>
      <c r="L134" s="738">
        <v>5</v>
      </c>
      <c r="M134" s="739"/>
      <c r="N134" s="738"/>
      <c r="O134" s="739"/>
      <c r="P134" s="738"/>
      <c r="Q134" s="739"/>
      <c r="R134" s="738"/>
      <c r="S134" s="739"/>
      <c r="T134" s="738"/>
      <c r="U134" s="739"/>
      <c r="V134" s="738"/>
      <c r="W134" s="739"/>
      <c r="X134" s="738"/>
      <c r="Y134" s="739"/>
      <c r="Z134" s="738"/>
      <c r="AA134" s="740"/>
    </row>
    <row r="135" spans="1:27" ht="14.25">
      <c r="A135" s="735">
        <v>9</v>
      </c>
      <c r="B135" s="850" t="s">
        <v>2898</v>
      </c>
      <c r="C135" s="790"/>
      <c r="D135" s="738"/>
      <c r="E135" s="739"/>
      <c r="F135" s="738"/>
      <c r="G135" s="739"/>
      <c r="H135" s="738"/>
      <c r="I135" s="739"/>
      <c r="J135" s="738"/>
      <c r="K135" s="739"/>
      <c r="L135" s="738"/>
      <c r="M135" s="739"/>
      <c r="N135" s="738"/>
      <c r="O135" s="739"/>
      <c r="P135" s="738"/>
      <c r="Q135" s="739"/>
      <c r="R135" s="738"/>
      <c r="S135" s="739"/>
      <c r="T135" s="738"/>
      <c r="U135" s="739"/>
      <c r="V135" s="738"/>
      <c r="W135" s="739"/>
      <c r="X135" s="738"/>
      <c r="Y135" s="739"/>
      <c r="Z135" s="738"/>
      <c r="AA135" s="740"/>
    </row>
    <row r="136" spans="1:27" ht="14.25">
      <c r="A136" s="735">
        <v>9.1</v>
      </c>
      <c r="B136" s="789" t="s">
        <v>2899</v>
      </c>
      <c r="C136" s="790"/>
      <c r="D136" s="738"/>
      <c r="E136" s="739"/>
      <c r="F136" s="738"/>
      <c r="G136" s="739"/>
      <c r="H136" s="738"/>
      <c r="I136" s="739"/>
      <c r="J136" s="738"/>
      <c r="K136" s="746"/>
      <c r="L136" s="745"/>
      <c r="M136" s="739"/>
      <c r="N136" s="738"/>
      <c r="O136" s="739"/>
      <c r="P136" s="738"/>
      <c r="Q136" s="739"/>
      <c r="R136" s="738"/>
      <c r="S136" s="739"/>
      <c r="T136" s="738"/>
      <c r="U136" s="739"/>
      <c r="V136" s="738"/>
      <c r="W136" s="739"/>
      <c r="X136" s="738"/>
      <c r="Y136" s="739"/>
      <c r="Z136" s="738"/>
      <c r="AA136" s="747"/>
    </row>
    <row r="137" spans="1:27" ht="14.25">
      <c r="A137" s="735" t="s">
        <v>728</v>
      </c>
      <c r="B137" s="857" t="s">
        <v>2900</v>
      </c>
      <c r="C137" s="790"/>
      <c r="D137" s="738"/>
      <c r="E137" s="739"/>
      <c r="F137" s="738"/>
      <c r="G137" s="739"/>
      <c r="H137" s="738"/>
      <c r="I137" s="739"/>
      <c r="J137" s="738"/>
      <c r="K137" s="739">
        <v>60</v>
      </c>
      <c r="L137" s="738">
        <v>3</v>
      </c>
      <c r="M137" s="739"/>
      <c r="N137" s="738"/>
      <c r="O137" s="739"/>
      <c r="P137" s="738"/>
      <c r="Q137" s="739"/>
      <c r="R137" s="738"/>
      <c r="S137" s="739"/>
      <c r="T137" s="738"/>
      <c r="U137" s="739"/>
      <c r="V137" s="738"/>
      <c r="W137" s="739"/>
      <c r="X137" s="738"/>
      <c r="Y137" s="739"/>
      <c r="Z137" s="738"/>
      <c r="AA137" s="740"/>
    </row>
    <row r="138" spans="1:27" ht="14.25">
      <c r="A138" s="735" t="s">
        <v>730</v>
      </c>
      <c r="B138" s="857" t="s">
        <v>2901</v>
      </c>
      <c r="C138" s="790"/>
      <c r="D138" s="738"/>
      <c r="E138" s="739"/>
      <c r="F138" s="738"/>
      <c r="G138" s="739"/>
      <c r="H138" s="738"/>
      <c r="I138" s="739"/>
      <c r="J138" s="738"/>
      <c r="K138" s="739">
        <v>40</v>
      </c>
      <c r="L138" s="738">
        <v>3</v>
      </c>
      <c r="M138" s="739"/>
      <c r="N138" s="738"/>
      <c r="O138" s="739"/>
      <c r="P138" s="738"/>
      <c r="Q138" s="739"/>
      <c r="R138" s="738"/>
      <c r="S138" s="739"/>
      <c r="T138" s="738"/>
      <c r="U138" s="739"/>
      <c r="V138" s="738"/>
      <c r="W138" s="739"/>
      <c r="X138" s="738"/>
      <c r="Y138" s="739"/>
      <c r="Z138" s="738"/>
      <c r="AA138" s="740"/>
    </row>
    <row r="139" spans="1:27" ht="14.25">
      <c r="A139" s="735">
        <v>9.1999999999999993</v>
      </c>
      <c r="B139" s="789" t="s">
        <v>2902</v>
      </c>
      <c r="C139" s="790"/>
      <c r="D139" s="738"/>
      <c r="E139" s="739"/>
      <c r="F139" s="738"/>
      <c r="G139" s="739"/>
      <c r="H139" s="738"/>
      <c r="I139" s="739"/>
      <c r="J139" s="738"/>
      <c r="K139" s="746"/>
      <c r="L139" s="745"/>
      <c r="M139" s="739"/>
      <c r="N139" s="738"/>
      <c r="O139" s="739"/>
      <c r="P139" s="738"/>
      <c r="Q139" s="739"/>
      <c r="R139" s="738"/>
      <c r="S139" s="739"/>
      <c r="T139" s="738"/>
      <c r="U139" s="739"/>
      <c r="V139" s="738"/>
      <c r="W139" s="739"/>
      <c r="X139" s="738"/>
      <c r="Y139" s="739"/>
      <c r="Z139" s="738"/>
      <c r="AA139" s="747"/>
    </row>
    <row r="140" spans="1:27" ht="14.25">
      <c r="A140" s="735" t="s">
        <v>757</v>
      </c>
      <c r="B140" s="857" t="s">
        <v>2903</v>
      </c>
      <c r="C140" s="794"/>
      <c r="D140" s="745"/>
      <c r="E140" s="746"/>
      <c r="F140" s="745"/>
      <c r="G140" s="746"/>
      <c r="H140" s="745"/>
      <c r="I140" s="746"/>
      <c r="J140" s="745"/>
      <c r="K140" s="739">
        <v>40</v>
      </c>
      <c r="L140" s="738">
        <v>10</v>
      </c>
      <c r="M140" s="746"/>
      <c r="N140" s="745"/>
      <c r="O140" s="746"/>
      <c r="P140" s="745"/>
      <c r="Q140" s="746"/>
      <c r="R140" s="745"/>
      <c r="S140" s="746"/>
      <c r="T140" s="745"/>
      <c r="U140" s="746"/>
      <c r="V140" s="745"/>
      <c r="W140" s="746"/>
      <c r="X140" s="745"/>
      <c r="Y140" s="746"/>
      <c r="Z140" s="745"/>
      <c r="AA140" s="740"/>
    </row>
    <row r="141" spans="1:27" ht="14.25">
      <c r="A141" s="735" t="s">
        <v>759</v>
      </c>
      <c r="B141" s="857" t="s">
        <v>2904</v>
      </c>
      <c r="C141" s="794"/>
      <c r="D141" s="745"/>
      <c r="E141" s="746"/>
      <c r="F141" s="745"/>
      <c r="G141" s="746"/>
      <c r="H141" s="745"/>
      <c r="I141" s="746"/>
      <c r="J141" s="745"/>
      <c r="K141" s="739">
        <v>30</v>
      </c>
      <c r="L141" s="738">
        <v>10</v>
      </c>
      <c r="M141" s="746"/>
      <c r="N141" s="745"/>
      <c r="O141" s="746"/>
      <c r="P141" s="745"/>
      <c r="Q141" s="746"/>
      <c r="R141" s="745"/>
      <c r="S141" s="746"/>
      <c r="T141" s="745"/>
      <c r="U141" s="746"/>
      <c r="V141" s="745"/>
      <c r="W141" s="746"/>
      <c r="X141" s="745"/>
      <c r="Y141" s="746"/>
      <c r="Z141" s="745"/>
      <c r="AA141" s="740"/>
    </row>
    <row r="142" spans="1:27" ht="14.25">
      <c r="A142" s="735">
        <v>9.3000000000000007</v>
      </c>
      <c r="B142" s="789" t="s">
        <v>2905</v>
      </c>
      <c r="C142" s="794"/>
      <c r="D142" s="745"/>
      <c r="E142" s="746"/>
      <c r="F142" s="745"/>
      <c r="G142" s="746"/>
      <c r="H142" s="745"/>
      <c r="I142" s="746"/>
      <c r="J142" s="745"/>
      <c r="K142" s="739">
        <f>SUM(K143:K144)</f>
        <v>80</v>
      </c>
      <c r="L142" s="738">
        <f>SUM(L143:L144)</f>
        <v>20</v>
      </c>
      <c r="M142" s="746"/>
      <c r="N142" s="745"/>
      <c r="O142" s="746"/>
      <c r="P142" s="745"/>
      <c r="Q142" s="746"/>
      <c r="R142" s="745"/>
      <c r="S142" s="746"/>
      <c r="T142" s="745"/>
      <c r="U142" s="746"/>
      <c r="V142" s="745"/>
      <c r="W142" s="746"/>
      <c r="X142" s="745"/>
      <c r="Y142" s="746"/>
      <c r="Z142" s="745"/>
      <c r="AA142" s="740"/>
    </row>
    <row r="143" spans="1:27" ht="14.25">
      <c r="A143" s="735" t="s">
        <v>770</v>
      </c>
      <c r="B143" s="857" t="s">
        <v>2906</v>
      </c>
      <c r="C143" s="794"/>
      <c r="D143" s="745"/>
      <c r="E143" s="746"/>
      <c r="F143" s="745"/>
      <c r="G143" s="746"/>
      <c r="H143" s="745"/>
      <c r="I143" s="746"/>
      <c r="J143" s="745"/>
      <c r="K143" s="739">
        <v>50</v>
      </c>
      <c r="L143" s="738">
        <v>10</v>
      </c>
      <c r="M143" s="746"/>
      <c r="N143" s="745"/>
      <c r="O143" s="746"/>
      <c r="P143" s="745"/>
      <c r="Q143" s="746"/>
      <c r="R143" s="745"/>
      <c r="S143" s="746"/>
      <c r="T143" s="745"/>
      <c r="U143" s="746"/>
      <c r="V143" s="745"/>
      <c r="W143" s="746"/>
      <c r="X143" s="745"/>
      <c r="Y143" s="746"/>
      <c r="Z143" s="745"/>
      <c r="AA143" s="740"/>
    </row>
    <row r="144" spans="1:27" ht="14.25">
      <c r="A144" s="858" t="s">
        <v>772</v>
      </c>
      <c r="B144" s="859" t="s">
        <v>2907</v>
      </c>
      <c r="C144" s="860"/>
      <c r="D144" s="861"/>
      <c r="E144" s="862"/>
      <c r="F144" s="861"/>
      <c r="G144" s="862"/>
      <c r="H144" s="861"/>
      <c r="I144" s="862"/>
      <c r="J144" s="861"/>
      <c r="K144" s="766">
        <v>30</v>
      </c>
      <c r="L144" s="763">
        <v>10</v>
      </c>
      <c r="M144" s="862"/>
      <c r="N144" s="861"/>
      <c r="O144" s="862"/>
      <c r="P144" s="861"/>
      <c r="Q144" s="862"/>
      <c r="R144" s="861"/>
      <c r="S144" s="862"/>
      <c r="T144" s="861"/>
      <c r="U144" s="862"/>
      <c r="V144" s="861"/>
      <c r="W144" s="862"/>
      <c r="X144" s="861"/>
      <c r="Y144" s="862"/>
      <c r="Z144" s="861"/>
      <c r="AA144" s="863"/>
    </row>
    <row r="145" spans="1:28" ht="14.25">
      <c r="A145" s="760">
        <v>10</v>
      </c>
      <c r="B145" s="808" t="s">
        <v>2626</v>
      </c>
      <c r="C145" s="809"/>
      <c r="D145" s="763"/>
      <c r="E145" s="764"/>
      <c r="F145" s="765"/>
      <c r="G145" s="766"/>
      <c r="H145" s="763"/>
      <c r="I145" s="766"/>
      <c r="J145" s="763"/>
      <c r="K145" s="766"/>
      <c r="L145" s="763"/>
      <c r="M145" s="766"/>
      <c r="N145" s="763"/>
      <c r="O145" s="766"/>
      <c r="P145" s="763"/>
      <c r="Q145" s="766"/>
      <c r="R145" s="763"/>
      <c r="S145" s="766"/>
      <c r="T145" s="763"/>
      <c r="U145" s="766"/>
      <c r="V145" s="763"/>
      <c r="W145" s="766"/>
      <c r="X145" s="763"/>
      <c r="Y145" s="766"/>
      <c r="Z145" s="763"/>
      <c r="AA145" s="767"/>
    </row>
    <row r="146" spans="1:28" ht="14.25">
      <c r="A146" s="806">
        <v>10.1</v>
      </c>
      <c r="B146" s="810" t="s">
        <v>2627</v>
      </c>
      <c r="C146" s="809"/>
      <c r="D146" s="763"/>
      <c r="E146" s="764"/>
      <c r="F146" s="765"/>
      <c r="G146" s="766"/>
      <c r="H146" s="763"/>
      <c r="I146" s="766"/>
      <c r="J146" s="763"/>
      <c r="K146" s="766">
        <f>0.1*K153</f>
        <v>610</v>
      </c>
      <c r="L146" s="763">
        <f>0.1*L153</f>
        <v>208.60000000000002</v>
      </c>
      <c r="M146" s="766"/>
      <c r="N146" s="763"/>
      <c r="O146" s="766"/>
      <c r="P146" s="763"/>
      <c r="Q146" s="766"/>
      <c r="R146" s="763"/>
      <c r="S146" s="766"/>
      <c r="T146" s="763"/>
      <c r="U146" s="766"/>
      <c r="V146" s="763"/>
      <c r="W146" s="766"/>
      <c r="X146" s="763"/>
      <c r="Y146" s="766"/>
      <c r="Z146" s="763"/>
      <c r="AA146" s="767">
        <f>0.1*AA153</f>
        <v>425</v>
      </c>
    </row>
    <row r="147" spans="1:28" ht="14.25">
      <c r="A147" s="806">
        <v>10.199999999999999</v>
      </c>
      <c r="B147" s="810" t="s">
        <v>2472</v>
      </c>
      <c r="C147" s="809"/>
      <c r="D147" s="763"/>
      <c r="E147" s="764"/>
      <c r="F147" s="765"/>
      <c r="G147" s="766"/>
      <c r="H147" s="763"/>
      <c r="I147" s="766"/>
      <c r="J147" s="763"/>
      <c r="K147" s="766">
        <f>0.05*K153</f>
        <v>305</v>
      </c>
      <c r="L147" s="763"/>
      <c r="M147" s="766"/>
      <c r="N147" s="763"/>
      <c r="O147" s="766"/>
      <c r="P147" s="763"/>
      <c r="Q147" s="766"/>
      <c r="R147" s="763"/>
      <c r="S147" s="766"/>
      <c r="T147" s="763"/>
      <c r="U147" s="766"/>
      <c r="V147" s="763"/>
      <c r="W147" s="766"/>
      <c r="X147" s="763"/>
      <c r="Y147" s="766"/>
      <c r="Z147" s="763"/>
      <c r="AA147" s="767">
        <f>0.05*AA153</f>
        <v>212.5</v>
      </c>
    </row>
    <row r="148" spans="1:28" ht="14.25">
      <c r="A148" s="806">
        <v>10.3</v>
      </c>
      <c r="B148" s="810" t="s">
        <v>2628</v>
      </c>
      <c r="C148" s="809"/>
      <c r="D148" s="763"/>
      <c r="E148" s="764"/>
      <c r="F148" s="765"/>
      <c r="G148" s="766"/>
      <c r="H148" s="763"/>
      <c r="I148" s="766"/>
      <c r="J148" s="763"/>
      <c r="K148" s="766">
        <v>120</v>
      </c>
      <c r="L148" s="763"/>
      <c r="M148" s="766"/>
      <c r="N148" s="763"/>
      <c r="O148" s="766"/>
      <c r="P148" s="763"/>
      <c r="Q148" s="766"/>
      <c r="R148" s="763"/>
      <c r="S148" s="766"/>
      <c r="T148" s="763"/>
      <c r="U148" s="766"/>
      <c r="V148" s="763"/>
      <c r="W148" s="766"/>
      <c r="X148" s="763"/>
      <c r="Y148" s="766"/>
      <c r="Z148" s="763"/>
      <c r="AA148" s="767"/>
    </row>
    <row r="149" spans="1:28" ht="14.25">
      <c r="A149" s="806">
        <v>10.4</v>
      </c>
      <c r="B149" s="810" t="s">
        <v>2629</v>
      </c>
      <c r="C149" s="809"/>
      <c r="D149" s="763"/>
      <c r="E149" s="764"/>
      <c r="F149" s="765"/>
      <c r="G149" s="766"/>
      <c r="H149" s="763"/>
      <c r="I149" s="766"/>
      <c r="J149" s="763"/>
      <c r="K149" s="766">
        <v>150</v>
      </c>
      <c r="L149" s="763"/>
      <c r="M149" s="766"/>
      <c r="N149" s="763"/>
      <c r="O149" s="766"/>
      <c r="P149" s="763"/>
      <c r="Q149" s="766"/>
      <c r="R149" s="763"/>
      <c r="S149" s="766"/>
      <c r="T149" s="763"/>
      <c r="U149" s="766"/>
      <c r="V149" s="763"/>
      <c r="W149" s="766"/>
      <c r="X149" s="763"/>
      <c r="Y149" s="766"/>
      <c r="Z149" s="763"/>
      <c r="AA149" s="767"/>
    </row>
    <row r="150" spans="1:28" ht="15" thickBot="1">
      <c r="A150" s="806">
        <v>10.5</v>
      </c>
      <c r="B150" s="810" t="s">
        <v>2630</v>
      </c>
      <c r="C150" s="809"/>
      <c r="D150" s="763"/>
      <c r="E150" s="764"/>
      <c r="F150" s="765"/>
      <c r="G150" s="766"/>
      <c r="H150" s="763"/>
      <c r="I150" s="766"/>
      <c r="J150" s="763"/>
      <c r="K150" s="766">
        <v>80</v>
      </c>
      <c r="L150" s="763">
        <v>8</v>
      </c>
      <c r="M150" s="766"/>
      <c r="N150" s="763"/>
      <c r="O150" s="766"/>
      <c r="P150" s="763"/>
      <c r="Q150" s="766"/>
      <c r="R150" s="763"/>
      <c r="S150" s="766"/>
      <c r="T150" s="763"/>
      <c r="U150" s="766"/>
      <c r="V150" s="763"/>
      <c r="W150" s="766"/>
      <c r="X150" s="763"/>
      <c r="Y150" s="766"/>
      <c r="Z150" s="763"/>
      <c r="AA150" s="767"/>
    </row>
    <row r="151" spans="1:28" ht="15" thickBot="1">
      <c r="A151" s="864"/>
      <c r="B151" s="865" t="s">
        <v>2325</v>
      </c>
      <c r="C151" s="838">
        <f>SUM(C5:C150)</f>
        <v>65</v>
      </c>
      <c r="D151" s="814">
        <f>SUM(D5:D150)</f>
        <v>49</v>
      </c>
      <c r="E151" s="838">
        <f t="shared" ref="E151:Z151" si="0">SUM(E5:E150)</f>
        <v>0</v>
      </c>
      <c r="F151" s="814">
        <f t="shared" si="0"/>
        <v>45</v>
      </c>
      <c r="G151" s="838">
        <f t="shared" si="0"/>
        <v>0</v>
      </c>
      <c r="H151" s="814">
        <f t="shared" si="0"/>
        <v>0</v>
      </c>
      <c r="I151" s="838">
        <f t="shared" si="0"/>
        <v>0</v>
      </c>
      <c r="J151" s="814">
        <f t="shared" si="0"/>
        <v>17</v>
      </c>
      <c r="K151" s="838">
        <f t="shared" si="0"/>
        <v>7365</v>
      </c>
      <c r="L151" s="814">
        <f t="shared" si="0"/>
        <v>2302.6</v>
      </c>
      <c r="M151" s="838">
        <f t="shared" si="0"/>
        <v>0</v>
      </c>
      <c r="N151" s="814">
        <f t="shared" si="0"/>
        <v>6</v>
      </c>
      <c r="O151" s="838">
        <f t="shared" si="0"/>
        <v>0</v>
      </c>
      <c r="P151" s="814">
        <f t="shared" si="0"/>
        <v>34</v>
      </c>
      <c r="Q151" s="838">
        <f t="shared" si="0"/>
        <v>66</v>
      </c>
      <c r="R151" s="814">
        <f t="shared" si="0"/>
        <v>33</v>
      </c>
      <c r="S151" s="838">
        <f t="shared" si="0"/>
        <v>0</v>
      </c>
      <c r="T151" s="814">
        <f t="shared" si="0"/>
        <v>0</v>
      </c>
      <c r="U151" s="838">
        <f t="shared" si="0"/>
        <v>0</v>
      </c>
      <c r="V151" s="814">
        <f t="shared" si="0"/>
        <v>11</v>
      </c>
      <c r="W151" s="838">
        <f t="shared" si="0"/>
        <v>0</v>
      </c>
      <c r="X151" s="814">
        <f t="shared" si="0"/>
        <v>0</v>
      </c>
      <c r="Y151" s="838">
        <f t="shared" si="0"/>
        <v>0</v>
      </c>
      <c r="Z151" s="814">
        <f t="shared" si="0"/>
        <v>0</v>
      </c>
      <c r="AA151" s="815">
        <f>SUM(AA5:AA150)</f>
        <v>4887.5</v>
      </c>
    </row>
    <row r="152" spans="1:28" ht="15" thickBot="1">
      <c r="A152" s="778"/>
      <c r="B152" s="781"/>
      <c r="C152" s="781"/>
      <c r="D152" s="781"/>
      <c r="E152" s="781"/>
      <c r="F152" s="781"/>
      <c r="G152" s="781"/>
      <c r="H152" s="781"/>
      <c r="I152" s="781"/>
      <c r="J152" s="781"/>
      <c r="K152" s="781"/>
      <c r="L152" s="781"/>
      <c r="M152" s="781"/>
      <c r="N152" s="781"/>
      <c r="O152" s="781"/>
      <c r="P152" s="781"/>
      <c r="Q152" s="781"/>
      <c r="R152" s="781"/>
      <c r="S152" s="781"/>
      <c r="T152" s="781"/>
      <c r="U152" s="781"/>
      <c r="V152" s="781"/>
      <c r="W152" s="781"/>
      <c r="X152" s="781"/>
      <c r="Y152" s="781"/>
      <c r="Z152" s="781"/>
      <c r="AA152" s="781"/>
      <c r="AB152" s="781"/>
    </row>
    <row r="153" spans="1:28" ht="15" thickBot="1">
      <c r="A153" s="778"/>
      <c r="B153" s="781"/>
      <c r="C153" s="817">
        <f>SUM(C5:C144)</f>
        <v>65</v>
      </c>
      <c r="D153" s="817">
        <f t="shared" ref="D153:AA153" si="1">SUM(D5:D144)</f>
        <v>49</v>
      </c>
      <c r="E153" s="817">
        <f t="shared" si="1"/>
        <v>0</v>
      </c>
      <c r="F153" s="817">
        <f t="shared" si="1"/>
        <v>45</v>
      </c>
      <c r="G153" s="817">
        <f t="shared" si="1"/>
        <v>0</v>
      </c>
      <c r="H153" s="817">
        <f t="shared" si="1"/>
        <v>0</v>
      </c>
      <c r="I153" s="817">
        <f t="shared" si="1"/>
        <v>0</v>
      </c>
      <c r="J153" s="817">
        <f t="shared" si="1"/>
        <v>17</v>
      </c>
      <c r="K153" s="817">
        <f t="shared" si="1"/>
        <v>6100</v>
      </c>
      <c r="L153" s="817">
        <f t="shared" si="1"/>
        <v>2086</v>
      </c>
      <c r="M153" s="817">
        <f t="shared" si="1"/>
        <v>0</v>
      </c>
      <c r="N153" s="817">
        <f t="shared" si="1"/>
        <v>6</v>
      </c>
      <c r="O153" s="817">
        <f t="shared" si="1"/>
        <v>0</v>
      </c>
      <c r="P153" s="817">
        <f t="shared" si="1"/>
        <v>34</v>
      </c>
      <c r="Q153" s="817">
        <f t="shared" si="1"/>
        <v>66</v>
      </c>
      <c r="R153" s="817">
        <f t="shared" si="1"/>
        <v>33</v>
      </c>
      <c r="S153" s="817">
        <f t="shared" si="1"/>
        <v>0</v>
      </c>
      <c r="T153" s="817">
        <f t="shared" si="1"/>
        <v>0</v>
      </c>
      <c r="U153" s="817">
        <f t="shared" si="1"/>
        <v>0</v>
      </c>
      <c r="V153" s="817">
        <f t="shared" si="1"/>
        <v>11</v>
      </c>
      <c r="W153" s="817">
        <f t="shared" si="1"/>
        <v>0</v>
      </c>
      <c r="X153" s="817">
        <f t="shared" si="1"/>
        <v>0</v>
      </c>
      <c r="Y153" s="817">
        <f t="shared" si="1"/>
        <v>0</v>
      </c>
      <c r="Z153" s="817">
        <f t="shared" si="1"/>
        <v>0</v>
      </c>
      <c r="AA153" s="817">
        <f t="shared" si="1"/>
        <v>4250</v>
      </c>
      <c r="AB153" s="734"/>
    </row>
  </sheetData>
  <mergeCells count="18">
    <mergeCell ref="S3:T3"/>
    <mergeCell ref="U3:V3"/>
    <mergeCell ref="W3:X3"/>
    <mergeCell ref="B1:X1"/>
    <mergeCell ref="Y1:AA1"/>
    <mergeCell ref="A2:AA2"/>
    <mergeCell ref="A3:A4"/>
    <mergeCell ref="B3:B4"/>
    <mergeCell ref="C3:D3"/>
    <mergeCell ref="E3:F3"/>
    <mergeCell ref="G3:H3"/>
    <mergeCell ref="I3:J3"/>
    <mergeCell ref="K3:L3"/>
    <mergeCell ref="Y3:Z3"/>
    <mergeCell ref="AA3:AA4"/>
    <mergeCell ref="M3:N3"/>
    <mergeCell ref="O3:P3"/>
    <mergeCell ref="Q3:R3"/>
  </mergeCells>
  <conditionalFormatting sqref="B30:B33">
    <cfRule type="expression" dxfId="462" priority="4" stopIfTrue="1">
      <formula>IF(AND(#REF!&lt;&gt;"",#REF!&gt;15),1,0)</formula>
    </cfRule>
  </conditionalFormatting>
  <conditionalFormatting sqref="B85 B92:B106 B108:B122 B124:B135">
    <cfRule type="expression" dxfId="461" priority="5" stopIfTrue="1">
      <formula>IF(AND(#REF!&lt;&gt;"",#REF!&gt;15),1,0)</formula>
    </cfRule>
  </conditionalFormatting>
  <conditionalFormatting sqref="B87:B90">
    <cfRule type="expression" dxfId="460" priority="3" stopIfTrue="1">
      <formula>IF(AND(#REF!&lt;&gt;"",#REF!&gt;15),1,0)</formula>
    </cfRule>
  </conditionalFormatting>
  <conditionalFormatting sqref="B146:B150 B137:B138 B140:B141 B143:B144">
    <cfRule type="expression" dxfId="459" priority="2" stopIfTrue="1">
      <formula>IF(AND(#REF!&lt;&gt;"",#REF!&gt;15),1,0)</formula>
    </cfRule>
  </conditionalFormatting>
  <conditionalFormatting sqref="B146:B150">
    <cfRule type="expression" dxfId="458" priority="1" stopIfTrue="1">
      <formula>IF(AND(#REF!&lt;&gt;"",#REF!&gt;15),1,0)</formula>
    </cfRule>
  </conditionalFormatting>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2"/>
  <dimension ref="A1:AB195"/>
  <sheetViews>
    <sheetView rightToLeft="1" workbookViewId="0">
      <selection activeCell="F32" sqref="F32"/>
    </sheetView>
  </sheetViews>
  <sheetFormatPr defaultColWidth="8.85546875" defaultRowHeight="12.75"/>
  <cols>
    <col min="1" max="1" width="8.85546875" style="661"/>
    <col min="2" max="2" width="49.7109375" style="661" customWidth="1"/>
    <col min="3" max="16384" width="8.85546875" style="661"/>
  </cols>
  <sheetData>
    <row r="1" spans="1:27" ht="18.75" thickBot="1">
      <c r="A1" s="723"/>
      <c r="B1" s="2333"/>
      <c r="C1" s="2333"/>
      <c r="D1" s="2333"/>
      <c r="E1" s="2333"/>
      <c r="F1" s="2333"/>
      <c r="G1" s="2333"/>
      <c r="H1" s="2333"/>
      <c r="I1" s="2333"/>
      <c r="J1" s="2333"/>
      <c r="K1" s="2333"/>
      <c r="L1" s="2333"/>
      <c r="M1" s="2333"/>
      <c r="N1" s="2333"/>
      <c r="O1" s="2333"/>
      <c r="P1" s="2333"/>
      <c r="Q1" s="2333"/>
      <c r="R1" s="2333"/>
      <c r="S1" s="2333"/>
      <c r="T1" s="2333"/>
      <c r="U1" s="2333"/>
      <c r="V1" s="2333"/>
      <c r="W1" s="2333"/>
      <c r="X1" s="2333"/>
      <c r="Y1" s="2334"/>
      <c r="Z1" s="2334"/>
      <c r="AA1" s="2335"/>
    </row>
    <row r="2" spans="1:27" ht="21" thickBot="1">
      <c r="A2" s="2336" t="s">
        <v>2324</v>
      </c>
      <c r="B2" s="2337"/>
      <c r="C2" s="2337"/>
      <c r="D2" s="2337"/>
      <c r="E2" s="2337"/>
      <c r="F2" s="2337"/>
      <c r="G2" s="2337"/>
      <c r="H2" s="2337"/>
      <c r="I2" s="2337"/>
      <c r="J2" s="2337"/>
      <c r="K2" s="2337"/>
      <c r="L2" s="2337"/>
      <c r="M2" s="2337"/>
      <c r="N2" s="2337"/>
      <c r="O2" s="2337"/>
      <c r="P2" s="2337"/>
      <c r="Q2" s="2337"/>
      <c r="R2" s="2337"/>
      <c r="S2" s="2337"/>
      <c r="T2" s="2337"/>
      <c r="U2" s="2337"/>
      <c r="V2" s="2337"/>
      <c r="W2" s="2337"/>
      <c r="X2" s="2337"/>
      <c r="Y2" s="2337"/>
      <c r="Z2" s="2337"/>
      <c r="AA2" s="2338"/>
    </row>
    <row r="3" spans="1:27">
      <c r="A3" s="2349" t="s">
        <v>2306</v>
      </c>
      <c r="B3" s="2351" t="s">
        <v>2307</v>
      </c>
      <c r="C3" s="2331" t="s">
        <v>2255</v>
      </c>
      <c r="D3" s="2332"/>
      <c r="E3" s="2331" t="s">
        <v>2256</v>
      </c>
      <c r="F3" s="2332"/>
      <c r="G3" s="2331" t="s">
        <v>2257</v>
      </c>
      <c r="H3" s="2332"/>
      <c r="I3" s="2331" t="s">
        <v>2258</v>
      </c>
      <c r="J3" s="2332"/>
      <c r="K3" s="2331" t="s">
        <v>2259</v>
      </c>
      <c r="L3" s="2332"/>
      <c r="M3" s="2331" t="s">
        <v>2260</v>
      </c>
      <c r="N3" s="2332"/>
      <c r="O3" s="2331" t="s">
        <v>2261</v>
      </c>
      <c r="P3" s="2332"/>
      <c r="Q3" s="2331" t="s">
        <v>2262</v>
      </c>
      <c r="R3" s="2332"/>
      <c r="S3" s="2331" t="s">
        <v>2263</v>
      </c>
      <c r="T3" s="2332"/>
      <c r="U3" s="2331" t="s">
        <v>2264</v>
      </c>
      <c r="V3" s="2332"/>
      <c r="W3" s="2331" t="s">
        <v>2265</v>
      </c>
      <c r="X3" s="2332"/>
      <c r="Y3" s="2331" t="s">
        <v>2266</v>
      </c>
      <c r="Z3" s="2332"/>
      <c r="AA3" s="2353" t="s">
        <v>2267</v>
      </c>
    </row>
    <row r="4" spans="1:27" ht="13.5" thickBot="1">
      <c r="A4" s="2350"/>
      <c r="B4" s="2352"/>
      <c r="C4" s="866" t="s">
        <v>2269</v>
      </c>
      <c r="D4" s="867" t="s">
        <v>2270</v>
      </c>
      <c r="E4" s="866" t="s">
        <v>2269</v>
      </c>
      <c r="F4" s="867" t="s">
        <v>2270</v>
      </c>
      <c r="G4" s="866" t="s">
        <v>2269</v>
      </c>
      <c r="H4" s="867" t="s">
        <v>2270</v>
      </c>
      <c r="I4" s="866" t="s">
        <v>2269</v>
      </c>
      <c r="J4" s="867" t="s">
        <v>2270</v>
      </c>
      <c r="K4" s="866" t="s">
        <v>2269</v>
      </c>
      <c r="L4" s="867" t="s">
        <v>2270</v>
      </c>
      <c r="M4" s="866" t="s">
        <v>2269</v>
      </c>
      <c r="N4" s="867" t="s">
        <v>2270</v>
      </c>
      <c r="O4" s="866" t="s">
        <v>2269</v>
      </c>
      <c r="P4" s="867" t="s">
        <v>2270</v>
      </c>
      <c r="Q4" s="866" t="s">
        <v>2269</v>
      </c>
      <c r="R4" s="867" t="s">
        <v>2270</v>
      </c>
      <c r="S4" s="866" t="s">
        <v>2269</v>
      </c>
      <c r="T4" s="867" t="s">
        <v>2270</v>
      </c>
      <c r="U4" s="866" t="s">
        <v>2269</v>
      </c>
      <c r="V4" s="867" t="s">
        <v>2270</v>
      </c>
      <c r="W4" s="866" t="s">
        <v>2269</v>
      </c>
      <c r="X4" s="867" t="s">
        <v>2270</v>
      </c>
      <c r="Y4" s="866" t="s">
        <v>2269</v>
      </c>
      <c r="Z4" s="867" t="s">
        <v>2270</v>
      </c>
      <c r="AA4" s="2354"/>
    </row>
    <row r="5" spans="1:27" ht="14.25">
      <c r="A5" s="868">
        <v>1</v>
      </c>
      <c r="B5" s="869" t="s">
        <v>2734</v>
      </c>
      <c r="C5" s="870"/>
      <c r="D5" s="871"/>
      <c r="E5" s="872"/>
      <c r="F5" s="871"/>
      <c r="G5" s="872"/>
      <c r="H5" s="871"/>
      <c r="I5" s="872"/>
      <c r="J5" s="871"/>
      <c r="K5" s="872"/>
      <c r="L5" s="871"/>
      <c r="M5" s="873"/>
      <c r="N5" s="874"/>
      <c r="O5" s="872"/>
      <c r="P5" s="871"/>
      <c r="Q5" s="872"/>
      <c r="R5" s="871"/>
      <c r="S5" s="872"/>
      <c r="T5" s="871"/>
      <c r="U5" s="872"/>
      <c r="V5" s="871"/>
      <c r="W5" s="872"/>
      <c r="X5" s="871"/>
      <c r="Y5" s="872"/>
      <c r="Z5" s="871"/>
      <c r="AA5" s="875"/>
    </row>
    <row r="6" spans="1:27" ht="14.25">
      <c r="A6" s="876" t="s">
        <v>809</v>
      </c>
      <c r="B6" s="851" t="s">
        <v>2908</v>
      </c>
      <c r="C6" s="803"/>
      <c r="D6" s="804"/>
      <c r="E6" s="805"/>
      <c r="F6" s="804"/>
      <c r="G6" s="805"/>
      <c r="H6" s="804"/>
      <c r="I6" s="805"/>
      <c r="J6" s="804"/>
      <c r="K6" s="805"/>
      <c r="L6" s="804"/>
      <c r="M6" s="877"/>
      <c r="N6" s="878">
        <v>55</v>
      </c>
      <c r="O6" s="805"/>
      <c r="P6" s="804"/>
      <c r="Q6" s="805"/>
      <c r="R6" s="804"/>
      <c r="S6" s="805"/>
      <c r="T6" s="804"/>
      <c r="U6" s="805"/>
      <c r="V6" s="804"/>
      <c r="W6" s="805"/>
      <c r="X6" s="804"/>
      <c r="Y6" s="805"/>
      <c r="Z6" s="804"/>
      <c r="AA6" s="879"/>
    </row>
    <row r="7" spans="1:27" ht="14.25">
      <c r="A7" s="876" t="s">
        <v>812</v>
      </c>
      <c r="B7" s="851" t="s">
        <v>2909</v>
      </c>
      <c r="C7" s="803"/>
      <c r="D7" s="804"/>
      <c r="E7" s="805"/>
      <c r="F7" s="804"/>
      <c r="G7" s="805"/>
      <c r="H7" s="804"/>
      <c r="I7" s="805"/>
      <c r="J7" s="804"/>
      <c r="K7" s="805"/>
      <c r="L7" s="804"/>
      <c r="M7" s="877"/>
      <c r="N7" s="878">
        <v>50</v>
      </c>
      <c r="O7" s="805"/>
      <c r="P7" s="804"/>
      <c r="Q7" s="805"/>
      <c r="R7" s="804"/>
      <c r="S7" s="805"/>
      <c r="T7" s="804"/>
      <c r="U7" s="805"/>
      <c r="V7" s="804"/>
      <c r="W7" s="805"/>
      <c r="X7" s="804"/>
      <c r="Y7" s="805"/>
      <c r="Z7" s="804"/>
      <c r="AA7" s="879"/>
    </row>
    <row r="8" spans="1:27" ht="14.25">
      <c r="A8" s="876" t="s">
        <v>2910</v>
      </c>
      <c r="B8" s="851" t="s">
        <v>2911</v>
      </c>
      <c r="C8" s="803"/>
      <c r="D8" s="804"/>
      <c r="E8" s="805"/>
      <c r="F8" s="804"/>
      <c r="G8" s="805"/>
      <c r="H8" s="804"/>
      <c r="I8" s="805"/>
      <c r="J8" s="804"/>
      <c r="K8" s="805"/>
      <c r="L8" s="804"/>
      <c r="M8" s="877"/>
      <c r="N8" s="878">
        <v>55</v>
      </c>
      <c r="O8" s="805"/>
      <c r="P8" s="804"/>
      <c r="Q8" s="805"/>
      <c r="R8" s="804"/>
      <c r="S8" s="805"/>
      <c r="T8" s="804"/>
      <c r="U8" s="805"/>
      <c r="V8" s="804"/>
      <c r="W8" s="805"/>
      <c r="X8" s="804"/>
      <c r="Y8" s="805"/>
      <c r="Z8" s="804"/>
      <c r="AA8" s="879"/>
    </row>
    <row r="9" spans="1:27" ht="14.25">
      <c r="A9" s="876" t="s">
        <v>2912</v>
      </c>
      <c r="B9" s="851" t="s">
        <v>2913</v>
      </c>
      <c r="C9" s="803"/>
      <c r="D9" s="804"/>
      <c r="E9" s="805"/>
      <c r="F9" s="804"/>
      <c r="G9" s="805"/>
      <c r="H9" s="804"/>
      <c r="I9" s="805"/>
      <c r="J9" s="804"/>
      <c r="K9" s="805"/>
      <c r="L9" s="804"/>
      <c r="M9" s="877"/>
      <c r="N9" s="878">
        <v>55</v>
      </c>
      <c r="O9" s="805"/>
      <c r="P9" s="804"/>
      <c r="Q9" s="805"/>
      <c r="R9" s="804"/>
      <c r="S9" s="805"/>
      <c r="T9" s="804"/>
      <c r="U9" s="805"/>
      <c r="V9" s="804"/>
      <c r="W9" s="805"/>
      <c r="X9" s="804"/>
      <c r="Y9" s="805"/>
      <c r="Z9" s="804"/>
      <c r="AA9" s="879"/>
    </row>
    <row r="10" spans="1:27" ht="28.5">
      <c r="A10" s="876" t="s">
        <v>2914</v>
      </c>
      <c r="B10" s="851" t="s">
        <v>2915</v>
      </c>
      <c r="C10" s="803"/>
      <c r="D10" s="804"/>
      <c r="E10" s="805"/>
      <c r="F10" s="804"/>
      <c r="G10" s="805"/>
      <c r="H10" s="804"/>
      <c r="I10" s="805"/>
      <c r="J10" s="804"/>
      <c r="K10" s="805"/>
      <c r="L10" s="804"/>
      <c r="M10" s="877"/>
      <c r="N10" s="878">
        <v>55</v>
      </c>
      <c r="O10" s="805"/>
      <c r="P10" s="804"/>
      <c r="Q10" s="805"/>
      <c r="R10" s="804"/>
      <c r="S10" s="805"/>
      <c r="T10" s="804"/>
      <c r="U10" s="805"/>
      <c r="V10" s="804"/>
      <c r="W10" s="805"/>
      <c r="X10" s="804"/>
      <c r="Y10" s="805"/>
      <c r="Z10" s="804"/>
      <c r="AA10" s="879"/>
    </row>
    <row r="11" spans="1:27" ht="14.25">
      <c r="A11" s="876" t="s">
        <v>2916</v>
      </c>
      <c r="B11" s="851" t="s">
        <v>2917</v>
      </c>
      <c r="C11" s="803"/>
      <c r="D11" s="804"/>
      <c r="E11" s="805"/>
      <c r="F11" s="804"/>
      <c r="G11" s="805"/>
      <c r="H11" s="804"/>
      <c r="I11" s="805"/>
      <c r="J11" s="804"/>
      <c r="K11" s="805"/>
      <c r="L11" s="804"/>
      <c r="M11" s="877"/>
      <c r="N11" s="878">
        <v>40</v>
      </c>
      <c r="O11" s="805"/>
      <c r="P11" s="804"/>
      <c r="Q11" s="805"/>
      <c r="R11" s="804"/>
      <c r="S11" s="805"/>
      <c r="T11" s="804"/>
      <c r="U11" s="805"/>
      <c r="V11" s="804"/>
      <c r="W11" s="805"/>
      <c r="X11" s="804"/>
      <c r="Y11" s="805"/>
      <c r="Z11" s="804"/>
      <c r="AA11" s="879"/>
    </row>
    <row r="12" spans="1:27" ht="28.5">
      <c r="A12" s="876" t="s">
        <v>2918</v>
      </c>
      <c r="B12" s="851" t="s">
        <v>2919</v>
      </c>
      <c r="C12" s="803"/>
      <c r="D12" s="804"/>
      <c r="E12" s="805"/>
      <c r="F12" s="804"/>
      <c r="G12" s="805"/>
      <c r="H12" s="804"/>
      <c r="I12" s="805"/>
      <c r="J12" s="804"/>
      <c r="K12" s="805"/>
      <c r="L12" s="804"/>
      <c r="M12" s="877"/>
      <c r="N12" s="878">
        <v>50</v>
      </c>
      <c r="O12" s="805"/>
      <c r="P12" s="804"/>
      <c r="Q12" s="805"/>
      <c r="R12" s="804"/>
      <c r="S12" s="805"/>
      <c r="T12" s="804"/>
      <c r="U12" s="805"/>
      <c r="V12" s="804"/>
      <c r="W12" s="805"/>
      <c r="X12" s="804"/>
      <c r="Y12" s="805"/>
      <c r="Z12" s="804"/>
      <c r="AA12" s="879"/>
    </row>
    <row r="13" spans="1:27" ht="28.5">
      <c r="A13" s="876" t="s">
        <v>2920</v>
      </c>
      <c r="B13" s="851" t="s">
        <v>2921</v>
      </c>
      <c r="C13" s="803"/>
      <c r="D13" s="804"/>
      <c r="E13" s="805"/>
      <c r="F13" s="804"/>
      <c r="G13" s="805"/>
      <c r="H13" s="804"/>
      <c r="I13" s="805"/>
      <c r="J13" s="804"/>
      <c r="K13" s="805"/>
      <c r="L13" s="804"/>
      <c r="M13" s="877"/>
      <c r="N13" s="878">
        <v>8</v>
      </c>
      <c r="O13" s="805"/>
      <c r="P13" s="804"/>
      <c r="Q13" s="805"/>
      <c r="R13" s="804"/>
      <c r="S13" s="805"/>
      <c r="T13" s="804"/>
      <c r="U13" s="805"/>
      <c r="V13" s="804"/>
      <c r="W13" s="805"/>
      <c r="X13" s="804"/>
      <c r="Y13" s="805"/>
      <c r="Z13" s="804"/>
      <c r="AA13" s="879"/>
    </row>
    <row r="14" spans="1:27" ht="14.25">
      <c r="A14" s="876" t="s">
        <v>2918</v>
      </c>
      <c r="B14" s="851" t="s">
        <v>2922</v>
      </c>
      <c r="C14" s="803"/>
      <c r="D14" s="804"/>
      <c r="E14" s="805"/>
      <c r="F14" s="804"/>
      <c r="G14" s="805"/>
      <c r="H14" s="804"/>
      <c r="I14" s="805"/>
      <c r="J14" s="804"/>
      <c r="K14" s="805"/>
      <c r="L14" s="804"/>
      <c r="M14" s="877"/>
      <c r="N14" s="878">
        <v>30</v>
      </c>
      <c r="O14" s="805"/>
      <c r="P14" s="804"/>
      <c r="Q14" s="805"/>
      <c r="R14" s="804"/>
      <c r="S14" s="805"/>
      <c r="T14" s="804"/>
      <c r="U14" s="805"/>
      <c r="V14" s="804"/>
      <c r="W14" s="805"/>
      <c r="X14" s="804"/>
      <c r="Y14" s="805"/>
      <c r="Z14" s="804"/>
      <c r="AA14" s="879"/>
    </row>
    <row r="15" spans="1:27" ht="14.25">
      <c r="A15" s="880">
        <v>2</v>
      </c>
      <c r="B15" s="881" t="s">
        <v>2696</v>
      </c>
      <c r="C15" s="803"/>
      <c r="D15" s="804"/>
      <c r="E15" s="805"/>
      <c r="F15" s="804"/>
      <c r="G15" s="805"/>
      <c r="H15" s="804"/>
      <c r="I15" s="805"/>
      <c r="J15" s="804"/>
      <c r="K15" s="805"/>
      <c r="L15" s="804"/>
      <c r="M15" s="877"/>
      <c r="N15" s="878"/>
      <c r="O15" s="805"/>
      <c r="P15" s="804"/>
      <c r="Q15" s="805"/>
      <c r="R15" s="804"/>
      <c r="S15" s="805"/>
      <c r="T15" s="804"/>
      <c r="U15" s="805"/>
      <c r="V15" s="804"/>
      <c r="W15" s="805"/>
      <c r="X15" s="804"/>
      <c r="Y15" s="805"/>
      <c r="Z15" s="804"/>
      <c r="AA15" s="879"/>
    </row>
    <row r="16" spans="1:27" ht="14.25">
      <c r="A16" s="748">
        <v>2.1</v>
      </c>
      <c r="B16" s="882" t="s">
        <v>2923</v>
      </c>
      <c r="C16" s="803">
        <v>12</v>
      </c>
      <c r="D16" s="804"/>
      <c r="E16" s="805"/>
      <c r="F16" s="804"/>
      <c r="G16" s="805"/>
      <c r="H16" s="804"/>
      <c r="I16" s="805"/>
      <c r="J16" s="804"/>
      <c r="K16" s="805"/>
      <c r="L16" s="804"/>
      <c r="M16" s="883">
        <v>40</v>
      </c>
      <c r="N16" s="884">
        <v>20</v>
      </c>
      <c r="O16" s="805"/>
      <c r="P16" s="804"/>
      <c r="Q16" s="805"/>
      <c r="R16" s="804"/>
      <c r="S16" s="805"/>
      <c r="T16" s="804"/>
      <c r="U16" s="805"/>
      <c r="V16" s="804"/>
      <c r="W16" s="805"/>
      <c r="X16" s="804"/>
      <c r="Y16" s="805"/>
      <c r="Z16" s="804"/>
      <c r="AA16" s="885"/>
    </row>
    <row r="17" spans="1:27" ht="14.25">
      <c r="A17" s="748">
        <v>2.2000000000000002</v>
      </c>
      <c r="B17" s="882" t="s">
        <v>2924</v>
      </c>
      <c r="C17" s="803">
        <v>12</v>
      </c>
      <c r="D17" s="804"/>
      <c r="E17" s="805"/>
      <c r="F17" s="804"/>
      <c r="G17" s="805"/>
      <c r="H17" s="804"/>
      <c r="I17" s="805"/>
      <c r="J17" s="804"/>
      <c r="K17" s="805"/>
      <c r="L17" s="804"/>
      <c r="M17" s="883">
        <v>40</v>
      </c>
      <c r="N17" s="884">
        <v>20</v>
      </c>
      <c r="O17" s="805"/>
      <c r="P17" s="804"/>
      <c r="Q17" s="805"/>
      <c r="R17" s="804"/>
      <c r="S17" s="805"/>
      <c r="T17" s="804"/>
      <c r="U17" s="805"/>
      <c r="V17" s="804"/>
      <c r="W17" s="805"/>
      <c r="X17" s="804"/>
      <c r="Y17" s="805"/>
      <c r="Z17" s="804"/>
      <c r="AA17" s="885"/>
    </row>
    <row r="18" spans="1:27" ht="14.25">
      <c r="A18" s="748">
        <v>2.2999999999999998</v>
      </c>
      <c r="B18" s="882" t="s">
        <v>2925</v>
      </c>
      <c r="C18" s="803">
        <v>12</v>
      </c>
      <c r="D18" s="804"/>
      <c r="E18" s="805"/>
      <c r="F18" s="804"/>
      <c r="G18" s="805"/>
      <c r="H18" s="804"/>
      <c r="I18" s="805"/>
      <c r="J18" s="804"/>
      <c r="K18" s="805"/>
      <c r="L18" s="804"/>
      <c r="M18" s="883">
        <v>40</v>
      </c>
      <c r="N18" s="884">
        <v>20</v>
      </c>
      <c r="O18" s="805"/>
      <c r="P18" s="804"/>
      <c r="Q18" s="805"/>
      <c r="R18" s="804"/>
      <c r="S18" s="805"/>
      <c r="T18" s="804"/>
      <c r="U18" s="805"/>
      <c r="V18" s="804"/>
      <c r="W18" s="805"/>
      <c r="X18" s="804"/>
      <c r="Y18" s="805"/>
      <c r="Z18" s="804"/>
      <c r="AA18" s="885"/>
    </row>
    <row r="19" spans="1:27" ht="14.25">
      <c r="A19" s="748">
        <v>2.4</v>
      </c>
      <c r="B19" s="882" t="s">
        <v>2926</v>
      </c>
      <c r="C19" s="803">
        <v>12</v>
      </c>
      <c r="D19" s="804"/>
      <c r="E19" s="805"/>
      <c r="F19" s="804"/>
      <c r="G19" s="805"/>
      <c r="H19" s="804"/>
      <c r="I19" s="805"/>
      <c r="J19" s="804"/>
      <c r="K19" s="805"/>
      <c r="L19" s="804"/>
      <c r="M19" s="883">
        <v>40</v>
      </c>
      <c r="N19" s="884">
        <v>20</v>
      </c>
      <c r="O19" s="805"/>
      <c r="P19" s="804"/>
      <c r="Q19" s="805"/>
      <c r="R19" s="804"/>
      <c r="S19" s="805"/>
      <c r="T19" s="804"/>
      <c r="U19" s="805"/>
      <c r="V19" s="804"/>
      <c r="W19" s="805"/>
      <c r="X19" s="804"/>
      <c r="Y19" s="805"/>
      <c r="Z19" s="804"/>
      <c r="AA19" s="885"/>
    </row>
    <row r="20" spans="1:27" ht="14.25">
      <c r="A20" s="748">
        <v>2.5</v>
      </c>
      <c r="B20" s="882" t="s">
        <v>2927</v>
      </c>
      <c r="C20" s="803">
        <v>12</v>
      </c>
      <c r="D20" s="804"/>
      <c r="E20" s="805"/>
      <c r="F20" s="804"/>
      <c r="G20" s="805"/>
      <c r="H20" s="804"/>
      <c r="I20" s="805"/>
      <c r="J20" s="804"/>
      <c r="K20" s="805"/>
      <c r="L20" s="804"/>
      <c r="M20" s="883">
        <v>40</v>
      </c>
      <c r="N20" s="884">
        <v>20</v>
      </c>
      <c r="O20" s="805"/>
      <c r="P20" s="804"/>
      <c r="Q20" s="805"/>
      <c r="R20" s="804"/>
      <c r="S20" s="805"/>
      <c r="T20" s="804"/>
      <c r="U20" s="805"/>
      <c r="V20" s="804"/>
      <c r="W20" s="805"/>
      <c r="X20" s="804"/>
      <c r="Y20" s="805"/>
      <c r="Z20" s="804"/>
      <c r="AA20" s="885"/>
    </row>
    <row r="21" spans="1:27" ht="14.25">
      <c r="A21" s="748">
        <v>2.6</v>
      </c>
      <c r="B21" s="882" t="s">
        <v>2928</v>
      </c>
      <c r="C21" s="803">
        <v>12</v>
      </c>
      <c r="D21" s="804"/>
      <c r="E21" s="805"/>
      <c r="F21" s="804"/>
      <c r="G21" s="805"/>
      <c r="H21" s="804"/>
      <c r="I21" s="805"/>
      <c r="J21" s="804"/>
      <c r="K21" s="805"/>
      <c r="L21" s="804"/>
      <c r="M21" s="883">
        <v>40</v>
      </c>
      <c r="N21" s="884">
        <v>20</v>
      </c>
      <c r="O21" s="805"/>
      <c r="P21" s="804"/>
      <c r="Q21" s="805"/>
      <c r="R21" s="804"/>
      <c r="S21" s="805"/>
      <c r="T21" s="804"/>
      <c r="U21" s="805"/>
      <c r="V21" s="804"/>
      <c r="W21" s="805"/>
      <c r="X21" s="804"/>
      <c r="Y21" s="805"/>
      <c r="Z21" s="804"/>
      <c r="AA21" s="885"/>
    </row>
    <row r="22" spans="1:27" ht="14.25">
      <c r="A22" s="748">
        <v>2.7</v>
      </c>
      <c r="B22" s="882" t="s">
        <v>2929</v>
      </c>
      <c r="C22" s="803">
        <v>12</v>
      </c>
      <c r="D22" s="804"/>
      <c r="E22" s="805"/>
      <c r="F22" s="804"/>
      <c r="G22" s="805"/>
      <c r="H22" s="804"/>
      <c r="I22" s="805"/>
      <c r="J22" s="804"/>
      <c r="K22" s="805"/>
      <c r="L22" s="804"/>
      <c r="M22" s="883">
        <v>40</v>
      </c>
      <c r="N22" s="884">
        <v>20</v>
      </c>
      <c r="O22" s="805"/>
      <c r="P22" s="804"/>
      <c r="Q22" s="805"/>
      <c r="R22" s="804"/>
      <c r="S22" s="805"/>
      <c r="T22" s="804"/>
      <c r="U22" s="805"/>
      <c r="V22" s="804"/>
      <c r="W22" s="805"/>
      <c r="X22" s="804"/>
      <c r="Y22" s="805"/>
      <c r="Z22" s="804"/>
      <c r="AA22" s="885"/>
    </row>
    <row r="23" spans="1:27" ht="14.25">
      <c r="A23" s="748">
        <v>2.8</v>
      </c>
      <c r="B23" s="882" t="s">
        <v>2930</v>
      </c>
      <c r="C23" s="803">
        <v>12</v>
      </c>
      <c r="D23" s="804"/>
      <c r="E23" s="805"/>
      <c r="F23" s="804"/>
      <c r="G23" s="805"/>
      <c r="H23" s="804"/>
      <c r="I23" s="805"/>
      <c r="J23" s="804"/>
      <c r="K23" s="805"/>
      <c r="L23" s="804"/>
      <c r="M23" s="883">
        <v>40</v>
      </c>
      <c r="N23" s="884">
        <v>20</v>
      </c>
      <c r="O23" s="805"/>
      <c r="P23" s="804"/>
      <c r="Q23" s="805"/>
      <c r="R23" s="804"/>
      <c r="S23" s="805"/>
      <c r="T23" s="804"/>
      <c r="U23" s="805"/>
      <c r="V23" s="804"/>
      <c r="W23" s="805"/>
      <c r="X23" s="804"/>
      <c r="Y23" s="805"/>
      <c r="Z23" s="804"/>
      <c r="AA23" s="885"/>
    </row>
    <row r="24" spans="1:27" ht="14.25">
      <c r="A24" s="748">
        <v>2.9</v>
      </c>
      <c r="B24" s="882" t="s">
        <v>2931</v>
      </c>
      <c r="C24" s="803">
        <v>12</v>
      </c>
      <c r="D24" s="804"/>
      <c r="E24" s="805"/>
      <c r="F24" s="804"/>
      <c r="G24" s="805"/>
      <c r="H24" s="804"/>
      <c r="I24" s="805"/>
      <c r="J24" s="804"/>
      <c r="K24" s="805"/>
      <c r="L24" s="804"/>
      <c r="M24" s="883">
        <v>40</v>
      </c>
      <c r="N24" s="884">
        <v>20</v>
      </c>
      <c r="O24" s="805"/>
      <c r="P24" s="804"/>
      <c r="Q24" s="805"/>
      <c r="R24" s="804"/>
      <c r="S24" s="805"/>
      <c r="T24" s="804"/>
      <c r="U24" s="805"/>
      <c r="V24" s="804"/>
      <c r="W24" s="805"/>
      <c r="X24" s="804"/>
      <c r="Y24" s="805"/>
      <c r="Z24" s="804"/>
      <c r="AA24" s="885"/>
    </row>
    <row r="25" spans="1:27" ht="14.25">
      <c r="A25" s="748" t="s">
        <v>2648</v>
      </c>
      <c r="B25" s="882" t="s">
        <v>2932</v>
      </c>
      <c r="C25" s="803">
        <v>12</v>
      </c>
      <c r="D25" s="804"/>
      <c r="E25" s="805"/>
      <c r="F25" s="804"/>
      <c r="G25" s="805"/>
      <c r="H25" s="804"/>
      <c r="I25" s="805"/>
      <c r="J25" s="804"/>
      <c r="K25" s="805"/>
      <c r="L25" s="804"/>
      <c r="M25" s="883">
        <v>40</v>
      </c>
      <c r="N25" s="884">
        <v>20</v>
      </c>
      <c r="O25" s="805"/>
      <c r="P25" s="804"/>
      <c r="Q25" s="805"/>
      <c r="R25" s="804"/>
      <c r="S25" s="805"/>
      <c r="T25" s="804"/>
      <c r="U25" s="805"/>
      <c r="V25" s="804"/>
      <c r="W25" s="805"/>
      <c r="X25" s="804"/>
      <c r="Y25" s="805"/>
      <c r="Z25" s="804"/>
      <c r="AA25" s="885"/>
    </row>
    <row r="26" spans="1:27" ht="14.25">
      <c r="A26" s="748">
        <v>2.11</v>
      </c>
      <c r="B26" s="882" t="s">
        <v>2933</v>
      </c>
      <c r="C26" s="803">
        <v>12</v>
      </c>
      <c r="D26" s="804"/>
      <c r="E26" s="805"/>
      <c r="F26" s="804"/>
      <c r="G26" s="805"/>
      <c r="H26" s="804"/>
      <c r="I26" s="805"/>
      <c r="J26" s="804"/>
      <c r="K26" s="805"/>
      <c r="L26" s="804"/>
      <c r="M26" s="883">
        <v>40</v>
      </c>
      <c r="N26" s="884">
        <v>20</v>
      </c>
      <c r="O26" s="805"/>
      <c r="P26" s="804"/>
      <c r="Q26" s="805"/>
      <c r="R26" s="804"/>
      <c r="S26" s="805"/>
      <c r="T26" s="804"/>
      <c r="U26" s="805"/>
      <c r="V26" s="804"/>
      <c r="W26" s="805"/>
      <c r="X26" s="804"/>
      <c r="Y26" s="805"/>
      <c r="Z26" s="804"/>
      <c r="AA26" s="885"/>
    </row>
    <row r="27" spans="1:27" ht="14.25">
      <c r="A27" s="748">
        <v>2.12</v>
      </c>
      <c r="B27" s="882" t="s">
        <v>2934</v>
      </c>
      <c r="C27" s="803">
        <v>12</v>
      </c>
      <c r="D27" s="804"/>
      <c r="E27" s="805"/>
      <c r="F27" s="804"/>
      <c r="G27" s="805"/>
      <c r="H27" s="804"/>
      <c r="I27" s="805"/>
      <c r="J27" s="804"/>
      <c r="K27" s="805"/>
      <c r="L27" s="804"/>
      <c r="M27" s="883">
        <v>40</v>
      </c>
      <c r="N27" s="884">
        <v>20</v>
      </c>
      <c r="O27" s="805"/>
      <c r="P27" s="804"/>
      <c r="Q27" s="805"/>
      <c r="R27" s="804"/>
      <c r="S27" s="805"/>
      <c r="T27" s="804"/>
      <c r="U27" s="805"/>
      <c r="V27" s="804"/>
      <c r="W27" s="805"/>
      <c r="X27" s="804"/>
      <c r="Y27" s="805"/>
      <c r="Z27" s="804"/>
      <c r="AA27" s="885"/>
    </row>
    <row r="28" spans="1:27" ht="14.25">
      <c r="A28" s="748">
        <v>2.13</v>
      </c>
      <c r="B28" s="882" t="s">
        <v>2935</v>
      </c>
      <c r="C28" s="803">
        <v>12</v>
      </c>
      <c r="D28" s="804"/>
      <c r="E28" s="805"/>
      <c r="F28" s="804"/>
      <c r="G28" s="805"/>
      <c r="H28" s="804"/>
      <c r="I28" s="805"/>
      <c r="J28" s="804"/>
      <c r="K28" s="805"/>
      <c r="L28" s="804"/>
      <c r="M28" s="883">
        <v>40</v>
      </c>
      <c r="N28" s="884">
        <v>20</v>
      </c>
      <c r="O28" s="805"/>
      <c r="P28" s="804"/>
      <c r="Q28" s="805"/>
      <c r="R28" s="804"/>
      <c r="S28" s="805"/>
      <c r="T28" s="804"/>
      <c r="U28" s="805"/>
      <c r="V28" s="804"/>
      <c r="W28" s="805"/>
      <c r="X28" s="804"/>
      <c r="Y28" s="805"/>
      <c r="Z28" s="804"/>
      <c r="AA28" s="885"/>
    </row>
    <row r="29" spans="1:27" ht="14.25">
      <c r="A29" s="748">
        <v>2.14</v>
      </c>
      <c r="B29" s="882" t="s">
        <v>2936</v>
      </c>
      <c r="C29" s="803">
        <v>12</v>
      </c>
      <c r="D29" s="804"/>
      <c r="E29" s="805"/>
      <c r="F29" s="804"/>
      <c r="G29" s="805"/>
      <c r="H29" s="804"/>
      <c r="I29" s="805"/>
      <c r="J29" s="804"/>
      <c r="K29" s="805"/>
      <c r="L29" s="804"/>
      <c r="M29" s="883">
        <v>45</v>
      </c>
      <c r="N29" s="884">
        <v>30</v>
      </c>
      <c r="O29" s="805"/>
      <c r="P29" s="804"/>
      <c r="Q29" s="805"/>
      <c r="R29" s="804"/>
      <c r="S29" s="805"/>
      <c r="T29" s="804"/>
      <c r="U29" s="805"/>
      <c r="V29" s="804"/>
      <c r="W29" s="805"/>
      <c r="X29" s="804"/>
      <c r="Y29" s="805"/>
      <c r="Z29" s="804"/>
      <c r="AA29" s="885"/>
    </row>
    <row r="30" spans="1:27" ht="14.25">
      <c r="A30" s="748">
        <v>2.15</v>
      </c>
      <c r="B30" s="882" t="s">
        <v>2937</v>
      </c>
      <c r="C30" s="803">
        <v>12</v>
      </c>
      <c r="D30" s="804"/>
      <c r="E30" s="805"/>
      <c r="F30" s="804"/>
      <c r="G30" s="805"/>
      <c r="H30" s="804"/>
      <c r="I30" s="805"/>
      <c r="J30" s="804"/>
      <c r="K30" s="805"/>
      <c r="L30" s="804"/>
      <c r="M30" s="883">
        <v>45</v>
      </c>
      <c r="N30" s="884">
        <v>30</v>
      </c>
      <c r="O30" s="805"/>
      <c r="P30" s="804"/>
      <c r="Q30" s="805"/>
      <c r="R30" s="804"/>
      <c r="S30" s="805"/>
      <c r="T30" s="804"/>
      <c r="U30" s="805"/>
      <c r="V30" s="804"/>
      <c r="W30" s="805"/>
      <c r="X30" s="804"/>
      <c r="Y30" s="805"/>
      <c r="Z30" s="804"/>
      <c r="AA30" s="885"/>
    </row>
    <row r="31" spans="1:27" ht="14.25">
      <c r="A31" s="748">
        <v>2.16</v>
      </c>
      <c r="B31" s="851" t="s">
        <v>2938</v>
      </c>
      <c r="C31" s="803">
        <v>12</v>
      </c>
      <c r="D31" s="804"/>
      <c r="E31" s="805"/>
      <c r="F31" s="804"/>
      <c r="G31" s="805"/>
      <c r="H31" s="804"/>
      <c r="I31" s="805"/>
      <c r="J31" s="804"/>
      <c r="K31" s="805"/>
      <c r="L31" s="804"/>
      <c r="M31" s="877">
        <v>45</v>
      </c>
      <c r="N31" s="878">
        <v>20</v>
      </c>
      <c r="O31" s="805"/>
      <c r="P31" s="804"/>
      <c r="Q31" s="805"/>
      <c r="R31" s="804"/>
      <c r="S31" s="805"/>
      <c r="T31" s="804"/>
      <c r="U31" s="805"/>
      <c r="V31" s="804"/>
      <c r="W31" s="805"/>
      <c r="X31" s="804"/>
      <c r="Y31" s="805"/>
      <c r="Z31" s="804"/>
      <c r="AA31" s="879"/>
    </row>
    <row r="32" spans="1:27" ht="14.25">
      <c r="A32" s="748">
        <v>2.17</v>
      </c>
      <c r="B32" s="882" t="s">
        <v>2939</v>
      </c>
      <c r="C32" s="803">
        <v>12</v>
      </c>
      <c r="D32" s="804"/>
      <c r="E32" s="805"/>
      <c r="F32" s="804"/>
      <c r="G32" s="805"/>
      <c r="H32" s="804"/>
      <c r="I32" s="805"/>
      <c r="J32" s="804"/>
      <c r="K32" s="805"/>
      <c r="L32" s="804"/>
      <c r="M32" s="883">
        <v>45</v>
      </c>
      <c r="N32" s="884">
        <v>20</v>
      </c>
      <c r="O32" s="805"/>
      <c r="P32" s="804"/>
      <c r="Q32" s="805"/>
      <c r="R32" s="804"/>
      <c r="S32" s="805"/>
      <c r="T32" s="804"/>
      <c r="U32" s="805"/>
      <c r="V32" s="804"/>
      <c r="W32" s="805"/>
      <c r="X32" s="804"/>
      <c r="Y32" s="805"/>
      <c r="Z32" s="804"/>
      <c r="AA32" s="885"/>
    </row>
    <row r="33" spans="1:27" ht="14.25">
      <c r="A33" s="748">
        <v>2.1800000000000002</v>
      </c>
      <c r="B33" s="851" t="s">
        <v>2940</v>
      </c>
      <c r="C33" s="803">
        <v>12</v>
      </c>
      <c r="D33" s="804"/>
      <c r="E33" s="805"/>
      <c r="F33" s="804"/>
      <c r="G33" s="805"/>
      <c r="H33" s="804"/>
      <c r="I33" s="805"/>
      <c r="J33" s="804"/>
      <c r="K33" s="805"/>
      <c r="L33" s="804"/>
      <c r="M33" s="877">
        <v>15</v>
      </c>
      <c r="N33" s="878">
        <v>25</v>
      </c>
      <c r="O33" s="805"/>
      <c r="P33" s="804"/>
      <c r="Q33" s="805"/>
      <c r="R33" s="804"/>
      <c r="S33" s="805"/>
      <c r="T33" s="804"/>
      <c r="U33" s="805"/>
      <c r="V33" s="804"/>
      <c r="W33" s="805"/>
      <c r="X33" s="804"/>
      <c r="Y33" s="805"/>
      <c r="Z33" s="804"/>
      <c r="AA33" s="879"/>
    </row>
    <row r="34" spans="1:27" ht="14.25">
      <c r="A34" s="748">
        <v>2.19</v>
      </c>
      <c r="B34" s="882" t="s">
        <v>2941</v>
      </c>
      <c r="C34" s="803">
        <v>12</v>
      </c>
      <c r="D34" s="804"/>
      <c r="E34" s="805"/>
      <c r="F34" s="804"/>
      <c r="G34" s="805"/>
      <c r="H34" s="804"/>
      <c r="I34" s="805"/>
      <c r="J34" s="804"/>
      <c r="K34" s="805"/>
      <c r="L34" s="804"/>
      <c r="M34" s="883">
        <v>25</v>
      </c>
      <c r="N34" s="884">
        <v>20</v>
      </c>
      <c r="O34" s="805"/>
      <c r="P34" s="804"/>
      <c r="Q34" s="805"/>
      <c r="R34" s="804"/>
      <c r="S34" s="805"/>
      <c r="T34" s="804"/>
      <c r="U34" s="805"/>
      <c r="V34" s="804"/>
      <c r="W34" s="805"/>
      <c r="X34" s="804"/>
      <c r="Y34" s="805"/>
      <c r="Z34" s="804"/>
      <c r="AA34" s="885"/>
    </row>
    <row r="35" spans="1:27" ht="14.25">
      <c r="A35" s="748" t="s">
        <v>2942</v>
      </c>
      <c r="B35" s="882" t="s">
        <v>2943</v>
      </c>
      <c r="C35" s="803">
        <v>12</v>
      </c>
      <c r="D35" s="804"/>
      <c r="E35" s="805"/>
      <c r="F35" s="804"/>
      <c r="G35" s="805"/>
      <c r="H35" s="804"/>
      <c r="I35" s="805"/>
      <c r="J35" s="804"/>
      <c r="K35" s="805"/>
      <c r="L35" s="804"/>
      <c r="M35" s="883">
        <v>15</v>
      </c>
      <c r="N35" s="884">
        <v>40</v>
      </c>
      <c r="O35" s="805"/>
      <c r="P35" s="804"/>
      <c r="Q35" s="805"/>
      <c r="R35" s="804"/>
      <c r="S35" s="805"/>
      <c r="T35" s="804"/>
      <c r="U35" s="805"/>
      <c r="V35" s="804"/>
      <c r="W35" s="805"/>
      <c r="X35" s="804"/>
      <c r="Y35" s="805"/>
      <c r="Z35" s="804"/>
      <c r="AA35" s="885"/>
    </row>
    <row r="36" spans="1:27" ht="14.25">
      <c r="A36" s="886">
        <v>2.21</v>
      </c>
      <c r="B36" s="851" t="s">
        <v>2944</v>
      </c>
      <c r="C36" s="803"/>
      <c r="D36" s="804"/>
      <c r="E36" s="805"/>
      <c r="F36" s="804"/>
      <c r="G36" s="805"/>
      <c r="H36" s="804"/>
      <c r="I36" s="805"/>
      <c r="J36" s="804"/>
      <c r="K36" s="805"/>
      <c r="L36" s="804"/>
      <c r="M36" s="883">
        <v>100</v>
      </c>
      <c r="N36" s="884">
        <v>40</v>
      </c>
      <c r="O36" s="805"/>
      <c r="P36" s="804"/>
      <c r="Q36" s="805"/>
      <c r="R36" s="804"/>
      <c r="S36" s="805"/>
      <c r="T36" s="804"/>
      <c r="U36" s="805"/>
      <c r="V36" s="804"/>
      <c r="W36" s="887"/>
      <c r="X36" s="888"/>
      <c r="Y36" s="805"/>
      <c r="Z36" s="804"/>
      <c r="AA36" s="885"/>
    </row>
    <row r="37" spans="1:27" ht="14.25">
      <c r="A37" s="748">
        <v>2.2200000000000002</v>
      </c>
      <c r="B37" s="851" t="s">
        <v>2945</v>
      </c>
      <c r="C37" s="803"/>
      <c r="D37" s="804"/>
      <c r="E37" s="805"/>
      <c r="F37" s="804"/>
      <c r="G37" s="805"/>
      <c r="H37" s="804"/>
      <c r="I37" s="805">
        <v>8</v>
      </c>
      <c r="J37" s="804"/>
      <c r="K37" s="805"/>
      <c r="L37" s="804"/>
      <c r="M37" s="877">
        <v>40</v>
      </c>
      <c r="N37" s="878">
        <v>45</v>
      </c>
      <c r="O37" s="805"/>
      <c r="P37" s="804"/>
      <c r="Q37" s="805"/>
      <c r="R37" s="804"/>
      <c r="S37" s="805"/>
      <c r="T37" s="804"/>
      <c r="U37" s="805"/>
      <c r="V37" s="804"/>
      <c r="W37" s="805"/>
      <c r="X37" s="804"/>
      <c r="Y37" s="805"/>
      <c r="Z37" s="804"/>
      <c r="AA37" s="879"/>
    </row>
    <row r="38" spans="1:27" ht="14.25">
      <c r="A38" s="880">
        <v>3</v>
      </c>
      <c r="B38" s="881" t="s">
        <v>2946</v>
      </c>
      <c r="C38" s="803"/>
      <c r="D38" s="804"/>
      <c r="E38" s="805"/>
      <c r="F38" s="804"/>
      <c r="G38" s="805"/>
      <c r="H38" s="804"/>
      <c r="I38" s="805"/>
      <c r="J38" s="804"/>
      <c r="K38" s="805"/>
      <c r="L38" s="804"/>
      <c r="M38" s="877"/>
      <c r="N38" s="878"/>
      <c r="O38" s="805"/>
      <c r="P38" s="804"/>
      <c r="Q38" s="805"/>
      <c r="R38" s="804"/>
      <c r="S38" s="805"/>
      <c r="T38" s="804"/>
      <c r="U38" s="805"/>
      <c r="V38" s="804"/>
      <c r="W38" s="805"/>
      <c r="X38" s="804"/>
      <c r="Y38" s="805"/>
      <c r="Z38" s="804"/>
      <c r="AA38" s="879"/>
    </row>
    <row r="39" spans="1:27" ht="14.25">
      <c r="A39" s="876" t="s">
        <v>2947</v>
      </c>
      <c r="B39" s="851" t="s">
        <v>2948</v>
      </c>
      <c r="C39" s="803">
        <v>8</v>
      </c>
      <c r="D39" s="804"/>
      <c r="E39" s="805"/>
      <c r="F39" s="804"/>
      <c r="G39" s="805"/>
      <c r="H39" s="804"/>
      <c r="I39" s="805"/>
      <c r="J39" s="804"/>
      <c r="K39" s="805"/>
      <c r="L39" s="804"/>
      <c r="M39" s="877">
        <v>90</v>
      </c>
      <c r="N39" s="878">
        <v>30</v>
      </c>
      <c r="O39" s="805"/>
      <c r="P39" s="804"/>
      <c r="Q39" s="805"/>
      <c r="R39" s="804"/>
      <c r="S39" s="805"/>
      <c r="T39" s="804"/>
      <c r="U39" s="805"/>
      <c r="V39" s="804"/>
      <c r="W39" s="805"/>
      <c r="X39" s="804"/>
      <c r="Y39" s="805"/>
      <c r="Z39" s="804"/>
      <c r="AA39" s="879"/>
    </row>
    <row r="40" spans="1:27" ht="14.25">
      <c r="A40" s="876" t="s">
        <v>2949</v>
      </c>
      <c r="B40" s="851" t="s">
        <v>2950</v>
      </c>
      <c r="C40" s="803">
        <v>4</v>
      </c>
      <c r="D40" s="804"/>
      <c r="E40" s="805"/>
      <c r="F40" s="804"/>
      <c r="G40" s="805"/>
      <c r="H40" s="804"/>
      <c r="I40" s="805"/>
      <c r="J40" s="804"/>
      <c r="K40" s="805"/>
      <c r="L40" s="804"/>
      <c r="M40" s="877">
        <v>65</v>
      </c>
      <c r="N40" s="878">
        <v>25</v>
      </c>
      <c r="O40" s="805"/>
      <c r="P40" s="804"/>
      <c r="Q40" s="805"/>
      <c r="R40" s="804"/>
      <c r="S40" s="805"/>
      <c r="T40" s="804"/>
      <c r="U40" s="805"/>
      <c r="V40" s="804"/>
      <c r="W40" s="805"/>
      <c r="X40" s="804"/>
      <c r="Y40" s="805"/>
      <c r="Z40" s="804"/>
      <c r="AA40" s="879"/>
    </row>
    <row r="41" spans="1:27" ht="14.25">
      <c r="A41" s="876" t="s">
        <v>2951</v>
      </c>
      <c r="B41" s="851" t="s">
        <v>2952</v>
      </c>
      <c r="C41" s="803">
        <v>4</v>
      </c>
      <c r="D41" s="804"/>
      <c r="E41" s="805"/>
      <c r="F41" s="804"/>
      <c r="G41" s="805"/>
      <c r="H41" s="804"/>
      <c r="I41" s="805"/>
      <c r="J41" s="804"/>
      <c r="K41" s="805"/>
      <c r="L41" s="804"/>
      <c r="M41" s="877">
        <v>60</v>
      </c>
      <c r="N41" s="878">
        <v>25</v>
      </c>
      <c r="O41" s="805"/>
      <c r="P41" s="804"/>
      <c r="Q41" s="805"/>
      <c r="R41" s="804"/>
      <c r="S41" s="805"/>
      <c r="T41" s="804"/>
      <c r="U41" s="805"/>
      <c r="V41" s="804"/>
      <c r="W41" s="805"/>
      <c r="X41" s="804"/>
      <c r="Y41" s="805"/>
      <c r="Z41" s="804"/>
      <c r="AA41" s="879"/>
    </row>
    <row r="42" spans="1:27" ht="14.25">
      <c r="A42" s="876" t="s">
        <v>2953</v>
      </c>
      <c r="B42" s="851" t="s">
        <v>2954</v>
      </c>
      <c r="C42" s="803">
        <v>4</v>
      </c>
      <c r="D42" s="804"/>
      <c r="E42" s="805"/>
      <c r="F42" s="804"/>
      <c r="G42" s="805"/>
      <c r="H42" s="804"/>
      <c r="I42" s="805"/>
      <c r="J42" s="804"/>
      <c r="K42" s="805"/>
      <c r="L42" s="804"/>
      <c r="M42" s="877">
        <v>40</v>
      </c>
      <c r="N42" s="878">
        <v>30</v>
      </c>
      <c r="O42" s="805"/>
      <c r="P42" s="804"/>
      <c r="Q42" s="805"/>
      <c r="R42" s="804"/>
      <c r="S42" s="805"/>
      <c r="T42" s="804"/>
      <c r="U42" s="805"/>
      <c r="V42" s="804"/>
      <c r="W42" s="805"/>
      <c r="X42" s="804"/>
      <c r="Y42" s="805"/>
      <c r="Z42" s="804"/>
      <c r="AA42" s="879"/>
    </row>
    <row r="43" spans="1:27" ht="14.25">
      <c r="A43" s="876" t="s">
        <v>2955</v>
      </c>
      <c r="B43" s="851" t="s">
        <v>2956</v>
      </c>
      <c r="C43" s="803">
        <v>4</v>
      </c>
      <c r="D43" s="804">
        <v>8</v>
      </c>
      <c r="E43" s="805"/>
      <c r="F43" s="804"/>
      <c r="G43" s="805"/>
      <c r="H43" s="804"/>
      <c r="I43" s="805"/>
      <c r="J43" s="804"/>
      <c r="K43" s="805"/>
      <c r="L43" s="804"/>
      <c r="M43" s="877">
        <v>40</v>
      </c>
      <c r="N43" s="878">
        <v>20</v>
      </c>
      <c r="O43" s="805"/>
      <c r="P43" s="804"/>
      <c r="Q43" s="805"/>
      <c r="R43" s="804"/>
      <c r="S43" s="805"/>
      <c r="T43" s="804"/>
      <c r="U43" s="805"/>
      <c r="V43" s="804"/>
      <c r="W43" s="805"/>
      <c r="X43" s="804"/>
      <c r="Y43" s="805"/>
      <c r="Z43" s="804"/>
      <c r="AA43" s="879"/>
    </row>
    <row r="44" spans="1:27" ht="14.25">
      <c r="A44" s="876" t="s">
        <v>2957</v>
      </c>
      <c r="B44" s="851" t="s">
        <v>2958</v>
      </c>
      <c r="C44" s="803"/>
      <c r="D44" s="804"/>
      <c r="E44" s="805"/>
      <c r="F44" s="804"/>
      <c r="G44" s="805"/>
      <c r="H44" s="804"/>
      <c r="I44" s="805"/>
      <c r="J44" s="804"/>
      <c r="K44" s="805"/>
      <c r="L44" s="804"/>
      <c r="M44" s="877">
        <v>25</v>
      </c>
      <c r="N44" s="878">
        <v>30</v>
      </c>
      <c r="O44" s="805"/>
      <c r="P44" s="804"/>
      <c r="Q44" s="805"/>
      <c r="R44" s="804"/>
      <c r="S44" s="805"/>
      <c r="T44" s="804"/>
      <c r="U44" s="805"/>
      <c r="V44" s="804"/>
      <c r="W44" s="805"/>
      <c r="X44" s="804"/>
      <c r="Y44" s="805"/>
      <c r="Z44" s="804"/>
      <c r="AA44" s="879"/>
    </row>
    <row r="45" spans="1:27" ht="14.25">
      <c r="A45" s="876" t="s">
        <v>2959</v>
      </c>
      <c r="B45" s="851" t="s">
        <v>2960</v>
      </c>
      <c r="C45" s="803"/>
      <c r="D45" s="804"/>
      <c r="E45" s="805"/>
      <c r="F45" s="804"/>
      <c r="G45" s="805"/>
      <c r="H45" s="804"/>
      <c r="I45" s="805"/>
      <c r="J45" s="804"/>
      <c r="K45" s="805"/>
      <c r="L45" s="804"/>
      <c r="M45" s="877">
        <v>25</v>
      </c>
      <c r="N45" s="878">
        <v>25</v>
      </c>
      <c r="O45" s="805"/>
      <c r="P45" s="804"/>
      <c r="Q45" s="805"/>
      <c r="R45" s="804"/>
      <c r="S45" s="805"/>
      <c r="T45" s="804"/>
      <c r="U45" s="805"/>
      <c r="V45" s="804"/>
      <c r="W45" s="805"/>
      <c r="X45" s="804"/>
      <c r="Y45" s="805"/>
      <c r="Z45" s="804"/>
      <c r="AA45" s="879"/>
    </row>
    <row r="46" spans="1:27" ht="14.25">
      <c r="A46" s="876" t="s">
        <v>2961</v>
      </c>
      <c r="B46" s="851" t="s">
        <v>2962</v>
      </c>
      <c r="C46" s="803"/>
      <c r="D46" s="804"/>
      <c r="E46" s="805"/>
      <c r="F46" s="804"/>
      <c r="G46" s="805"/>
      <c r="H46" s="804"/>
      <c r="I46" s="805"/>
      <c r="J46" s="804"/>
      <c r="K46" s="805"/>
      <c r="L46" s="804"/>
      <c r="M46" s="877">
        <v>80</v>
      </c>
      <c r="N46" s="878">
        <v>30</v>
      </c>
      <c r="O46" s="805"/>
      <c r="P46" s="804"/>
      <c r="Q46" s="805"/>
      <c r="R46" s="804"/>
      <c r="S46" s="805"/>
      <c r="T46" s="804"/>
      <c r="U46" s="805"/>
      <c r="V46" s="804"/>
      <c r="W46" s="805"/>
      <c r="X46" s="804"/>
      <c r="Y46" s="805"/>
      <c r="Z46" s="804"/>
      <c r="AA46" s="879"/>
    </row>
    <row r="47" spans="1:27" ht="14.25">
      <c r="A47" s="876" t="s">
        <v>2963</v>
      </c>
      <c r="B47" s="851" t="s">
        <v>2964</v>
      </c>
      <c r="C47" s="803"/>
      <c r="D47" s="804"/>
      <c r="E47" s="805"/>
      <c r="F47" s="804"/>
      <c r="G47" s="805"/>
      <c r="H47" s="804"/>
      <c r="I47" s="805"/>
      <c r="J47" s="804"/>
      <c r="K47" s="805"/>
      <c r="L47" s="804"/>
      <c r="M47" s="877">
        <v>30</v>
      </c>
      <c r="N47" s="878">
        <v>5</v>
      </c>
      <c r="O47" s="805"/>
      <c r="P47" s="804"/>
      <c r="Q47" s="805"/>
      <c r="R47" s="804"/>
      <c r="S47" s="805"/>
      <c r="T47" s="804"/>
      <c r="U47" s="805"/>
      <c r="V47" s="804"/>
      <c r="W47" s="805"/>
      <c r="X47" s="804"/>
      <c r="Y47" s="805"/>
      <c r="Z47" s="804"/>
      <c r="AA47" s="879"/>
    </row>
    <row r="48" spans="1:27" ht="14.25">
      <c r="A48" s="880">
        <v>4</v>
      </c>
      <c r="B48" s="881" t="s">
        <v>2340</v>
      </c>
      <c r="C48" s="803"/>
      <c r="D48" s="804"/>
      <c r="E48" s="805"/>
      <c r="F48" s="804"/>
      <c r="G48" s="805"/>
      <c r="H48" s="804"/>
      <c r="I48" s="805"/>
      <c r="J48" s="804"/>
      <c r="K48" s="805"/>
      <c r="L48" s="804"/>
      <c r="M48" s="877"/>
      <c r="N48" s="878"/>
      <c r="O48" s="805"/>
      <c r="P48" s="804"/>
      <c r="Q48" s="805"/>
      <c r="R48" s="804"/>
      <c r="S48" s="805"/>
      <c r="T48" s="804"/>
      <c r="U48" s="805"/>
      <c r="V48" s="804"/>
      <c r="W48" s="805"/>
      <c r="X48" s="804"/>
      <c r="Y48" s="805"/>
      <c r="Z48" s="804"/>
      <c r="AA48" s="879"/>
    </row>
    <row r="49" spans="1:27" ht="14.25">
      <c r="A49" s="748">
        <v>4.0999999999999996</v>
      </c>
      <c r="B49" s="851" t="s">
        <v>2965</v>
      </c>
      <c r="C49" s="803"/>
      <c r="D49" s="804"/>
      <c r="E49" s="805"/>
      <c r="F49" s="804"/>
      <c r="G49" s="805"/>
      <c r="H49" s="804"/>
      <c r="I49" s="805"/>
      <c r="J49" s="804"/>
      <c r="K49" s="805"/>
      <c r="L49" s="804"/>
      <c r="M49" s="877">
        <v>80</v>
      </c>
      <c r="N49" s="878">
        <v>50</v>
      </c>
      <c r="O49" s="805"/>
      <c r="P49" s="804"/>
      <c r="Q49" s="805"/>
      <c r="R49" s="804"/>
      <c r="S49" s="805"/>
      <c r="T49" s="804"/>
      <c r="U49" s="805"/>
      <c r="V49" s="804"/>
      <c r="W49" s="805"/>
      <c r="X49" s="804"/>
      <c r="Y49" s="805"/>
      <c r="Z49" s="804"/>
      <c r="AA49" s="879"/>
    </row>
    <row r="50" spans="1:27" ht="14.25">
      <c r="A50" s="748">
        <v>4.2</v>
      </c>
      <c r="B50" s="851" t="s">
        <v>2966</v>
      </c>
      <c r="C50" s="803"/>
      <c r="D50" s="804"/>
      <c r="E50" s="805"/>
      <c r="F50" s="804"/>
      <c r="G50" s="805"/>
      <c r="H50" s="804"/>
      <c r="I50" s="805"/>
      <c r="J50" s="804"/>
      <c r="K50" s="805"/>
      <c r="L50" s="804"/>
      <c r="M50" s="877">
        <v>80</v>
      </c>
      <c r="N50" s="878">
        <v>50</v>
      </c>
      <c r="O50" s="805"/>
      <c r="P50" s="804"/>
      <c r="Q50" s="805"/>
      <c r="R50" s="804"/>
      <c r="S50" s="805"/>
      <c r="T50" s="804"/>
      <c r="U50" s="805"/>
      <c r="V50" s="804"/>
      <c r="W50" s="805"/>
      <c r="X50" s="804"/>
      <c r="Y50" s="805"/>
      <c r="Z50" s="804"/>
      <c r="AA50" s="879"/>
    </row>
    <row r="51" spans="1:27" ht="14.25">
      <c r="A51" s="748">
        <v>4.3</v>
      </c>
      <c r="B51" s="882" t="s">
        <v>2967</v>
      </c>
      <c r="C51" s="803"/>
      <c r="D51" s="804"/>
      <c r="E51" s="805"/>
      <c r="F51" s="804"/>
      <c r="G51" s="805"/>
      <c r="H51" s="804"/>
      <c r="I51" s="805"/>
      <c r="J51" s="804"/>
      <c r="K51" s="805"/>
      <c r="L51" s="804"/>
      <c r="M51" s="883">
        <v>80</v>
      </c>
      <c r="N51" s="884">
        <v>50</v>
      </c>
      <c r="O51" s="805"/>
      <c r="P51" s="804"/>
      <c r="Q51" s="805"/>
      <c r="R51" s="804"/>
      <c r="S51" s="805"/>
      <c r="T51" s="804"/>
      <c r="U51" s="805"/>
      <c r="V51" s="804"/>
      <c r="W51" s="805"/>
      <c r="X51" s="804"/>
      <c r="Y51" s="805"/>
      <c r="Z51" s="804"/>
      <c r="AA51" s="885"/>
    </row>
    <row r="52" spans="1:27" ht="14.25">
      <c r="A52" s="748">
        <v>4.4000000000000004</v>
      </c>
      <c r="B52" s="882" t="s">
        <v>2968</v>
      </c>
      <c r="C52" s="803"/>
      <c r="D52" s="804"/>
      <c r="E52" s="805"/>
      <c r="F52" s="804"/>
      <c r="G52" s="805"/>
      <c r="H52" s="804"/>
      <c r="I52" s="805"/>
      <c r="J52" s="804"/>
      <c r="K52" s="805"/>
      <c r="L52" s="804"/>
      <c r="M52" s="883">
        <v>10</v>
      </c>
      <c r="N52" s="884">
        <v>5</v>
      </c>
      <c r="O52" s="805"/>
      <c r="P52" s="804"/>
      <c r="Q52" s="805"/>
      <c r="R52" s="804"/>
      <c r="S52" s="805"/>
      <c r="T52" s="804"/>
      <c r="U52" s="805"/>
      <c r="V52" s="804"/>
      <c r="W52" s="805"/>
      <c r="X52" s="804"/>
      <c r="Y52" s="805"/>
      <c r="Z52" s="804"/>
      <c r="AA52" s="885"/>
    </row>
    <row r="53" spans="1:27" ht="14.25">
      <c r="A53" s="748">
        <v>4.5</v>
      </c>
      <c r="B53" s="882" t="s">
        <v>2969</v>
      </c>
      <c r="C53" s="803"/>
      <c r="D53" s="804"/>
      <c r="E53" s="805"/>
      <c r="F53" s="804"/>
      <c r="G53" s="805"/>
      <c r="H53" s="804"/>
      <c r="I53" s="805"/>
      <c r="J53" s="804"/>
      <c r="K53" s="805"/>
      <c r="L53" s="804"/>
      <c r="M53" s="883">
        <v>25</v>
      </c>
      <c r="N53" s="884">
        <v>20</v>
      </c>
      <c r="O53" s="805"/>
      <c r="P53" s="804"/>
      <c r="Q53" s="805"/>
      <c r="R53" s="804"/>
      <c r="S53" s="805"/>
      <c r="T53" s="804"/>
      <c r="U53" s="805"/>
      <c r="V53" s="804"/>
      <c r="W53" s="805"/>
      <c r="X53" s="804"/>
      <c r="Y53" s="805"/>
      <c r="Z53" s="804"/>
      <c r="AA53" s="885"/>
    </row>
    <row r="54" spans="1:27" ht="14.25">
      <c r="A54" s="880">
        <v>5</v>
      </c>
      <c r="B54" s="881" t="s">
        <v>2970</v>
      </c>
      <c r="C54" s="803"/>
      <c r="D54" s="804"/>
      <c r="E54" s="805"/>
      <c r="F54" s="804"/>
      <c r="G54" s="805"/>
      <c r="H54" s="804"/>
      <c r="I54" s="805"/>
      <c r="J54" s="804"/>
      <c r="K54" s="805"/>
      <c r="L54" s="804"/>
      <c r="M54" s="877"/>
      <c r="N54" s="878"/>
      <c r="O54" s="805"/>
      <c r="P54" s="804"/>
      <c r="Q54" s="805"/>
      <c r="R54" s="804"/>
      <c r="S54" s="805"/>
      <c r="T54" s="804"/>
      <c r="U54" s="805"/>
      <c r="V54" s="804"/>
      <c r="W54" s="805"/>
      <c r="X54" s="804"/>
      <c r="Y54" s="805"/>
      <c r="Z54" s="804"/>
      <c r="AA54" s="879"/>
    </row>
    <row r="55" spans="1:27" ht="14.25">
      <c r="A55" s="748">
        <v>5.0999999999999996</v>
      </c>
      <c r="B55" s="851" t="s">
        <v>2971</v>
      </c>
      <c r="C55" s="803"/>
      <c r="D55" s="804">
        <v>8</v>
      </c>
      <c r="E55" s="805"/>
      <c r="F55" s="804"/>
      <c r="G55" s="805"/>
      <c r="H55" s="804"/>
      <c r="I55" s="805"/>
      <c r="J55" s="804"/>
      <c r="K55" s="805"/>
      <c r="L55" s="804"/>
      <c r="M55" s="877"/>
      <c r="N55" s="878">
        <v>80</v>
      </c>
      <c r="O55" s="805"/>
      <c r="P55" s="804"/>
      <c r="Q55" s="805"/>
      <c r="R55" s="804"/>
      <c r="S55" s="805"/>
      <c r="T55" s="804"/>
      <c r="U55" s="805"/>
      <c r="V55" s="804"/>
      <c r="W55" s="805"/>
      <c r="X55" s="804"/>
      <c r="Y55" s="805"/>
      <c r="Z55" s="804"/>
      <c r="AA55" s="879"/>
    </row>
    <row r="56" spans="1:27" ht="14.25">
      <c r="A56" s="880">
        <v>6</v>
      </c>
      <c r="B56" s="881" t="s">
        <v>2972</v>
      </c>
      <c r="C56" s="803"/>
      <c r="D56" s="804"/>
      <c r="E56" s="805"/>
      <c r="F56" s="804"/>
      <c r="G56" s="805"/>
      <c r="H56" s="804"/>
      <c r="I56" s="805"/>
      <c r="J56" s="804"/>
      <c r="K56" s="805"/>
      <c r="L56" s="804"/>
      <c r="M56" s="877"/>
      <c r="N56" s="878"/>
      <c r="O56" s="805"/>
      <c r="P56" s="804"/>
      <c r="Q56" s="805"/>
      <c r="R56" s="804"/>
      <c r="S56" s="805"/>
      <c r="T56" s="804"/>
      <c r="U56" s="805"/>
      <c r="V56" s="804"/>
      <c r="W56" s="805"/>
      <c r="X56" s="804"/>
      <c r="Y56" s="805"/>
      <c r="Z56" s="804"/>
      <c r="AA56" s="879"/>
    </row>
    <row r="57" spans="1:27" ht="14.25">
      <c r="A57" s="748">
        <v>6.1</v>
      </c>
      <c r="B57" s="851" t="s">
        <v>2973</v>
      </c>
      <c r="C57" s="803"/>
      <c r="D57" s="804"/>
      <c r="E57" s="805"/>
      <c r="F57" s="804"/>
      <c r="G57" s="805"/>
      <c r="H57" s="804"/>
      <c r="I57" s="805"/>
      <c r="J57" s="804"/>
      <c r="K57" s="805"/>
      <c r="L57" s="804"/>
      <c r="M57" s="877"/>
      <c r="N57" s="878"/>
      <c r="O57" s="805"/>
      <c r="P57" s="804"/>
      <c r="Q57" s="805"/>
      <c r="R57" s="804"/>
      <c r="S57" s="805"/>
      <c r="T57" s="804"/>
      <c r="U57" s="805"/>
      <c r="V57" s="804"/>
      <c r="W57" s="805"/>
      <c r="X57" s="804"/>
      <c r="Y57" s="805"/>
      <c r="Z57" s="804"/>
      <c r="AA57" s="879">
        <f>SUM(AA58:AA64)</f>
        <v>335</v>
      </c>
    </row>
    <row r="58" spans="1:27" ht="28.5">
      <c r="A58" s="748" t="s">
        <v>2974</v>
      </c>
      <c r="B58" s="889" t="s">
        <v>2975</v>
      </c>
      <c r="C58" s="803"/>
      <c r="D58" s="804"/>
      <c r="E58" s="805"/>
      <c r="F58" s="804"/>
      <c r="G58" s="805"/>
      <c r="H58" s="804"/>
      <c r="I58" s="805"/>
      <c r="J58" s="804"/>
      <c r="K58" s="805"/>
      <c r="L58" s="804"/>
      <c r="M58" s="877">
        <v>40</v>
      </c>
      <c r="N58" s="878">
        <v>20</v>
      </c>
      <c r="O58" s="805"/>
      <c r="P58" s="804"/>
      <c r="Q58" s="805"/>
      <c r="R58" s="804"/>
      <c r="S58" s="805">
        <v>2</v>
      </c>
      <c r="T58" s="804"/>
      <c r="U58" s="805"/>
      <c r="V58" s="804"/>
      <c r="W58" s="805"/>
      <c r="X58" s="804"/>
      <c r="Y58" s="805"/>
      <c r="Z58" s="804"/>
      <c r="AA58" s="879">
        <v>35</v>
      </c>
    </row>
    <row r="59" spans="1:27" ht="28.5">
      <c r="A59" s="748" t="s">
        <v>2976</v>
      </c>
      <c r="B59" s="889" t="s">
        <v>2977</v>
      </c>
      <c r="C59" s="803"/>
      <c r="D59" s="804"/>
      <c r="E59" s="805"/>
      <c r="F59" s="804"/>
      <c r="G59" s="805"/>
      <c r="H59" s="804"/>
      <c r="I59" s="805"/>
      <c r="J59" s="804"/>
      <c r="K59" s="805"/>
      <c r="L59" s="804"/>
      <c r="M59" s="877">
        <v>20</v>
      </c>
      <c r="N59" s="878">
        <v>15</v>
      </c>
      <c r="O59" s="805"/>
      <c r="P59" s="804"/>
      <c r="Q59" s="805">
        <v>2</v>
      </c>
      <c r="R59" s="804">
        <v>2</v>
      </c>
      <c r="S59" s="805"/>
      <c r="T59" s="804"/>
      <c r="U59" s="805"/>
      <c r="V59" s="804"/>
      <c r="W59" s="805"/>
      <c r="X59" s="804"/>
      <c r="Y59" s="805"/>
      <c r="Z59" s="804"/>
      <c r="AA59" s="879">
        <v>35</v>
      </c>
    </row>
    <row r="60" spans="1:27" ht="14.25">
      <c r="A60" s="748" t="s">
        <v>2978</v>
      </c>
      <c r="B60" s="889" t="s">
        <v>2979</v>
      </c>
      <c r="C60" s="803"/>
      <c r="D60" s="804">
        <v>4</v>
      </c>
      <c r="E60" s="805"/>
      <c r="F60" s="804">
        <v>4</v>
      </c>
      <c r="G60" s="805"/>
      <c r="H60" s="804"/>
      <c r="I60" s="805"/>
      <c r="J60" s="804"/>
      <c r="K60" s="805"/>
      <c r="L60" s="804"/>
      <c r="M60" s="877">
        <v>60</v>
      </c>
      <c r="N60" s="878">
        <v>30</v>
      </c>
      <c r="O60" s="805"/>
      <c r="P60" s="804"/>
      <c r="Q60" s="805"/>
      <c r="R60" s="804"/>
      <c r="S60" s="805"/>
      <c r="T60" s="804"/>
      <c r="U60" s="805"/>
      <c r="V60" s="804"/>
      <c r="W60" s="805"/>
      <c r="X60" s="804"/>
      <c r="Y60" s="805"/>
      <c r="Z60" s="804"/>
      <c r="AA60" s="879">
        <v>65</v>
      </c>
    </row>
    <row r="61" spans="1:27" ht="28.5">
      <c r="A61" s="748" t="s">
        <v>2980</v>
      </c>
      <c r="B61" s="889" t="s">
        <v>2981</v>
      </c>
      <c r="C61" s="803"/>
      <c r="D61" s="804"/>
      <c r="E61" s="805"/>
      <c r="F61" s="804"/>
      <c r="G61" s="805"/>
      <c r="H61" s="804"/>
      <c r="I61" s="805"/>
      <c r="J61" s="804"/>
      <c r="K61" s="805"/>
      <c r="L61" s="804"/>
      <c r="M61" s="877">
        <v>60</v>
      </c>
      <c r="N61" s="878">
        <v>30</v>
      </c>
      <c r="O61" s="805"/>
      <c r="P61" s="804">
        <v>4</v>
      </c>
      <c r="Q61" s="805">
        <v>2</v>
      </c>
      <c r="R61" s="804">
        <v>2</v>
      </c>
      <c r="S61" s="805"/>
      <c r="T61" s="804"/>
      <c r="U61" s="805"/>
      <c r="V61" s="804"/>
      <c r="W61" s="805"/>
      <c r="X61" s="804"/>
      <c r="Y61" s="805"/>
      <c r="Z61" s="804"/>
      <c r="AA61" s="879">
        <v>65</v>
      </c>
    </row>
    <row r="62" spans="1:27" ht="14.25">
      <c r="A62" s="748" t="s">
        <v>2982</v>
      </c>
      <c r="B62" s="889" t="s">
        <v>2983</v>
      </c>
      <c r="C62" s="803"/>
      <c r="D62" s="804"/>
      <c r="E62" s="805"/>
      <c r="F62" s="804"/>
      <c r="G62" s="805"/>
      <c r="H62" s="804"/>
      <c r="I62" s="805"/>
      <c r="J62" s="804"/>
      <c r="K62" s="805"/>
      <c r="L62" s="804">
        <v>4</v>
      </c>
      <c r="M62" s="877">
        <v>25</v>
      </c>
      <c r="N62" s="878">
        <v>20</v>
      </c>
      <c r="O62" s="805"/>
      <c r="P62" s="804"/>
      <c r="Q62" s="805"/>
      <c r="R62" s="804"/>
      <c r="S62" s="805"/>
      <c r="T62" s="804"/>
      <c r="U62" s="805"/>
      <c r="V62" s="804"/>
      <c r="W62" s="805"/>
      <c r="X62" s="804"/>
      <c r="Y62" s="805"/>
      <c r="Z62" s="804"/>
      <c r="AA62" s="879">
        <v>55</v>
      </c>
    </row>
    <row r="63" spans="1:27" ht="28.5">
      <c r="A63" s="748" t="s">
        <v>2984</v>
      </c>
      <c r="B63" s="889" t="s">
        <v>2985</v>
      </c>
      <c r="C63" s="803"/>
      <c r="D63" s="804"/>
      <c r="E63" s="805"/>
      <c r="F63" s="804"/>
      <c r="G63" s="805"/>
      <c r="H63" s="804"/>
      <c r="I63" s="805"/>
      <c r="J63" s="804">
        <v>4</v>
      </c>
      <c r="K63" s="805"/>
      <c r="L63" s="804"/>
      <c r="M63" s="877">
        <v>65</v>
      </c>
      <c r="N63" s="878">
        <v>30</v>
      </c>
      <c r="O63" s="805"/>
      <c r="P63" s="804"/>
      <c r="Q63" s="805"/>
      <c r="R63" s="804"/>
      <c r="S63" s="805"/>
      <c r="T63" s="804"/>
      <c r="U63" s="805"/>
      <c r="V63" s="804"/>
      <c r="W63" s="805"/>
      <c r="X63" s="804"/>
      <c r="Y63" s="805"/>
      <c r="Z63" s="804"/>
      <c r="AA63" s="879">
        <v>20</v>
      </c>
    </row>
    <row r="64" spans="1:27" ht="28.5">
      <c r="A64" s="748" t="s">
        <v>2986</v>
      </c>
      <c r="B64" s="889" t="s">
        <v>2987</v>
      </c>
      <c r="C64" s="803"/>
      <c r="D64" s="804"/>
      <c r="E64" s="805"/>
      <c r="F64" s="804"/>
      <c r="G64" s="805"/>
      <c r="H64" s="804"/>
      <c r="I64" s="805"/>
      <c r="J64" s="804"/>
      <c r="K64" s="805"/>
      <c r="L64" s="804"/>
      <c r="M64" s="877">
        <v>40</v>
      </c>
      <c r="N64" s="878">
        <v>10</v>
      </c>
      <c r="O64" s="805"/>
      <c r="P64" s="804"/>
      <c r="Q64" s="805">
        <v>1</v>
      </c>
      <c r="R64" s="804">
        <v>1</v>
      </c>
      <c r="S64" s="805"/>
      <c r="T64" s="804"/>
      <c r="U64" s="805"/>
      <c r="V64" s="804"/>
      <c r="W64" s="805"/>
      <c r="X64" s="804"/>
      <c r="Y64" s="805"/>
      <c r="Z64" s="804"/>
      <c r="AA64" s="879">
        <v>60</v>
      </c>
    </row>
    <row r="65" spans="1:27" ht="14.25">
      <c r="A65" s="748">
        <v>6.2</v>
      </c>
      <c r="B65" s="851" t="s">
        <v>2988</v>
      </c>
      <c r="C65" s="803"/>
      <c r="D65" s="804"/>
      <c r="E65" s="805"/>
      <c r="F65" s="804"/>
      <c r="G65" s="805"/>
      <c r="H65" s="804"/>
      <c r="I65" s="805"/>
      <c r="J65" s="804"/>
      <c r="K65" s="805"/>
      <c r="L65" s="804"/>
      <c r="M65" s="877"/>
      <c r="N65" s="878"/>
      <c r="O65" s="805"/>
      <c r="P65" s="804"/>
      <c r="Q65" s="805"/>
      <c r="R65" s="804"/>
      <c r="S65" s="805"/>
      <c r="T65" s="804"/>
      <c r="U65" s="805"/>
      <c r="V65" s="804"/>
      <c r="W65" s="805"/>
      <c r="X65" s="804"/>
      <c r="Y65" s="805"/>
      <c r="Z65" s="804"/>
      <c r="AA65" s="879"/>
    </row>
    <row r="66" spans="1:27" ht="28.5">
      <c r="A66" s="748" t="s">
        <v>2989</v>
      </c>
      <c r="B66" s="889" t="s">
        <v>2990</v>
      </c>
      <c r="C66" s="803"/>
      <c r="D66" s="804"/>
      <c r="E66" s="805"/>
      <c r="F66" s="804"/>
      <c r="G66" s="805"/>
      <c r="H66" s="804"/>
      <c r="I66" s="805"/>
      <c r="J66" s="804"/>
      <c r="K66" s="805"/>
      <c r="L66" s="804"/>
      <c r="M66" s="877">
        <v>20</v>
      </c>
      <c r="N66" s="878">
        <v>10</v>
      </c>
      <c r="O66" s="805"/>
      <c r="P66" s="804"/>
      <c r="Q66" s="805"/>
      <c r="R66" s="804"/>
      <c r="S66" s="805">
        <v>2</v>
      </c>
      <c r="T66" s="804"/>
      <c r="U66" s="805"/>
      <c r="V66" s="804"/>
      <c r="W66" s="805"/>
      <c r="X66" s="804"/>
      <c r="Y66" s="805"/>
      <c r="Z66" s="804"/>
      <c r="AA66" s="879">
        <v>20</v>
      </c>
    </row>
    <row r="67" spans="1:27" ht="28.5">
      <c r="A67" s="748" t="s">
        <v>2991</v>
      </c>
      <c r="B67" s="889" t="s">
        <v>2992</v>
      </c>
      <c r="C67" s="803"/>
      <c r="D67" s="804"/>
      <c r="E67" s="805"/>
      <c r="F67" s="804"/>
      <c r="G67" s="805"/>
      <c r="H67" s="804"/>
      <c r="I67" s="805"/>
      <c r="J67" s="804"/>
      <c r="K67" s="805"/>
      <c r="L67" s="804"/>
      <c r="M67" s="877">
        <v>15</v>
      </c>
      <c r="N67" s="878">
        <v>10</v>
      </c>
      <c r="O67" s="805"/>
      <c r="P67" s="804"/>
      <c r="Q67" s="805">
        <v>2</v>
      </c>
      <c r="R67" s="804">
        <v>2</v>
      </c>
      <c r="S67" s="805"/>
      <c r="T67" s="804"/>
      <c r="U67" s="805"/>
      <c r="V67" s="804"/>
      <c r="W67" s="805"/>
      <c r="X67" s="804"/>
      <c r="Y67" s="805"/>
      <c r="Z67" s="804"/>
      <c r="AA67" s="879">
        <v>20</v>
      </c>
    </row>
    <row r="68" spans="1:27" ht="14.25">
      <c r="A68" s="748" t="s">
        <v>2993</v>
      </c>
      <c r="B68" s="889" t="s">
        <v>2994</v>
      </c>
      <c r="C68" s="803"/>
      <c r="D68" s="804">
        <v>4</v>
      </c>
      <c r="E68" s="805"/>
      <c r="F68" s="804">
        <v>4</v>
      </c>
      <c r="G68" s="805"/>
      <c r="H68" s="804"/>
      <c r="I68" s="805"/>
      <c r="J68" s="804"/>
      <c r="K68" s="805"/>
      <c r="L68" s="804"/>
      <c r="M68" s="877">
        <v>25</v>
      </c>
      <c r="N68" s="878">
        <v>15</v>
      </c>
      <c r="O68" s="805"/>
      <c r="P68" s="804"/>
      <c r="Q68" s="805"/>
      <c r="R68" s="804"/>
      <c r="S68" s="805"/>
      <c r="T68" s="804"/>
      <c r="U68" s="805"/>
      <c r="V68" s="804"/>
      <c r="W68" s="805"/>
      <c r="X68" s="804"/>
      <c r="Y68" s="805"/>
      <c r="Z68" s="804"/>
      <c r="AA68" s="879">
        <v>30</v>
      </c>
    </row>
    <row r="69" spans="1:27" ht="28.5">
      <c r="A69" s="748" t="s">
        <v>2995</v>
      </c>
      <c r="B69" s="889" t="s">
        <v>2996</v>
      </c>
      <c r="C69" s="803"/>
      <c r="D69" s="804"/>
      <c r="E69" s="805"/>
      <c r="F69" s="804"/>
      <c r="G69" s="805"/>
      <c r="H69" s="804"/>
      <c r="I69" s="805"/>
      <c r="J69" s="804"/>
      <c r="K69" s="805"/>
      <c r="L69" s="804"/>
      <c r="M69" s="877">
        <v>25</v>
      </c>
      <c r="N69" s="878">
        <v>15</v>
      </c>
      <c r="O69" s="805"/>
      <c r="P69" s="804">
        <v>4</v>
      </c>
      <c r="Q69" s="805">
        <v>2</v>
      </c>
      <c r="R69" s="804">
        <v>2</v>
      </c>
      <c r="S69" s="805"/>
      <c r="T69" s="804"/>
      <c r="U69" s="805"/>
      <c r="V69" s="804"/>
      <c r="W69" s="805"/>
      <c r="X69" s="804"/>
      <c r="Y69" s="805"/>
      <c r="Z69" s="804"/>
      <c r="AA69" s="879">
        <v>30</v>
      </c>
    </row>
    <row r="70" spans="1:27" ht="14.25">
      <c r="A70" s="748" t="s">
        <v>2997</v>
      </c>
      <c r="B70" s="889" t="s">
        <v>2998</v>
      </c>
      <c r="C70" s="803"/>
      <c r="D70" s="804"/>
      <c r="E70" s="805"/>
      <c r="F70" s="804"/>
      <c r="G70" s="805"/>
      <c r="H70" s="804"/>
      <c r="I70" s="805"/>
      <c r="J70" s="804"/>
      <c r="K70" s="805"/>
      <c r="L70" s="804"/>
      <c r="M70" s="877">
        <v>20</v>
      </c>
      <c r="N70" s="878">
        <v>10</v>
      </c>
      <c r="O70" s="805"/>
      <c r="P70" s="804"/>
      <c r="Q70" s="805"/>
      <c r="R70" s="804"/>
      <c r="S70" s="805"/>
      <c r="T70" s="804"/>
      <c r="U70" s="805"/>
      <c r="V70" s="804"/>
      <c r="W70" s="805"/>
      <c r="X70" s="804"/>
      <c r="Y70" s="805"/>
      <c r="Z70" s="804"/>
      <c r="AA70" s="879">
        <v>20</v>
      </c>
    </row>
    <row r="71" spans="1:27" ht="14.25">
      <c r="A71" s="748">
        <v>6.3</v>
      </c>
      <c r="B71" s="889" t="s">
        <v>2999</v>
      </c>
      <c r="C71" s="803"/>
      <c r="D71" s="804"/>
      <c r="E71" s="805"/>
      <c r="F71" s="804"/>
      <c r="G71" s="805"/>
      <c r="H71" s="804"/>
      <c r="I71" s="805"/>
      <c r="J71" s="804"/>
      <c r="K71" s="805"/>
      <c r="L71" s="804"/>
      <c r="M71" s="877"/>
      <c r="N71" s="878"/>
      <c r="O71" s="805"/>
      <c r="P71" s="804"/>
      <c r="Q71" s="805"/>
      <c r="R71" s="804"/>
      <c r="S71" s="805"/>
      <c r="T71" s="804"/>
      <c r="U71" s="805"/>
      <c r="V71" s="804"/>
      <c r="W71" s="805"/>
      <c r="X71" s="804"/>
      <c r="Y71" s="805"/>
      <c r="Z71" s="804"/>
      <c r="AA71" s="879">
        <f t="shared" ref="AA71" si="0">AA73</f>
        <v>10</v>
      </c>
    </row>
    <row r="72" spans="1:27" ht="14.25">
      <c r="A72" s="748" t="s">
        <v>3000</v>
      </c>
      <c r="B72" s="890" t="s">
        <v>3001</v>
      </c>
      <c r="C72" s="803"/>
      <c r="D72" s="804"/>
      <c r="E72" s="805"/>
      <c r="F72" s="804"/>
      <c r="G72" s="805"/>
      <c r="H72" s="804"/>
      <c r="I72" s="805"/>
      <c r="J72" s="804">
        <v>3</v>
      </c>
      <c r="K72" s="805"/>
      <c r="L72" s="804"/>
      <c r="M72" s="883">
        <v>10</v>
      </c>
      <c r="N72" s="884">
        <v>10</v>
      </c>
      <c r="O72" s="805"/>
      <c r="P72" s="804"/>
      <c r="Q72" s="805"/>
      <c r="R72" s="804"/>
      <c r="S72" s="805"/>
      <c r="T72" s="804"/>
      <c r="U72" s="805"/>
      <c r="V72" s="804"/>
      <c r="W72" s="805"/>
      <c r="X72" s="804"/>
      <c r="Y72" s="805"/>
      <c r="Z72" s="804"/>
      <c r="AA72" s="885">
        <v>15</v>
      </c>
    </row>
    <row r="73" spans="1:27" ht="14.25">
      <c r="A73" s="748" t="s">
        <v>3000</v>
      </c>
      <c r="B73" s="890" t="s">
        <v>3002</v>
      </c>
      <c r="C73" s="803"/>
      <c r="D73" s="804"/>
      <c r="E73" s="805"/>
      <c r="F73" s="804"/>
      <c r="G73" s="805"/>
      <c r="H73" s="804"/>
      <c r="I73" s="805"/>
      <c r="J73" s="804">
        <v>3</v>
      </c>
      <c r="K73" s="805"/>
      <c r="L73" s="804"/>
      <c r="M73" s="883">
        <v>5</v>
      </c>
      <c r="N73" s="884">
        <v>4</v>
      </c>
      <c r="O73" s="805"/>
      <c r="P73" s="804"/>
      <c r="Q73" s="805"/>
      <c r="R73" s="804"/>
      <c r="S73" s="805"/>
      <c r="T73" s="804"/>
      <c r="U73" s="805"/>
      <c r="V73" s="804"/>
      <c r="W73" s="805"/>
      <c r="X73" s="804"/>
      <c r="Y73" s="805"/>
      <c r="Z73" s="804"/>
      <c r="AA73" s="885">
        <v>10</v>
      </c>
    </row>
    <row r="74" spans="1:27" ht="14.25">
      <c r="A74" s="880">
        <v>7</v>
      </c>
      <c r="B74" s="891" t="s">
        <v>3003</v>
      </c>
      <c r="C74" s="803"/>
      <c r="D74" s="804"/>
      <c r="E74" s="805"/>
      <c r="F74" s="804"/>
      <c r="G74" s="805"/>
      <c r="H74" s="804"/>
      <c r="I74" s="805"/>
      <c r="J74" s="804"/>
      <c r="K74" s="805"/>
      <c r="L74" s="804"/>
      <c r="M74" s="883"/>
      <c r="N74" s="884"/>
      <c r="O74" s="805"/>
      <c r="P74" s="804"/>
      <c r="Q74" s="805"/>
      <c r="R74" s="804"/>
      <c r="S74" s="805"/>
      <c r="T74" s="804"/>
      <c r="U74" s="805"/>
      <c r="V74" s="804"/>
      <c r="W74" s="805"/>
      <c r="X74" s="804"/>
      <c r="Y74" s="805"/>
      <c r="Z74" s="804"/>
      <c r="AA74" s="885"/>
    </row>
    <row r="75" spans="1:27" ht="14.25">
      <c r="A75" s="876" t="s">
        <v>3004</v>
      </c>
      <c r="B75" s="882" t="s">
        <v>3005</v>
      </c>
      <c r="C75" s="803"/>
      <c r="D75" s="804"/>
      <c r="E75" s="805"/>
      <c r="F75" s="804"/>
      <c r="G75" s="805"/>
      <c r="H75" s="804"/>
      <c r="I75" s="805"/>
      <c r="J75" s="804"/>
      <c r="K75" s="805"/>
      <c r="L75" s="804"/>
      <c r="M75" s="883">
        <v>30</v>
      </c>
      <c r="N75" s="884">
        <v>45</v>
      </c>
      <c r="O75" s="805"/>
      <c r="P75" s="804"/>
      <c r="Q75" s="805"/>
      <c r="R75" s="804"/>
      <c r="S75" s="805"/>
      <c r="T75" s="804"/>
      <c r="U75" s="805"/>
      <c r="V75" s="804"/>
      <c r="W75" s="805"/>
      <c r="X75" s="804"/>
      <c r="Y75" s="805"/>
      <c r="Z75" s="804"/>
      <c r="AA75" s="885">
        <v>20</v>
      </c>
    </row>
    <row r="76" spans="1:27" ht="14.25">
      <c r="A76" s="876" t="s">
        <v>3006</v>
      </c>
      <c r="B76" s="882" t="s">
        <v>3007</v>
      </c>
      <c r="C76" s="803"/>
      <c r="D76" s="804"/>
      <c r="E76" s="805"/>
      <c r="F76" s="804"/>
      <c r="G76" s="805"/>
      <c r="H76" s="804"/>
      <c r="I76" s="805"/>
      <c r="J76" s="804"/>
      <c r="K76" s="805"/>
      <c r="L76" s="804"/>
      <c r="M76" s="883">
        <v>30</v>
      </c>
      <c r="N76" s="884">
        <v>50</v>
      </c>
      <c r="O76" s="805"/>
      <c r="P76" s="804"/>
      <c r="Q76" s="805"/>
      <c r="R76" s="804"/>
      <c r="S76" s="805"/>
      <c r="T76" s="804"/>
      <c r="U76" s="805"/>
      <c r="V76" s="804"/>
      <c r="W76" s="805"/>
      <c r="X76" s="804"/>
      <c r="Y76" s="805"/>
      <c r="Z76" s="804"/>
      <c r="AA76" s="885"/>
    </row>
    <row r="77" spans="1:27" ht="14.25">
      <c r="A77" s="876" t="s">
        <v>3008</v>
      </c>
      <c r="B77" s="882" t="s">
        <v>3009</v>
      </c>
      <c r="C77" s="892"/>
      <c r="D77" s="893"/>
      <c r="E77" s="854"/>
      <c r="F77" s="893"/>
      <c r="G77" s="854"/>
      <c r="H77" s="893"/>
      <c r="I77" s="854"/>
      <c r="J77" s="893"/>
      <c r="K77" s="854"/>
      <c r="L77" s="893"/>
      <c r="M77" s="883">
        <v>80</v>
      </c>
      <c r="N77" s="884">
        <v>25</v>
      </c>
      <c r="O77" s="854"/>
      <c r="P77" s="893"/>
      <c r="Q77" s="854"/>
      <c r="R77" s="893"/>
      <c r="S77" s="854"/>
      <c r="T77" s="893"/>
      <c r="U77" s="854"/>
      <c r="V77" s="893"/>
      <c r="W77" s="854"/>
      <c r="X77" s="893"/>
      <c r="Y77" s="854"/>
      <c r="Z77" s="893"/>
      <c r="AA77" s="885"/>
    </row>
    <row r="78" spans="1:27" ht="14.25">
      <c r="A78" s="876" t="s">
        <v>3010</v>
      </c>
      <c r="B78" s="882" t="s">
        <v>3011</v>
      </c>
      <c r="C78" s="803"/>
      <c r="D78" s="804"/>
      <c r="E78" s="805"/>
      <c r="F78" s="804"/>
      <c r="G78" s="805"/>
      <c r="H78" s="804"/>
      <c r="I78" s="805"/>
      <c r="J78" s="804"/>
      <c r="K78" s="805"/>
      <c r="L78" s="804"/>
      <c r="M78" s="883">
        <v>75</v>
      </c>
      <c r="N78" s="884">
        <v>25</v>
      </c>
      <c r="O78" s="805"/>
      <c r="P78" s="804"/>
      <c r="Q78" s="805"/>
      <c r="R78" s="804"/>
      <c r="S78" s="805"/>
      <c r="T78" s="804"/>
      <c r="U78" s="805"/>
      <c r="V78" s="804"/>
      <c r="W78" s="805"/>
      <c r="X78" s="804"/>
      <c r="Y78" s="805"/>
      <c r="Z78" s="804"/>
      <c r="AA78" s="885"/>
    </row>
    <row r="79" spans="1:27" ht="14.25">
      <c r="A79" s="876" t="s">
        <v>3012</v>
      </c>
      <c r="B79" s="882" t="s">
        <v>3013</v>
      </c>
      <c r="C79" s="803"/>
      <c r="D79" s="804"/>
      <c r="E79" s="805"/>
      <c r="F79" s="804"/>
      <c r="G79" s="805"/>
      <c r="H79" s="804"/>
      <c r="I79" s="805"/>
      <c r="J79" s="804"/>
      <c r="K79" s="805"/>
      <c r="L79" s="804"/>
      <c r="M79" s="883">
        <v>75</v>
      </c>
      <c r="N79" s="884">
        <v>25</v>
      </c>
      <c r="O79" s="805"/>
      <c r="P79" s="804"/>
      <c r="Q79" s="805"/>
      <c r="R79" s="804"/>
      <c r="S79" s="805"/>
      <c r="T79" s="804"/>
      <c r="U79" s="805"/>
      <c r="V79" s="804"/>
      <c r="W79" s="805"/>
      <c r="X79" s="804"/>
      <c r="Y79" s="805"/>
      <c r="Z79" s="804"/>
      <c r="AA79" s="885"/>
    </row>
    <row r="80" spans="1:27" ht="14.25">
      <c r="A80" s="876" t="s">
        <v>3014</v>
      </c>
      <c r="B80" s="882" t="s">
        <v>3015</v>
      </c>
      <c r="C80" s="892"/>
      <c r="D80" s="804"/>
      <c r="E80" s="854"/>
      <c r="F80" s="804"/>
      <c r="G80" s="854"/>
      <c r="H80" s="804"/>
      <c r="I80" s="854"/>
      <c r="J80" s="804"/>
      <c r="K80" s="854"/>
      <c r="L80" s="804"/>
      <c r="M80" s="883">
        <v>80</v>
      </c>
      <c r="N80" s="884">
        <v>40</v>
      </c>
      <c r="O80" s="854"/>
      <c r="P80" s="804"/>
      <c r="Q80" s="854"/>
      <c r="R80" s="804"/>
      <c r="S80" s="854"/>
      <c r="T80" s="804"/>
      <c r="U80" s="854"/>
      <c r="V80" s="804"/>
      <c r="W80" s="854"/>
      <c r="X80" s="804"/>
      <c r="Y80" s="854"/>
      <c r="Z80" s="804"/>
      <c r="AA80" s="885"/>
    </row>
    <row r="81" spans="1:27" ht="14.25">
      <c r="A81" s="876" t="s">
        <v>3016</v>
      </c>
      <c r="B81" s="882" t="s">
        <v>3017</v>
      </c>
      <c r="C81" s="803">
        <v>10</v>
      </c>
      <c r="D81" s="804">
        <v>5</v>
      </c>
      <c r="E81" s="805"/>
      <c r="F81" s="804"/>
      <c r="G81" s="805"/>
      <c r="H81" s="804"/>
      <c r="I81" s="805"/>
      <c r="J81" s="804"/>
      <c r="K81" s="805"/>
      <c r="L81" s="804"/>
      <c r="M81" s="883">
        <v>80</v>
      </c>
      <c r="N81" s="884">
        <v>10</v>
      </c>
      <c r="O81" s="805"/>
      <c r="P81" s="804"/>
      <c r="Q81" s="805"/>
      <c r="R81" s="804"/>
      <c r="S81" s="805"/>
      <c r="T81" s="804"/>
      <c r="U81" s="805"/>
      <c r="V81" s="804"/>
      <c r="W81" s="805"/>
      <c r="X81" s="804"/>
      <c r="Y81" s="805"/>
      <c r="Z81" s="804"/>
      <c r="AA81" s="885"/>
    </row>
    <row r="82" spans="1:27" ht="14.25">
      <c r="A82" s="876" t="s">
        <v>3018</v>
      </c>
      <c r="B82" s="882" t="s">
        <v>3019</v>
      </c>
      <c r="C82" s="803"/>
      <c r="D82" s="804"/>
      <c r="E82" s="805"/>
      <c r="F82" s="804"/>
      <c r="G82" s="805"/>
      <c r="H82" s="804"/>
      <c r="I82" s="805"/>
      <c r="J82" s="804"/>
      <c r="K82" s="805"/>
      <c r="L82" s="804"/>
      <c r="M82" s="883">
        <v>60</v>
      </c>
      <c r="N82" s="884">
        <v>30</v>
      </c>
      <c r="O82" s="805"/>
      <c r="P82" s="804"/>
      <c r="Q82" s="805"/>
      <c r="R82" s="804"/>
      <c r="S82" s="805"/>
      <c r="T82" s="804"/>
      <c r="U82" s="805"/>
      <c r="V82" s="804"/>
      <c r="W82" s="805"/>
      <c r="X82" s="804"/>
      <c r="Y82" s="805"/>
      <c r="Z82" s="804"/>
      <c r="AA82" s="885"/>
    </row>
    <row r="83" spans="1:27" ht="14.25">
      <c r="A83" s="876" t="s">
        <v>2401</v>
      </c>
      <c r="B83" s="882" t="s">
        <v>3020</v>
      </c>
      <c r="C83" s="803"/>
      <c r="D83" s="804"/>
      <c r="E83" s="805"/>
      <c r="F83" s="804"/>
      <c r="G83" s="805"/>
      <c r="H83" s="804"/>
      <c r="I83" s="805"/>
      <c r="J83" s="804"/>
      <c r="K83" s="805"/>
      <c r="L83" s="804"/>
      <c r="M83" s="883">
        <v>55</v>
      </c>
      <c r="N83" s="884">
        <v>30</v>
      </c>
      <c r="O83" s="805"/>
      <c r="P83" s="804"/>
      <c r="Q83" s="805"/>
      <c r="R83" s="804"/>
      <c r="S83" s="805"/>
      <c r="T83" s="804"/>
      <c r="U83" s="805"/>
      <c r="V83" s="804"/>
      <c r="W83" s="805"/>
      <c r="X83" s="804"/>
      <c r="Y83" s="805"/>
      <c r="Z83" s="804"/>
      <c r="AA83" s="885"/>
    </row>
    <row r="84" spans="1:27" ht="14.25">
      <c r="A84" s="876">
        <v>7.11</v>
      </c>
      <c r="B84" s="882" t="s">
        <v>3021</v>
      </c>
      <c r="C84" s="803"/>
      <c r="D84" s="804"/>
      <c r="E84" s="805"/>
      <c r="F84" s="804"/>
      <c r="G84" s="805"/>
      <c r="H84" s="804"/>
      <c r="I84" s="805"/>
      <c r="J84" s="804"/>
      <c r="K84" s="805"/>
      <c r="L84" s="804"/>
      <c r="M84" s="883">
        <v>55</v>
      </c>
      <c r="N84" s="884">
        <v>30</v>
      </c>
      <c r="O84" s="805"/>
      <c r="P84" s="804"/>
      <c r="Q84" s="805"/>
      <c r="R84" s="804"/>
      <c r="S84" s="805"/>
      <c r="T84" s="804"/>
      <c r="U84" s="805"/>
      <c r="V84" s="804"/>
      <c r="W84" s="805"/>
      <c r="X84" s="804"/>
      <c r="Y84" s="805"/>
      <c r="Z84" s="804"/>
      <c r="AA84" s="885"/>
    </row>
    <row r="85" spans="1:27" ht="14.25">
      <c r="A85" s="876">
        <v>7.12</v>
      </c>
      <c r="B85" s="882" t="s">
        <v>3022</v>
      </c>
      <c r="C85" s="803"/>
      <c r="D85" s="804"/>
      <c r="E85" s="805"/>
      <c r="F85" s="804"/>
      <c r="G85" s="805"/>
      <c r="H85" s="804"/>
      <c r="I85" s="805"/>
      <c r="J85" s="804"/>
      <c r="K85" s="805"/>
      <c r="L85" s="804"/>
      <c r="M85" s="883">
        <v>40</v>
      </c>
      <c r="N85" s="884">
        <v>25</v>
      </c>
      <c r="O85" s="805"/>
      <c r="P85" s="804"/>
      <c r="Q85" s="805"/>
      <c r="R85" s="804"/>
      <c r="S85" s="805"/>
      <c r="T85" s="804"/>
      <c r="U85" s="805"/>
      <c r="V85" s="804"/>
      <c r="W85" s="805"/>
      <c r="X85" s="804"/>
      <c r="Y85" s="805"/>
      <c r="Z85" s="804"/>
      <c r="AA85" s="885"/>
    </row>
    <row r="86" spans="1:27" ht="14.25">
      <c r="A86" s="876">
        <v>7.13</v>
      </c>
      <c r="B86" s="882" t="s">
        <v>3023</v>
      </c>
      <c r="C86" s="803"/>
      <c r="D86" s="804"/>
      <c r="E86" s="805"/>
      <c r="F86" s="804"/>
      <c r="G86" s="805"/>
      <c r="H86" s="804"/>
      <c r="I86" s="805"/>
      <c r="J86" s="804"/>
      <c r="K86" s="805"/>
      <c r="L86" s="804"/>
      <c r="M86" s="805">
        <v>80</v>
      </c>
      <c r="N86" s="804">
        <v>30</v>
      </c>
      <c r="O86" s="805"/>
      <c r="P86" s="804"/>
      <c r="Q86" s="805"/>
      <c r="R86" s="804"/>
      <c r="S86" s="805"/>
      <c r="T86" s="804"/>
      <c r="U86" s="805"/>
      <c r="V86" s="804"/>
      <c r="W86" s="887"/>
      <c r="X86" s="888"/>
      <c r="Y86" s="805"/>
      <c r="Z86" s="804"/>
      <c r="AA86" s="894">
        <v>50</v>
      </c>
    </row>
    <row r="87" spans="1:27" ht="14.25">
      <c r="A87" s="880">
        <v>8</v>
      </c>
      <c r="B87" s="891" t="s">
        <v>3024</v>
      </c>
      <c r="C87" s="803"/>
      <c r="D87" s="804"/>
      <c r="E87" s="805"/>
      <c r="F87" s="804"/>
      <c r="G87" s="805"/>
      <c r="H87" s="804"/>
      <c r="I87" s="805"/>
      <c r="J87" s="804"/>
      <c r="K87" s="805"/>
      <c r="L87" s="804"/>
      <c r="M87" s="883"/>
      <c r="N87" s="884"/>
      <c r="O87" s="805"/>
      <c r="P87" s="804"/>
      <c r="Q87" s="805"/>
      <c r="R87" s="804"/>
      <c r="S87" s="805"/>
      <c r="T87" s="804"/>
      <c r="U87" s="805"/>
      <c r="V87" s="804"/>
      <c r="W87" s="805"/>
      <c r="X87" s="804"/>
      <c r="Y87" s="805"/>
      <c r="Z87" s="804"/>
      <c r="AA87" s="885"/>
    </row>
    <row r="88" spans="1:27" ht="14.25">
      <c r="A88" s="748">
        <v>8.1</v>
      </c>
      <c r="B88" s="882" t="s">
        <v>3025</v>
      </c>
      <c r="C88" s="803"/>
      <c r="D88" s="804"/>
      <c r="E88" s="805"/>
      <c r="F88" s="804"/>
      <c r="G88" s="805"/>
      <c r="H88" s="804"/>
      <c r="I88" s="805"/>
      <c r="J88" s="804"/>
      <c r="K88" s="805"/>
      <c r="L88" s="804"/>
      <c r="M88" s="883">
        <v>30</v>
      </c>
      <c r="N88" s="884">
        <v>15</v>
      </c>
      <c r="O88" s="805"/>
      <c r="P88" s="804"/>
      <c r="Q88" s="805"/>
      <c r="R88" s="804"/>
      <c r="S88" s="805"/>
      <c r="T88" s="804"/>
      <c r="U88" s="805"/>
      <c r="V88" s="804"/>
      <c r="W88" s="805"/>
      <c r="X88" s="804"/>
      <c r="Y88" s="805"/>
      <c r="Z88" s="804"/>
      <c r="AA88" s="885">
        <v>20</v>
      </c>
    </row>
    <row r="89" spans="1:27" ht="14.25">
      <c r="A89" s="748">
        <v>8.1999999999999993</v>
      </c>
      <c r="B89" s="882" t="s">
        <v>3026</v>
      </c>
      <c r="C89" s="803"/>
      <c r="D89" s="804"/>
      <c r="E89" s="805"/>
      <c r="F89" s="804"/>
      <c r="G89" s="805"/>
      <c r="H89" s="804"/>
      <c r="I89" s="805"/>
      <c r="J89" s="804"/>
      <c r="K89" s="805"/>
      <c r="L89" s="804"/>
      <c r="M89" s="883">
        <v>40</v>
      </c>
      <c r="N89" s="884">
        <v>25</v>
      </c>
      <c r="O89" s="805"/>
      <c r="P89" s="804"/>
      <c r="Q89" s="805"/>
      <c r="R89" s="804"/>
      <c r="S89" s="805"/>
      <c r="T89" s="804"/>
      <c r="U89" s="805"/>
      <c r="V89" s="804"/>
      <c r="W89" s="805"/>
      <c r="X89" s="804"/>
      <c r="Y89" s="805"/>
      <c r="Z89" s="804"/>
      <c r="AA89" s="885">
        <v>10</v>
      </c>
    </row>
    <row r="90" spans="1:27" ht="14.25">
      <c r="A90" s="748">
        <v>8.1999999999999993</v>
      </c>
      <c r="B90" s="882" t="s">
        <v>3027</v>
      </c>
      <c r="C90" s="803"/>
      <c r="D90" s="804"/>
      <c r="E90" s="805"/>
      <c r="F90" s="804"/>
      <c r="G90" s="805"/>
      <c r="H90" s="804"/>
      <c r="I90" s="805"/>
      <c r="J90" s="804"/>
      <c r="K90" s="805"/>
      <c r="L90" s="804"/>
      <c r="M90" s="883">
        <v>25</v>
      </c>
      <c r="N90" s="884">
        <v>10</v>
      </c>
      <c r="O90" s="805"/>
      <c r="P90" s="804"/>
      <c r="Q90" s="805"/>
      <c r="R90" s="804"/>
      <c r="S90" s="805"/>
      <c r="T90" s="804"/>
      <c r="U90" s="805"/>
      <c r="V90" s="804"/>
      <c r="W90" s="805"/>
      <c r="X90" s="804"/>
      <c r="Y90" s="805"/>
      <c r="Z90" s="804"/>
      <c r="AA90" s="885">
        <v>10</v>
      </c>
    </row>
    <row r="91" spans="1:27" ht="14.25">
      <c r="A91" s="880">
        <v>9</v>
      </c>
      <c r="B91" s="891" t="s">
        <v>2581</v>
      </c>
      <c r="C91" s="803"/>
      <c r="D91" s="804"/>
      <c r="E91" s="805"/>
      <c r="F91" s="804"/>
      <c r="G91" s="805"/>
      <c r="H91" s="804"/>
      <c r="I91" s="805"/>
      <c r="J91" s="804"/>
      <c r="K91" s="805"/>
      <c r="L91" s="804"/>
      <c r="M91" s="883"/>
      <c r="N91" s="884"/>
      <c r="O91" s="805"/>
      <c r="P91" s="804"/>
      <c r="Q91" s="805"/>
      <c r="R91" s="804"/>
      <c r="S91" s="805"/>
      <c r="T91" s="804"/>
      <c r="U91" s="805"/>
      <c r="V91" s="804"/>
      <c r="W91" s="805"/>
      <c r="X91" s="804"/>
      <c r="Y91" s="805"/>
      <c r="Z91" s="804"/>
      <c r="AA91" s="885"/>
    </row>
    <row r="92" spans="1:27" ht="14.25">
      <c r="A92" s="748">
        <v>9.1</v>
      </c>
      <c r="B92" s="882" t="s">
        <v>3028</v>
      </c>
      <c r="C92" s="803"/>
      <c r="D92" s="804"/>
      <c r="E92" s="805"/>
      <c r="F92" s="804"/>
      <c r="G92" s="805"/>
      <c r="H92" s="804"/>
      <c r="I92" s="805"/>
      <c r="J92" s="804"/>
      <c r="K92" s="805"/>
      <c r="L92" s="804"/>
      <c r="M92" s="883"/>
      <c r="N92" s="884"/>
      <c r="O92" s="805"/>
      <c r="P92" s="804"/>
      <c r="Q92" s="805"/>
      <c r="R92" s="804"/>
      <c r="S92" s="805"/>
      <c r="T92" s="804"/>
      <c r="U92" s="805"/>
      <c r="V92" s="804"/>
      <c r="W92" s="805"/>
      <c r="X92" s="804"/>
      <c r="Y92" s="805"/>
      <c r="Z92" s="804"/>
      <c r="AA92" s="885"/>
    </row>
    <row r="93" spans="1:27" ht="14.25">
      <c r="A93" s="748" t="s">
        <v>728</v>
      </c>
      <c r="B93" s="890" t="s">
        <v>3029</v>
      </c>
      <c r="C93" s="803"/>
      <c r="D93" s="804"/>
      <c r="E93" s="805"/>
      <c r="F93" s="804"/>
      <c r="G93" s="805"/>
      <c r="H93" s="804"/>
      <c r="I93" s="805"/>
      <c r="J93" s="804"/>
      <c r="K93" s="805"/>
      <c r="L93" s="804"/>
      <c r="M93" s="883">
        <v>40</v>
      </c>
      <c r="N93" s="884">
        <v>10</v>
      </c>
      <c r="O93" s="805"/>
      <c r="P93" s="804"/>
      <c r="Q93" s="805"/>
      <c r="R93" s="804"/>
      <c r="S93" s="805"/>
      <c r="T93" s="804"/>
      <c r="U93" s="805"/>
      <c r="V93" s="804"/>
      <c r="W93" s="805"/>
      <c r="X93" s="804"/>
      <c r="Y93" s="805"/>
      <c r="Z93" s="804"/>
      <c r="AA93" s="885"/>
    </row>
    <row r="94" spans="1:27" ht="14.25">
      <c r="A94" s="748" t="s">
        <v>730</v>
      </c>
      <c r="B94" s="890" t="s">
        <v>3030</v>
      </c>
      <c r="C94" s="803"/>
      <c r="D94" s="804"/>
      <c r="E94" s="805"/>
      <c r="F94" s="804"/>
      <c r="G94" s="805"/>
      <c r="H94" s="804"/>
      <c r="I94" s="805"/>
      <c r="J94" s="804"/>
      <c r="K94" s="805"/>
      <c r="L94" s="804"/>
      <c r="M94" s="883">
        <v>40</v>
      </c>
      <c r="N94" s="884">
        <v>10</v>
      </c>
      <c r="O94" s="805"/>
      <c r="P94" s="804"/>
      <c r="Q94" s="805"/>
      <c r="R94" s="804"/>
      <c r="S94" s="805"/>
      <c r="T94" s="804"/>
      <c r="U94" s="805"/>
      <c r="V94" s="804"/>
      <c r="W94" s="805"/>
      <c r="X94" s="804"/>
      <c r="Y94" s="805"/>
      <c r="Z94" s="804"/>
      <c r="AA94" s="885"/>
    </row>
    <row r="95" spans="1:27" ht="14.25">
      <c r="A95" s="748" t="s">
        <v>733</v>
      </c>
      <c r="B95" s="890" t="s">
        <v>3031</v>
      </c>
      <c r="C95" s="803"/>
      <c r="D95" s="804"/>
      <c r="E95" s="805"/>
      <c r="F95" s="804"/>
      <c r="G95" s="805"/>
      <c r="H95" s="804"/>
      <c r="I95" s="805"/>
      <c r="J95" s="804"/>
      <c r="K95" s="805"/>
      <c r="L95" s="804"/>
      <c r="M95" s="883">
        <v>45</v>
      </c>
      <c r="N95" s="884">
        <v>10</v>
      </c>
      <c r="O95" s="805"/>
      <c r="P95" s="804"/>
      <c r="Q95" s="805"/>
      <c r="R95" s="804"/>
      <c r="S95" s="805"/>
      <c r="T95" s="804"/>
      <c r="U95" s="805"/>
      <c r="V95" s="804"/>
      <c r="W95" s="805"/>
      <c r="X95" s="804"/>
      <c r="Y95" s="805"/>
      <c r="Z95" s="804"/>
      <c r="AA95" s="885"/>
    </row>
    <row r="96" spans="1:27" ht="14.25">
      <c r="A96" s="748" t="s">
        <v>735</v>
      </c>
      <c r="B96" s="889" t="s">
        <v>3032</v>
      </c>
      <c r="C96" s="803"/>
      <c r="D96" s="804"/>
      <c r="E96" s="805"/>
      <c r="F96" s="804"/>
      <c r="G96" s="805"/>
      <c r="H96" s="804"/>
      <c r="I96" s="805"/>
      <c r="J96" s="804"/>
      <c r="K96" s="805"/>
      <c r="L96" s="804"/>
      <c r="M96" s="877">
        <v>50</v>
      </c>
      <c r="N96" s="884">
        <v>10</v>
      </c>
      <c r="O96" s="805"/>
      <c r="P96" s="804"/>
      <c r="Q96" s="805"/>
      <c r="R96" s="804"/>
      <c r="S96" s="805"/>
      <c r="T96" s="804"/>
      <c r="U96" s="805"/>
      <c r="V96" s="804"/>
      <c r="W96" s="805"/>
      <c r="X96" s="804"/>
      <c r="Y96" s="805"/>
      <c r="Z96" s="804"/>
      <c r="AA96" s="879"/>
    </row>
    <row r="97" spans="1:27" ht="14.25">
      <c r="A97" s="748" t="s">
        <v>738</v>
      </c>
      <c r="B97" s="890" t="s">
        <v>3033</v>
      </c>
      <c r="C97" s="803"/>
      <c r="D97" s="804"/>
      <c r="E97" s="805"/>
      <c r="F97" s="804"/>
      <c r="G97" s="805"/>
      <c r="H97" s="804"/>
      <c r="I97" s="805"/>
      <c r="J97" s="804"/>
      <c r="K97" s="805"/>
      <c r="L97" s="804"/>
      <c r="M97" s="883">
        <v>20</v>
      </c>
      <c r="N97" s="884">
        <v>10</v>
      </c>
      <c r="O97" s="805"/>
      <c r="P97" s="804"/>
      <c r="Q97" s="805"/>
      <c r="R97" s="804"/>
      <c r="S97" s="805"/>
      <c r="T97" s="804"/>
      <c r="U97" s="805"/>
      <c r="V97" s="804"/>
      <c r="W97" s="805"/>
      <c r="X97" s="804"/>
      <c r="Y97" s="805"/>
      <c r="Z97" s="804"/>
      <c r="AA97" s="885"/>
    </row>
    <row r="98" spans="1:27" ht="14.25">
      <c r="A98" s="748" t="s">
        <v>740</v>
      </c>
      <c r="B98" s="890" t="s">
        <v>3034</v>
      </c>
      <c r="C98" s="803"/>
      <c r="D98" s="804"/>
      <c r="E98" s="805"/>
      <c r="F98" s="804"/>
      <c r="G98" s="805"/>
      <c r="H98" s="804"/>
      <c r="I98" s="805"/>
      <c r="J98" s="804"/>
      <c r="K98" s="805"/>
      <c r="L98" s="804"/>
      <c r="M98" s="883">
        <v>30</v>
      </c>
      <c r="N98" s="884">
        <v>10</v>
      </c>
      <c r="O98" s="805"/>
      <c r="P98" s="804"/>
      <c r="Q98" s="805"/>
      <c r="R98" s="804"/>
      <c r="S98" s="805"/>
      <c r="T98" s="804"/>
      <c r="U98" s="805"/>
      <c r="V98" s="804"/>
      <c r="W98" s="805"/>
      <c r="X98" s="804"/>
      <c r="Y98" s="805"/>
      <c r="Z98" s="804"/>
      <c r="AA98" s="885"/>
    </row>
    <row r="99" spans="1:27" ht="14.25">
      <c r="A99" s="748" t="s">
        <v>742</v>
      </c>
      <c r="B99" s="890" t="s">
        <v>3035</v>
      </c>
      <c r="C99" s="803"/>
      <c r="D99" s="804"/>
      <c r="E99" s="805"/>
      <c r="F99" s="804"/>
      <c r="G99" s="805"/>
      <c r="H99" s="804"/>
      <c r="I99" s="805"/>
      <c r="J99" s="804"/>
      <c r="K99" s="805"/>
      <c r="L99" s="804"/>
      <c r="M99" s="883">
        <v>50</v>
      </c>
      <c r="N99" s="884">
        <v>10</v>
      </c>
      <c r="O99" s="805"/>
      <c r="P99" s="804"/>
      <c r="Q99" s="805"/>
      <c r="R99" s="804"/>
      <c r="S99" s="805"/>
      <c r="T99" s="804"/>
      <c r="U99" s="805"/>
      <c r="V99" s="804"/>
      <c r="W99" s="805"/>
      <c r="X99" s="804"/>
      <c r="Y99" s="805"/>
      <c r="Z99" s="804"/>
      <c r="AA99" s="885"/>
    </row>
    <row r="100" spans="1:27" ht="14.25">
      <c r="A100" s="748" t="s">
        <v>744</v>
      </c>
      <c r="B100" s="890" t="s">
        <v>3036</v>
      </c>
      <c r="C100" s="803"/>
      <c r="D100" s="804"/>
      <c r="E100" s="805"/>
      <c r="F100" s="804"/>
      <c r="G100" s="805"/>
      <c r="H100" s="804"/>
      <c r="I100" s="805"/>
      <c r="J100" s="804"/>
      <c r="K100" s="805"/>
      <c r="L100" s="804"/>
      <c r="M100" s="877">
        <v>20</v>
      </c>
      <c r="N100" s="884">
        <v>10</v>
      </c>
      <c r="O100" s="805"/>
      <c r="P100" s="804"/>
      <c r="Q100" s="805"/>
      <c r="R100" s="804"/>
      <c r="S100" s="805"/>
      <c r="T100" s="804"/>
      <c r="U100" s="805"/>
      <c r="V100" s="804"/>
      <c r="W100" s="805"/>
      <c r="X100" s="804"/>
      <c r="Y100" s="805"/>
      <c r="Z100" s="804"/>
      <c r="AA100" s="879"/>
    </row>
    <row r="101" spans="1:27" ht="14.25">
      <c r="A101" s="748" t="s">
        <v>746</v>
      </c>
      <c r="B101" s="890" t="s">
        <v>3037</v>
      </c>
      <c r="C101" s="803"/>
      <c r="D101" s="804"/>
      <c r="E101" s="805"/>
      <c r="F101" s="804"/>
      <c r="G101" s="805"/>
      <c r="H101" s="804"/>
      <c r="I101" s="805"/>
      <c r="J101" s="804"/>
      <c r="K101" s="805"/>
      <c r="L101" s="804"/>
      <c r="M101" s="883">
        <v>20</v>
      </c>
      <c r="N101" s="884">
        <v>10</v>
      </c>
      <c r="O101" s="805"/>
      <c r="P101" s="804"/>
      <c r="Q101" s="805"/>
      <c r="R101" s="804"/>
      <c r="S101" s="805"/>
      <c r="T101" s="804"/>
      <c r="U101" s="805"/>
      <c r="V101" s="804"/>
      <c r="W101" s="805"/>
      <c r="X101" s="804"/>
      <c r="Y101" s="805"/>
      <c r="Z101" s="804"/>
      <c r="AA101" s="885"/>
    </row>
    <row r="102" spans="1:27" ht="14.25">
      <c r="A102" s="748" t="s">
        <v>748</v>
      </c>
      <c r="B102" s="890" t="s">
        <v>3038</v>
      </c>
      <c r="C102" s="803"/>
      <c r="D102" s="804"/>
      <c r="E102" s="805"/>
      <c r="F102" s="804"/>
      <c r="G102" s="805"/>
      <c r="H102" s="804"/>
      <c r="I102" s="805"/>
      <c r="J102" s="804"/>
      <c r="K102" s="805"/>
      <c r="L102" s="804"/>
      <c r="M102" s="877">
        <v>50</v>
      </c>
      <c r="N102" s="884">
        <v>10</v>
      </c>
      <c r="O102" s="805"/>
      <c r="P102" s="804"/>
      <c r="Q102" s="805"/>
      <c r="R102" s="804"/>
      <c r="S102" s="805"/>
      <c r="T102" s="804"/>
      <c r="U102" s="805"/>
      <c r="V102" s="804"/>
      <c r="W102" s="805"/>
      <c r="X102" s="804"/>
      <c r="Y102" s="805"/>
      <c r="Z102" s="804"/>
      <c r="AA102" s="879"/>
    </row>
    <row r="103" spans="1:27" ht="14.25">
      <c r="A103" s="748">
        <v>9.1999999999999993</v>
      </c>
      <c r="B103" s="851" t="s">
        <v>3039</v>
      </c>
      <c r="C103" s="803"/>
      <c r="D103" s="804"/>
      <c r="E103" s="805"/>
      <c r="F103" s="804"/>
      <c r="G103" s="805"/>
      <c r="H103" s="804"/>
      <c r="I103" s="805"/>
      <c r="J103" s="804"/>
      <c r="K103" s="805"/>
      <c r="L103" s="804"/>
      <c r="M103" s="877"/>
      <c r="N103" s="878"/>
      <c r="O103" s="805"/>
      <c r="P103" s="804"/>
      <c r="Q103" s="805"/>
      <c r="R103" s="804"/>
      <c r="S103" s="805"/>
      <c r="T103" s="804"/>
      <c r="U103" s="805"/>
      <c r="V103" s="804"/>
      <c r="W103" s="805"/>
      <c r="X103" s="804"/>
      <c r="Y103" s="805"/>
      <c r="Z103" s="804"/>
      <c r="AA103" s="879"/>
    </row>
    <row r="104" spans="1:27" ht="14.25">
      <c r="A104" s="748" t="s">
        <v>757</v>
      </c>
      <c r="B104" s="890" t="s">
        <v>3040</v>
      </c>
      <c r="C104" s="803"/>
      <c r="D104" s="804"/>
      <c r="E104" s="805"/>
      <c r="F104" s="804"/>
      <c r="G104" s="805"/>
      <c r="H104" s="804"/>
      <c r="I104" s="805"/>
      <c r="J104" s="804"/>
      <c r="K104" s="805"/>
      <c r="L104" s="804"/>
      <c r="M104" s="883">
        <v>15</v>
      </c>
      <c r="N104" s="884">
        <v>5</v>
      </c>
      <c r="O104" s="805"/>
      <c r="P104" s="804"/>
      <c r="Q104" s="805"/>
      <c r="R104" s="804"/>
      <c r="S104" s="805"/>
      <c r="T104" s="804"/>
      <c r="U104" s="805"/>
      <c r="V104" s="804"/>
      <c r="W104" s="805"/>
      <c r="X104" s="804"/>
      <c r="Y104" s="805"/>
      <c r="Z104" s="804"/>
      <c r="AA104" s="885"/>
    </row>
    <row r="105" spans="1:27" ht="14.25">
      <c r="A105" s="748" t="s">
        <v>759</v>
      </c>
      <c r="B105" s="890" t="s">
        <v>3041</v>
      </c>
      <c r="C105" s="803"/>
      <c r="D105" s="804"/>
      <c r="E105" s="805"/>
      <c r="F105" s="804"/>
      <c r="G105" s="805"/>
      <c r="H105" s="804"/>
      <c r="I105" s="805"/>
      <c r="J105" s="804"/>
      <c r="K105" s="805"/>
      <c r="L105" s="804"/>
      <c r="M105" s="883">
        <v>15</v>
      </c>
      <c r="N105" s="884">
        <v>5</v>
      </c>
      <c r="O105" s="805"/>
      <c r="P105" s="804"/>
      <c r="Q105" s="805"/>
      <c r="R105" s="804"/>
      <c r="S105" s="805"/>
      <c r="T105" s="804"/>
      <c r="U105" s="805"/>
      <c r="V105" s="804"/>
      <c r="W105" s="805"/>
      <c r="X105" s="804"/>
      <c r="Y105" s="805"/>
      <c r="Z105" s="804"/>
      <c r="AA105" s="885"/>
    </row>
    <row r="106" spans="1:27" ht="14.25">
      <c r="A106" s="748" t="s">
        <v>761</v>
      </c>
      <c r="B106" s="890" t="s">
        <v>3042</v>
      </c>
      <c r="C106" s="803"/>
      <c r="D106" s="804"/>
      <c r="E106" s="805"/>
      <c r="F106" s="804"/>
      <c r="G106" s="805"/>
      <c r="H106" s="804"/>
      <c r="I106" s="805"/>
      <c r="J106" s="804"/>
      <c r="K106" s="805"/>
      <c r="L106" s="804"/>
      <c r="M106" s="883">
        <v>15</v>
      </c>
      <c r="N106" s="884">
        <v>5</v>
      </c>
      <c r="O106" s="805"/>
      <c r="P106" s="804"/>
      <c r="Q106" s="805"/>
      <c r="R106" s="804"/>
      <c r="S106" s="805"/>
      <c r="T106" s="804"/>
      <c r="U106" s="805"/>
      <c r="V106" s="804"/>
      <c r="W106" s="805"/>
      <c r="X106" s="804"/>
      <c r="Y106" s="805"/>
      <c r="Z106" s="804"/>
      <c r="AA106" s="885"/>
    </row>
    <row r="107" spans="1:27" ht="14.25">
      <c r="A107" s="748" t="s">
        <v>763</v>
      </c>
      <c r="B107" s="890" t="s">
        <v>3043</v>
      </c>
      <c r="C107" s="803"/>
      <c r="D107" s="804"/>
      <c r="E107" s="805"/>
      <c r="F107" s="804"/>
      <c r="G107" s="805"/>
      <c r="H107" s="804"/>
      <c r="I107" s="805"/>
      <c r="J107" s="804"/>
      <c r="K107" s="805"/>
      <c r="L107" s="804"/>
      <c r="M107" s="883">
        <v>15</v>
      </c>
      <c r="N107" s="884">
        <v>5</v>
      </c>
      <c r="O107" s="805"/>
      <c r="P107" s="804"/>
      <c r="Q107" s="805"/>
      <c r="R107" s="804"/>
      <c r="S107" s="805"/>
      <c r="T107" s="804"/>
      <c r="U107" s="805"/>
      <c r="V107" s="804"/>
      <c r="W107" s="805"/>
      <c r="X107" s="804"/>
      <c r="Y107" s="805"/>
      <c r="Z107" s="804"/>
      <c r="AA107" s="885"/>
    </row>
    <row r="108" spans="1:27" ht="14.25">
      <c r="A108" s="748" t="s">
        <v>765</v>
      </c>
      <c r="B108" s="890" t="s">
        <v>3044</v>
      </c>
      <c r="C108" s="803"/>
      <c r="D108" s="804"/>
      <c r="E108" s="805"/>
      <c r="F108" s="804"/>
      <c r="G108" s="805"/>
      <c r="H108" s="804"/>
      <c r="I108" s="805"/>
      <c r="J108" s="804"/>
      <c r="K108" s="805"/>
      <c r="L108" s="804"/>
      <c r="M108" s="883">
        <v>15</v>
      </c>
      <c r="N108" s="884">
        <v>5</v>
      </c>
      <c r="O108" s="805"/>
      <c r="P108" s="804"/>
      <c r="Q108" s="805"/>
      <c r="R108" s="804"/>
      <c r="S108" s="805"/>
      <c r="T108" s="804"/>
      <c r="U108" s="805"/>
      <c r="V108" s="804"/>
      <c r="W108" s="805"/>
      <c r="X108" s="804"/>
      <c r="Y108" s="805"/>
      <c r="Z108" s="804"/>
      <c r="AA108" s="885"/>
    </row>
    <row r="109" spans="1:27" ht="14.25">
      <c r="A109" s="748" t="s">
        <v>767</v>
      </c>
      <c r="B109" s="890" t="s">
        <v>3045</v>
      </c>
      <c r="C109" s="803"/>
      <c r="D109" s="804"/>
      <c r="E109" s="805"/>
      <c r="F109" s="804"/>
      <c r="G109" s="805"/>
      <c r="H109" s="804"/>
      <c r="I109" s="805"/>
      <c r="J109" s="804"/>
      <c r="K109" s="805"/>
      <c r="L109" s="804"/>
      <c r="M109" s="883">
        <v>15</v>
      </c>
      <c r="N109" s="884">
        <v>5</v>
      </c>
      <c r="O109" s="805"/>
      <c r="P109" s="804"/>
      <c r="Q109" s="805"/>
      <c r="R109" s="804"/>
      <c r="S109" s="805"/>
      <c r="T109" s="804"/>
      <c r="U109" s="805"/>
      <c r="V109" s="804"/>
      <c r="W109" s="805"/>
      <c r="X109" s="804"/>
      <c r="Y109" s="805"/>
      <c r="Z109" s="804"/>
      <c r="AA109" s="885"/>
    </row>
    <row r="110" spans="1:27" ht="14.25">
      <c r="A110" s="748" t="s">
        <v>3046</v>
      </c>
      <c r="B110" s="890" t="s">
        <v>3047</v>
      </c>
      <c r="C110" s="803"/>
      <c r="D110" s="804"/>
      <c r="E110" s="805"/>
      <c r="F110" s="804"/>
      <c r="G110" s="805"/>
      <c r="H110" s="804"/>
      <c r="I110" s="805"/>
      <c r="J110" s="804"/>
      <c r="K110" s="805"/>
      <c r="L110" s="804"/>
      <c r="M110" s="883">
        <v>15</v>
      </c>
      <c r="N110" s="884">
        <v>5</v>
      </c>
      <c r="O110" s="805"/>
      <c r="P110" s="804"/>
      <c r="Q110" s="805"/>
      <c r="R110" s="804"/>
      <c r="S110" s="805"/>
      <c r="T110" s="804"/>
      <c r="U110" s="805"/>
      <c r="V110" s="804"/>
      <c r="W110" s="805"/>
      <c r="X110" s="804"/>
      <c r="Y110" s="805"/>
      <c r="Z110" s="804"/>
      <c r="AA110" s="885"/>
    </row>
    <row r="111" spans="1:27" ht="14.25">
      <c r="A111" s="748" t="s">
        <v>3048</v>
      </c>
      <c r="B111" s="890" t="s">
        <v>3049</v>
      </c>
      <c r="C111" s="803"/>
      <c r="D111" s="804"/>
      <c r="E111" s="805"/>
      <c r="F111" s="804"/>
      <c r="G111" s="805"/>
      <c r="H111" s="804"/>
      <c r="I111" s="805"/>
      <c r="J111" s="804"/>
      <c r="K111" s="805"/>
      <c r="L111" s="804"/>
      <c r="M111" s="883">
        <v>15</v>
      </c>
      <c r="N111" s="884">
        <v>5</v>
      </c>
      <c r="O111" s="805"/>
      <c r="P111" s="804"/>
      <c r="Q111" s="805"/>
      <c r="R111" s="804"/>
      <c r="S111" s="805"/>
      <c r="T111" s="804"/>
      <c r="U111" s="805"/>
      <c r="V111" s="804"/>
      <c r="W111" s="805"/>
      <c r="X111" s="804"/>
      <c r="Y111" s="805"/>
      <c r="Z111" s="804"/>
      <c r="AA111" s="885"/>
    </row>
    <row r="112" spans="1:27" ht="14.25">
      <c r="A112" s="748" t="s">
        <v>3050</v>
      </c>
      <c r="B112" s="890" t="s">
        <v>3051</v>
      </c>
      <c r="C112" s="803"/>
      <c r="D112" s="804"/>
      <c r="E112" s="805"/>
      <c r="F112" s="804"/>
      <c r="G112" s="805"/>
      <c r="H112" s="804"/>
      <c r="I112" s="805"/>
      <c r="J112" s="804"/>
      <c r="K112" s="805"/>
      <c r="L112" s="804"/>
      <c r="M112" s="883">
        <v>15</v>
      </c>
      <c r="N112" s="884">
        <v>5</v>
      </c>
      <c r="O112" s="805"/>
      <c r="P112" s="804"/>
      <c r="Q112" s="805"/>
      <c r="R112" s="804"/>
      <c r="S112" s="805"/>
      <c r="T112" s="804"/>
      <c r="U112" s="805"/>
      <c r="V112" s="804"/>
      <c r="W112" s="805"/>
      <c r="X112" s="804"/>
      <c r="Y112" s="805"/>
      <c r="Z112" s="804"/>
      <c r="AA112" s="885"/>
    </row>
    <row r="113" spans="1:27" ht="14.25">
      <c r="A113" s="748" t="s">
        <v>3052</v>
      </c>
      <c r="B113" s="890" t="s">
        <v>3053</v>
      </c>
      <c r="C113" s="803"/>
      <c r="D113" s="804"/>
      <c r="E113" s="805"/>
      <c r="F113" s="804"/>
      <c r="G113" s="805"/>
      <c r="H113" s="804"/>
      <c r="I113" s="805"/>
      <c r="J113" s="804"/>
      <c r="K113" s="805"/>
      <c r="L113" s="804"/>
      <c r="M113" s="883">
        <v>15</v>
      </c>
      <c r="N113" s="884">
        <v>5</v>
      </c>
      <c r="O113" s="805"/>
      <c r="P113" s="804"/>
      <c r="Q113" s="805"/>
      <c r="R113" s="804"/>
      <c r="S113" s="805"/>
      <c r="T113" s="804"/>
      <c r="U113" s="805"/>
      <c r="V113" s="804"/>
      <c r="W113" s="805"/>
      <c r="X113" s="804"/>
      <c r="Y113" s="805"/>
      <c r="Z113" s="804"/>
      <c r="AA113" s="885"/>
    </row>
    <row r="114" spans="1:27" ht="14.25">
      <c r="A114" s="748" t="s">
        <v>3054</v>
      </c>
      <c r="B114" s="890" t="s">
        <v>3055</v>
      </c>
      <c r="C114" s="803"/>
      <c r="D114" s="804"/>
      <c r="E114" s="805"/>
      <c r="F114" s="804"/>
      <c r="G114" s="805"/>
      <c r="H114" s="804"/>
      <c r="I114" s="805"/>
      <c r="J114" s="804"/>
      <c r="K114" s="805"/>
      <c r="L114" s="804"/>
      <c r="M114" s="883">
        <v>15</v>
      </c>
      <c r="N114" s="884">
        <v>5</v>
      </c>
      <c r="O114" s="805"/>
      <c r="P114" s="804"/>
      <c r="Q114" s="805"/>
      <c r="R114" s="804"/>
      <c r="S114" s="805"/>
      <c r="T114" s="804"/>
      <c r="U114" s="805"/>
      <c r="V114" s="804"/>
      <c r="W114" s="805"/>
      <c r="X114" s="804"/>
      <c r="Y114" s="805"/>
      <c r="Z114" s="804"/>
      <c r="AA114" s="885"/>
    </row>
    <row r="115" spans="1:27" ht="14.25">
      <c r="A115" s="748" t="s">
        <v>3056</v>
      </c>
      <c r="B115" s="890" t="s">
        <v>3057</v>
      </c>
      <c r="C115" s="803"/>
      <c r="D115" s="804"/>
      <c r="E115" s="805"/>
      <c r="F115" s="804"/>
      <c r="G115" s="805"/>
      <c r="H115" s="804"/>
      <c r="I115" s="805"/>
      <c r="J115" s="804"/>
      <c r="K115" s="805"/>
      <c r="L115" s="804"/>
      <c r="M115" s="883">
        <v>15</v>
      </c>
      <c r="N115" s="884">
        <v>5</v>
      </c>
      <c r="O115" s="805"/>
      <c r="P115" s="804"/>
      <c r="Q115" s="805"/>
      <c r="R115" s="804"/>
      <c r="S115" s="805"/>
      <c r="T115" s="804"/>
      <c r="U115" s="805"/>
      <c r="V115" s="804"/>
      <c r="W115" s="805"/>
      <c r="X115" s="804"/>
      <c r="Y115" s="805"/>
      <c r="Z115" s="804"/>
      <c r="AA115" s="885"/>
    </row>
    <row r="116" spans="1:27" ht="14.25">
      <c r="A116" s="748" t="s">
        <v>3058</v>
      </c>
      <c r="B116" s="890" t="s">
        <v>3059</v>
      </c>
      <c r="C116" s="803"/>
      <c r="D116" s="804"/>
      <c r="E116" s="805"/>
      <c r="F116" s="804"/>
      <c r="G116" s="805"/>
      <c r="H116" s="804"/>
      <c r="I116" s="805"/>
      <c r="J116" s="804"/>
      <c r="K116" s="805"/>
      <c r="L116" s="804"/>
      <c r="M116" s="883">
        <v>15</v>
      </c>
      <c r="N116" s="884">
        <v>5</v>
      </c>
      <c r="O116" s="805"/>
      <c r="P116" s="804"/>
      <c r="Q116" s="805"/>
      <c r="R116" s="804"/>
      <c r="S116" s="805"/>
      <c r="T116" s="804"/>
      <c r="U116" s="805"/>
      <c r="V116" s="804"/>
      <c r="W116" s="805"/>
      <c r="X116" s="804"/>
      <c r="Y116" s="805"/>
      <c r="Z116" s="804"/>
      <c r="AA116" s="885"/>
    </row>
    <row r="117" spans="1:27" ht="14.25">
      <c r="A117" s="748" t="s">
        <v>3060</v>
      </c>
      <c r="B117" s="890" t="s">
        <v>3061</v>
      </c>
      <c r="C117" s="803"/>
      <c r="D117" s="804"/>
      <c r="E117" s="805"/>
      <c r="F117" s="804"/>
      <c r="G117" s="805"/>
      <c r="H117" s="804"/>
      <c r="I117" s="805"/>
      <c r="J117" s="804"/>
      <c r="K117" s="805"/>
      <c r="L117" s="804"/>
      <c r="M117" s="883">
        <v>15</v>
      </c>
      <c r="N117" s="884">
        <v>5</v>
      </c>
      <c r="O117" s="805"/>
      <c r="P117" s="804"/>
      <c r="Q117" s="805"/>
      <c r="R117" s="804"/>
      <c r="S117" s="805"/>
      <c r="T117" s="804"/>
      <c r="U117" s="805"/>
      <c r="V117" s="804"/>
      <c r="W117" s="805"/>
      <c r="X117" s="804"/>
      <c r="Y117" s="805"/>
      <c r="Z117" s="804"/>
      <c r="AA117" s="885"/>
    </row>
    <row r="118" spans="1:27" ht="14.25">
      <c r="A118" s="748" t="s">
        <v>3062</v>
      </c>
      <c r="B118" s="890" t="s">
        <v>3063</v>
      </c>
      <c r="C118" s="803"/>
      <c r="D118" s="804"/>
      <c r="E118" s="805"/>
      <c r="F118" s="804"/>
      <c r="G118" s="805"/>
      <c r="H118" s="804"/>
      <c r="I118" s="805"/>
      <c r="J118" s="804"/>
      <c r="K118" s="805"/>
      <c r="L118" s="804"/>
      <c r="M118" s="883">
        <v>15</v>
      </c>
      <c r="N118" s="884">
        <v>5</v>
      </c>
      <c r="O118" s="805"/>
      <c r="P118" s="804"/>
      <c r="Q118" s="805"/>
      <c r="R118" s="804"/>
      <c r="S118" s="805"/>
      <c r="T118" s="804"/>
      <c r="U118" s="805"/>
      <c r="V118" s="804"/>
      <c r="W118" s="805"/>
      <c r="X118" s="804"/>
      <c r="Y118" s="805"/>
      <c r="Z118" s="804"/>
      <c r="AA118" s="885"/>
    </row>
    <row r="119" spans="1:27" ht="14.25">
      <c r="A119" s="748" t="s">
        <v>3064</v>
      </c>
      <c r="B119" s="890" t="s">
        <v>3065</v>
      </c>
      <c r="C119" s="803"/>
      <c r="D119" s="804"/>
      <c r="E119" s="805"/>
      <c r="F119" s="804"/>
      <c r="G119" s="805"/>
      <c r="H119" s="804"/>
      <c r="I119" s="805"/>
      <c r="J119" s="804"/>
      <c r="K119" s="805"/>
      <c r="L119" s="804"/>
      <c r="M119" s="883">
        <v>15</v>
      </c>
      <c r="N119" s="884">
        <v>5</v>
      </c>
      <c r="O119" s="805"/>
      <c r="P119" s="804"/>
      <c r="Q119" s="805"/>
      <c r="R119" s="804"/>
      <c r="S119" s="805"/>
      <c r="T119" s="804"/>
      <c r="U119" s="805"/>
      <c r="V119" s="804"/>
      <c r="W119" s="805"/>
      <c r="X119" s="804"/>
      <c r="Y119" s="805"/>
      <c r="Z119" s="804"/>
      <c r="AA119" s="885"/>
    </row>
    <row r="120" spans="1:27" ht="14.25">
      <c r="A120" s="748" t="s">
        <v>3066</v>
      </c>
      <c r="B120" s="890" t="s">
        <v>3067</v>
      </c>
      <c r="C120" s="803"/>
      <c r="D120" s="804"/>
      <c r="E120" s="805"/>
      <c r="F120" s="804"/>
      <c r="G120" s="805"/>
      <c r="H120" s="804"/>
      <c r="I120" s="805"/>
      <c r="J120" s="804"/>
      <c r="K120" s="805"/>
      <c r="L120" s="804"/>
      <c r="M120" s="883">
        <v>15</v>
      </c>
      <c r="N120" s="884">
        <v>5</v>
      </c>
      <c r="O120" s="805"/>
      <c r="P120" s="804"/>
      <c r="Q120" s="805"/>
      <c r="R120" s="804"/>
      <c r="S120" s="805"/>
      <c r="T120" s="804"/>
      <c r="U120" s="805"/>
      <c r="V120" s="804"/>
      <c r="W120" s="805"/>
      <c r="X120" s="804"/>
      <c r="Y120" s="805"/>
      <c r="Z120" s="804"/>
      <c r="AA120" s="885"/>
    </row>
    <row r="121" spans="1:27" ht="14.25">
      <c r="A121" s="748" t="s">
        <v>3068</v>
      </c>
      <c r="B121" s="890" t="s">
        <v>3069</v>
      </c>
      <c r="C121" s="803"/>
      <c r="D121" s="804"/>
      <c r="E121" s="805"/>
      <c r="F121" s="804"/>
      <c r="G121" s="805"/>
      <c r="H121" s="804"/>
      <c r="I121" s="805"/>
      <c r="J121" s="804"/>
      <c r="K121" s="805"/>
      <c r="L121" s="804"/>
      <c r="M121" s="883">
        <v>15</v>
      </c>
      <c r="N121" s="884">
        <v>5</v>
      </c>
      <c r="O121" s="805"/>
      <c r="P121" s="804"/>
      <c r="Q121" s="805"/>
      <c r="R121" s="804"/>
      <c r="S121" s="805"/>
      <c r="T121" s="804"/>
      <c r="U121" s="805"/>
      <c r="V121" s="804"/>
      <c r="W121" s="805"/>
      <c r="X121" s="804"/>
      <c r="Y121" s="805"/>
      <c r="Z121" s="804"/>
      <c r="AA121" s="885"/>
    </row>
    <row r="122" spans="1:27" ht="14.25">
      <c r="A122" s="748" t="s">
        <v>3070</v>
      </c>
      <c r="B122" s="890" t="s">
        <v>3071</v>
      </c>
      <c r="C122" s="803"/>
      <c r="D122" s="804"/>
      <c r="E122" s="805"/>
      <c r="F122" s="804"/>
      <c r="G122" s="805"/>
      <c r="H122" s="804"/>
      <c r="I122" s="805"/>
      <c r="J122" s="804"/>
      <c r="K122" s="805"/>
      <c r="L122" s="804"/>
      <c r="M122" s="883">
        <v>15</v>
      </c>
      <c r="N122" s="884">
        <v>5</v>
      </c>
      <c r="O122" s="805"/>
      <c r="P122" s="804"/>
      <c r="Q122" s="805"/>
      <c r="R122" s="804"/>
      <c r="S122" s="805"/>
      <c r="T122" s="804"/>
      <c r="U122" s="805"/>
      <c r="V122" s="804"/>
      <c r="W122" s="805"/>
      <c r="X122" s="804"/>
      <c r="Y122" s="805"/>
      <c r="Z122" s="804"/>
      <c r="AA122" s="885"/>
    </row>
    <row r="123" spans="1:27" ht="14.25">
      <c r="A123" s="748" t="s">
        <v>3072</v>
      </c>
      <c r="B123" s="890" t="s">
        <v>3073</v>
      </c>
      <c r="C123" s="803"/>
      <c r="D123" s="804"/>
      <c r="E123" s="805"/>
      <c r="F123" s="804"/>
      <c r="G123" s="805"/>
      <c r="H123" s="804"/>
      <c r="I123" s="805"/>
      <c r="J123" s="804"/>
      <c r="K123" s="805"/>
      <c r="L123" s="804"/>
      <c r="M123" s="883">
        <v>8</v>
      </c>
      <c r="N123" s="884">
        <v>5</v>
      </c>
      <c r="O123" s="805"/>
      <c r="P123" s="804"/>
      <c r="Q123" s="805"/>
      <c r="R123" s="804"/>
      <c r="S123" s="805"/>
      <c r="T123" s="804"/>
      <c r="U123" s="805"/>
      <c r="V123" s="804"/>
      <c r="W123" s="805"/>
      <c r="X123" s="804"/>
      <c r="Y123" s="805"/>
      <c r="Z123" s="804"/>
      <c r="AA123" s="885"/>
    </row>
    <row r="124" spans="1:27" ht="14.25">
      <c r="A124" s="748" t="s">
        <v>3072</v>
      </c>
      <c r="B124" s="890" t="s">
        <v>3074</v>
      </c>
      <c r="C124" s="803"/>
      <c r="D124" s="804"/>
      <c r="E124" s="805"/>
      <c r="F124" s="804"/>
      <c r="G124" s="805"/>
      <c r="H124" s="804"/>
      <c r="I124" s="805"/>
      <c r="J124" s="804"/>
      <c r="K124" s="805"/>
      <c r="L124" s="804"/>
      <c r="M124" s="883">
        <v>8</v>
      </c>
      <c r="N124" s="884">
        <v>5</v>
      </c>
      <c r="O124" s="805"/>
      <c r="P124" s="804"/>
      <c r="Q124" s="805"/>
      <c r="R124" s="804"/>
      <c r="S124" s="805"/>
      <c r="T124" s="804"/>
      <c r="U124" s="805"/>
      <c r="V124" s="804"/>
      <c r="W124" s="805"/>
      <c r="X124" s="804"/>
      <c r="Y124" s="805"/>
      <c r="Z124" s="804"/>
      <c r="AA124" s="885"/>
    </row>
    <row r="125" spans="1:27" ht="14.25">
      <c r="A125" s="748" t="s">
        <v>3075</v>
      </c>
      <c r="B125" s="890" t="s">
        <v>3076</v>
      </c>
      <c r="C125" s="803"/>
      <c r="D125" s="804"/>
      <c r="E125" s="805"/>
      <c r="F125" s="804"/>
      <c r="G125" s="805"/>
      <c r="H125" s="804"/>
      <c r="I125" s="805"/>
      <c r="J125" s="804"/>
      <c r="K125" s="805"/>
      <c r="L125" s="804"/>
      <c r="M125" s="883">
        <v>15</v>
      </c>
      <c r="N125" s="884">
        <v>5</v>
      </c>
      <c r="O125" s="805"/>
      <c r="P125" s="804"/>
      <c r="Q125" s="805"/>
      <c r="R125" s="804"/>
      <c r="S125" s="805"/>
      <c r="T125" s="804"/>
      <c r="U125" s="805"/>
      <c r="V125" s="804"/>
      <c r="W125" s="805"/>
      <c r="X125" s="804"/>
      <c r="Y125" s="805"/>
      <c r="Z125" s="804"/>
      <c r="AA125" s="885"/>
    </row>
    <row r="126" spans="1:27" ht="14.25">
      <c r="A126" s="748" t="s">
        <v>3077</v>
      </c>
      <c r="B126" s="890" t="s">
        <v>3078</v>
      </c>
      <c r="C126" s="803"/>
      <c r="D126" s="804"/>
      <c r="E126" s="805"/>
      <c r="F126" s="804"/>
      <c r="G126" s="805"/>
      <c r="H126" s="804"/>
      <c r="I126" s="805"/>
      <c r="J126" s="804"/>
      <c r="K126" s="805"/>
      <c r="L126" s="804"/>
      <c r="M126" s="883">
        <v>15</v>
      </c>
      <c r="N126" s="884">
        <v>5</v>
      </c>
      <c r="O126" s="805"/>
      <c r="P126" s="804"/>
      <c r="Q126" s="805"/>
      <c r="R126" s="804"/>
      <c r="S126" s="805"/>
      <c r="T126" s="804"/>
      <c r="U126" s="805"/>
      <c r="V126" s="804"/>
      <c r="W126" s="805"/>
      <c r="X126" s="804"/>
      <c r="Y126" s="805"/>
      <c r="Z126" s="804"/>
      <c r="AA126" s="885"/>
    </row>
    <row r="127" spans="1:27" ht="14.25">
      <c r="A127" s="748" t="s">
        <v>3079</v>
      </c>
      <c r="B127" s="890" t="s">
        <v>3080</v>
      </c>
      <c r="C127" s="803"/>
      <c r="D127" s="804"/>
      <c r="E127" s="805"/>
      <c r="F127" s="804"/>
      <c r="G127" s="805"/>
      <c r="H127" s="804"/>
      <c r="I127" s="805"/>
      <c r="J127" s="804"/>
      <c r="K127" s="805"/>
      <c r="L127" s="804"/>
      <c r="M127" s="883">
        <v>15</v>
      </c>
      <c r="N127" s="884">
        <v>5</v>
      </c>
      <c r="O127" s="805"/>
      <c r="P127" s="804"/>
      <c r="Q127" s="805"/>
      <c r="R127" s="804"/>
      <c r="S127" s="805"/>
      <c r="T127" s="804"/>
      <c r="U127" s="805"/>
      <c r="V127" s="804"/>
      <c r="W127" s="805"/>
      <c r="X127" s="804"/>
      <c r="Y127" s="805"/>
      <c r="Z127" s="804"/>
      <c r="AA127" s="885"/>
    </row>
    <row r="128" spans="1:27" ht="14.25">
      <c r="A128" s="748" t="s">
        <v>3081</v>
      </c>
      <c r="B128" s="890" t="s">
        <v>3082</v>
      </c>
      <c r="C128" s="803"/>
      <c r="D128" s="804"/>
      <c r="E128" s="805"/>
      <c r="F128" s="804"/>
      <c r="G128" s="805"/>
      <c r="H128" s="804"/>
      <c r="I128" s="805"/>
      <c r="J128" s="804"/>
      <c r="K128" s="805"/>
      <c r="L128" s="804"/>
      <c r="M128" s="883">
        <v>15</v>
      </c>
      <c r="N128" s="884">
        <v>5</v>
      </c>
      <c r="O128" s="805"/>
      <c r="P128" s="804"/>
      <c r="Q128" s="805"/>
      <c r="R128" s="804"/>
      <c r="S128" s="805"/>
      <c r="T128" s="804"/>
      <c r="U128" s="805"/>
      <c r="V128" s="804"/>
      <c r="W128" s="805"/>
      <c r="X128" s="804"/>
      <c r="Y128" s="805"/>
      <c r="Z128" s="804"/>
      <c r="AA128" s="885"/>
    </row>
    <row r="129" spans="1:27" ht="14.25">
      <c r="A129" s="748" t="s">
        <v>3083</v>
      </c>
      <c r="B129" s="890" t="s">
        <v>3084</v>
      </c>
      <c r="C129" s="803"/>
      <c r="D129" s="804"/>
      <c r="E129" s="805"/>
      <c r="F129" s="804"/>
      <c r="G129" s="805"/>
      <c r="H129" s="804"/>
      <c r="I129" s="805"/>
      <c r="J129" s="804"/>
      <c r="K129" s="805"/>
      <c r="L129" s="804"/>
      <c r="M129" s="883">
        <v>10</v>
      </c>
      <c r="N129" s="884">
        <v>10</v>
      </c>
      <c r="O129" s="805"/>
      <c r="P129" s="804"/>
      <c r="Q129" s="805"/>
      <c r="R129" s="804"/>
      <c r="S129" s="805"/>
      <c r="T129" s="804"/>
      <c r="U129" s="805"/>
      <c r="V129" s="804"/>
      <c r="W129" s="805"/>
      <c r="X129" s="804"/>
      <c r="Y129" s="805"/>
      <c r="Z129" s="804"/>
      <c r="AA129" s="885"/>
    </row>
    <row r="130" spans="1:27" ht="14.25">
      <c r="A130" s="748" t="s">
        <v>3085</v>
      </c>
      <c r="B130" s="890" t="s">
        <v>3086</v>
      </c>
      <c r="C130" s="803"/>
      <c r="D130" s="804"/>
      <c r="E130" s="805"/>
      <c r="F130" s="804"/>
      <c r="G130" s="805"/>
      <c r="H130" s="804"/>
      <c r="I130" s="805"/>
      <c r="J130" s="804"/>
      <c r="K130" s="805"/>
      <c r="L130" s="804"/>
      <c r="M130" s="883">
        <v>15</v>
      </c>
      <c r="N130" s="884">
        <v>5</v>
      </c>
      <c r="O130" s="805"/>
      <c r="P130" s="804"/>
      <c r="Q130" s="805"/>
      <c r="R130" s="804"/>
      <c r="S130" s="805"/>
      <c r="T130" s="804"/>
      <c r="U130" s="805"/>
      <c r="V130" s="804"/>
      <c r="W130" s="805"/>
      <c r="X130" s="804"/>
      <c r="Y130" s="805"/>
      <c r="Z130" s="804"/>
      <c r="AA130" s="885"/>
    </row>
    <row r="131" spans="1:27" ht="14.25">
      <c r="A131" s="748">
        <v>9.3000000000000007</v>
      </c>
      <c r="B131" s="851" t="s">
        <v>3087</v>
      </c>
      <c r="C131" s="803"/>
      <c r="D131" s="804"/>
      <c r="E131" s="805"/>
      <c r="F131" s="804"/>
      <c r="G131" s="805"/>
      <c r="H131" s="804"/>
      <c r="I131" s="805"/>
      <c r="J131" s="804"/>
      <c r="K131" s="805"/>
      <c r="L131" s="804"/>
      <c r="M131" s="877"/>
      <c r="N131" s="878"/>
      <c r="O131" s="805"/>
      <c r="P131" s="804"/>
      <c r="Q131" s="805"/>
      <c r="R131" s="804"/>
      <c r="S131" s="805"/>
      <c r="T131" s="804"/>
      <c r="U131" s="805"/>
      <c r="V131" s="804"/>
      <c r="W131" s="805"/>
      <c r="X131" s="804"/>
      <c r="Y131" s="805"/>
      <c r="Z131" s="804"/>
      <c r="AA131" s="879"/>
    </row>
    <row r="132" spans="1:27" ht="14.25">
      <c r="A132" s="748" t="s">
        <v>770</v>
      </c>
      <c r="B132" s="890" t="s">
        <v>3088</v>
      </c>
      <c r="C132" s="803"/>
      <c r="D132" s="804"/>
      <c r="E132" s="805"/>
      <c r="F132" s="804"/>
      <c r="G132" s="805"/>
      <c r="H132" s="804"/>
      <c r="I132" s="805"/>
      <c r="J132" s="804"/>
      <c r="K132" s="805"/>
      <c r="L132" s="804"/>
      <c r="M132" s="883">
        <v>20</v>
      </c>
      <c r="N132" s="884">
        <v>40</v>
      </c>
      <c r="O132" s="805"/>
      <c r="P132" s="804"/>
      <c r="Q132" s="805"/>
      <c r="R132" s="804"/>
      <c r="S132" s="805"/>
      <c r="T132" s="804"/>
      <c r="U132" s="805"/>
      <c r="V132" s="804"/>
      <c r="W132" s="805"/>
      <c r="X132" s="804"/>
      <c r="Y132" s="805"/>
      <c r="Z132" s="804"/>
      <c r="AA132" s="885"/>
    </row>
    <row r="133" spans="1:27" ht="14.25">
      <c r="A133" s="748" t="s">
        <v>772</v>
      </c>
      <c r="B133" s="890" t="s">
        <v>3089</v>
      </c>
      <c r="C133" s="803"/>
      <c r="D133" s="804"/>
      <c r="E133" s="805"/>
      <c r="F133" s="804"/>
      <c r="G133" s="805"/>
      <c r="H133" s="804"/>
      <c r="I133" s="805"/>
      <c r="J133" s="804"/>
      <c r="K133" s="805"/>
      <c r="L133" s="804"/>
      <c r="M133" s="883">
        <v>20</v>
      </c>
      <c r="N133" s="884">
        <v>40</v>
      </c>
      <c r="O133" s="805"/>
      <c r="P133" s="804"/>
      <c r="Q133" s="805"/>
      <c r="R133" s="804"/>
      <c r="S133" s="805"/>
      <c r="T133" s="804"/>
      <c r="U133" s="805"/>
      <c r="V133" s="804"/>
      <c r="W133" s="805"/>
      <c r="X133" s="804"/>
      <c r="Y133" s="805"/>
      <c r="Z133" s="804"/>
      <c r="AA133" s="885"/>
    </row>
    <row r="134" spans="1:27" ht="14.25">
      <c r="A134" s="748" t="s">
        <v>774</v>
      </c>
      <c r="B134" s="890" t="s">
        <v>3090</v>
      </c>
      <c r="C134" s="803"/>
      <c r="D134" s="804"/>
      <c r="E134" s="805"/>
      <c r="F134" s="804"/>
      <c r="G134" s="805"/>
      <c r="H134" s="804"/>
      <c r="I134" s="805"/>
      <c r="J134" s="804"/>
      <c r="K134" s="805"/>
      <c r="L134" s="804"/>
      <c r="M134" s="883">
        <v>20</v>
      </c>
      <c r="N134" s="884">
        <v>40</v>
      </c>
      <c r="O134" s="805"/>
      <c r="P134" s="804"/>
      <c r="Q134" s="805"/>
      <c r="R134" s="804"/>
      <c r="S134" s="805"/>
      <c r="T134" s="804"/>
      <c r="U134" s="805"/>
      <c r="V134" s="804"/>
      <c r="W134" s="805"/>
      <c r="X134" s="804"/>
      <c r="Y134" s="805"/>
      <c r="Z134" s="804"/>
      <c r="AA134" s="885"/>
    </row>
    <row r="135" spans="1:27" ht="14.25">
      <c r="A135" s="748" t="s">
        <v>776</v>
      </c>
      <c r="B135" s="890" t="s">
        <v>3091</v>
      </c>
      <c r="C135" s="803"/>
      <c r="D135" s="804"/>
      <c r="E135" s="805"/>
      <c r="F135" s="804"/>
      <c r="G135" s="805"/>
      <c r="H135" s="804"/>
      <c r="I135" s="805"/>
      <c r="J135" s="804"/>
      <c r="K135" s="805"/>
      <c r="L135" s="804"/>
      <c r="M135" s="883">
        <v>20</v>
      </c>
      <c r="N135" s="884">
        <v>40</v>
      </c>
      <c r="O135" s="805"/>
      <c r="P135" s="804"/>
      <c r="Q135" s="805"/>
      <c r="R135" s="804"/>
      <c r="S135" s="805"/>
      <c r="T135" s="804"/>
      <c r="U135" s="805"/>
      <c r="V135" s="804"/>
      <c r="W135" s="805"/>
      <c r="X135" s="804"/>
      <c r="Y135" s="805"/>
      <c r="Z135" s="804"/>
      <c r="AA135" s="885"/>
    </row>
    <row r="136" spans="1:27" ht="14.25">
      <c r="A136" s="748" t="s">
        <v>778</v>
      </c>
      <c r="B136" s="890" t="s">
        <v>3092</v>
      </c>
      <c r="C136" s="803"/>
      <c r="D136" s="804"/>
      <c r="E136" s="805"/>
      <c r="F136" s="804"/>
      <c r="G136" s="805"/>
      <c r="H136" s="804"/>
      <c r="I136" s="805"/>
      <c r="J136" s="804"/>
      <c r="K136" s="805"/>
      <c r="L136" s="804"/>
      <c r="M136" s="883">
        <v>20</v>
      </c>
      <c r="N136" s="884">
        <v>40</v>
      </c>
      <c r="O136" s="805"/>
      <c r="P136" s="804"/>
      <c r="Q136" s="805"/>
      <c r="R136" s="804"/>
      <c r="S136" s="805"/>
      <c r="T136" s="804"/>
      <c r="U136" s="805"/>
      <c r="V136" s="804"/>
      <c r="W136" s="805"/>
      <c r="X136" s="804"/>
      <c r="Y136" s="805"/>
      <c r="Z136" s="804"/>
      <c r="AA136" s="885"/>
    </row>
    <row r="137" spans="1:27" ht="14.25">
      <c r="A137" s="748" t="s">
        <v>3093</v>
      </c>
      <c r="B137" s="890" t="s">
        <v>3094</v>
      </c>
      <c r="C137" s="803"/>
      <c r="D137" s="804"/>
      <c r="E137" s="805"/>
      <c r="F137" s="804"/>
      <c r="G137" s="805"/>
      <c r="H137" s="804"/>
      <c r="I137" s="805"/>
      <c r="J137" s="804"/>
      <c r="K137" s="805"/>
      <c r="L137" s="804"/>
      <c r="M137" s="883">
        <v>20</v>
      </c>
      <c r="N137" s="884">
        <v>40</v>
      </c>
      <c r="O137" s="805"/>
      <c r="P137" s="804"/>
      <c r="Q137" s="805"/>
      <c r="R137" s="804"/>
      <c r="S137" s="805"/>
      <c r="T137" s="804"/>
      <c r="U137" s="805"/>
      <c r="V137" s="804"/>
      <c r="W137" s="805"/>
      <c r="X137" s="804"/>
      <c r="Y137" s="805"/>
      <c r="Z137" s="804"/>
      <c r="AA137" s="885"/>
    </row>
    <row r="138" spans="1:27" ht="14.25">
      <c r="A138" s="748" t="s">
        <v>3095</v>
      </c>
      <c r="B138" s="890" t="s">
        <v>3096</v>
      </c>
      <c r="C138" s="803"/>
      <c r="D138" s="804"/>
      <c r="E138" s="805"/>
      <c r="F138" s="804"/>
      <c r="G138" s="805"/>
      <c r="H138" s="804"/>
      <c r="I138" s="805"/>
      <c r="J138" s="804"/>
      <c r="K138" s="805"/>
      <c r="L138" s="804"/>
      <c r="M138" s="883">
        <v>20</v>
      </c>
      <c r="N138" s="884">
        <v>40</v>
      </c>
      <c r="O138" s="805"/>
      <c r="P138" s="804"/>
      <c r="Q138" s="805"/>
      <c r="R138" s="804"/>
      <c r="S138" s="805"/>
      <c r="T138" s="804"/>
      <c r="U138" s="805"/>
      <c r="V138" s="804"/>
      <c r="W138" s="805"/>
      <c r="X138" s="804"/>
      <c r="Y138" s="805"/>
      <c r="Z138" s="804"/>
      <c r="AA138" s="885"/>
    </row>
    <row r="139" spans="1:27" ht="14.25">
      <c r="A139" s="748" t="s">
        <v>3097</v>
      </c>
      <c r="B139" s="890" t="s">
        <v>3098</v>
      </c>
      <c r="C139" s="803"/>
      <c r="D139" s="804"/>
      <c r="E139" s="805"/>
      <c r="F139" s="804"/>
      <c r="G139" s="805"/>
      <c r="H139" s="804"/>
      <c r="I139" s="805"/>
      <c r="J139" s="804"/>
      <c r="K139" s="805"/>
      <c r="L139" s="804"/>
      <c r="M139" s="883">
        <v>20</v>
      </c>
      <c r="N139" s="884">
        <v>40</v>
      </c>
      <c r="O139" s="805"/>
      <c r="P139" s="804"/>
      <c r="Q139" s="805"/>
      <c r="R139" s="804"/>
      <c r="S139" s="805"/>
      <c r="T139" s="804"/>
      <c r="U139" s="805"/>
      <c r="V139" s="804"/>
      <c r="W139" s="805"/>
      <c r="X139" s="804"/>
      <c r="Y139" s="805"/>
      <c r="Z139" s="804"/>
      <c r="AA139" s="885"/>
    </row>
    <row r="140" spans="1:27" ht="14.25">
      <c r="A140" s="748" t="s">
        <v>3099</v>
      </c>
      <c r="B140" s="890" t="s">
        <v>3100</v>
      </c>
      <c r="C140" s="803"/>
      <c r="D140" s="804"/>
      <c r="E140" s="805"/>
      <c r="F140" s="804"/>
      <c r="G140" s="805"/>
      <c r="H140" s="804"/>
      <c r="I140" s="805"/>
      <c r="J140" s="804"/>
      <c r="K140" s="805"/>
      <c r="L140" s="804"/>
      <c r="M140" s="883">
        <v>20</v>
      </c>
      <c r="N140" s="884">
        <v>40</v>
      </c>
      <c r="O140" s="805"/>
      <c r="P140" s="804"/>
      <c r="Q140" s="805"/>
      <c r="R140" s="804"/>
      <c r="S140" s="805"/>
      <c r="T140" s="804"/>
      <c r="U140" s="805"/>
      <c r="V140" s="804"/>
      <c r="W140" s="805"/>
      <c r="X140" s="804"/>
      <c r="Y140" s="805"/>
      <c r="Z140" s="804"/>
      <c r="AA140" s="885"/>
    </row>
    <row r="141" spans="1:27" ht="14.25">
      <c r="A141" s="748" t="s">
        <v>3101</v>
      </c>
      <c r="B141" s="890" t="s">
        <v>3102</v>
      </c>
      <c r="C141" s="803"/>
      <c r="D141" s="804"/>
      <c r="E141" s="805"/>
      <c r="F141" s="804"/>
      <c r="G141" s="805"/>
      <c r="H141" s="804"/>
      <c r="I141" s="805"/>
      <c r="J141" s="804"/>
      <c r="K141" s="805"/>
      <c r="L141" s="804"/>
      <c r="M141" s="883">
        <v>20</v>
      </c>
      <c r="N141" s="884">
        <v>40</v>
      </c>
      <c r="O141" s="805"/>
      <c r="P141" s="804"/>
      <c r="Q141" s="805"/>
      <c r="R141" s="804"/>
      <c r="S141" s="805"/>
      <c r="T141" s="804"/>
      <c r="U141" s="805"/>
      <c r="V141" s="804"/>
      <c r="W141" s="805"/>
      <c r="X141" s="804"/>
      <c r="Y141" s="805"/>
      <c r="Z141" s="804"/>
      <c r="AA141" s="885"/>
    </row>
    <row r="142" spans="1:27" ht="14.25">
      <c r="A142" s="748" t="s">
        <v>3103</v>
      </c>
      <c r="B142" s="890" t="s">
        <v>3104</v>
      </c>
      <c r="C142" s="803"/>
      <c r="D142" s="804"/>
      <c r="E142" s="805"/>
      <c r="F142" s="804"/>
      <c r="G142" s="805"/>
      <c r="H142" s="804"/>
      <c r="I142" s="805"/>
      <c r="J142" s="804"/>
      <c r="K142" s="805"/>
      <c r="L142" s="804"/>
      <c r="M142" s="883">
        <v>20</v>
      </c>
      <c r="N142" s="884">
        <v>40</v>
      </c>
      <c r="O142" s="805"/>
      <c r="P142" s="804"/>
      <c r="Q142" s="805"/>
      <c r="R142" s="804"/>
      <c r="S142" s="805"/>
      <c r="T142" s="804"/>
      <c r="U142" s="805"/>
      <c r="V142" s="804"/>
      <c r="W142" s="805"/>
      <c r="X142" s="804"/>
      <c r="Y142" s="805"/>
      <c r="Z142" s="804"/>
      <c r="AA142" s="885"/>
    </row>
    <row r="143" spans="1:27" ht="14.25">
      <c r="A143" s="748" t="s">
        <v>3105</v>
      </c>
      <c r="B143" s="890" t="s">
        <v>3106</v>
      </c>
      <c r="C143" s="803"/>
      <c r="D143" s="804"/>
      <c r="E143" s="805"/>
      <c r="F143" s="804"/>
      <c r="G143" s="805"/>
      <c r="H143" s="804"/>
      <c r="I143" s="805"/>
      <c r="J143" s="804"/>
      <c r="K143" s="805"/>
      <c r="L143" s="804"/>
      <c r="M143" s="883">
        <v>20</v>
      </c>
      <c r="N143" s="884">
        <v>40</v>
      </c>
      <c r="O143" s="805"/>
      <c r="P143" s="804"/>
      <c r="Q143" s="805"/>
      <c r="R143" s="804"/>
      <c r="S143" s="805"/>
      <c r="T143" s="804"/>
      <c r="U143" s="805"/>
      <c r="V143" s="804"/>
      <c r="W143" s="805"/>
      <c r="X143" s="804"/>
      <c r="Y143" s="805"/>
      <c r="Z143" s="804"/>
      <c r="AA143" s="885"/>
    </row>
    <row r="144" spans="1:27" ht="14.25">
      <c r="A144" s="748" t="s">
        <v>3107</v>
      </c>
      <c r="B144" s="890" t="s">
        <v>3108</v>
      </c>
      <c r="C144" s="803"/>
      <c r="D144" s="804"/>
      <c r="E144" s="805"/>
      <c r="F144" s="804"/>
      <c r="G144" s="805"/>
      <c r="H144" s="804"/>
      <c r="I144" s="805"/>
      <c r="J144" s="804"/>
      <c r="K144" s="805"/>
      <c r="L144" s="804"/>
      <c r="M144" s="883">
        <v>20</v>
      </c>
      <c r="N144" s="884">
        <v>40</v>
      </c>
      <c r="O144" s="805"/>
      <c r="P144" s="804"/>
      <c r="Q144" s="805"/>
      <c r="R144" s="804"/>
      <c r="S144" s="805"/>
      <c r="T144" s="804"/>
      <c r="U144" s="805"/>
      <c r="V144" s="804"/>
      <c r="W144" s="805"/>
      <c r="X144" s="804"/>
      <c r="Y144" s="805"/>
      <c r="Z144" s="804"/>
      <c r="AA144" s="885"/>
    </row>
    <row r="145" spans="1:27" ht="14.25">
      <c r="A145" s="748" t="s">
        <v>3109</v>
      </c>
      <c r="B145" s="890" t="s">
        <v>3110</v>
      </c>
      <c r="C145" s="803"/>
      <c r="D145" s="804"/>
      <c r="E145" s="805"/>
      <c r="F145" s="804"/>
      <c r="G145" s="805"/>
      <c r="H145" s="804"/>
      <c r="I145" s="805"/>
      <c r="J145" s="804"/>
      <c r="K145" s="805"/>
      <c r="L145" s="804"/>
      <c r="M145" s="883">
        <v>20</v>
      </c>
      <c r="N145" s="884">
        <v>40</v>
      </c>
      <c r="O145" s="805"/>
      <c r="P145" s="804"/>
      <c r="Q145" s="805"/>
      <c r="R145" s="804"/>
      <c r="S145" s="805"/>
      <c r="T145" s="804"/>
      <c r="U145" s="805"/>
      <c r="V145" s="804"/>
      <c r="W145" s="805"/>
      <c r="X145" s="804"/>
      <c r="Y145" s="805"/>
      <c r="Z145" s="804"/>
      <c r="AA145" s="885"/>
    </row>
    <row r="146" spans="1:27" ht="14.25">
      <c r="A146" s="748" t="s">
        <v>3111</v>
      </c>
      <c r="B146" s="890" t="s">
        <v>3112</v>
      </c>
      <c r="C146" s="803"/>
      <c r="D146" s="804"/>
      <c r="E146" s="805"/>
      <c r="F146" s="804"/>
      <c r="G146" s="805"/>
      <c r="H146" s="804"/>
      <c r="I146" s="805"/>
      <c r="J146" s="804"/>
      <c r="K146" s="805"/>
      <c r="L146" s="804"/>
      <c r="M146" s="883">
        <v>20</v>
      </c>
      <c r="N146" s="884">
        <v>40</v>
      </c>
      <c r="O146" s="805"/>
      <c r="P146" s="804"/>
      <c r="Q146" s="805"/>
      <c r="R146" s="804"/>
      <c r="S146" s="805"/>
      <c r="T146" s="804"/>
      <c r="U146" s="805"/>
      <c r="V146" s="804"/>
      <c r="W146" s="805"/>
      <c r="X146" s="804"/>
      <c r="Y146" s="805"/>
      <c r="Z146" s="804"/>
      <c r="AA146" s="885"/>
    </row>
    <row r="147" spans="1:27" ht="14.25">
      <c r="A147" s="748" t="s">
        <v>3113</v>
      </c>
      <c r="B147" s="890" t="s">
        <v>3114</v>
      </c>
      <c r="C147" s="803"/>
      <c r="D147" s="804"/>
      <c r="E147" s="805"/>
      <c r="F147" s="804"/>
      <c r="G147" s="805"/>
      <c r="H147" s="804"/>
      <c r="I147" s="805"/>
      <c r="J147" s="804"/>
      <c r="K147" s="805"/>
      <c r="L147" s="804"/>
      <c r="M147" s="883">
        <v>20</v>
      </c>
      <c r="N147" s="884">
        <v>40</v>
      </c>
      <c r="O147" s="805"/>
      <c r="P147" s="804"/>
      <c r="Q147" s="805"/>
      <c r="R147" s="804"/>
      <c r="S147" s="805"/>
      <c r="T147" s="804"/>
      <c r="U147" s="805"/>
      <c r="V147" s="804"/>
      <c r="W147" s="805"/>
      <c r="X147" s="804"/>
      <c r="Y147" s="805"/>
      <c r="Z147" s="804"/>
      <c r="AA147" s="885"/>
    </row>
    <row r="148" spans="1:27" ht="14.25">
      <c r="A148" s="748" t="s">
        <v>3115</v>
      </c>
      <c r="B148" s="890" t="s">
        <v>3116</v>
      </c>
      <c r="C148" s="803"/>
      <c r="D148" s="804"/>
      <c r="E148" s="805"/>
      <c r="F148" s="804"/>
      <c r="G148" s="805"/>
      <c r="H148" s="804"/>
      <c r="I148" s="805"/>
      <c r="J148" s="804"/>
      <c r="K148" s="805"/>
      <c r="L148" s="804"/>
      <c r="M148" s="883">
        <v>20</v>
      </c>
      <c r="N148" s="884">
        <v>40</v>
      </c>
      <c r="O148" s="805"/>
      <c r="P148" s="804"/>
      <c r="Q148" s="805"/>
      <c r="R148" s="804"/>
      <c r="S148" s="805"/>
      <c r="T148" s="804"/>
      <c r="U148" s="805"/>
      <c r="V148" s="804"/>
      <c r="W148" s="805"/>
      <c r="X148" s="804"/>
      <c r="Y148" s="805"/>
      <c r="Z148" s="804"/>
      <c r="AA148" s="885"/>
    </row>
    <row r="149" spans="1:27" ht="14.25">
      <c r="A149" s="748" t="s">
        <v>3117</v>
      </c>
      <c r="B149" s="890" t="s">
        <v>3118</v>
      </c>
      <c r="C149" s="803"/>
      <c r="D149" s="804"/>
      <c r="E149" s="805"/>
      <c r="F149" s="804"/>
      <c r="G149" s="805"/>
      <c r="H149" s="804"/>
      <c r="I149" s="805"/>
      <c r="J149" s="804"/>
      <c r="K149" s="805"/>
      <c r="L149" s="804"/>
      <c r="M149" s="883">
        <v>20</v>
      </c>
      <c r="N149" s="884">
        <v>40</v>
      </c>
      <c r="O149" s="805"/>
      <c r="P149" s="804"/>
      <c r="Q149" s="805"/>
      <c r="R149" s="804"/>
      <c r="S149" s="805"/>
      <c r="T149" s="804"/>
      <c r="U149" s="805"/>
      <c r="V149" s="804"/>
      <c r="W149" s="805"/>
      <c r="X149" s="804"/>
      <c r="Y149" s="805"/>
      <c r="Z149" s="804"/>
      <c r="AA149" s="885"/>
    </row>
    <row r="150" spans="1:27" ht="14.25">
      <c r="A150" s="748" t="s">
        <v>3119</v>
      </c>
      <c r="B150" s="890" t="s">
        <v>3120</v>
      </c>
      <c r="C150" s="803"/>
      <c r="D150" s="804"/>
      <c r="E150" s="805"/>
      <c r="F150" s="804"/>
      <c r="G150" s="805"/>
      <c r="H150" s="804"/>
      <c r="I150" s="805"/>
      <c r="J150" s="804"/>
      <c r="K150" s="805"/>
      <c r="L150" s="804"/>
      <c r="M150" s="883">
        <v>20</v>
      </c>
      <c r="N150" s="884">
        <v>40</v>
      </c>
      <c r="O150" s="805"/>
      <c r="P150" s="804"/>
      <c r="Q150" s="805"/>
      <c r="R150" s="804"/>
      <c r="S150" s="805"/>
      <c r="T150" s="804"/>
      <c r="U150" s="805"/>
      <c r="V150" s="804"/>
      <c r="W150" s="805"/>
      <c r="X150" s="804"/>
      <c r="Y150" s="805"/>
      <c r="Z150" s="804"/>
      <c r="AA150" s="885"/>
    </row>
    <row r="151" spans="1:27" ht="14.25">
      <c r="A151" s="748" t="s">
        <v>3121</v>
      </c>
      <c r="B151" s="890" t="s">
        <v>3122</v>
      </c>
      <c r="C151" s="803"/>
      <c r="D151" s="804"/>
      <c r="E151" s="805"/>
      <c r="F151" s="804"/>
      <c r="G151" s="805"/>
      <c r="H151" s="804"/>
      <c r="I151" s="805"/>
      <c r="J151" s="804"/>
      <c r="K151" s="805"/>
      <c r="L151" s="804"/>
      <c r="M151" s="883">
        <v>20</v>
      </c>
      <c r="N151" s="884">
        <v>40</v>
      </c>
      <c r="O151" s="805"/>
      <c r="P151" s="804"/>
      <c r="Q151" s="805"/>
      <c r="R151" s="804"/>
      <c r="S151" s="805"/>
      <c r="T151" s="804"/>
      <c r="U151" s="805"/>
      <c r="V151" s="804"/>
      <c r="W151" s="805"/>
      <c r="X151" s="804"/>
      <c r="Y151" s="805"/>
      <c r="Z151" s="804"/>
      <c r="AA151" s="885"/>
    </row>
    <row r="152" spans="1:27" ht="14.25">
      <c r="A152" s="748" t="s">
        <v>3121</v>
      </c>
      <c r="B152" s="890" t="s">
        <v>3123</v>
      </c>
      <c r="C152" s="803"/>
      <c r="D152" s="804"/>
      <c r="E152" s="805"/>
      <c r="F152" s="804"/>
      <c r="G152" s="805"/>
      <c r="H152" s="804"/>
      <c r="I152" s="805"/>
      <c r="J152" s="804"/>
      <c r="K152" s="805"/>
      <c r="L152" s="804"/>
      <c r="M152" s="883">
        <v>20</v>
      </c>
      <c r="N152" s="884">
        <v>40</v>
      </c>
      <c r="O152" s="805"/>
      <c r="P152" s="804"/>
      <c r="Q152" s="805"/>
      <c r="R152" s="804"/>
      <c r="S152" s="805"/>
      <c r="T152" s="804"/>
      <c r="U152" s="805"/>
      <c r="V152" s="804"/>
      <c r="W152" s="805"/>
      <c r="X152" s="804"/>
      <c r="Y152" s="805"/>
      <c r="Z152" s="804"/>
      <c r="AA152" s="885"/>
    </row>
    <row r="153" spans="1:27" ht="14.25">
      <c r="A153" s="748" t="s">
        <v>3124</v>
      </c>
      <c r="B153" s="890" t="s">
        <v>3125</v>
      </c>
      <c r="C153" s="803"/>
      <c r="D153" s="804"/>
      <c r="E153" s="805"/>
      <c r="F153" s="804"/>
      <c r="G153" s="805"/>
      <c r="H153" s="804"/>
      <c r="I153" s="805"/>
      <c r="J153" s="804"/>
      <c r="K153" s="805"/>
      <c r="L153" s="804"/>
      <c r="M153" s="883">
        <v>20</v>
      </c>
      <c r="N153" s="884">
        <v>40</v>
      </c>
      <c r="O153" s="805"/>
      <c r="P153" s="804"/>
      <c r="Q153" s="805"/>
      <c r="R153" s="804"/>
      <c r="S153" s="805"/>
      <c r="T153" s="804"/>
      <c r="U153" s="805"/>
      <c r="V153" s="804"/>
      <c r="W153" s="805"/>
      <c r="X153" s="804"/>
      <c r="Y153" s="805"/>
      <c r="Z153" s="804"/>
      <c r="AA153" s="885"/>
    </row>
    <row r="154" spans="1:27" ht="14.25">
      <c r="A154" s="748" t="s">
        <v>3126</v>
      </c>
      <c r="B154" s="890" t="s">
        <v>3127</v>
      </c>
      <c r="C154" s="803"/>
      <c r="D154" s="804"/>
      <c r="E154" s="805"/>
      <c r="F154" s="804"/>
      <c r="G154" s="805"/>
      <c r="H154" s="804"/>
      <c r="I154" s="805"/>
      <c r="J154" s="804"/>
      <c r="K154" s="805"/>
      <c r="L154" s="804"/>
      <c r="M154" s="883">
        <v>20</v>
      </c>
      <c r="N154" s="884">
        <v>40</v>
      </c>
      <c r="O154" s="805"/>
      <c r="P154" s="804"/>
      <c r="Q154" s="805"/>
      <c r="R154" s="804"/>
      <c r="S154" s="805"/>
      <c r="T154" s="804"/>
      <c r="U154" s="805"/>
      <c r="V154" s="804"/>
      <c r="W154" s="805"/>
      <c r="X154" s="804"/>
      <c r="Y154" s="805"/>
      <c r="Z154" s="804"/>
      <c r="AA154" s="885"/>
    </row>
    <row r="155" spans="1:27" ht="14.25">
      <c r="A155" s="748" t="s">
        <v>3128</v>
      </c>
      <c r="B155" s="890" t="s">
        <v>3129</v>
      </c>
      <c r="C155" s="803"/>
      <c r="D155" s="804"/>
      <c r="E155" s="805"/>
      <c r="F155" s="804"/>
      <c r="G155" s="805"/>
      <c r="H155" s="804"/>
      <c r="I155" s="805"/>
      <c r="J155" s="804"/>
      <c r="K155" s="805"/>
      <c r="L155" s="804"/>
      <c r="M155" s="883">
        <v>20</v>
      </c>
      <c r="N155" s="884">
        <v>40</v>
      </c>
      <c r="O155" s="805"/>
      <c r="P155" s="804"/>
      <c r="Q155" s="805"/>
      <c r="R155" s="804"/>
      <c r="S155" s="805"/>
      <c r="T155" s="804"/>
      <c r="U155" s="805"/>
      <c r="V155" s="804"/>
      <c r="W155" s="805"/>
      <c r="X155" s="804"/>
      <c r="Y155" s="805"/>
      <c r="Z155" s="804"/>
      <c r="AA155" s="885"/>
    </row>
    <row r="156" spans="1:27" ht="14.25">
      <c r="A156" s="748" t="s">
        <v>3130</v>
      </c>
      <c r="B156" s="890" t="s">
        <v>3131</v>
      </c>
      <c r="C156" s="803"/>
      <c r="D156" s="804"/>
      <c r="E156" s="805"/>
      <c r="F156" s="804"/>
      <c r="G156" s="805"/>
      <c r="H156" s="804"/>
      <c r="I156" s="805"/>
      <c r="J156" s="804"/>
      <c r="K156" s="805"/>
      <c r="L156" s="804"/>
      <c r="M156" s="883">
        <v>20</v>
      </c>
      <c r="N156" s="884">
        <v>40</v>
      </c>
      <c r="O156" s="805"/>
      <c r="P156" s="804"/>
      <c r="Q156" s="805"/>
      <c r="R156" s="804"/>
      <c r="S156" s="805"/>
      <c r="T156" s="804"/>
      <c r="U156" s="805"/>
      <c r="V156" s="804"/>
      <c r="W156" s="805"/>
      <c r="X156" s="804"/>
      <c r="Y156" s="805"/>
      <c r="Z156" s="804"/>
      <c r="AA156" s="885"/>
    </row>
    <row r="157" spans="1:27" ht="14.25">
      <c r="A157" s="748" t="s">
        <v>3132</v>
      </c>
      <c r="B157" s="890" t="s">
        <v>3133</v>
      </c>
      <c r="C157" s="803"/>
      <c r="D157" s="804"/>
      <c r="E157" s="805"/>
      <c r="F157" s="804"/>
      <c r="G157" s="805"/>
      <c r="H157" s="804"/>
      <c r="I157" s="805"/>
      <c r="J157" s="804"/>
      <c r="K157" s="805"/>
      <c r="L157" s="804"/>
      <c r="M157" s="883">
        <v>50</v>
      </c>
      <c r="N157" s="884">
        <v>60</v>
      </c>
      <c r="O157" s="805"/>
      <c r="P157" s="804"/>
      <c r="Q157" s="805"/>
      <c r="R157" s="804"/>
      <c r="S157" s="805"/>
      <c r="T157" s="804"/>
      <c r="U157" s="805"/>
      <c r="V157" s="804"/>
      <c r="W157" s="805"/>
      <c r="X157" s="804"/>
      <c r="Y157" s="805"/>
      <c r="Z157" s="804"/>
      <c r="AA157" s="885"/>
    </row>
    <row r="158" spans="1:27" ht="14.25">
      <c r="A158" s="748" t="s">
        <v>3134</v>
      </c>
      <c r="B158" s="890" t="s">
        <v>3135</v>
      </c>
      <c r="C158" s="803"/>
      <c r="D158" s="804"/>
      <c r="E158" s="805"/>
      <c r="F158" s="804"/>
      <c r="G158" s="805"/>
      <c r="H158" s="804"/>
      <c r="I158" s="805"/>
      <c r="J158" s="804"/>
      <c r="K158" s="805"/>
      <c r="L158" s="804"/>
      <c r="M158" s="883">
        <v>20</v>
      </c>
      <c r="N158" s="884">
        <v>40</v>
      </c>
      <c r="O158" s="805"/>
      <c r="P158" s="804"/>
      <c r="Q158" s="805"/>
      <c r="R158" s="804"/>
      <c r="S158" s="805"/>
      <c r="T158" s="804"/>
      <c r="U158" s="805"/>
      <c r="V158" s="804"/>
      <c r="W158" s="805"/>
      <c r="X158" s="804"/>
      <c r="Y158" s="805"/>
      <c r="Z158" s="804"/>
      <c r="AA158" s="885"/>
    </row>
    <row r="159" spans="1:27" ht="14.25">
      <c r="A159" s="880">
        <v>10</v>
      </c>
      <c r="B159" s="891" t="s">
        <v>2611</v>
      </c>
      <c r="C159" s="803"/>
      <c r="D159" s="804"/>
      <c r="E159" s="805"/>
      <c r="F159" s="804"/>
      <c r="G159" s="805"/>
      <c r="H159" s="804"/>
      <c r="I159" s="805"/>
      <c r="J159" s="804"/>
      <c r="K159" s="805"/>
      <c r="L159" s="804"/>
      <c r="M159" s="883"/>
      <c r="N159" s="884"/>
      <c r="O159" s="805"/>
      <c r="P159" s="804"/>
      <c r="Q159" s="805"/>
      <c r="R159" s="804"/>
      <c r="S159" s="805"/>
      <c r="T159" s="804"/>
      <c r="U159" s="805"/>
      <c r="V159" s="804"/>
      <c r="W159" s="805"/>
      <c r="X159" s="804"/>
      <c r="Y159" s="805"/>
      <c r="Z159" s="804"/>
      <c r="AA159" s="885"/>
    </row>
    <row r="160" spans="1:27" ht="14.25">
      <c r="A160" s="876" t="s">
        <v>3136</v>
      </c>
      <c r="B160" s="882" t="s">
        <v>3137</v>
      </c>
      <c r="C160" s="803">
        <v>8</v>
      </c>
      <c r="D160" s="804"/>
      <c r="E160" s="805"/>
      <c r="F160" s="804"/>
      <c r="G160" s="805"/>
      <c r="H160" s="804"/>
      <c r="I160" s="805"/>
      <c r="J160" s="804"/>
      <c r="K160" s="805"/>
      <c r="L160" s="804"/>
      <c r="M160" s="883">
        <v>60</v>
      </c>
      <c r="N160" s="884">
        <v>40</v>
      </c>
      <c r="O160" s="805"/>
      <c r="P160" s="804"/>
      <c r="Q160" s="805"/>
      <c r="R160" s="804"/>
      <c r="S160" s="805"/>
      <c r="T160" s="804"/>
      <c r="U160" s="805"/>
      <c r="V160" s="804"/>
      <c r="W160" s="805"/>
      <c r="X160" s="804"/>
      <c r="Y160" s="805"/>
      <c r="Z160" s="804"/>
      <c r="AA160" s="885"/>
    </row>
    <row r="161" spans="1:27" ht="14.25">
      <c r="A161" s="876" t="s">
        <v>3138</v>
      </c>
      <c r="B161" s="882" t="s">
        <v>3139</v>
      </c>
      <c r="C161" s="803">
        <v>8</v>
      </c>
      <c r="D161" s="804"/>
      <c r="E161" s="805"/>
      <c r="F161" s="804"/>
      <c r="G161" s="803"/>
      <c r="H161" s="804"/>
      <c r="I161" s="805"/>
      <c r="J161" s="804"/>
      <c r="K161" s="805"/>
      <c r="L161" s="804"/>
      <c r="M161" s="883">
        <v>60</v>
      </c>
      <c r="N161" s="884">
        <v>40</v>
      </c>
      <c r="O161" s="805"/>
      <c r="P161" s="804"/>
      <c r="Q161" s="805"/>
      <c r="R161" s="804"/>
      <c r="S161" s="805"/>
      <c r="T161" s="804"/>
      <c r="U161" s="805"/>
      <c r="V161" s="804"/>
      <c r="W161" s="805"/>
      <c r="X161" s="804"/>
      <c r="Y161" s="805"/>
      <c r="Z161" s="804"/>
      <c r="AA161" s="885"/>
    </row>
    <row r="162" spans="1:27" ht="14.25">
      <c r="A162" s="876" t="s">
        <v>3140</v>
      </c>
      <c r="B162" s="882" t="s">
        <v>3141</v>
      </c>
      <c r="C162" s="803">
        <v>8</v>
      </c>
      <c r="D162" s="804"/>
      <c r="E162" s="805"/>
      <c r="F162" s="804"/>
      <c r="G162" s="803"/>
      <c r="H162" s="804"/>
      <c r="I162" s="805"/>
      <c r="J162" s="804"/>
      <c r="K162" s="805"/>
      <c r="L162" s="804"/>
      <c r="M162" s="883">
        <v>60</v>
      </c>
      <c r="N162" s="884">
        <v>40</v>
      </c>
      <c r="O162" s="805"/>
      <c r="P162" s="804"/>
      <c r="Q162" s="805"/>
      <c r="R162" s="804"/>
      <c r="S162" s="805"/>
      <c r="T162" s="804"/>
      <c r="U162" s="805"/>
      <c r="V162" s="804"/>
      <c r="W162" s="805"/>
      <c r="X162" s="804"/>
      <c r="Y162" s="805"/>
      <c r="Z162" s="804"/>
      <c r="AA162" s="885"/>
    </row>
    <row r="163" spans="1:27" ht="14.25">
      <c r="A163" s="876" t="s">
        <v>3142</v>
      </c>
      <c r="B163" s="882" t="s">
        <v>3143</v>
      </c>
      <c r="C163" s="803">
        <v>8</v>
      </c>
      <c r="D163" s="804"/>
      <c r="E163" s="805"/>
      <c r="F163" s="804"/>
      <c r="G163" s="803"/>
      <c r="H163" s="804"/>
      <c r="I163" s="805"/>
      <c r="J163" s="804"/>
      <c r="K163" s="805"/>
      <c r="L163" s="804"/>
      <c r="M163" s="883">
        <v>60</v>
      </c>
      <c r="N163" s="884">
        <v>40</v>
      </c>
      <c r="O163" s="805"/>
      <c r="P163" s="804"/>
      <c r="Q163" s="805"/>
      <c r="R163" s="804"/>
      <c r="S163" s="805"/>
      <c r="T163" s="804"/>
      <c r="U163" s="805"/>
      <c r="V163" s="804"/>
      <c r="W163" s="805"/>
      <c r="X163" s="804"/>
      <c r="Y163" s="805"/>
      <c r="Z163" s="804"/>
      <c r="AA163" s="885"/>
    </row>
    <row r="164" spans="1:27" ht="14.25">
      <c r="A164" s="876" t="s">
        <v>3144</v>
      </c>
      <c r="B164" s="882" t="s">
        <v>3145</v>
      </c>
      <c r="C164" s="803">
        <v>8</v>
      </c>
      <c r="D164" s="804"/>
      <c r="E164" s="805"/>
      <c r="F164" s="804"/>
      <c r="G164" s="803"/>
      <c r="H164" s="804"/>
      <c r="I164" s="895"/>
      <c r="J164" s="896"/>
      <c r="K164" s="895"/>
      <c r="L164" s="896"/>
      <c r="M164" s="883">
        <v>60</v>
      </c>
      <c r="N164" s="884">
        <v>40</v>
      </c>
      <c r="O164" s="895"/>
      <c r="P164" s="896"/>
      <c r="Q164" s="895"/>
      <c r="R164" s="896"/>
      <c r="S164" s="895"/>
      <c r="T164" s="896"/>
      <c r="U164" s="895"/>
      <c r="V164" s="896"/>
      <c r="W164" s="895"/>
      <c r="X164" s="896"/>
      <c r="Y164" s="895"/>
      <c r="Z164" s="896"/>
      <c r="AA164" s="885"/>
    </row>
    <row r="165" spans="1:27" ht="14.25">
      <c r="A165" s="876" t="s">
        <v>3146</v>
      </c>
      <c r="B165" s="882" t="s">
        <v>3147</v>
      </c>
      <c r="C165" s="803">
        <v>8</v>
      </c>
      <c r="D165" s="804"/>
      <c r="E165" s="805"/>
      <c r="F165" s="804"/>
      <c r="G165" s="803"/>
      <c r="H165" s="804"/>
      <c r="I165" s="805"/>
      <c r="J165" s="804"/>
      <c r="K165" s="805"/>
      <c r="L165" s="804"/>
      <c r="M165" s="883">
        <v>60</v>
      </c>
      <c r="N165" s="884">
        <v>40</v>
      </c>
      <c r="O165" s="805"/>
      <c r="P165" s="804"/>
      <c r="Q165" s="805"/>
      <c r="R165" s="804"/>
      <c r="S165" s="805"/>
      <c r="T165" s="804"/>
      <c r="U165" s="805"/>
      <c r="V165" s="804"/>
      <c r="W165" s="805"/>
      <c r="X165" s="804"/>
      <c r="Y165" s="805"/>
      <c r="Z165" s="804"/>
      <c r="AA165" s="885"/>
    </row>
    <row r="166" spans="1:27" ht="14.25">
      <c r="A166" s="876" t="s">
        <v>3148</v>
      </c>
      <c r="B166" s="882" t="s">
        <v>3149</v>
      </c>
      <c r="C166" s="803">
        <v>8</v>
      </c>
      <c r="D166" s="804"/>
      <c r="E166" s="805"/>
      <c r="F166" s="804"/>
      <c r="G166" s="805"/>
      <c r="H166" s="804"/>
      <c r="I166" s="805"/>
      <c r="J166" s="804"/>
      <c r="K166" s="805"/>
      <c r="L166" s="804"/>
      <c r="M166" s="883">
        <v>60</v>
      </c>
      <c r="N166" s="884">
        <v>40</v>
      </c>
      <c r="O166" s="805"/>
      <c r="P166" s="804"/>
      <c r="Q166" s="805"/>
      <c r="R166" s="804"/>
      <c r="S166" s="805"/>
      <c r="T166" s="804"/>
      <c r="U166" s="805"/>
      <c r="V166" s="804"/>
      <c r="W166" s="805"/>
      <c r="X166" s="804"/>
      <c r="Y166" s="805"/>
      <c r="Z166" s="804"/>
      <c r="AA166" s="885"/>
    </row>
    <row r="167" spans="1:27" ht="14.25">
      <c r="A167" s="876" t="s">
        <v>3150</v>
      </c>
      <c r="B167" s="882" t="s">
        <v>3151</v>
      </c>
      <c r="C167" s="803">
        <v>8</v>
      </c>
      <c r="D167" s="804"/>
      <c r="E167" s="805"/>
      <c r="F167" s="804"/>
      <c r="G167" s="805"/>
      <c r="H167" s="804"/>
      <c r="I167" s="805"/>
      <c r="J167" s="804"/>
      <c r="K167" s="805"/>
      <c r="L167" s="804"/>
      <c r="M167" s="883">
        <v>60</v>
      </c>
      <c r="N167" s="884">
        <v>40</v>
      </c>
      <c r="O167" s="805"/>
      <c r="P167" s="804"/>
      <c r="Q167" s="805"/>
      <c r="R167" s="804"/>
      <c r="S167" s="805"/>
      <c r="T167" s="804"/>
      <c r="U167" s="805"/>
      <c r="V167" s="804"/>
      <c r="W167" s="805"/>
      <c r="X167" s="804"/>
      <c r="Y167" s="805"/>
      <c r="Z167" s="804"/>
      <c r="AA167" s="885"/>
    </row>
    <row r="168" spans="1:27" ht="14.25">
      <c r="A168" s="876" t="s">
        <v>3152</v>
      </c>
      <c r="B168" s="882" t="s">
        <v>3153</v>
      </c>
      <c r="C168" s="803">
        <v>8</v>
      </c>
      <c r="D168" s="804"/>
      <c r="E168" s="805"/>
      <c r="F168" s="804"/>
      <c r="G168" s="805"/>
      <c r="H168" s="804"/>
      <c r="I168" s="805"/>
      <c r="J168" s="804"/>
      <c r="K168" s="805"/>
      <c r="L168" s="804"/>
      <c r="M168" s="883">
        <v>60</v>
      </c>
      <c r="N168" s="884">
        <v>40</v>
      </c>
      <c r="O168" s="805"/>
      <c r="P168" s="804"/>
      <c r="Q168" s="805"/>
      <c r="R168" s="804"/>
      <c r="S168" s="805"/>
      <c r="T168" s="804"/>
      <c r="U168" s="805"/>
      <c r="V168" s="804"/>
      <c r="W168" s="805"/>
      <c r="X168" s="804"/>
      <c r="Y168" s="805"/>
      <c r="Z168" s="804"/>
      <c r="AA168" s="885"/>
    </row>
    <row r="169" spans="1:27" ht="14.25">
      <c r="A169" s="876" t="s">
        <v>3154</v>
      </c>
      <c r="B169" s="882" t="s">
        <v>3155</v>
      </c>
      <c r="C169" s="803">
        <v>8</v>
      </c>
      <c r="D169" s="804"/>
      <c r="E169" s="805"/>
      <c r="F169" s="804"/>
      <c r="G169" s="805"/>
      <c r="H169" s="804"/>
      <c r="I169" s="805"/>
      <c r="J169" s="804"/>
      <c r="K169" s="805"/>
      <c r="L169" s="804"/>
      <c r="M169" s="883">
        <v>60</v>
      </c>
      <c r="N169" s="884">
        <v>40</v>
      </c>
      <c r="O169" s="805"/>
      <c r="P169" s="804"/>
      <c r="Q169" s="805"/>
      <c r="R169" s="804"/>
      <c r="S169" s="805"/>
      <c r="T169" s="804"/>
      <c r="U169" s="805"/>
      <c r="V169" s="804"/>
      <c r="W169" s="805"/>
      <c r="X169" s="804"/>
      <c r="Y169" s="805"/>
      <c r="Z169" s="804"/>
      <c r="AA169" s="885"/>
    </row>
    <row r="170" spans="1:27" ht="14.25">
      <c r="A170" s="876" t="s">
        <v>3156</v>
      </c>
      <c r="B170" s="882" t="s">
        <v>3157</v>
      </c>
      <c r="C170" s="803">
        <v>8</v>
      </c>
      <c r="D170" s="804"/>
      <c r="E170" s="805"/>
      <c r="F170" s="804"/>
      <c r="G170" s="805"/>
      <c r="H170" s="804"/>
      <c r="I170" s="805"/>
      <c r="J170" s="804"/>
      <c r="K170" s="805"/>
      <c r="L170" s="804"/>
      <c r="M170" s="883">
        <v>60</v>
      </c>
      <c r="N170" s="884">
        <v>40</v>
      </c>
      <c r="O170" s="805"/>
      <c r="P170" s="804"/>
      <c r="Q170" s="805"/>
      <c r="R170" s="804"/>
      <c r="S170" s="805"/>
      <c r="T170" s="804"/>
      <c r="U170" s="805"/>
      <c r="V170" s="804"/>
      <c r="W170" s="805"/>
      <c r="X170" s="804"/>
      <c r="Y170" s="805"/>
      <c r="Z170" s="804"/>
      <c r="AA170" s="885"/>
    </row>
    <row r="171" spans="1:27" ht="14.25">
      <c r="A171" s="876" t="s">
        <v>3158</v>
      </c>
      <c r="B171" s="882" t="s">
        <v>3159</v>
      </c>
      <c r="C171" s="803">
        <v>8</v>
      </c>
      <c r="D171" s="804"/>
      <c r="E171" s="805"/>
      <c r="F171" s="804"/>
      <c r="G171" s="805"/>
      <c r="H171" s="804"/>
      <c r="I171" s="805"/>
      <c r="J171" s="804"/>
      <c r="K171" s="805"/>
      <c r="L171" s="804"/>
      <c r="M171" s="883">
        <v>60</v>
      </c>
      <c r="N171" s="884">
        <v>40</v>
      </c>
      <c r="O171" s="805"/>
      <c r="P171" s="804"/>
      <c r="Q171" s="805"/>
      <c r="R171" s="804"/>
      <c r="S171" s="805"/>
      <c r="T171" s="804"/>
      <c r="U171" s="805"/>
      <c r="V171" s="804"/>
      <c r="W171" s="805"/>
      <c r="X171" s="804"/>
      <c r="Y171" s="805"/>
      <c r="Z171" s="804"/>
      <c r="AA171" s="885"/>
    </row>
    <row r="172" spans="1:27" ht="14.25">
      <c r="A172" s="876" t="s">
        <v>3160</v>
      </c>
      <c r="B172" s="882" t="s">
        <v>3161</v>
      </c>
      <c r="C172" s="803">
        <v>8</v>
      </c>
      <c r="D172" s="804"/>
      <c r="E172" s="805"/>
      <c r="F172" s="804"/>
      <c r="G172" s="805"/>
      <c r="H172" s="804"/>
      <c r="I172" s="805"/>
      <c r="J172" s="804"/>
      <c r="K172" s="805"/>
      <c r="L172" s="804"/>
      <c r="M172" s="883">
        <v>60</v>
      </c>
      <c r="N172" s="884">
        <v>40</v>
      </c>
      <c r="O172" s="805"/>
      <c r="P172" s="804"/>
      <c r="Q172" s="805"/>
      <c r="R172" s="804"/>
      <c r="S172" s="805"/>
      <c r="T172" s="804"/>
      <c r="U172" s="805"/>
      <c r="V172" s="804"/>
      <c r="W172" s="805"/>
      <c r="X172" s="804"/>
      <c r="Y172" s="805"/>
      <c r="Z172" s="804"/>
      <c r="AA172" s="885"/>
    </row>
    <row r="173" spans="1:27" ht="14.25">
      <c r="A173" s="876" t="s">
        <v>3162</v>
      </c>
      <c r="B173" s="882" t="s">
        <v>3163</v>
      </c>
      <c r="C173" s="803">
        <v>8</v>
      </c>
      <c r="D173" s="804"/>
      <c r="E173" s="805"/>
      <c r="F173" s="804"/>
      <c r="G173" s="805"/>
      <c r="H173" s="804"/>
      <c r="I173" s="805"/>
      <c r="J173" s="804"/>
      <c r="K173" s="805"/>
      <c r="L173" s="804"/>
      <c r="M173" s="883">
        <v>70</v>
      </c>
      <c r="N173" s="884">
        <v>55</v>
      </c>
      <c r="O173" s="805"/>
      <c r="P173" s="804"/>
      <c r="Q173" s="805"/>
      <c r="R173" s="804"/>
      <c r="S173" s="805"/>
      <c r="T173" s="804"/>
      <c r="U173" s="805"/>
      <c r="V173" s="804"/>
      <c r="W173" s="805"/>
      <c r="X173" s="804"/>
      <c r="Y173" s="805"/>
      <c r="Z173" s="804"/>
      <c r="AA173" s="885"/>
    </row>
    <row r="174" spans="1:27" ht="14.25">
      <c r="A174" s="876" t="s">
        <v>3164</v>
      </c>
      <c r="B174" s="882" t="s">
        <v>3165</v>
      </c>
      <c r="C174" s="803">
        <v>8</v>
      </c>
      <c r="D174" s="804"/>
      <c r="E174" s="805"/>
      <c r="F174" s="804"/>
      <c r="G174" s="805"/>
      <c r="H174" s="804"/>
      <c r="I174" s="805"/>
      <c r="J174" s="804"/>
      <c r="K174" s="805"/>
      <c r="L174" s="804"/>
      <c r="M174" s="883">
        <v>70</v>
      </c>
      <c r="N174" s="884">
        <v>55</v>
      </c>
      <c r="O174" s="805"/>
      <c r="P174" s="804"/>
      <c r="Q174" s="805"/>
      <c r="R174" s="804"/>
      <c r="S174" s="805"/>
      <c r="T174" s="804"/>
      <c r="U174" s="805"/>
      <c r="V174" s="804"/>
      <c r="W174" s="805"/>
      <c r="X174" s="804"/>
      <c r="Y174" s="805"/>
      <c r="Z174" s="804"/>
      <c r="AA174" s="885"/>
    </row>
    <row r="175" spans="1:27" ht="14.25">
      <c r="A175" s="876" t="s">
        <v>3166</v>
      </c>
      <c r="B175" s="882" t="s">
        <v>3167</v>
      </c>
      <c r="C175" s="803">
        <v>8</v>
      </c>
      <c r="D175" s="804"/>
      <c r="E175" s="805"/>
      <c r="F175" s="804"/>
      <c r="G175" s="805"/>
      <c r="H175" s="804"/>
      <c r="I175" s="805"/>
      <c r="J175" s="804"/>
      <c r="K175" s="805"/>
      <c r="L175" s="804"/>
      <c r="M175" s="883">
        <v>70</v>
      </c>
      <c r="N175" s="884">
        <v>55</v>
      </c>
      <c r="O175" s="805">
        <v>8</v>
      </c>
      <c r="P175" s="804"/>
      <c r="Q175" s="805"/>
      <c r="R175" s="804"/>
      <c r="S175" s="805"/>
      <c r="T175" s="804"/>
      <c r="U175" s="805"/>
      <c r="V175" s="804"/>
      <c r="W175" s="805"/>
      <c r="X175" s="804"/>
      <c r="Y175" s="805"/>
      <c r="Z175" s="804"/>
      <c r="AA175" s="885"/>
    </row>
    <row r="176" spans="1:27" ht="28.5">
      <c r="A176" s="876" t="s">
        <v>3168</v>
      </c>
      <c r="B176" s="897" t="s">
        <v>3169</v>
      </c>
      <c r="C176" s="803">
        <v>8</v>
      </c>
      <c r="D176" s="804"/>
      <c r="E176" s="805"/>
      <c r="F176" s="804"/>
      <c r="G176" s="805"/>
      <c r="H176" s="804"/>
      <c r="I176" s="805"/>
      <c r="J176" s="804"/>
      <c r="K176" s="805"/>
      <c r="L176" s="804"/>
      <c r="M176" s="883">
        <v>60</v>
      </c>
      <c r="N176" s="884">
        <v>50</v>
      </c>
      <c r="O176" s="805"/>
      <c r="P176" s="804"/>
      <c r="Q176" s="805"/>
      <c r="R176" s="804"/>
      <c r="S176" s="805"/>
      <c r="T176" s="804"/>
      <c r="U176" s="805"/>
      <c r="V176" s="804"/>
      <c r="W176" s="805"/>
      <c r="X176" s="804"/>
      <c r="Y176" s="805"/>
      <c r="Z176" s="804"/>
      <c r="AA176" s="885"/>
    </row>
    <row r="177" spans="1:27" ht="14.25">
      <c r="A177" s="876" t="s">
        <v>3170</v>
      </c>
      <c r="B177" s="882" t="s">
        <v>3171</v>
      </c>
      <c r="C177" s="803">
        <v>8</v>
      </c>
      <c r="D177" s="804"/>
      <c r="E177" s="805"/>
      <c r="F177" s="804"/>
      <c r="G177" s="805"/>
      <c r="H177" s="804"/>
      <c r="I177" s="805"/>
      <c r="J177" s="804"/>
      <c r="K177" s="805"/>
      <c r="L177" s="804"/>
      <c r="M177" s="883">
        <v>40</v>
      </c>
      <c r="N177" s="884">
        <v>50</v>
      </c>
      <c r="O177" s="805"/>
      <c r="P177" s="804"/>
      <c r="Q177" s="805"/>
      <c r="R177" s="804"/>
      <c r="S177" s="805"/>
      <c r="T177" s="804"/>
      <c r="U177" s="805"/>
      <c r="V177" s="804"/>
      <c r="W177" s="805"/>
      <c r="X177" s="804"/>
      <c r="Y177" s="805"/>
      <c r="Z177" s="804"/>
      <c r="AA177" s="885"/>
    </row>
    <row r="178" spans="1:27" ht="14.25">
      <c r="A178" s="876" t="s">
        <v>3172</v>
      </c>
      <c r="B178" s="882" t="s">
        <v>3173</v>
      </c>
      <c r="C178" s="803">
        <v>8</v>
      </c>
      <c r="D178" s="804"/>
      <c r="E178" s="805"/>
      <c r="F178" s="804"/>
      <c r="G178" s="805"/>
      <c r="H178" s="804"/>
      <c r="I178" s="805"/>
      <c r="J178" s="804"/>
      <c r="K178" s="805"/>
      <c r="L178" s="804"/>
      <c r="M178" s="883">
        <v>40</v>
      </c>
      <c r="N178" s="884">
        <v>50</v>
      </c>
      <c r="O178" s="805"/>
      <c r="P178" s="804"/>
      <c r="Q178" s="805"/>
      <c r="R178" s="804"/>
      <c r="S178" s="805"/>
      <c r="T178" s="804"/>
      <c r="U178" s="805"/>
      <c r="V178" s="804"/>
      <c r="W178" s="805"/>
      <c r="X178" s="804"/>
      <c r="Y178" s="805"/>
      <c r="Z178" s="804"/>
      <c r="AA178" s="885"/>
    </row>
    <row r="179" spans="1:27" ht="14.25">
      <c r="A179" s="876" t="s">
        <v>3174</v>
      </c>
      <c r="B179" s="882" t="s">
        <v>3175</v>
      </c>
      <c r="C179" s="803">
        <v>8</v>
      </c>
      <c r="D179" s="804"/>
      <c r="E179" s="805"/>
      <c r="F179" s="804"/>
      <c r="G179" s="805"/>
      <c r="H179" s="804"/>
      <c r="I179" s="805"/>
      <c r="J179" s="804"/>
      <c r="K179" s="805"/>
      <c r="L179" s="804"/>
      <c r="M179" s="883">
        <v>60</v>
      </c>
      <c r="N179" s="884">
        <v>75</v>
      </c>
      <c r="O179" s="805"/>
      <c r="P179" s="804"/>
      <c r="Q179" s="805"/>
      <c r="R179" s="804"/>
      <c r="S179" s="805"/>
      <c r="T179" s="804"/>
      <c r="U179" s="805"/>
      <c r="V179" s="804"/>
      <c r="W179" s="805"/>
      <c r="X179" s="804"/>
      <c r="Y179" s="805"/>
      <c r="Z179" s="804"/>
      <c r="AA179" s="885"/>
    </row>
    <row r="180" spans="1:27" ht="14.25">
      <c r="A180" s="876" t="s">
        <v>3176</v>
      </c>
      <c r="B180" s="882" t="s">
        <v>3177</v>
      </c>
      <c r="C180" s="803">
        <v>8</v>
      </c>
      <c r="D180" s="804"/>
      <c r="E180" s="805"/>
      <c r="F180" s="804"/>
      <c r="G180" s="805"/>
      <c r="H180" s="804"/>
      <c r="I180" s="805">
        <v>5</v>
      </c>
      <c r="J180" s="804"/>
      <c r="K180" s="805"/>
      <c r="L180" s="804"/>
      <c r="M180" s="883">
        <v>60</v>
      </c>
      <c r="N180" s="884">
        <v>75</v>
      </c>
      <c r="O180" s="805"/>
      <c r="P180" s="804"/>
      <c r="Q180" s="805"/>
      <c r="R180" s="804"/>
      <c r="S180" s="805"/>
      <c r="T180" s="804"/>
      <c r="U180" s="805"/>
      <c r="V180" s="804"/>
      <c r="W180" s="805"/>
      <c r="X180" s="804"/>
      <c r="Y180" s="805"/>
      <c r="Z180" s="804"/>
      <c r="AA180" s="885"/>
    </row>
    <row r="181" spans="1:27" ht="14.25">
      <c r="A181" s="876" t="s">
        <v>3178</v>
      </c>
      <c r="B181" s="882" t="s">
        <v>3179</v>
      </c>
      <c r="C181" s="803">
        <v>8</v>
      </c>
      <c r="D181" s="804"/>
      <c r="E181" s="805"/>
      <c r="F181" s="804"/>
      <c r="G181" s="805"/>
      <c r="H181" s="804"/>
      <c r="I181" s="805"/>
      <c r="J181" s="804"/>
      <c r="K181" s="805"/>
      <c r="L181" s="804"/>
      <c r="M181" s="883">
        <v>50</v>
      </c>
      <c r="N181" s="884">
        <v>40</v>
      </c>
      <c r="O181" s="805"/>
      <c r="P181" s="804"/>
      <c r="Q181" s="805"/>
      <c r="R181" s="804"/>
      <c r="S181" s="805"/>
      <c r="T181" s="804"/>
      <c r="U181" s="805"/>
      <c r="V181" s="804"/>
      <c r="W181" s="805"/>
      <c r="X181" s="804"/>
      <c r="Y181" s="805"/>
      <c r="Z181" s="804"/>
      <c r="AA181" s="885"/>
    </row>
    <row r="182" spans="1:27" ht="14.25">
      <c r="A182" s="876" t="s">
        <v>3180</v>
      </c>
      <c r="B182" s="882" t="s">
        <v>3181</v>
      </c>
      <c r="C182" s="803">
        <v>8</v>
      </c>
      <c r="D182" s="804"/>
      <c r="E182" s="805"/>
      <c r="F182" s="804"/>
      <c r="G182" s="805"/>
      <c r="H182" s="804"/>
      <c r="I182" s="805"/>
      <c r="J182" s="804"/>
      <c r="K182" s="805"/>
      <c r="L182" s="804"/>
      <c r="M182" s="883">
        <v>45</v>
      </c>
      <c r="N182" s="884">
        <v>40</v>
      </c>
      <c r="O182" s="805"/>
      <c r="P182" s="804"/>
      <c r="Q182" s="805"/>
      <c r="R182" s="804"/>
      <c r="S182" s="805"/>
      <c r="T182" s="804"/>
      <c r="U182" s="805"/>
      <c r="V182" s="804"/>
      <c r="W182" s="805"/>
      <c r="X182" s="804"/>
      <c r="Y182" s="805"/>
      <c r="Z182" s="804"/>
      <c r="AA182" s="885"/>
    </row>
    <row r="183" spans="1:27" ht="14.25">
      <c r="A183" s="876" t="s">
        <v>3182</v>
      </c>
      <c r="B183" s="882" t="s">
        <v>3183</v>
      </c>
      <c r="C183" s="803">
        <v>8</v>
      </c>
      <c r="D183" s="804"/>
      <c r="E183" s="805"/>
      <c r="F183" s="804"/>
      <c r="G183" s="805"/>
      <c r="H183" s="804"/>
      <c r="I183" s="805"/>
      <c r="J183" s="804"/>
      <c r="K183" s="805"/>
      <c r="L183" s="804"/>
      <c r="M183" s="883">
        <v>40</v>
      </c>
      <c r="N183" s="884">
        <v>40</v>
      </c>
      <c r="O183" s="805"/>
      <c r="P183" s="804"/>
      <c r="Q183" s="805"/>
      <c r="R183" s="804"/>
      <c r="S183" s="805"/>
      <c r="T183" s="804"/>
      <c r="U183" s="805"/>
      <c r="V183" s="804"/>
      <c r="W183" s="805"/>
      <c r="X183" s="804"/>
      <c r="Y183" s="805"/>
      <c r="Z183" s="804"/>
      <c r="AA183" s="885"/>
    </row>
    <row r="184" spans="1:27" ht="14.25">
      <c r="A184" s="876" t="s">
        <v>3184</v>
      </c>
      <c r="B184" s="898" t="s">
        <v>3185</v>
      </c>
      <c r="C184" s="899"/>
      <c r="D184" s="896"/>
      <c r="E184" s="895"/>
      <c r="F184" s="896"/>
      <c r="G184" s="895"/>
      <c r="H184" s="896"/>
      <c r="I184" s="895"/>
      <c r="J184" s="896"/>
      <c r="K184" s="895"/>
      <c r="L184" s="896"/>
      <c r="M184" s="895">
        <v>80</v>
      </c>
      <c r="N184" s="896">
        <v>15</v>
      </c>
      <c r="O184" s="895"/>
      <c r="P184" s="896"/>
      <c r="Q184" s="895"/>
      <c r="R184" s="896"/>
      <c r="S184" s="895"/>
      <c r="T184" s="896"/>
      <c r="U184" s="895"/>
      <c r="V184" s="896"/>
      <c r="W184" s="900">
        <v>80</v>
      </c>
      <c r="X184" s="901">
        <v>15</v>
      </c>
      <c r="Y184" s="895"/>
      <c r="Z184" s="896"/>
      <c r="AA184" s="902"/>
    </row>
    <row r="185" spans="1:27" ht="14.25">
      <c r="A185" s="903">
        <v>10.26</v>
      </c>
      <c r="B185" s="904" t="s">
        <v>3186</v>
      </c>
      <c r="C185" s="899">
        <v>10</v>
      </c>
      <c r="D185" s="896"/>
      <c r="E185" s="895"/>
      <c r="F185" s="896"/>
      <c r="G185" s="895"/>
      <c r="H185" s="896"/>
      <c r="I185" s="895"/>
      <c r="J185" s="896"/>
      <c r="K185" s="905"/>
      <c r="L185" s="906"/>
      <c r="M185" s="907">
        <v>40</v>
      </c>
      <c r="N185" s="908">
        <v>60</v>
      </c>
      <c r="O185" s="905"/>
      <c r="P185" s="906"/>
      <c r="Q185" s="905"/>
      <c r="R185" s="906"/>
      <c r="S185" s="905"/>
      <c r="T185" s="906"/>
      <c r="U185" s="905"/>
      <c r="V185" s="906"/>
      <c r="W185" s="905"/>
      <c r="X185" s="906"/>
      <c r="Y185" s="905"/>
      <c r="Z185" s="906"/>
      <c r="AA185" s="902"/>
    </row>
    <row r="186" spans="1:27" ht="14.25">
      <c r="A186" s="909">
        <v>11</v>
      </c>
      <c r="B186" s="910" t="s">
        <v>2626</v>
      </c>
      <c r="C186" s="899"/>
      <c r="D186" s="896"/>
      <c r="E186" s="911"/>
      <c r="F186" s="912"/>
      <c r="G186" s="895"/>
      <c r="H186" s="896"/>
      <c r="I186" s="895"/>
      <c r="J186" s="896"/>
      <c r="K186" s="905"/>
      <c r="L186" s="906"/>
      <c r="M186" s="905"/>
      <c r="N186" s="906"/>
      <c r="O186" s="905"/>
      <c r="P186" s="906"/>
      <c r="Q186" s="905"/>
      <c r="R186" s="906"/>
      <c r="S186" s="905"/>
      <c r="T186" s="906"/>
      <c r="U186" s="905"/>
      <c r="V186" s="906"/>
      <c r="W186" s="905"/>
      <c r="X186" s="906"/>
      <c r="Y186" s="905"/>
      <c r="Z186" s="906"/>
      <c r="AA186" s="913"/>
    </row>
    <row r="187" spans="1:27" ht="28.5">
      <c r="A187" s="914">
        <v>11</v>
      </c>
      <c r="B187" s="915" t="s">
        <v>2627</v>
      </c>
      <c r="C187" s="899"/>
      <c r="D187" s="896"/>
      <c r="E187" s="911"/>
      <c r="F187" s="912"/>
      <c r="G187" s="895"/>
      <c r="H187" s="896"/>
      <c r="I187" s="895"/>
      <c r="J187" s="896"/>
      <c r="K187" s="905"/>
      <c r="L187" s="906"/>
      <c r="M187" s="905">
        <f>0.1*M195</f>
        <v>571.6</v>
      </c>
      <c r="N187" s="906">
        <f>0.1*N195</f>
        <v>456.70000000000005</v>
      </c>
      <c r="O187" s="905"/>
      <c r="P187" s="906"/>
      <c r="Q187" s="905"/>
      <c r="R187" s="906"/>
      <c r="S187" s="905"/>
      <c r="T187" s="906"/>
      <c r="U187" s="905"/>
      <c r="V187" s="906"/>
      <c r="W187" s="905"/>
      <c r="X187" s="906"/>
      <c r="Y187" s="905"/>
      <c r="Z187" s="906"/>
      <c r="AA187" s="913">
        <f>0.1*AA195</f>
        <v>93.5</v>
      </c>
    </row>
    <row r="188" spans="1:27" ht="28.5">
      <c r="A188" s="914">
        <v>11.2</v>
      </c>
      <c r="B188" s="915" t="s">
        <v>2472</v>
      </c>
      <c r="C188" s="899"/>
      <c r="D188" s="896"/>
      <c r="E188" s="911"/>
      <c r="F188" s="912"/>
      <c r="G188" s="895"/>
      <c r="H188" s="896"/>
      <c r="I188" s="895"/>
      <c r="J188" s="896"/>
      <c r="K188" s="905"/>
      <c r="L188" s="906"/>
      <c r="M188" s="905">
        <f>0.05*M195</f>
        <v>285.8</v>
      </c>
      <c r="N188" s="906"/>
      <c r="O188" s="905"/>
      <c r="P188" s="906"/>
      <c r="Q188" s="905"/>
      <c r="R188" s="906"/>
      <c r="S188" s="905"/>
      <c r="T188" s="906"/>
      <c r="U188" s="905"/>
      <c r="V188" s="906"/>
      <c r="W188" s="905"/>
      <c r="X188" s="906"/>
      <c r="Y188" s="905"/>
      <c r="Z188" s="906"/>
      <c r="AA188" s="913">
        <f>0.05*AA195</f>
        <v>46.75</v>
      </c>
    </row>
    <row r="189" spans="1:27" ht="14.25">
      <c r="A189" s="914">
        <v>11.3</v>
      </c>
      <c r="B189" s="915" t="s">
        <v>2628</v>
      </c>
      <c r="C189" s="899"/>
      <c r="D189" s="896"/>
      <c r="E189" s="911"/>
      <c r="F189" s="912"/>
      <c r="G189" s="895"/>
      <c r="H189" s="896"/>
      <c r="I189" s="895"/>
      <c r="J189" s="896"/>
      <c r="K189" s="905"/>
      <c r="L189" s="906"/>
      <c r="M189" s="905">
        <v>120</v>
      </c>
      <c r="N189" s="906"/>
      <c r="O189" s="905"/>
      <c r="P189" s="906"/>
      <c r="Q189" s="905"/>
      <c r="R189" s="906"/>
      <c r="S189" s="905"/>
      <c r="T189" s="906"/>
      <c r="U189" s="905"/>
      <c r="V189" s="906"/>
      <c r="W189" s="905"/>
      <c r="X189" s="906"/>
      <c r="Y189" s="905"/>
      <c r="Z189" s="906"/>
      <c r="AA189" s="913"/>
    </row>
    <row r="190" spans="1:27" ht="14.25">
      <c r="A190" s="914">
        <v>11.4</v>
      </c>
      <c r="B190" s="915" t="s">
        <v>2629</v>
      </c>
      <c r="C190" s="899"/>
      <c r="D190" s="896"/>
      <c r="E190" s="911"/>
      <c r="F190" s="912"/>
      <c r="G190" s="895"/>
      <c r="H190" s="896"/>
      <c r="I190" s="895"/>
      <c r="J190" s="896"/>
      <c r="K190" s="905"/>
      <c r="L190" s="906"/>
      <c r="M190" s="905">
        <v>100</v>
      </c>
      <c r="N190" s="906"/>
      <c r="O190" s="905"/>
      <c r="P190" s="906"/>
      <c r="Q190" s="905"/>
      <c r="R190" s="906"/>
      <c r="S190" s="905"/>
      <c r="T190" s="906"/>
      <c r="U190" s="905"/>
      <c r="V190" s="906"/>
      <c r="W190" s="905"/>
      <c r="X190" s="906"/>
      <c r="Y190" s="905"/>
      <c r="Z190" s="906"/>
      <c r="AA190" s="913"/>
    </row>
    <row r="191" spans="1:27" ht="29.25" thickBot="1">
      <c r="A191" s="914">
        <v>11.5</v>
      </c>
      <c r="B191" s="915" t="s">
        <v>2630</v>
      </c>
      <c r="C191" s="899"/>
      <c r="D191" s="896"/>
      <c r="E191" s="911"/>
      <c r="F191" s="912"/>
      <c r="G191" s="895"/>
      <c r="H191" s="896"/>
      <c r="I191" s="895"/>
      <c r="J191" s="896"/>
      <c r="K191" s="905"/>
      <c r="L191" s="906"/>
      <c r="M191" s="905">
        <v>40</v>
      </c>
      <c r="N191" s="906">
        <v>8</v>
      </c>
      <c r="O191" s="905"/>
      <c r="P191" s="906"/>
      <c r="Q191" s="905"/>
      <c r="R191" s="906"/>
      <c r="S191" s="905"/>
      <c r="T191" s="906"/>
      <c r="U191" s="905"/>
      <c r="V191" s="906"/>
      <c r="W191" s="905"/>
      <c r="X191" s="906"/>
      <c r="Y191" s="905"/>
      <c r="Z191" s="906"/>
      <c r="AA191" s="913"/>
    </row>
    <row r="192" spans="1:27" ht="15.75" thickBot="1">
      <c r="A192" s="916"/>
      <c r="B192" s="917" t="s">
        <v>2102</v>
      </c>
      <c r="C192" s="838">
        <f>SUM(C5:C191)</f>
        <v>476</v>
      </c>
      <c r="D192" s="814">
        <f>SUM(D5:D191)</f>
        <v>29</v>
      </c>
      <c r="E192" s="838">
        <f t="shared" ref="E192:Z192" si="1">SUM(E5:E191)</f>
        <v>0</v>
      </c>
      <c r="F192" s="814">
        <f t="shared" si="1"/>
        <v>8</v>
      </c>
      <c r="G192" s="838">
        <f t="shared" si="1"/>
        <v>0</v>
      </c>
      <c r="H192" s="814">
        <f t="shared" si="1"/>
        <v>0</v>
      </c>
      <c r="I192" s="838">
        <f t="shared" si="1"/>
        <v>13</v>
      </c>
      <c r="J192" s="814">
        <f t="shared" si="1"/>
        <v>10</v>
      </c>
      <c r="K192" s="846">
        <f t="shared" si="1"/>
        <v>0</v>
      </c>
      <c r="L192" s="776">
        <f t="shared" si="1"/>
        <v>4</v>
      </c>
      <c r="M192" s="846">
        <f t="shared" si="1"/>
        <v>6833.4000000000005</v>
      </c>
      <c r="N192" s="776">
        <f t="shared" si="1"/>
        <v>5031.7</v>
      </c>
      <c r="O192" s="846">
        <f t="shared" si="1"/>
        <v>8</v>
      </c>
      <c r="P192" s="776">
        <f t="shared" si="1"/>
        <v>8</v>
      </c>
      <c r="Q192" s="846">
        <f t="shared" si="1"/>
        <v>9</v>
      </c>
      <c r="R192" s="776">
        <f t="shared" si="1"/>
        <v>9</v>
      </c>
      <c r="S192" s="846">
        <f t="shared" si="1"/>
        <v>4</v>
      </c>
      <c r="T192" s="776">
        <f t="shared" si="1"/>
        <v>0</v>
      </c>
      <c r="U192" s="846">
        <f t="shared" si="1"/>
        <v>0</v>
      </c>
      <c r="V192" s="776">
        <f t="shared" si="1"/>
        <v>0</v>
      </c>
      <c r="W192" s="846">
        <f t="shared" si="1"/>
        <v>80</v>
      </c>
      <c r="X192" s="776">
        <f t="shared" si="1"/>
        <v>15</v>
      </c>
      <c r="Y192" s="846">
        <f t="shared" si="1"/>
        <v>0</v>
      </c>
      <c r="Z192" s="776">
        <f t="shared" si="1"/>
        <v>0</v>
      </c>
      <c r="AA192" s="777">
        <f>SUM(AA5:AA191)</f>
        <v>1075.25</v>
      </c>
    </row>
    <row r="193" spans="1:28" ht="14.25">
      <c r="A193" s="778"/>
      <c r="B193" s="779"/>
      <c r="C193" s="781"/>
      <c r="D193" s="781"/>
      <c r="E193" s="781"/>
      <c r="F193" s="781"/>
      <c r="G193" s="781"/>
      <c r="H193" s="781"/>
      <c r="I193" s="781"/>
      <c r="J193" s="781"/>
      <c r="K193" s="781"/>
      <c r="L193" s="781"/>
      <c r="M193" s="781"/>
      <c r="N193" s="781"/>
      <c r="O193" s="781"/>
      <c r="P193" s="781"/>
      <c r="Q193" s="781"/>
      <c r="R193" s="781"/>
      <c r="S193" s="781"/>
      <c r="T193" s="781"/>
      <c r="U193" s="781"/>
      <c r="V193" s="781"/>
      <c r="W193" s="781"/>
      <c r="X193" s="781"/>
      <c r="Y193" s="781"/>
      <c r="Z193" s="781"/>
      <c r="AA193" s="781"/>
      <c r="AB193" s="734"/>
    </row>
    <row r="194" spans="1:28" ht="15" thickBot="1">
      <c r="A194" s="778"/>
      <c r="B194" s="779"/>
      <c r="C194" s="781"/>
      <c r="D194" s="781"/>
      <c r="E194" s="781"/>
      <c r="F194" s="781"/>
      <c r="G194" s="781"/>
      <c r="H194" s="781"/>
      <c r="I194" s="781"/>
      <c r="J194" s="781"/>
      <c r="K194" s="781"/>
      <c r="L194" s="781"/>
      <c r="M194" s="781"/>
      <c r="N194" s="781"/>
      <c r="O194" s="781"/>
      <c r="P194" s="781"/>
      <c r="Q194" s="781"/>
      <c r="R194" s="781"/>
      <c r="S194" s="781"/>
      <c r="T194" s="781"/>
      <c r="U194" s="781"/>
      <c r="V194" s="781"/>
      <c r="W194" s="781"/>
      <c r="X194" s="781"/>
      <c r="Y194" s="781"/>
      <c r="Z194" s="781"/>
      <c r="AA194" s="781"/>
      <c r="AB194" s="734"/>
    </row>
    <row r="195" spans="1:28" ht="15" thickBot="1">
      <c r="A195" s="778"/>
      <c r="B195" s="779"/>
      <c r="C195" s="815">
        <f>SUM(C5:C185)</f>
        <v>476</v>
      </c>
      <c r="D195" s="815">
        <f t="shared" ref="D195:AA195" si="2">SUM(D5:D185)</f>
        <v>29</v>
      </c>
      <c r="E195" s="815">
        <f t="shared" si="2"/>
        <v>0</v>
      </c>
      <c r="F195" s="815">
        <f t="shared" si="2"/>
        <v>8</v>
      </c>
      <c r="G195" s="815">
        <f t="shared" si="2"/>
        <v>0</v>
      </c>
      <c r="H195" s="815">
        <f t="shared" si="2"/>
        <v>0</v>
      </c>
      <c r="I195" s="815">
        <f t="shared" si="2"/>
        <v>13</v>
      </c>
      <c r="J195" s="815">
        <f t="shared" si="2"/>
        <v>10</v>
      </c>
      <c r="K195" s="815">
        <f t="shared" si="2"/>
        <v>0</v>
      </c>
      <c r="L195" s="815">
        <f t="shared" si="2"/>
        <v>4</v>
      </c>
      <c r="M195" s="815">
        <f t="shared" si="2"/>
        <v>5716</v>
      </c>
      <c r="N195" s="815">
        <f t="shared" si="2"/>
        <v>4567</v>
      </c>
      <c r="O195" s="815">
        <f t="shared" si="2"/>
        <v>8</v>
      </c>
      <c r="P195" s="815">
        <f t="shared" si="2"/>
        <v>8</v>
      </c>
      <c r="Q195" s="815">
        <f t="shared" si="2"/>
        <v>9</v>
      </c>
      <c r="R195" s="815">
        <f t="shared" si="2"/>
        <v>9</v>
      </c>
      <c r="S195" s="815">
        <f t="shared" si="2"/>
        <v>4</v>
      </c>
      <c r="T195" s="815">
        <f t="shared" si="2"/>
        <v>0</v>
      </c>
      <c r="U195" s="815">
        <f t="shared" si="2"/>
        <v>0</v>
      </c>
      <c r="V195" s="815">
        <f t="shared" si="2"/>
        <v>0</v>
      </c>
      <c r="W195" s="815">
        <f t="shared" si="2"/>
        <v>80</v>
      </c>
      <c r="X195" s="815">
        <f t="shared" si="2"/>
        <v>15</v>
      </c>
      <c r="Y195" s="815">
        <f t="shared" si="2"/>
        <v>0</v>
      </c>
      <c r="Z195" s="815">
        <f t="shared" si="2"/>
        <v>0</v>
      </c>
      <c r="AA195" s="815">
        <f t="shared" si="2"/>
        <v>935</v>
      </c>
      <c r="AB195" s="734"/>
    </row>
  </sheetData>
  <mergeCells count="18">
    <mergeCell ref="S3:T3"/>
    <mergeCell ref="U3:V3"/>
    <mergeCell ref="W3:X3"/>
    <mergeCell ref="B1:X1"/>
    <mergeCell ref="Y1:AA1"/>
    <mergeCell ref="A2:AA2"/>
    <mergeCell ref="A3:A4"/>
    <mergeCell ref="B3:B4"/>
    <mergeCell ref="C3:D3"/>
    <mergeCell ref="E3:F3"/>
    <mergeCell ref="G3:H3"/>
    <mergeCell ref="I3:J3"/>
    <mergeCell ref="K3:L3"/>
    <mergeCell ref="Y3:Z3"/>
    <mergeCell ref="AA3:AA4"/>
    <mergeCell ref="M3:N3"/>
    <mergeCell ref="O3:P3"/>
    <mergeCell ref="Q3:R3"/>
  </mergeCells>
  <conditionalFormatting sqref="B29:B30">
    <cfRule type="expression" dxfId="457" priority="197" stopIfTrue="1">
      <formula>IF(AND(AN38&lt;&gt;"",AN38&gt;15),1,0)</formula>
    </cfRule>
  </conditionalFormatting>
  <conditionalFormatting sqref="B32">
    <cfRule type="expression" dxfId="456" priority="172" stopIfTrue="1">
      <formula>IF(AND(AN42&lt;&gt;"",AN42&gt;15),1,0)</formula>
    </cfRule>
  </conditionalFormatting>
  <conditionalFormatting sqref="B34:B35">
    <cfRule type="expression" dxfId="455" priority="173" stopIfTrue="1">
      <formula>IF(AND(AN48&lt;&gt;"",AN48&gt;15),1,0)</formula>
    </cfRule>
  </conditionalFormatting>
  <conditionalFormatting sqref="B51:B52">
    <cfRule type="expression" dxfId="454" priority="13" stopIfTrue="1">
      <formula>IF(AND(AN55&lt;&gt;"",AN55&gt;15),1,0)</formula>
    </cfRule>
  </conditionalFormatting>
  <conditionalFormatting sqref="B72:B73">
    <cfRule type="expression" dxfId="453" priority="9" stopIfTrue="1">
      <formula>IF(AND(AJ73&lt;&gt;"",AJ73&gt;15),1,0)</formula>
    </cfRule>
  </conditionalFormatting>
  <conditionalFormatting sqref="B74:B76">
    <cfRule type="expression" dxfId="452" priority="188" stopIfTrue="1">
      <formula>IF(AND(AN55&lt;&gt;"",AN55&gt;15),1,0)</formula>
    </cfRule>
  </conditionalFormatting>
  <conditionalFormatting sqref="B79">
    <cfRule type="expression" dxfId="451" priority="190" stopIfTrue="1">
      <formula>IF(AND(AN56&lt;&gt;"",AN56&gt;15),1,0)</formula>
    </cfRule>
  </conditionalFormatting>
  <conditionalFormatting sqref="B80">
    <cfRule type="expression" dxfId="450" priority="187" stopIfTrue="1">
      <formula>IF(AND(AN61&lt;&gt;"",AN61&gt;15),1,0)</formula>
    </cfRule>
  </conditionalFormatting>
  <conditionalFormatting sqref="B81">
    <cfRule type="expression" dxfId="449" priority="6" stopIfTrue="1">
      <formula>IF(AND(AN58&lt;&gt;"",AN58&gt;15),1,0)</formula>
    </cfRule>
  </conditionalFormatting>
  <conditionalFormatting sqref="B82:B86">
    <cfRule type="expression" dxfId="448" priority="40" stopIfTrue="1">
      <formula>IF(AND(AN58&lt;&gt;"",AN58&gt;15),1,0)</formula>
    </cfRule>
  </conditionalFormatting>
  <conditionalFormatting sqref="B85:B86">
    <cfRule type="expression" dxfId="447" priority="39" stopIfTrue="1">
      <formula>IF(AND(AN60&lt;&gt;"",AN60&gt;15),1,0)</formula>
    </cfRule>
  </conditionalFormatting>
  <conditionalFormatting sqref="B87">
    <cfRule type="expression" dxfId="446" priority="186" stopIfTrue="1">
      <formula>IF(AND(AR39&lt;&gt;"",AR39&gt;15),1,0)</formula>
    </cfRule>
  </conditionalFormatting>
  <conditionalFormatting sqref="B88:B89">
    <cfRule type="expression" dxfId="445" priority="192" stopIfTrue="1">
      <formula>IF(AND(AJ60&lt;&gt;"",AJ60&gt;15),1,0)</formula>
    </cfRule>
  </conditionalFormatting>
  <conditionalFormatting sqref="B89:B90">
    <cfRule type="expression" dxfId="444" priority="38" stopIfTrue="1">
      <formula>IF(AND(AJ60&lt;&gt;"",AJ60&gt;15),1,0)</formula>
    </cfRule>
  </conditionalFormatting>
  <conditionalFormatting sqref="B91">
    <cfRule type="expression" dxfId="443" priority="206" stopIfTrue="1">
      <formula>IF(AND(AR42&lt;&gt;"",AR42&gt;15),1,0)</formula>
    </cfRule>
  </conditionalFormatting>
  <conditionalFormatting sqref="B92">
    <cfRule type="expression" dxfId="442" priority="185" stopIfTrue="1">
      <formula>IF(AND(AR48&lt;&gt;"",AR48&gt;15),1,0)</formula>
    </cfRule>
  </conditionalFormatting>
  <conditionalFormatting sqref="B93:B95">
    <cfRule type="expression" dxfId="441" priority="210" stopIfTrue="1">
      <formula>IF(AND(AJ101&lt;&gt;"",AJ101&gt;15),1,0)</formula>
    </cfRule>
  </conditionalFormatting>
  <conditionalFormatting sqref="B93:B102 M93:N97 AA93:AA97 N98:N102 M8:N28 M77:N78 M73:N74 AA8:AA28 AA77:AA78 AA73:AA74 B16:B28 B77:B78 M83:N83 AA83">
    <cfRule type="expression" dxfId="440" priority="196" stopIfTrue="1">
      <formula>IF(AND(#REF!&lt;&gt;"",#REF!&gt;15),1,0)</formula>
    </cfRule>
  </conditionalFormatting>
  <conditionalFormatting sqref="B94">
    <cfRule type="expression" dxfId="439" priority="34" stopIfTrue="1">
      <formula>IF(AND(AJ96&lt;&gt;"",AJ96&gt;15),1,0)</formula>
    </cfRule>
  </conditionalFormatting>
  <conditionalFormatting sqref="B94:B95">
    <cfRule type="expression" dxfId="438" priority="33" stopIfTrue="1">
      <formula>IF(AND(AR44&lt;&gt;"",AR44&gt;15),1,0)</formula>
    </cfRule>
  </conditionalFormatting>
  <conditionalFormatting sqref="B95">
    <cfRule type="expression" dxfId="437" priority="32" stopIfTrue="1">
      <formula>IF(AND(AJ98&lt;&gt;"",AJ98&gt;15),1,0)</formula>
    </cfRule>
  </conditionalFormatting>
  <conditionalFormatting sqref="B96:B100">
    <cfRule type="expression" dxfId="436" priority="215" stopIfTrue="1">
      <formula>IF(AND(AJ102&lt;&gt;"",AJ102&gt;15),1,0)</formula>
    </cfRule>
  </conditionalFormatting>
  <conditionalFormatting sqref="B98:B100">
    <cfRule type="expression" dxfId="435" priority="179" stopIfTrue="1">
      <formula>IF(AND(AR48&lt;&gt;"",AR48&gt;15),1,0)</formula>
    </cfRule>
  </conditionalFormatting>
  <conditionalFormatting sqref="B98:B102">
    <cfRule type="expression" dxfId="434" priority="207" stopIfTrue="1">
      <formula>IF(AND(AJ102&lt;&gt;"",AJ102&gt;15),1,0)</formula>
    </cfRule>
  </conditionalFormatting>
  <conditionalFormatting sqref="B99">
    <cfRule type="expression" dxfId="433" priority="23" stopIfTrue="1">
      <formula>IF(AND(AJ102&lt;&gt;"",AJ102&gt;15),1,0)</formula>
    </cfRule>
    <cfRule type="expression" dxfId="432" priority="18" stopIfTrue="1">
      <formula>IF(AND(AR47&lt;&gt;"",AR47&gt;15),1,0)</formula>
    </cfRule>
  </conditionalFormatting>
  <conditionalFormatting sqref="B101">
    <cfRule type="expression" dxfId="431" priority="178" stopIfTrue="1">
      <formula>IF(AND(AJ104&lt;&gt;"",AJ104&gt;15),1,0)</formula>
    </cfRule>
    <cfRule type="expression" dxfId="430" priority="211" stopIfTrue="1">
      <formula>IF(AND(AR49&lt;&gt;"",AR49&gt;15),1,0)</formula>
    </cfRule>
  </conditionalFormatting>
  <conditionalFormatting sqref="B106:B107">
    <cfRule type="expression" dxfId="429" priority="184" stopIfTrue="1">
      <formula>IF(AND(AJ104&lt;&gt;"",AJ104&gt;15),1,0)</formula>
    </cfRule>
  </conditionalFormatting>
  <conditionalFormatting sqref="B108">
    <cfRule type="expression" dxfId="428" priority="182" stopIfTrue="1">
      <formula>IF(AND(AJ126&lt;&gt;"",AJ126&gt;15),1,0)</formula>
    </cfRule>
  </conditionalFormatting>
  <conditionalFormatting sqref="B128:B129">
    <cfRule type="expression" dxfId="427" priority="35" stopIfTrue="1">
      <formula>IF(AND(AJ125&lt;&gt;"",AJ125&gt;15),1,0)</formula>
    </cfRule>
  </conditionalFormatting>
  <conditionalFormatting sqref="B130">
    <cfRule type="expression" dxfId="426" priority="180" stopIfTrue="1">
      <formula>IF(AND(AJ128&lt;&gt;"",AJ128&gt;15),1,0)</formula>
    </cfRule>
  </conditionalFormatting>
  <conditionalFormatting sqref="B131:B133">
    <cfRule type="expression" dxfId="425" priority="181" stopIfTrue="1">
      <formula>IF(AND(AJ133&lt;&gt;"",AJ133&gt;15),1,0)</formula>
    </cfRule>
  </conditionalFormatting>
  <conditionalFormatting sqref="B132 B160 B125:B127">
    <cfRule type="expression" dxfId="424" priority="201" stopIfTrue="1">
      <formula>IF(AND(AJ121&lt;&gt;"",AJ121&gt;15),1,0)</formula>
    </cfRule>
  </conditionalFormatting>
  <conditionalFormatting sqref="B133 B161 B104:B105 B109:B124">
    <cfRule type="expression" dxfId="423" priority="183" stopIfTrue="1">
      <formula>IF(AND(AJ101&lt;&gt;"",AJ101&gt;15),1,0)</formula>
    </cfRule>
  </conditionalFormatting>
  <conditionalFormatting sqref="B134:B135">
    <cfRule type="expression" dxfId="422" priority="177" stopIfTrue="1">
      <formula>IF(AND(AJ132&lt;&gt;"",AJ132&gt;15),1,0)</formula>
    </cfRule>
  </conditionalFormatting>
  <conditionalFormatting sqref="B136">
    <cfRule type="expression" dxfId="421" priority="175" stopIfTrue="1">
      <formula>IF(AND(AJ154&lt;&gt;"",AJ154&gt;15),1,0)</formula>
    </cfRule>
  </conditionalFormatting>
  <conditionalFormatting sqref="B137:B151">
    <cfRule type="expression" dxfId="420" priority="176" stopIfTrue="1">
      <formula>IF(AND(AJ134&lt;&gt;"",AJ134&gt;15),1,0)</formula>
    </cfRule>
  </conditionalFormatting>
  <conditionalFormatting sqref="B151:B154">
    <cfRule type="expression" dxfId="419" priority="14" stopIfTrue="1">
      <formula>IF(AND(AJ147&lt;&gt;"",AJ147&gt;15),1,0)</formula>
    </cfRule>
  </conditionalFormatting>
  <conditionalFormatting sqref="B155:B157">
    <cfRule type="expression" dxfId="418" priority="45" stopIfTrue="1">
      <formula>IF(AND(AJ152&lt;&gt;"",AJ152&gt;15),1,0)</formula>
    </cfRule>
  </conditionalFormatting>
  <conditionalFormatting sqref="B158">
    <cfRule type="expression" dxfId="417" priority="174" stopIfTrue="1">
      <formula>IF(AND(AJ156&lt;&gt;"",AJ156&gt;15),1,0)</formula>
    </cfRule>
  </conditionalFormatting>
  <conditionalFormatting sqref="B159">
    <cfRule type="expression" dxfId="416" priority="164" stopIfTrue="1">
      <formula>IF(AND(AR118&lt;&gt;"",AR118&gt;15),1,0)</formula>
    </cfRule>
  </conditionalFormatting>
  <conditionalFormatting sqref="B159:B165 M155:N183 AA155:AA191 M185:N191">
    <cfRule type="expression" dxfId="415" priority="166" stopIfTrue="1">
      <formula>IF(AND(#REF!&lt;&gt;"",#REF!&gt;15),1,0)</formula>
    </cfRule>
  </conditionalFormatting>
  <conditionalFormatting sqref="B162:B163">
    <cfRule type="expression" dxfId="414" priority="171" stopIfTrue="1">
      <formula>IF(AND(AJ160&lt;&gt;"",AJ160&gt;15),1,0)</formula>
    </cfRule>
  </conditionalFormatting>
  <conditionalFormatting sqref="B164">
    <cfRule type="expression" dxfId="413" priority="168" stopIfTrue="1">
      <formula>IF(AND(AJ181&lt;&gt;"",AJ181&gt;15),1,0)</formula>
    </cfRule>
  </conditionalFormatting>
  <conditionalFormatting sqref="B165">
    <cfRule type="expression" dxfId="412" priority="49" stopIfTrue="1">
      <formula>IF(AND(AJ163&lt;&gt;"",AJ163&gt;15),1,0)</formula>
    </cfRule>
  </conditionalFormatting>
  <conditionalFormatting sqref="B165:B167">
    <cfRule type="expression" dxfId="411" priority="198" stopIfTrue="1">
      <formula>IF(AND(AJ192&lt;&gt;"",AJ192&gt;15),1,0)</formula>
    </cfRule>
  </conditionalFormatting>
  <conditionalFormatting sqref="B165:B183">
    <cfRule type="expression" dxfId="410" priority="169" stopIfTrue="1">
      <formula>IF(AND(AJ162&lt;&gt;"",AJ162&gt;15),1,0)</formula>
    </cfRule>
  </conditionalFormatting>
  <conditionalFormatting sqref="B168:B170">
    <cfRule type="expression" dxfId="409" priority="221" stopIfTrue="1">
      <formula>IF(AND(AG195&lt;&gt;"",AG195&gt;15),1,0)</formula>
    </cfRule>
  </conditionalFormatting>
  <conditionalFormatting sqref="B171:B182">
    <cfRule type="expression" dxfId="408" priority="203" stopIfTrue="1">
      <formula>IF(AND(#REF!&lt;&gt;"",#REF!&gt;15),1,0)</formula>
    </cfRule>
  </conditionalFormatting>
  <conditionalFormatting sqref="B183">
    <cfRule type="expression" dxfId="407" priority="217" stopIfTrue="1">
      <formula>IF(AND(AJ198&lt;&gt;"",AJ198&gt;15),1,0)</formula>
    </cfRule>
  </conditionalFormatting>
  <conditionalFormatting sqref="B185 B187:B191">
    <cfRule type="expression" dxfId="406" priority="167" stopIfTrue="1">
      <formula>IF(AND(AJ183&lt;&gt;"",AJ183&gt;15),1,0)</formula>
    </cfRule>
  </conditionalFormatting>
  <conditionalFormatting sqref="B187:B191 B185">
    <cfRule type="expression" dxfId="405" priority="165" stopIfTrue="1">
      <formula>IF(AND(AJ199&lt;&gt;"",AJ199&gt;15),1,0)</formula>
    </cfRule>
  </conditionalFormatting>
  <conditionalFormatting sqref="B187:B191">
    <cfRule type="expression" dxfId="404" priority="1" stopIfTrue="1">
      <formula>IF(AND(#REF!&lt;&gt;"",#REF!&gt;15),1,0)</formula>
    </cfRule>
  </conditionalFormatting>
  <conditionalFormatting sqref="M23:N24">
    <cfRule type="expression" dxfId="403" priority="158" stopIfTrue="1">
      <formula>IF(AND(BC31&lt;&gt;"",BC31&gt;15),1,0)</formula>
    </cfRule>
  </conditionalFormatting>
  <conditionalFormatting sqref="M26:N26">
    <cfRule type="expression" dxfId="402" priority="138" stopIfTrue="1">
      <formula>IF(AND(BC35&lt;&gt;"",BC35&gt;15),1,0)</formula>
    </cfRule>
  </conditionalFormatting>
  <conditionalFormatting sqref="M28:N30">
    <cfRule type="expression" dxfId="401" priority="137" stopIfTrue="1">
      <formula>IF(AND(BC37&lt;&gt;"",BC37&gt;15),1,0)</formula>
    </cfRule>
  </conditionalFormatting>
  <conditionalFormatting sqref="M32:N32">
    <cfRule type="expression" dxfId="400" priority="118" stopIfTrue="1">
      <formula>IF(AND(BC42&lt;&gt;"",BC42&gt;15),1,0)</formula>
    </cfRule>
  </conditionalFormatting>
  <conditionalFormatting sqref="M34:N36">
    <cfRule type="expression" dxfId="399" priority="46" stopIfTrue="1">
      <formula>IF(AND(BC48&lt;&gt;"",BC48&gt;15),1,0)</formula>
    </cfRule>
  </conditionalFormatting>
  <conditionalFormatting sqref="M40:N40">
    <cfRule type="expression" dxfId="398" priority="156" stopIfTrue="1">
      <formula>IF(AND(BC49&lt;&gt;"",BC49&gt;15),1,0)</formula>
    </cfRule>
  </conditionalFormatting>
  <conditionalFormatting sqref="M51:N52">
    <cfRule type="expression" dxfId="397" priority="12" stopIfTrue="1">
      <formula>IF(AND(BC55&lt;&gt;"",BC55&gt;15),1,0)</formula>
    </cfRule>
  </conditionalFormatting>
  <conditionalFormatting sqref="M53:N53">
    <cfRule type="expression" dxfId="396" priority="135" stopIfTrue="1">
      <formula>IF(AND(BC56&lt;&gt;"",BC56&gt;15),1,0)</formula>
    </cfRule>
  </conditionalFormatting>
  <conditionalFormatting sqref="M71:N72">
    <cfRule type="expression" dxfId="395" priority="153" stopIfTrue="1">
      <formula>IF(AND(BC56&lt;&gt;"",BC56&gt;15),1,0)</formula>
    </cfRule>
  </conditionalFormatting>
  <conditionalFormatting sqref="M72:N72 AA72">
    <cfRule type="expression" dxfId="394" priority="10" stopIfTrue="1">
      <formula>IF(AND(#REF!&lt;&gt;"",#REF!&gt;15),1,0)</formula>
    </cfRule>
  </conditionalFormatting>
  <conditionalFormatting sqref="M72:N73">
    <cfRule type="expression" dxfId="393" priority="8" stopIfTrue="1">
      <formula>IF(AND(AY73&lt;&gt;"",AY73&gt;15),1,0)</formula>
    </cfRule>
  </conditionalFormatting>
  <conditionalFormatting sqref="M74:N76">
    <cfRule type="expression" dxfId="392" priority="130" stopIfTrue="1">
      <formula>IF(AND(BC55&lt;&gt;"",BC55&gt;15),1,0)</formula>
    </cfRule>
  </conditionalFormatting>
  <conditionalFormatting sqref="M76:N76 AA76">
    <cfRule type="expression" dxfId="391" priority="163" stopIfTrue="1">
      <formula>IF(AND(BC53&lt;&gt;"",BC53&gt;15),1,0)</formula>
    </cfRule>
  </conditionalFormatting>
  <conditionalFormatting sqref="M77:N79">
    <cfRule type="expression" dxfId="390" priority="152" stopIfTrue="1">
      <formula>IF(AND(BC55&lt;&gt;"",BC55&gt;15),1,0)</formula>
    </cfRule>
  </conditionalFormatting>
  <conditionalFormatting sqref="M79:N79">
    <cfRule type="expression" dxfId="389" priority="131" stopIfTrue="1">
      <formula>IF(AND(BC56&lt;&gt;"",BC56&gt;15),1,0)</formula>
    </cfRule>
  </conditionalFormatting>
  <conditionalFormatting sqref="M80:N80">
    <cfRule type="expression" dxfId="388" priority="129" stopIfTrue="1">
      <formula>IF(AND(BC61&lt;&gt;"",BC61&gt;15),1,0)</formula>
    </cfRule>
    <cfRule type="expression" dxfId="387" priority="205" stopIfTrue="1">
      <formula>IF(AND(BC54&lt;&gt;"",BC54&gt;15),1,0)</formula>
    </cfRule>
  </conditionalFormatting>
  <conditionalFormatting sqref="M81:N81">
    <cfRule type="expression" dxfId="386" priority="5" stopIfTrue="1">
      <formula>IF(AND(BC59&lt;&gt;"",BC59&gt;15),1,0)</formula>
    </cfRule>
    <cfRule type="expression" dxfId="385" priority="4" stopIfTrue="1">
      <formula>IF(AND(BC58&lt;&gt;"",BC58&gt;15),1,0)</formula>
    </cfRule>
  </conditionalFormatting>
  <conditionalFormatting sqref="M82:N85 AA82:AA85">
    <cfRule type="expression" dxfId="384" priority="218" stopIfTrue="1">
      <formula>IF(AND(BC58&lt;&gt;"",BC58&gt;15),1,0)</formula>
    </cfRule>
  </conditionalFormatting>
  <conditionalFormatting sqref="M84:N85">
    <cfRule type="expression" dxfId="383" priority="155" stopIfTrue="1">
      <formula>IF(AND(AY55&lt;&gt;"",AY55&gt;15),1,0)</formula>
    </cfRule>
  </conditionalFormatting>
  <conditionalFormatting sqref="M85:N85">
    <cfRule type="expression" dxfId="382" priority="42" stopIfTrue="1">
      <formula>IF(AND(BG34&lt;&gt;"",BG34&gt;15),1,0)</formula>
    </cfRule>
    <cfRule type="expression" dxfId="381" priority="43" stopIfTrue="1">
      <formula>IF(AND(BC60&lt;&gt;"",BC60&gt;15),1,0)</formula>
    </cfRule>
  </conditionalFormatting>
  <conditionalFormatting sqref="M87:N87">
    <cfRule type="expression" dxfId="380" priority="128" stopIfTrue="1">
      <formula>IF(AND(BG39&lt;&gt;"",BG39&gt;15),1,0)</formula>
    </cfRule>
  </conditionalFormatting>
  <conditionalFormatting sqref="M87:N89">
    <cfRule type="expression" dxfId="379" priority="146" stopIfTrue="1">
      <formula>IF(AND(BG37&lt;&gt;"",BG37&gt;15),1,0)</formula>
    </cfRule>
  </conditionalFormatting>
  <conditionalFormatting sqref="M88:N89 M98:N100 AA98:AA100">
    <cfRule type="expression" dxfId="378" priority="145" stopIfTrue="1">
      <formula>IF(AND(AY92&lt;&gt;"",AY92&gt;15),1,0)</formula>
    </cfRule>
  </conditionalFormatting>
  <conditionalFormatting sqref="M88:N89">
    <cfRule type="expression" dxfId="377" priority="133" stopIfTrue="1">
      <formula>IF(AND(AY60&lt;&gt;"",AY60&gt;15),1,0)</formula>
    </cfRule>
  </conditionalFormatting>
  <conditionalFormatting sqref="M89:N90">
    <cfRule type="expression" dxfId="376" priority="37" stopIfTrue="1">
      <formula>IF(AND(AY60&lt;&gt;"",AY60&gt;15),1,0)</formula>
    </cfRule>
  </conditionalFormatting>
  <conditionalFormatting sqref="M91:N91">
    <cfRule type="expression" dxfId="375" priority="162" stopIfTrue="1">
      <formula>IF(AND(BG42&lt;&gt;"",BG42&gt;15),1,0)</formula>
    </cfRule>
  </conditionalFormatting>
  <conditionalFormatting sqref="M92:N92">
    <cfRule type="expression" dxfId="374" priority="161" stopIfTrue="1">
      <formula>IF(AND(BG48&lt;&gt;"",BG48&gt;15),1,0)</formula>
    </cfRule>
  </conditionalFormatting>
  <conditionalFormatting sqref="M94:N94 AA94">
    <cfRule type="expression" dxfId="373" priority="31" stopIfTrue="1">
      <formula>IF(AND(AY96&lt;&gt;"",AY96&gt;15),1,0)</formula>
    </cfRule>
  </conditionalFormatting>
  <conditionalFormatting sqref="M94:N95">
    <cfRule type="expression" dxfId="372" priority="29" stopIfTrue="1">
      <formula>IF(AND(BG44&lt;&gt;"",BG44&gt;15),1,0)</formula>
    </cfRule>
  </conditionalFormatting>
  <conditionalFormatting sqref="M95:N95">
    <cfRule type="expression" dxfId="371" priority="28" stopIfTrue="1">
      <formula>IF(AND(AY98&lt;&gt;"",AY98&gt;15),1,0)</formula>
    </cfRule>
  </conditionalFormatting>
  <conditionalFormatting sqref="M96:N96">
    <cfRule type="expression" dxfId="370" priority="30" stopIfTrue="1">
      <formula>IF(AND(AY115&lt;&gt;"",AY115&gt;15),1,0)</formula>
    </cfRule>
  </conditionalFormatting>
  <conditionalFormatting sqref="M96:N97 AA96:AA97 M103:N103 AA103">
    <cfRule type="expression" dxfId="369" priority="208" stopIfTrue="1">
      <formula>IF(AND(AY91&lt;&gt;"",AY91&gt;15),1,0)</formula>
    </cfRule>
  </conditionalFormatting>
  <conditionalFormatting sqref="M96:N97 AA96:AA97">
    <cfRule type="expression" dxfId="368" priority="212" stopIfTrue="1">
      <formula>IF(AND(AY102&lt;&gt;"",AY102&gt;15),1,0)</formula>
    </cfRule>
  </conditionalFormatting>
  <conditionalFormatting sqref="M98:N100 AA98:AA100 M82:N82">
    <cfRule type="expression" dxfId="367" priority="151" stopIfTrue="1">
      <formula>IF(AND(BG32&lt;&gt;"",BG32&gt;15),1,0)</formula>
    </cfRule>
  </conditionalFormatting>
  <conditionalFormatting sqref="M98:N100 AA98:AA100">
    <cfRule type="expression" dxfId="366" priority="93" stopIfTrue="1">
      <formula>IF(AND(AY92&lt;&gt;"",AY92&gt;15),1,0)</formula>
    </cfRule>
  </conditionalFormatting>
  <conditionalFormatting sqref="M99:N99 AA99">
    <cfRule type="expression" dxfId="365" priority="16" stopIfTrue="1">
      <formula>IF(AND(AY91&lt;&gt;"",AY91&gt;15),1,0)</formula>
    </cfRule>
  </conditionalFormatting>
  <conditionalFormatting sqref="M99:N99">
    <cfRule type="expression" dxfId="364" priority="21" stopIfTrue="1">
      <formula>IF(AND(AY102&lt;&gt;"",AY102&gt;15),1,0)</formula>
    </cfRule>
    <cfRule type="expression" dxfId="363" priority="17" stopIfTrue="1">
      <formula>IF(AND(BG47&lt;&gt;"",BG47&gt;15),1,0)</formula>
    </cfRule>
  </conditionalFormatting>
  <conditionalFormatting sqref="M100:N100">
    <cfRule type="expression" dxfId="362" priority="22" stopIfTrue="1">
      <formula>IF(AND(AY117&lt;&gt;"",AY117&gt;15),1,0)</formula>
    </cfRule>
  </conditionalFormatting>
  <conditionalFormatting sqref="M101:N101 AA99 AA101">
    <cfRule type="expression" dxfId="361" priority="213" stopIfTrue="1">
      <formula>IF(AND(BG47&lt;&gt;"",BG47&gt;15),1,0)</formula>
    </cfRule>
  </conditionalFormatting>
  <conditionalFormatting sqref="M101:N101 AA101">
    <cfRule type="expression" dxfId="360" priority="214" stopIfTrue="1">
      <formula>IF(AND(AY93&lt;&gt;"",AY93&gt;15),1,0)</formula>
    </cfRule>
  </conditionalFormatting>
  <conditionalFormatting sqref="M101:N101">
    <cfRule type="expression" dxfId="359" priority="123" stopIfTrue="1">
      <formula>IF(AND(AY104&lt;&gt;"",AY104&gt;15),1,0)</formula>
    </cfRule>
  </conditionalFormatting>
  <conditionalFormatting sqref="M102:N102">
    <cfRule type="expression" dxfId="358" priority="148" stopIfTrue="1">
      <formula>IF(AND(AY119&lt;&gt;"",AY119&gt;15),1,0)</formula>
    </cfRule>
  </conditionalFormatting>
  <conditionalFormatting sqref="M104:N124">
    <cfRule type="expression" dxfId="357" priority="149" stopIfTrue="1">
      <formula>IF(AND(AY101&lt;&gt;"",AY101&gt;15),1,0)</formula>
    </cfRule>
  </conditionalFormatting>
  <conditionalFormatting sqref="M106:N107">
    <cfRule type="expression" dxfId="356" priority="127" stopIfTrue="1">
      <formula>IF(AND(AY104&lt;&gt;"",AY104&gt;15),1,0)</formula>
    </cfRule>
  </conditionalFormatting>
  <conditionalFormatting sqref="M108:N108">
    <cfRule type="expression" dxfId="355" priority="125" stopIfTrue="1">
      <formula>IF(AND(AY126&lt;&gt;"",AY126&gt;15),1,0)</formula>
    </cfRule>
  </conditionalFormatting>
  <conditionalFormatting sqref="M109:N119">
    <cfRule type="expression" dxfId="354" priority="126" stopIfTrue="1">
      <formula>IF(AND(AY106&lt;&gt;"",AY106&gt;15),1,0)</formula>
    </cfRule>
  </conditionalFormatting>
  <conditionalFormatting sqref="M122:N122">
    <cfRule type="expression" dxfId="353" priority="147" stopIfTrue="1">
      <formula>IF(AND(AY121&lt;&gt;"",AY121&gt;15),1,0)</formula>
    </cfRule>
  </conditionalFormatting>
  <conditionalFormatting sqref="M123:N124 M87:N87 AA123:AA124 AA87 B53">
    <cfRule type="expression" dxfId="352" priority="194" stopIfTrue="1">
      <formula>IF(AND(AN56&lt;&gt;"",AN56&gt;15),1,0)</formula>
    </cfRule>
  </conditionalFormatting>
  <conditionalFormatting sqref="M125:N126 M131:N158 AA125:AA126">
    <cfRule type="expression" dxfId="351" priority="159" stopIfTrue="1">
      <formula>IF(AND(AY127&lt;&gt;"",AY127&gt;15),1,0)</formula>
    </cfRule>
  </conditionalFormatting>
  <conditionalFormatting sqref="M127:N129">
    <cfRule type="expression" dxfId="350" priority="144" stopIfTrue="1">
      <formula>IF(AND(AY125&lt;&gt;"",AY125&gt;15),1,0)</formula>
    </cfRule>
  </conditionalFormatting>
  <conditionalFormatting sqref="M130:N130">
    <cfRule type="expression" dxfId="349" priority="124" stopIfTrue="1">
      <formula>IF(AND(AY128&lt;&gt;"",AY128&gt;15),1,0)</formula>
    </cfRule>
    <cfRule type="expression" dxfId="348" priority="141" stopIfTrue="1">
      <formula>IF(AND(AY147&lt;&gt;"",AY147&gt;15),1,0)</formula>
    </cfRule>
  </conditionalFormatting>
  <conditionalFormatting sqref="M130:N160 AA159:AA160 M92:N92 AA92 AA131:AA132">
    <cfRule type="expression" dxfId="347" priority="199" stopIfTrue="1">
      <formula>IF(AND(AY88&lt;&gt;"",AY88&gt;15),1,0)</formula>
    </cfRule>
  </conditionalFormatting>
  <conditionalFormatting sqref="M133:N151 M155:N157 N96:N102 M161:N183 AA161:AA191 M128:N129 M185:N191 AA133:AA151 AA128:AA129 M93:N95 AA93:AA95 AA155:AA157">
    <cfRule type="expression" dxfId="346" priority="160" stopIfTrue="1">
      <formula>IF(AND(AY90&lt;&gt;"",AY90&gt;15),1,0)</formula>
    </cfRule>
  </conditionalFormatting>
  <conditionalFormatting sqref="M134:N135">
    <cfRule type="expression" dxfId="345" priority="122" stopIfTrue="1">
      <formula>IF(AND(AY132&lt;&gt;"",AY132&gt;15),1,0)</formula>
    </cfRule>
  </conditionalFormatting>
  <conditionalFormatting sqref="M136:N136">
    <cfRule type="expression" dxfId="344" priority="121" stopIfTrue="1">
      <formula>IF(AND(AY154&lt;&gt;"",AY154&gt;15),1,0)</formula>
    </cfRule>
  </conditionalFormatting>
  <conditionalFormatting sqref="M142:N149">
    <cfRule type="expression" dxfId="343" priority="142" stopIfTrue="1">
      <formula>IF(AND(AY139&lt;&gt;"",AY139&gt;15),1,0)</formula>
    </cfRule>
  </conditionalFormatting>
  <conditionalFormatting sqref="M150:N151">
    <cfRule type="expression" dxfId="342" priority="140" stopIfTrue="1">
      <formula>IF(AND(AY149&lt;&gt;"",AY149&gt;15),1,0)</formula>
    </cfRule>
  </conditionalFormatting>
  <conditionalFormatting sqref="M151:N154 AA151:AA154">
    <cfRule type="expression" dxfId="341" priority="15" stopIfTrue="1">
      <formula>IF(AND(AY147&lt;&gt;"",AY147&gt;15),1,0)</formula>
    </cfRule>
  </conditionalFormatting>
  <conditionalFormatting sqref="M158:N158">
    <cfRule type="expression" dxfId="340" priority="120" stopIfTrue="1">
      <formula>IF(AND(AY156&lt;&gt;"",AY156&gt;15),1,0)</formula>
    </cfRule>
  </conditionalFormatting>
  <conditionalFormatting sqref="M159:N159">
    <cfRule type="expression" dxfId="339" priority="106" stopIfTrue="1">
      <formula>IF(AND(BG118&lt;&gt;"",BG118&gt;15),1,0)</formula>
    </cfRule>
  </conditionalFormatting>
  <conditionalFormatting sqref="M162:N163">
    <cfRule type="expression" dxfId="338" priority="112" stopIfTrue="1">
      <formula>IF(AND(AY160&lt;&gt;"",AY160&gt;15),1,0)</formula>
    </cfRule>
  </conditionalFormatting>
  <conditionalFormatting sqref="M164:N164">
    <cfRule type="expression" dxfId="337" priority="109" stopIfTrue="1">
      <formula>IF(AND(AY181&lt;&gt;"",AY181&gt;15),1,0)</formula>
    </cfRule>
  </conditionalFormatting>
  <conditionalFormatting sqref="M165:N165">
    <cfRule type="expression" dxfId="336" priority="48" stopIfTrue="1">
      <formula>IF(AND(AY163&lt;&gt;"",AY163&gt;15),1,0)</formula>
    </cfRule>
  </conditionalFormatting>
  <conditionalFormatting sqref="M165:N167 AA165:AA167">
    <cfRule type="expression" dxfId="335" priority="200" stopIfTrue="1">
      <formula>IF(AND(AY192&lt;&gt;"",AY192&gt;15),1,0)</formula>
    </cfRule>
  </conditionalFormatting>
  <conditionalFormatting sqref="M165:N183">
    <cfRule type="expression" dxfId="334" priority="110" stopIfTrue="1">
      <formula>IF(AND(AY162&lt;&gt;"",AY162&gt;15),1,0)</formula>
    </cfRule>
  </conditionalFormatting>
  <conditionalFormatting sqref="M166:N183 AA166:AA184">
    <cfRule type="expression" dxfId="333" priority="150" stopIfTrue="1">
      <formula>IF(AND(AY164&lt;&gt;"",AY164&gt;15),1,0)</formula>
    </cfRule>
  </conditionalFormatting>
  <conditionalFormatting sqref="M168:N170 AA168:AA170">
    <cfRule type="expression" dxfId="332" priority="222" stopIfTrue="1">
      <formula>IF(AND(AV195&lt;&gt;"",AV195&gt;15),1,0)</formula>
    </cfRule>
  </conditionalFormatting>
  <conditionalFormatting sqref="M178:N178">
    <cfRule type="expression" dxfId="331" priority="115" stopIfTrue="1">
      <formula>IF(AND(AY177&lt;&gt;"",AY177&gt;15),1,0)</formula>
    </cfRule>
  </conditionalFormatting>
  <conditionalFormatting sqref="M179:N181">
    <cfRule type="expression" dxfId="330" priority="116" stopIfTrue="1">
      <formula>IF(AND(AY181&lt;&gt;"",AY181&gt;15),1,0)</formula>
    </cfRule>
  </conditionalFormatting>
  <conditionalFormatting sqref="M182:N183">
    <cfRule type="expression" dxfId="329" priority="114" stopIfTrue="1">
      <formula>IF(AND(AY180&lt;&gt;"",AY180&gt;15),1,0)</formula>
    </cfRule>
  </conditionalFormatting>
  <conditionalFormatting sqref="M183:N183 AA183:AA184">
    <cfRule type="expression" dxfId="328" priority="216" stopIfTrue="1">
      <formula>IF(AND(AY198&lt;&gt;"",AY198&gt;15),1,0)</formula>
    </cfRule>
  </conditionalFormatting>
  <conditionalFormatting sqref="M185:N191 AA185:AA191 M125:N127">
    <cfRule type="expression" dxfId="327" priority="143" stopIfTrue="1">
      <formula>IF(AND(AY121&lt;&gt;"",AY121&gt;15),1,0)</formula>
    </cfRule>
  </conditionalFormatting>
  <conditionalFormatting sqref="M185:N191">
    <cfRule type="expression" dxfId="326" priority="107" stopIfTrue="1">
      <formula>IF(AND(AY199&lt;&gt;"",AY199&gt;15),1,0)</formula>
    </cfRule>
    <cfRule type="expression" dxfId="325" priority="108" stopIfTrue="1">
      <formula>IF(AND(AY183&lt;&gt;"",AY183&gt;15),1,0)</formula>
    </cfRule>
  </conditionalFormatting>
  <conditionalFormatting sqref="N96:N102 M93:N95 AA93:AA95">
    <cfRule type="expression" dxfId="324" priority="209" stopIfTrue="1">
      <formula>IF(AND(AY101&lt;&gt;"",AY101&gt;15),1,0)</formula>
    </cfRule>
  </conditionalFormatting>
  <conditionalFormatting sqref="AA23:AA24">
    <cfRule type="expression" dxfId="323" priority="101" stopIfTrue="1">
      <formula>IF(AND(BQ31&lt;&gt;"",BQ31&gt;15),1,0)</formula>
    </cfRule>
  </conditionalFormatting>
  <conditionalFormatting sqref="AA26">
    <cfRule type="expression" dxfId="322" priority="81" stopIfTrue="1">
      <formula>IF(AND(BQ35&lt;&gt;"",BQ35&gt;15),1,0)</formula>
    </cfRule>
  </conditionalFormatting>
  <conditionalFormatting sqref="AA28:AA30">
    <cfRule type="expression" dxfId="321" priority="80" stopIfTrue="1">
      <formula>IF(AND(BQ37&lt;&gt;"",BQ37&gt;15),1,0)</formula>
    </cfRule>
  </conditionalFormatting>
  <conditionalFormatting sqref="AA32">
    <cfRule type="expression" dxfId="320" priority="61" stopIfTrue="1">
      <formula>IF(AND(BQ42&lt;&gt;"",BQ42&gt;15),1,0)</formula>
    </cfRule>
  </conditionalFormatting>
  <conditionalFormatting sqref="AA34:AA36">
    <cfRule type="expression" dxfId="319" priority="62" stopIfTrue="1">
      <formula>IF(AND(BQ48&lt;&gt;"",BQ48&gt;15),1,0)</formula>
    </cfRule>
  </conditionalFormatting>
  <conditionalFormatting sqref="AA40">
    <cfRule type="expression" dxfId="318" priority="99" stopIfTrue="1">
      <formula>IF(AND(BQ49&lt;&gt;"",BQ49&gt;15),1,0)</formula>
    </cfRule>
  </conditionalFormatting>
  <conditionalFormatting sqref="AA51:AA52">
    <cfRule type="expression" dxfId="317" priority="11" stopIfTrue="1">
      <formula>IF(AND(BQ55&lt;&gt;"",BQ55&gt;15),1,0)</formula>
    </cfRule>
  </conditionalFormatting>
  <conditionalFormatting sqref="AA53">
    <cfRule type="expression" dxfId="316" priority="78" stopIfTrue="1">
      <formula>IF(AND(BQ56&lt;&gt;"",BQ56&gt;15),1,0)</formula>
    </cfRule>
  </conditionalFormatting>
  <conditionalFormatting sqref="AA71:AA72">
    <cfRule type="expression" dxfId="315" priority="96" stopIfTrue="1">
      <formula>IF(AND(BQ56&lt;&gt;"",BQ56&gt;15),1,0)</formula>
    </cfRule>
  </conditionalFormatting>
  <conditionalFormatting sqref="AA72:AA73">
    <cfRule type="expression" dxfId="314" priority="7" stopIfTrue="1">
      <formula>IF(AND(BM73&lt;&gt;"",BM73&gt;15),1,0)</formula>
    </cfRule>
  </conditionalFormatting>
  <conditionalFormatting sqref="AA74:AA76">
    <cfRule type="expression" dxfId="313" priority="73" stopIfTrue="1">
      <formula>IF(AND(BQ55&lt;&gt;"",BQ55&gt;15),1,0)</formula>
    </cfRule>
  </conditionalFormatting>
  <conditionalFormatting sqref="AA75 AA80 M75:N75">
    <cfRule type="expression" dxfId="312" priority="97" stopIfTrue="1">
      <formula>IF(AND(BC49&lt;&gt;"",BC49&gt;15),1,0)</formula>
    </cfRule>
  </conditionalFormatting>
  <conditionalFormatting sqref="AA77:AA79">
    <cfRule type="expression" dxfId="311" priority="95" stopIfTrue="1">
      <formula>IF(AND(BQ55&lt;&gt;"",BQ55&gt;15),1,0)</formula>
    </cfRule>
  </conditionalFormatting>
  <conditionalFormatting sqref="AA79">
    <cfRule type="expression" dxfId="310" priority="74" stopIfTrue="1">
      <formula>IF(AND(BQ56&lt;&gt;"",BQ56&gt;15),1,0)</formula>
    </cfRule>
  </conditionalFormatting>
  <conditionalFormatting sqref="AA80">
    <cfRule type="expression" dxfId="309" priority="72" stopIfTrue="1">
      <formula>IF(AND(BQ61&lt;&gt;"",BQ61&gt;15),1,0)</formula>
    </cfRule>
  </conditionalFormatting>
  <conditionalFormatting sqref="AA81">
    <cfRule type="expression" dxfId="308" priority="3" stopIfTrue="1">
      <formula>IF(AND(BQ59&lt;&gt;"",BQ59&gt;15),1,0)</formula>
    </cfRule>
    <cfRule type="expression" dxfId="307" priority="2" stopIfTrue="1">
      <formula>IF(AND(BQ58&lt;&gt;"",BQ58&gt;15),1,0)</formula>
    </cfRule>
  </conditionalFormatting>
  <conditionalFormatting sqref="AA82">
    <cfRule type="expression" dxfId="306" priority="94" stopIfTrue="1">
      <formula>IF(AND(BU32&lt;&gt;"",BU32&gt;15),1,0)</formula>
    </cfRule>
  </conditionalFormatting>
  <conditionalFormatting sqref="AA84:AA85">
    <cfRule type="expression" dxfId="305" priority="98" stopIfTrue="1">
      <formula>IF(AND(BM55&lt;&gt;"",BM55&gt;15),1,0)</formula>
    </cfRule>
  </conditionalFormatting>
  <conditionalFormatting sqref="AA85">
    <cfRule type="expression" dxfId="304" priority="154" stopIfTrue="1">
      <formula>IF(AND(BQ60&lt;&gt;"",BQ60&gt;15),1,0)</formula>
    </cfRule>
    <cfRule type="expression" dxfId="303" priority="41" stopIfTrue="1">
      <formula>IF(AND(BU34&lt;&gt;"",BU34&gt;15),1,0)</formula>
    </cfRule>
  </conditionalFormatting>
  <conditionalFormatting sqref="AA87">
    <cfRule type="expression" dxfId="302" priority="71" stopIfTrue="1">
      <formula>IF(AND(BU39&lt;&gt;"",BU39&gt;15),1,0)</formula>
    </cfRule>
  </conditionalFormatting>
  <conditionalFormatting sqref="AA87:AA89">
    <cfRule type="expression" dxfId="301" priority="89" stopIfTrue="1">
      <formula>IF(AND(BU37&lt;&gt;"",BU37&gt;15),1,0)</formula>
    </cfRule>
  </conditionalFormatting>
  <conditionalFormatting sqref="AA88:AA89">
    <cfRule type="expression" dxfId="300" priority="88" stopIfTrue="1">
      <formula>IF(AND(BM92&lt;&gt;"",BM92&gt;15),1,0)</formula>
    </cfRule>
    <cfRule type="expression" dxfId="299" priority="76" stopIfTrue="1">
      <formula>IF(AND(BM60&lt;&gt;"",BM60&gt;15),1,0)</formula>
    </cfRule>
  </conditionalFormatting>
  <conditionalFormatting sqref="AA89:AA90">
    <cfRule type="expression" dxfId="298" priority="36" stopIfTrue="1">
      <formula>IF(AND(BM60&lt;&gt;"",BM60&gt;15),1,0)</formula>
    </cfRule>
  </conditionalFormatting>
  <conditionalFormatting sqref="AA91">
    <cfRule type="expression" dxfId="297" priority="104" stopIfTrue="1">
      <formula>IF(AND(BU42&lt;&gt;"",BU42&gt;15),1,0)</formula>
    </cfRule>
  </conditionalFormatting>
  <conditionalFormatting sqref="AA92">
    <cfRule type="expression" dxfId="296" priority="103" stopIfTrue="1">
      <formula>IF(AND(BU48&lt;&gt;"",BU48&gt;15),1,0)</formula>
    </cfRule>
  </conditionalFormatting>
  <conditionalFormatting sqref="AA94:AA95 M94:N95">
    <cfRule type="expression" dxfId="295" priority="27" stopIfTrue="1">
      <formula>IF(AND(AY88&lt;&gt;"",AY88&gt;15),1,0)</formula>
    </cfRule>
  </conditionalFormatting>
  <conditionalFormatting sqref="AA94:AA95">
    <cfRule type="expression" dxfId="294" priority="25" stopIfTrue="1">
      <formula>IF(AND(BU44&lt;&gt;"",BU44&gt;15),1,0)</formula>
    </cfRule>
  </conditionalFormatting>
  <conditionalFormatting sqref="AA95">
    <cfRule type="expression" dxfId="293" priority="24" stopIfTrue="1">
      <formula>IF(AND(BM98&lt;&gt;"",BM98&gt;15),1,0)</formula>
    </cfRule>
  </conditionalFormatting>
  <conditionalFormatting sqref="AA96">
    <cfRule type="expression" dxfId="292" priority="26" stopIfTrue="1">
      <formula>IF(AND(BM115&lt;&gt;"",BM115&gt;15),1,0)</formula>
    </cfRule>
  </conditionalFormatting>
  <conditionalFormatting sqref="AA99">
    <cfRule type="expression" dxfId="291" priority="19" stopIfTrue="1">
      <formula>IF(AND(BM102&lt;&gt;"",BM102&gt;15),1,0)</formula>
    </cfRule>
  </conditionalFormatting>
  <conditionalFormatting sqref="AA100">
    <cfRule type="expression" dxfId="290" priority="20" stopIfTrue="1">
      <formula>IF(AND(BM117&lt;&gt;"",BM117&gt;15),1,0)</formula>
    </cfRule>
  </conditionalFormatting>
  <conditionalFormatting sqref="AA101">
    <cfRule type="expression" dxfId="289" priority="66" stopIfTrue="1">
      <formula>IF(AND(BM104&lt;&gt;"",BM104&gt;15),1,0)</formula>
    </cfRule>
  </conditionalFormatting>
  <conditionalFormatting sqref="AA102">
    <cfRule type="expression" dxfId="288" priority="91" stopIfTrue="1">
      <formula>IF(AND(BM119&lt;&gt;"",BM119&gt;15),1,0)</formula>
    </cfRule>
  </conditionalFormatting>
  <conditionalFormatting sqref="AA104:AA124">
    <cfRule type="expression" dxfId="287" priority="92" stopIfTrue="1">
      <formula>IF(AND(BM101&lt;&gt;"",BM101&gt;15),1,0)</formula>
    </cfRule>
  </conditionalFormatting>
  <conditionalFormatting sqref="AA106:AA107">
    <cfRule type="expression" dxfId="286" priority="70" stopIfTrue="1">
      <formula>IF(AND(BM104&lt;&gt;"",BM104&gt;15),1,0)</formula>
    </cfRule>
  </conditionalFormatting>
  <conditionalFormatting sqref="AA108">
    <cfRule type="expression" dxfId="285" priority="68" stopIfTrue="1">
      <formula>IF(AND(BM126&lt;&gt;"",BM126&gt;15),1,0)</formula>
    </cfRule>
  </conditionalFormatting>
  <conditionalFormatting sqref="AA109:AA119">
    <cfRule type="expression" dxfId="284" priority="69" stopIfTrue="1">
      <formula>IF(AND(BM106&lt;&gt;"",BM106&gt;15),1,0)</formula>
    </cfRule>
  </conditionalFormatting>
  <conditionalFormatting sqref="AA122">
    <cfRule type="expression" dxfId="283" priority="90" stopIfTrue="1">
      <formula>IF(AND(BM121&lt;&gt;"",BM121&gt;15),1,0)</formula>
    </cfRule>
  </conditionalFormatting>
  <conditionalFormatting sqref="AA125:AA127">
    <cfRule type="expression" dxfId="282" priority="86" stopIfTrue="1">
      <formula>IF(AND(BM121&lt;&gt;"",BM121&gt;15),1,0)</formula>
    </cfRule>
  </conditionalFormatting>
  <conditionalFormatting sqref="AA127:AA130">
    <cfRule type="expression" dxfId="281" priority="67" stopIfTrue="1">
      <formula>IF(AND(BM125&lt;&gt;"",BM125&gt;15),1,0)</formula>
    </cfRule>
  </conditionalFormatting>
  <conditionalFormatting sqref="AA130">
    <cfRule type="expression" dxfId="280" priority="84" stopIfTrue="1">
      <formula>IF(AND(BM147&lt;&gt;"",BM147&gt;15),1,0)</formula>
    </cfRule>
  </conditionalFormatting>
  <conditionalFormatting sqref="AA131:AA133">
    <cfRule type="expression" dxfId="279" priority="102" stopIfTrue="1">
      <formula>IF(AND(BM133&lt;&gt;"",BM133&gt;15),1,0)</formula>
    </cfRule>
  </conditionalFormatting>
  <conditionalFormatting sqref="AA134:AA135">
    <cfRule type="expression" dxfId="278" priority="65" stopIfTrue="1">
      <formula>IF(AND(BM132&lt;&gt;"",BM132&gt;15),1,0)</formula>
    </cfRule>
  </conditionalFormatting>
  <conditionalFormatting sqref="AA136">
    <cfRule type="expression" dxfId="277" priority="64" stopIfTrue="1">
      <formula>IF(AND(BM154&lt;&gt;"",BM154&gt;15),1,0)</formula>
    </cfRule>
  </conditionalFormatting>
  <conditionalFormatting sqref="AA142:AA149">
    <cfRule type="expression" dxfId="276" priority="85" stopIfTrue="1">
      <formula>IF(AND(BM139&lt;&gt;"",BM139&gt;15),1,0)</formula>
    </cfRule>
  </conditionalFormatting>
  <conditionalFormatting sqref="AA150:AA151">
    <cfRule type="expression" dxfId="275" priority="83" stopIfTrue="1">
      <formula>IF(AND(BM149&lt;&gt;"",BM149&gt;15),1,0)</formula>
    </cfRule>
  </conditionalFormatting>
  <conditionalFormatting sqref="AA158">
    <cfRule type="expression" dxfId="274" priority="63" stopIfTrue="1">
      <formula>IF(AND(BM156&lt;&gt;"",BM156&gt;15),1,0)</formula>
    </cfRule>
  </conditionalFormatting>
  <conditionalFormatting sqref="AA159">
    <cfRule type="expression" dxfId="273" priority="50" stopIfTrue="1">
      <formula>IF(AND(BU118&lt;&gt;"",BU118&gt;15),1,0)</formula>
    </cfRule>
  </conditionalFormatting>
  <conditionalFormatting sqref="AA162:AA163">
    <cfRule type="expression" dxfId="272" priority="55" stopIfTrue="1">
      <formula>IF(AND(BM160&lt;&gt;"",BM160&gt;15),1,0)</formula>
    </cfRule>
  </conditionalFormatting>
  <conditionalFormatting sqref="AA164">
    <cfRule type="expression" dxfId="271" priority="52" stopIfTrue="1">
      <formula>IF(AND(BM181&lt;&gt;"",BM181&gt;15),1,0)</formula>
    </cfRule>
  </conditionalFormatting>
  <conditionalFormatting sqref="AA165">
    <cfRule type="expression" dxfId="270" priority="47" stopIfTrue="1">
      <formula>IF(AND(BM163&lt;&gt;"",BM163&gt;15),1,0)</formula>
    </cfRule>
  </conditionalFormatting>
  <conditionalFormatting sqref="AA165:AA184">
    <cfRule type="expression" dxfId="269" priority="53" stopIfTrue="1">
      <formula>IF(AND(BM162&lt;&gt;"",BM162&gt;15),1,0)</formula>
    </cfRule>
  </conditionalFormatting>
  <conditionalFormatting sqref="AA178">
    <cfRule type="expression" dxfId="268" priority="58" stopIfTrue="1">
      <formula>IF(AND(BM177&lt;&gt;"",BM177&gt;15),1,0)</formula>
    </cfRule>
  </conditionalFormatting>
  <conditionalFormatting sqref="AA179:AA181">
    <cfRule type="expression" dxfId="267" priority="59" stopIfTrue="1">
      <formula>IF(AND(BM181&lt;&gt;"",BM181&gt;15),1,0)</formula>
    </cfRule>
  </conditionalFormatting>
  <conditionalFormatting sqref="AA182:AA184">
    <cfRule type="expression" dxfId="266" priority="57" stopIfTrue="1">
      <formula>IF(AND(BM180&lt;&gt;"",BM180&gt;15),1,0)</formula>
    </cfRule>
  </conditionalFormatting>
  <conditionalFormatting sqref="AA185:AA191 B187:B191">
    <cfRule type="expression" dxfId="265" priority="202" stopIfTrue="1">
      <formula>IF(AND(#REF!&lt;&gt;"",#REF!&gt;15),1,0)</formula>
    </cfRule>
  </conditionalFormatting>
  <conditionalFormatting sqref="AA185:AA191">
    <cfRule type="expression" dxfId="264" priority="51" stopIfTrue="1">
      <formula>IF(AND(BM183&lt;&gt;"",BM183&gt;15),1,0)</formula>
    </cfRule>
    <cfRule type="expression" dxfId="263" priority="195" stopIfTrue="1">
      <formula>IF(AND(BM199&lt;&gt;"",BM199&gt;15),1,0)</formula>
    </cfRule>
  </conditionalFormatting>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3"/>
  <dimension ref="A1:AB239"/>
  <sheetViews>
    <sheetView rightToLeft="1" topLeftCell="A226" workbookViewId="0">
      <selection activeCell="F32" sqref="F32"/>
    </sheetView>
  </sheetViews>
  <sheetFormatPr defaultColWidth="8.85546875" defaultRowHeight="12.75"/>
  <cols>
    <col min="1" max="1" width="8.85546875" style="661"/>
    <col min="2" max="2" width="63" style="661" customWidth="1"/>
    <col min="3" max="16384" width="8.85546875" style="661"/>
  </cols>
  <sheetData>
    <row r="1" spans="1:27" ht="18.75" thickBot="1">
      <c r="A1" s="723"/>
      <c r="B1" s="2333"/>
      <c r="C1" s="2333"/>
      <c r="D1" s="2333"/>
      <c r="E1" s="2333"/>
      <c r="F1" s="2333"/>
      <c r="G1" s="2333"/>
      <c r="H1" s="2333"/>
      <c r="I1" s="2333"/>
      <c r="J1" s="2333"/>
      <c r="K1" s="2333"/>
      <c r="L1" s="2333"/>
      <c r="M1" s="2333"/>
      <c r="N1" s="2333"/>
      <c r="O1" s="2333"/>
      <c r="P1" s="2333"/>
      <c r="Q1" s="2333"/>
      <c r="R1" s="2333"/>
      <c r="S1" s="2333"/>
      <c r="T1" s="2333"/>
      <c r="U1" s="2333"/>
      <c r="V1" s="2333"/>
      <c r="W1" s="2333"/>
      <c r="X1" s="2333"/>
      <c r="Y1" s="2334"/>
      <c r="Z1" s="2334"/>
      <c r="AA1" s="2335"/>
    </row>
    <row r="2" spans="1:27" ht="21" thickBot="1">
      <c r="A2" s="2336" t="s">
        <v>2320</v>
      </c>
      <c r="B2" s="2337"/>
      <c r="C2" s="2337"/>
      <c r="D2" s="2337"/>
      <c r="E2" s="2337"/>
      <c r="F2" s="2337"/>
      <c r="G2" s="2337"/>
      <c r="H2" s="2337"/>
      <c r="I2" s="2337"/>
      <c r="J2" s="2337"/>
      <c r="K2" s="2337"/>
      <c r="L2" s="2337"/>
      <c r="M2" s="2337"/>
      <c r="N2" s="2337"/>
      <c r="O2" s="2337"/>
      <c r="P2" s="2337"/>
      <c r="Q2" s="2337"/>
      <c r="R2" s="2337"/>
      <c r="S2" s="2337"/>
      <c r="T2" s="2337"/>
      <c r="U2" s="2337"/>
      <c r="V2" s="2337"/>
      <c r="W2" s="2337"/>
      <c r="X2" s="2337"/>
      <c r="Y2" s="2337"/>
      <c r="Z2" s="2337"/>
      <c r="AA2" s="2338"/>
    </row>
    <row r="3" spans="1:27">
      <c r="A3" s="2339" t="s">
        <v>2306</v>
      </c>
      <c r="B3" s="2341" t="s">
        <v>2307</v>
      </c>
      <c r="C3" s="2331" t="s">
        <v>2255</v>
      </c>
      <c r="D3" s="2332"/>
      <c r="E3" s="2331" t="s">
        <v>2256</v>
      </c>
      <c r="F3" s="2332"/>
      <c r="G3" s="2331" t="s">
        <v>2257</v>
      </c>
      <c r="H3" s="2332"/>
      <c r="I3" s="2331" t="s">
        <v>2258</v>
      </c>
      <c r="J3" s="2332"/>
      <c r="K3" s="2331" t="s">
        <v>2259</v>
      </c>
      <c r="L3" s="2332"/>
      <c r="M3" s="2331" t="s">
        <v>2260</v>
      </c>
      <c r="N3" s="2332"/>
      <c r="O3" s="2331" t="s">
        <v>2261</v>
      </c>
      <c r="P3" s="2332"/>
      <c r="Q3" s="2331" t="s">
        <v>2262</v>
      </c>
      <c r="R3" s="2332"/>
      <c r="S3" s="2331" t="s">
        <v>2263</v>
      </c>
      <c r="T3" s="2332"/>
      <c r="U3" s="2331" t="s">
        <v>2264</v>
      </c>
      <c r="V3" s="2332"/>
      <c r="W3" s="2331" t="s">
        <v>2265</v>
      </c>
      <c r="X3" s="2332"/>
      <c r="Y3" s="2331" t="s">
        <v>2266</v>
      </c>
      <c r="Z3" s="2332"/>
      <c r="AA3" s="2343" t="s">
        <v>2267</v>
      </c>
    </row>
    <row r="4" spans="1:27" ht="13.5" thickBot="1">
      <c r="A4" s="2345"/>
      <c r="B4" s="2346"/>
      <c r="C4" s="726" t="s">
        <v>2269</v>
      </c>
      <c r="D4" s="727" t="s">
        <v>2270</v>
      </c>
      <c r="E4" s="726" t="s">
        <v>2269</v>
      </c>
      <c r="F4" s="727" t="s">
        <v>2270</v>
      </c>
      <c r="G4" s="726" t="s">
        <v>2269</v>
      </c>
      <c r="H4" s="727" t="s">
        <v>2270</v>
      </c>
      <c r="I4" s="726" t="s">
        <v>2269</v>
      </c>
      <c r="J4" s="727" t="s">
        <v>2270</v>
      </c>
      <c r="K4" s="726" t="s">
        <v>2269</v>
      </c>
      <c r="L4" s="727" t="s">
        <v>2270</v>
      </c>
      <c r="M4" s="726" t="s">
        <v>2269</v>
      </c>
      <c r="N4" s="727" t="s">
        <v>2270</v>
      </c>
      <c r="O4" s="726" t="s">
        <v>2269</v>
      </c>
      <c r="P4" s="727" t="s">
        <v>2270</v>
      </c>
      <c r="Q4" s="726" t="s">
        <v>2269</v>
      </c>
      <c r="R4" s="727" t="s">
        <v>2270</v>
      </c>
      <c r="S4" s="726" t="s">
        <v>2269</v>
      </c>
      <c r="T4" s="727" t="s">
        <v>2270</v>
      </c>
      <c r="U4" s="726" t="s">
        <v>2269</v>
      </c>
      <c r="V4" s="727" t="s">
        <v>2270</v>
      </c>
      <c r="W4" s="726" t="s">
        <v>2269</v>
      </c>
      <c r="X4" s="727" t="s">
        <v>2270</v>
      </c>
      <c r="Y4" s="726" t="s">
        <v>2269</v>
      </c>
      <c r="Z4" s="727" t="s">
        <v>2270</v>
      </c>
      <c r="AA4" s="2344"/>
    </row>
    <row r="5" spans="1:27" ht="14.25">
      <c r="A5" s="868">
        <v>1</v>
      </c>
      <c r="B5" s="869" t="s">
        <v>2473</v>
      </c>
      <c r="C5" s="784"/>
      <c r="D5" s="731"/>
      <c r="E5" s="732"/>
      <c r="F5" s="731"/>
      <c r="G5" s="732"/>
      <c r="H5" s="731"/>
      <c r="I5" s="732"/>
      <c r="J5" s="731"/>
      <c r="K5" s="732"/>
      <c r="L5" s="731"/>
      <c r="M5" s="732"/>
      <c r="N5" s="731"/>
      <c r="O5" s="918"/>
      <c r="P5" s="919"/>
      <c r="Q5" s="732"/>
      <c r="R5" s="731"/>
      <c r="S5" s="732"/>
      <c r="T5" s="731"/>
      <c r="U5" s="732"/>
      <c r="V5" s="731"/>
      <c r="W5" s="732"/>
      <c r="X5" s="731"/>
      <c r="Y5" s="732"/>
      <c r="Z5" s="731"/>
      <c r="AA5" s="920"/>
    </row>
    <row r="6" spans="1:27" ht="14.25">
      <c r="A6" s="748">
        <v>1.1000000000000001</v>
      </c>
      <c r="B6" s="851" t="s">
        <v>3187</v>
      </c>
      <c r="C6" s="790"/>
      <c r="D6" s="738"/>
      <c r="E6" s="739"/>
      <c r="F6" s="738"/>
      <c r="G6" s="739"/>
      <c r="H6" s="738"/>
      <c r="I6" s="739"/>
      <c r="J6" s="738"/>
      <c r="K6" s="739"/>
      <c r="L6" s="738"/>
      <c r="M6" s="739"/>
      <c r="N6" s="738"/>
      <c r="O6" s="921"/>
      <c r="P6" s="922">
        <v>20</v>
      </c>
      <c r="Q6" s="739"/>
      <c r="R6" s="738"/>
      <c r="S6" s="739"/>
      <c r="T6" s="738"/>
      <c r="U6" s="739"/>
      <c r="V6" s="738"/>
      <c r="W6" s="739"/>
      <c r="X6" s="738"/>
      <c r="Y6" s="739"/>
      <c r="Z6" s="738"/>
      <c r="AA6" s="923"/>
    </row>
    <row r="7" spans="1:27" ht="14.25">
      <c r="A7" s="748">
        <v>1.2</v>
      </c>
      <c r="B7" s="851" t="s">
        <v>3188</v>
      </c>
      <c r="C7" s="790"/>
      <c r="D7" s="738"/>
      <c r="E7" s="739"/>
      <c r="F7" s="738"/>
      <c r="G7" s="739"/>
      <c r="H7" s="738"/>
      <c r="I7" s="739"/>
      <c r="J7" s="738"/>
      <c r="K7" s="739"/>
      <c r="L7" s="738"/>
      <c r="M7" s="739"/>
      <c r="N7" s="738"/>
      <c r="O7" s="921"/>
      <c r="P7" s="922">
        <v>10</v>
      </c>
      <c r="Q7" s="739"/>
      <c r="R7" s="738"/>
      <c r="S7" s="739"/>
      <c r="T7" s="738"/>
      <c r="U7" s="739"/>
      <c r="V7" s="738"/>
      <c r="W7" s="739"/>
      <c r="X7" s="738"/>
      <c r="Y7" s="739"/>
      <c r="Z7" s="738"/>
      <c r="AA7" s="923"/>
    </row>
    <row r="8" spans="1:27" ht="14.25">
      <c r="A8" s="748">
        <v>1.3</v>
      </c>
      <c r="B8" s="851" t="s">
        <v>3189</v>
      </c>
      <c r="C8" s="790"/>
      <c r="D8" s="738"/>
      <c r="E8" s="739"/>
      <c r="F8" s="738"/>
      <c r="G8" s="739"/>
      <c r="H8" s="738"/>
      <c r="I8" s="739"/>
      <c r="J8" s="738"/>
      <c r="K8" s="739"/>
      <c r="L8" s="738"/>
      <c r="M8" s="739"/>
      <c r="N8" s="738"/>
      <c r="O8" s="921"/>
      <c r="P8" s="922">
        <v>20</v>
      </c>
      <c r="Q8" s="739"/>
      <c r="R8" s="738"/>
      <c r="S8" s="739"/>
      <c r="T8" s="738"/>
      <c r="U8" s="739"/>
      <c r="V8" s="738"/>
      <c r="W8" s="739"/>
      <c r="X8" s="738"/>
      <c r="Y8" s="739"/>
      <c r="Z8" s="738"/>
      <c r="AA8" s="923"/>
    </row>
    <row r="9" spans="1:27" ht="14.25">
      <c r="A9" s="748">
        <v>1.4</v>
      </c>
      <c r="B9" s="851" t="s">
        <v>3190</v>
      </c>
      <c r="C9" s="790"/>
      <c r="D9" s="738"/>
      <c r="E9" s="739"/>
      <c r="F9" s="738"/>
      <c r="G9" s="739"/>
      <c r="H9" s="738"/>
      <c r="I9" s="739"/>
      <c r="J9" s="738"/>
      <c r="K9" s="739"/>
      <c r="L9" s="738"/>
      <c r="M9" s="739"/>
      <c r="N9" s="738"/>
      <c r="O9" s="921"/>
      <c r="P9" s="922">
        <v>20</v>
      </c>
      <c r="Q9" s="739"/>
      <c r="R9" s="738"/>
      <c r="S9" s="739"/>
      <c r="T9" s="738"/>
      <c r="U9" s="739"/>
      <c r="V9" s="738"/>
      <c r="W9" s="739"/>
      <c r="X9" s="738"/>
      <c r="Y9" s="739"/>
      <c r="Z9" s="738"/>
      <c r="AA9" s="923"/>
    </row>
    <row r="10" spans="1:27" ht="14.25">
      <c r="A10" s="748">
        <v>1.5</v>
      </c>
      <c r="B10" s="851" t="s">
        <v>3191</v>
      </c>
      <c r="C10" s="790"/>
      <c r="D10" s="738"/>
      <c r="E10" s="739"/>
      <c r="F10" s="738"/>
      <c r="G10" s="739"/>
      <c r="H10" s="738"/>
      <c r="I10" s="739"/>
      <c r="J10" s="738"/>
      <c r="K10" s="739"/>
      <c r="L10" s="738"/>
      <c r="M10" s="739"/>
      <c r="N10" s="738"/>
      <c r="O10" s="921"/>
      <c r="P10" s="922">
        <v>20</v>
      </c>
      <c r="Q10" s="739"/>
      <c r="R10" s="738"/>
      <c r="S10" s="739"/>
      <c r="T10" s="738"/>
      <c r="U10" s="739"/>
      <c r="V10" s="738"/>
      <c r="W10" s="739"/>
      <c r="X10" s="738"/>
      <c r="Y10" s="739"/>
      <c r="Z10" s="738"/>
      <c r="AA10" s="923"/>
    </row>
    <row r="11" spans="1:27" ht="14.25">
      <c r="A11" s="748">
        <v>1.6</v>
      </c>
      <c r="B11" s="851" t="s">
        <v>3192</v>
      </c>
      <c r="C11" s="790"/>
      <c r="D11" s="738"/>
      <c r="E11" s="739"/>
      <c r="F11" s="738"/>
      <c r="G11" s="739"/>
      <c r="H11" s="738"/>
      <c r="I11" s="739"/>
      <c r="J11" s="738"/>
      <c r="K11" s="739"/>
      <c r="L11" s="738"/>
      <c r="M11" s="739"/>
      <c r="N11" s="738"/>
      <c r="O11" s="921"/>
      <c r="P11" s="922">
        <v>10</v>
      </c>
      <c r="Q11" s="739"/>
      <c r="R11" s="738"/>
      <c r="S11" s="739"/>
      <c r="T11" s="738"/>
      <c r="U11" s="739"/>
      <c r="V11" s="738"/>
      <c r="W11" s="739"/>
      <c r="X11" s="738"/>
      <c r="Y11" s="739"/>
      <c r="Z11" s="738"/>
      <c r="AA11" s="923"/>
    </row>
    <row r="12" spans="1:27" ht="14.25">
      <c r="A12" s="748">
        <v>1.7</v>
      </c>
      <c r="B12" s="851" t="s">
        <v>3193</v>
      </c>
      <c r="C12" s="794"/>
      <c r="D12" s="745"/>
      <c r="E12" s="746"/>
      <c r="F12" s="745"/>
      <c r="G12" s="746"/>
      <c r="H12" s="745"/>
      <c r="I12" s="746"/>
      <c r="J12" s="745"/>
      <c r="K12" s="746"/>
      <c r="L12" s="745"/>
      <c r="M12" s="746"/>
      <c r="N12" s="745"/>
      <c r="O12" s="921"/>
      <c r="P12" s="922">
        <v>15</v>
      </c>
      <c r="Q12" s="746"/>
      <c r="R12" s="745"/>
      <c r="S12" s="746"/>
      <c r="T12" s="745"/>
      <c r="U12" s="746"/>
      <c r="V12" s="745"/>
      <c r="W12" s="746"/>
      <c r="X12" s="745"/>
      <c r="Y12" s="746"/>
      <c r="Z12" s="745"/>
      <c r="AA12" s="923"/>
    </row>
    <row r="13" spans="1:27" ht="14.25">
      <c r="A13" s="748">
        <v>1.8</v>
      </c>
      <c r="B13" s="924" t="s">
        <v>3194</v>
      </c>
      <c r="C13" s="790"/>
      <c r="D13" s="738"/>
      <c r="E13" s="739"/>
      <c r="F13" s="738"/>
      <c r="G13" s="739"/>
      <c r="H13" s="738"/>
      <c r="I13" s="739"/>
      <c r="J13" s="738"/>
      <c r="K13" s="739"/>
      <c r="L13" s="738"/>
      <c r="M13" s="739"/>
      <c r="N13" s="738"/>
      <c r="O13" s="921"/>
      <c r="P13" s="922">
        <v>20</v>
      </c>
      <c r="Q13" s="739"/>
      <c r="R13" s="738"/>
      <c r="S13" s="739"/>
      <c r="T13" s="738"/>
      <c r="U13" s="739"/>
      <c r="V13" s="738"/>
      <c r="W13" s="739"/>
      <c r="X13" s="738"/>
      <c r="Y13" s="739"/>
      <c r="Z13" s="738"/>
      <c r="AA13" s="923"/>
    </row>
    <row r="14" spans="1:27" ht="14.25">
      <c r="A14" s="748">
        <v>1.9</v>
      </c>
      <c r="B14" s="925" t="s">
        <v>3195</v>
      </c>
      <c r="C14" s="790"/>
      <c r="D14" s="738"/>
      <c r="E14" s="739"/>
      <c r="F14" s="738"/>
      <c r="G14" s="739"/>
      <c r="H14" s="738"/>
      <c r="I14" s="739"/>
      <c r="J14" s="738"/>
      <c r="K14" s="739"/>
      <c r="L14" s="738"/>
      <c r="M14" s="739"/>
      <c r="N14" s="738"/>
      <c r="O14" s="921"/>
      <c r="P14" s="922">
        <v>20</v>
      </c>
      <c r="Q14" s="739"/>
      <c r="R14" s="738"/>
      <c r="S14" s="739"/>
      <c r="T14" s="738"/>
      <c r="U14" s="739"/>
      <c r="V14" s="738"/>
      <c r="W14" s="739"/>
      <c r="X14" s="738"/>
      <c r="Y14" s="739"/>
      <c r="Z14" s="738"/>
      <c r="AA14" s="923"/>
    </row>
    <row r="15" spans="1:27" ht="14.25">
      <c r="A15" s="876" t="s">
        <v>2321</v>
      </c>
      <c r="B15" s="924" t="s">
        <v>3196</v>
      </c>
      <c r="C15" s="790"/>
      <c r="D15" s="738"/>
      <c r="E15" s="739"/>
      <c r="F15" s="738"/>
      <c r="G15" s="739"/>
      <c r="H15" s="738"/>
      <c r="I15" s="739"/>
      <c r="J15" s="738"/>
      <c r="K15" s="739"/>
      <c r="L15" s="738"/>
      <c r="M15" s="739"/>
      <c r="N15" s="738"/>
      <c r="O15" s="921"/>
      <c r="P15" s="922">
        <v>20</v>
      </c>
      <c r="Q15" s="739"/>
      <c r="R15" s="738"/>
      <c r="S15" s="739"/>
      <c r="T15" s="738"/>
      <c r="U15" s="739"/>
      <c r="V15" s="738"/>
      <c r="W15" s="739"/>
      <c r="X15" s="738"/>
      <c r="Y15" s="739"/>
      <c r="Z15" s="738"/>
      <c r="AA15" s="923"/>
    </row>
    <row r="16" spans="1:27" ht="14.25">
      <c r="A16" s="748">
        <v>1.1100000000000001</v>
      </c>
      <c r="B16" s="924" t="s">
        <v>3197</v>
      </c>
      <c r="C16" s="790"/>
      <c r="D16" s="738"/>
      <c r="E16" s="739"/>
      <c r="F16" s="738"/>
      <c r="G16" s="739"/>
      <c r="H16" s="738"/>
      <c r="I16" s="739"/>
      <c r="J16" s="738"/>
      <c r="K16" s="739"/>
      <c r="L16" s="738"/>
      <c r="M16" s="739"/>
      <c r="N16" s="738"/>
      <c r="O16" s="921"/>
      <c r="P16" s="922">
        <v>10</v>
      </c>
      <c r="Q16" s="739"/>
      <c r="R16" s="738"/>
      <c r="S16" s="739"/>
      <c r="T16" s="738"/>
      <c r="U16" s="739"/>
      <c r="V16" s="738"/>
      <c r="W16" s="739"/>
      <c r="X16" s="738"/>
      <c r="Y16" s="739"/>
      <c r="Z16" s="738"/>
      <c r="AA16" s="923"/>
    </row>
    <row r="17" spans="1:27" ht="14.25">
      <c r="A17" s="748">
        <v>1.1200000000000001</v>
      </c>
      <c r="B17" s="924" t="s">
        <v>3198</v>
      </c>
      <c r="C17" s="790"/>
      <c r="D17" s="738"/>
      <c r="E17" s="739"/>
      <c r="F17" s="738"/>
      <c r="G17" s="739"/>
      <c r="H17" s="738"/>
      <c r="I17" s="739"/>
      <c r="J17" s="738"/>
      <c r="K17" s="739"/>
      <c r="L17" s="738"/>
      <c r="M17" s="739"/>
      <c r="N17" s="738"/>
      <c r="O17" s="921"/>
      <c r="P17" s="922">
        <v>20</v>
      </c>
      <c r="Q17" s="739"/>
      <c r="R17" s="738"/>
      <c r="S17" s="739"/>
      <c r="T17" s="738"/>
      <c r="U17" s="739"/>
      <c r="V17" s="738"/>
      <c r="W17" s="739"/>
      <c r="X17" s="738"/>
      <c r="Y17" s="739"/>
      <c r="Z17" s="738"/>
      <c r="AA17" s="923"/>
    </row>
    <row r="18" spans="1:27" ht="14.25">
      <c r="A18" s="748">
        <v>1.1299999999999999</v>
      </c>
      <c r="B18" s="924" t="s">
        <v>3199</v>
      </c>
      <c r="C18" s="790"/>
      <c r="D18" s="738"/>
      <c r="E18" s="739"/>
      <c r="F18" s="738"/>
      <c r="G18" s="739"/>
      <c r="H18" s="738"/>
      <c r="I18" s="739"/>
      <c r="J18" s="738"/>
      <c r="K18" s="739"/>
      <c r="L18" s="738"/>
      <c r="M18" s="739"/>
      <c r="N18" s="738"/>
      <c r="O18" s="921"/>
      <c r="P18" s="922">
        <v>20</v>
      </c>
      <c r="Q18" s="739"/>
      <c r="R18" s="738"/>
      <c r="S18" s="739"/>
      <c r="T18" s="738"/>
      <c r="U18" s="739"/>
      <c r="V18" s="738"/>
      <c r="W18" s="739"/>
      <c r="X18" s="738"/>
      <c r="Y18" s="739"/>
      <c r="Z18" s="738"/>
      <c r="AA18" s="923"/>
    </row>
    <row r="19" spans="1:27" ht="14.25">
      <c r="A19" s="748">
        <v>1.1399999999999999</v>
      </c>
      <c r="B19" s="851" t="s">
        <v>3200</v>
      </c>
      <c r="C19" s="794"/>
      <c r="D19" s="745"/>
      <c r="E19" s="746"/>
      <c r="F19" s="745"/>
      <c r="G19" s="746"/>
      <c r="H19" s="745"/>
      <c r="I19" s="746"/>
      <c r="J19" s="745"/>
      <c r="K19" s="746"/>
      <c r="L19" s="745"/>
      <c r="M19" s="746"/>
      <c r="N19" s="745"/>
      <c r="O19" s="921"/>
      <c r="P19" s="922">
        <v>10</v>
      </c>
      <c r="Q19" s="746"/>
      <c r="R19" s="745"/>
      <c r="S19" s="746"/>
      <c r="T19" s="745"/>
      <c r="U19" s="746"/>
      <c r="V19" s="745"/>
      <c r="W19" s="746"/>
      <c r="X19" s="745"/>
      <c r="Y19" s="746"/>
      <c r="Z19" s="745"/>
      <c r="AA19" s="923"/>
    </row>
    <row r="20" spans="1:27" ht="14.25">
      <c r="A20" s="748">
        <v>1.1499999999999999</v>
      </c>
      <c r="B20" s="851" t="s">
        <v>3201</v>
      </c>
      <c r="C20" s="790"/>
      <c r="D20" s="738"/>
      <c r="E20" s="739"/>
      <c r="F20" s="738"/>
      <c r="G20" s="739"/>
      <c r="H20" s="738"/>
      <c r="I20" s="739"/>
      <c r="J20" s="738"/>
      <c r="K20" s="739"/>
      <c r="L20" s="738"/>
      <c r="M20" s="739"/>
      <c r="N20" s="738"/>
      <c r="O20" s="921"/>
      <c r="P20" s="922">
        <v>20</v>
      </c>
      <c r="Q20" s="739"/>
      <c r="R20" s="738"/>
      <c r="S20" s="739"/>
      <c r="T20" s="738"/>
      <c r="U20" s="739"/>
      <c r="V20" s="738"/>
      <c r="W20" s="739"/>
      <c r="X20" s="738"/>
      <c r="Y20" s="739"/>
      <c r="Z20" s="738"/>
      <c r="AA20" s="923"/>
    </row>
    <row r="21" spans="1:27" ht="14.25">
      <c r="A21" s="748">
        <v>1.1599999999999999</v>
      </c>
      <c r="B21" s="851" t="s">
        <v>3202</v>
      </c>
      <c r="C21" s="790"/>
      <c r="D21" s="738"/>
      <c r="E21" s="739"/>
      <c r="F21" s="738"/>
      <c r="G21" s="739"/>
      <c r="H21" s="738"/>
      <c r="I21" s="739"/>
      <c r="J21" s="738"/>
      <c r="K21" s="739"/>
      <c r="L21" s="738"/>
      <c r="M21" s="739"/>
      <c r="N21" s="738"/>
      <c r="O21" s="921"/>
      <c r="P21" s="922">
        <v>10</v>
      </c>
      <c r="Q21" s="739"/>
      <c r="R21" s="738"/>
      <c r="S21" s="739"/>
      <c r="T21" s="738"/>
      <c r="U21" s="739"/>
      <c r="V21" s="738"/>
      <c r="W21" s="739"/>
      <c r="X21" s="738"/>
      <c r="Y21" s="739"/>
      <c r="Z21" s="738"/>
      <c r="AA21" s="923"/>
    </row>
    <row r="22" spans="1:27" ht="14.25">
      <c r="A22" s="748">
        <v>1.17</v>
      </c>
      <c r="B22" s="924" t="s">
        <v>3203</v>
      </c>
      <c r="C22" s="790"/>
      <c r="D22" s="738"/>
      <c r="E22" s="739"/>
      <c r="F22" s="738"/>
      <c r="G22" s="739"/>
      <c r="H22" s="738"/>
      <c r="I22" s="739"/>
      <c r="J22" s="738"/>
      <c r="K22" s="739"/>
      <c r="L22" s="738"/>
      <c r="M22" s="739"/>
      <c r="N22" s="738"/>
      <c r="O22" s="921"/>
      <c r="P22" s="922">
        <v>20</v>
      </c>
      <c r="Q22" s="739"/>
      <c r="R22" s="738"/>
      <c r="S22" s="739"/>
      <c r="T22" s="738"/>
      <c r="U22" s="739"/>
      <c r="V22" s="738"/>
      <c r="W22" s="739"/>
      <c r="X22" s="738"/>
      <c r="Y22" s="739"/>
      <c r="Z22" s="738"/>
      <c r="AA22" s="923"/>
    </row>
    <row r="23" spans="1:27" ht="14.25">
      <c r="A23" s="748">
        <v>1.18</v>
      </c>
      <c r="B23" s="851" t="s">
        <v>3204</v>
      </c>
      <c r="C23" s="790"/>
      <c r="D23" s="738"/>
      <c r="E23" s="739"/>
      <c r="F23" s="738"/>
      <c r="G23" s="739"/>
      <c r="H23" s="738"/>
      <c r="I23" s="739"/>
      <c r="J23" s="738"/>
      <c r="K23" s="739"/>
      <c r="L23" s="738"/>
      <c r="M23" s="739"/>
      <c r="N23" s="738"/>
      <c r="O23" s="921">
        <v>15</v>
      </c>
      <c r="P23" s="922"/>
      <c r="Q23" s="739"/>
      <c r="R23" s="738"/>
      <c r="S23" s="739"/>
      <c r="T23" s="738"/>
      <c r="U23" s="739"/>
      <c r="V23" s="738"/>
      <c r="W23" s="739"/>
      <c r="X23" s="738"/>
      <c r="Y23" s="739"/>
      <c r="Z23" s="738"/>
      <c r="AA23" s="923">
        <v>10</v>
      </c>
    </row>
    <row r="24" spans="1:27" ht="14.25">
      <c r="A24" s="748">
        <v>1.19</v>
      </c>
      <c r="B24" s="924" t="s">
        <v>3205</v>
      </c>
      <c r="C24" s="790"/>
      <c r="D24" s="738"/>
      <c r="E24" s="739"/>
      <c r="F24" s="738"/>
      <c r="G24" s="739"/>
      <c r="H24" s="738"/>
      <c r="I24" s="739"/>
      <c r="J24" s="738"/>
      <c r="K24" s="739"/>
      <c r="L24" s="738"/>
      <c r="M24" s="739"/>
      <c r="N24" s="738"/>
      <c r="O24" s="921">
        <v>15</v>
      </c>
      <c r="P24" s="922"/>
      <c r="Q24" s="739"/>
      <c r="R24" s="738"/>
      <c r="S24" s="739"/>
      <c r="T24" s="738"/>
      <c r="U24" s="739"/>
      <c r="V24" s="738"/>
      <c r="W24" s="739"/>
      <c r="X24" s="738"/>
      <c r="Y24" s="739"/>
      <c r="Z24" s="738"/>
      <c r="AA24" s="923">
        <v>10</v>
      </c>
    </row>
    <row r="25" spans="1:27" ht="14.25">
      <c r="A25" s="880">
        <v>2</v>
      </c>
      <c r="B25" s="881" t="s">
        <v>3206</v>
      </c>
      <c r="C25" s="790"/>
      <c r="D25" s="738"/>
      <c r="E25" s="739"/>
      <c r="F25" s="738"/>
      <c r="G25" s="739"/>
      <c r="H25" s="738"/>
      <c r="I25" s="739"/>
      <c r="J25" s="738"/>
      <c r="K25" s="739"/>
      <c r="L25" s="738"/>
      <c r="M25" s="739"/>
      <c r="N25" s="738"/>
      <c r="O25" s="926"/>
      <c r="P25" s="927"/>
      <c r="Q25" s="739"/>
      <c r="R25" s="738"/>
      <c r="S25" s="739"/>
      <c r="T25" s="738"/>
      <c r="U25" s="739"/>
      <c r="V25" s="738"/>
      <c r="W25" s="739"/>
      <c r="X25" s="738"/>
      <c r="Y25" s="739"/>
      <c r="Z25" s="738"/>
      <c r="AA25" s="928"/>
    </row>
    <row r="26" spans="1:27" ht="14.25">
      <c r="A26" s="748">
        <v>2.1</v>
      </c>
      <c r="B26" s="924" t="s">
        <v>3207</v>
      </c>
      <c r="C26" s="790"/>
      <c r="D26" s="738"/>
      <c r="E26" s="739"/>
      <c r="F26" s="738"/>
      <c r="G26" s="739"/>
      <c r="H26" s="738"/>
      <c r="I26" s="739"/>
      <c r="J26" s="738"/>
      <c r="K26" s="739"/>
      <c r="L26" s="738"/>
      <c r="M26" s="739"/>
      <c r="N26" s="738"/>
      <c r="O26" s="921">
        <v>40</v>
      </c>
      <c r="P26" s="922">
        <v>10</v>
      </c>
      <c r="Q26" s="739"/>
      <c r="R26" s="738"/>
      <c r="S26" s="739"/>
      <c r="T26" s="738"/>
      <c r="U26" s="739"/>
      <c r="V26" s="738"/>
      <c r="W26" s="739"/>
      <c r="X26" s="738"/>
      <c r="Y26" s="739"/>
      <c r="Z26" s="738"/>
      <c r="AA26" s="923"/>
    </row>
    <row r="27" spans="1:27" ht="14.25">
      <c r="A27" s="748">
        <v>2.2000000000000002</v>
      </c>
      <c r="B27" s="925" t="s">
        <v>3208</v>
      </c>
      <c r="C27" s="790"/>
      <c r="D27" s="738"/>
      <c r="E27" s="739"/>
      <c r="F27" s="738"/>
      <c r="G27" s="739"/>
      <c r="H27" s="738"/>
      <c r="I27" s="739"/>
      <c r="J27" s="738"/>
      <c r="K27" s="739"/>
      <c r="L27" s="738"/>
      <c r="M27" s="739"/>
      <c r="N27" s="738"/>
      <c r="O27" s="921">
        <v>40</v>
      </c>
      <c r="P27" s="922">
        <v>10</v>
      </c>
      <c r="Q27" s="739"/>
      <c r="R27" s="738"/>
      <c r="S27" s="739"/>
      <c r="T27" s="738"/>
      <c r="U27" s="739"/>
      <c r="V27" s="738"/>
      <c r="W27" s="739"/>
      <c r="X27" s="738"/>
      <c r="Y27" s="739"/>
      <c r="Z27" s="738"/>
      <c r="AA27" s="923"/>
    </row>
    <row r="28" spans="1:27" ht="14.25">
      <c r="A28" s="748">
        <v>2.2999999999999998</v>
      </c>
      <c r="B28" s="851" t="s">
        <v>3209</v>
      </c>
      <c r="C28" s="794"/>
      <c r="D28" s="745"/>
      <c r="E28" s="746"/>
      <c r="F28" s="745"/>
      <c r="G28" s="746"/>
      <c r="H28" s="745"/>
      <c r="I28" s="746"/>
      <c r="J28" s="745"/>
      <c r="K28" s="746"/>
      <c r="L28" s="745"/>
      <c r="M28" s="746"/>
      <c r="N28" s="745"/>
      <c r="O28" s="921">
        <v>40</v>
      </c>
      <c r="P28" s="922">
        <v>10</v>
      </c>
      <c r="Q28" s="746"/>
      <c r="R28" s="745"/>
      <c r="S28" s="746"/>
      <c r="T28" s="745"/>
      <c r="U28" s="746"/>
      <c r="V28" s="745"/>
      <c r="W28" s="746"/>
      <c r="X28" s="745"/>
      <c r="Y28" s="746"/>
      <c r="Z28" s="745"/>
      <c r="AA28" s="923"/>
    </row>
    <row r="29" spans="1:27" ht="14.25">
      <c r="A29" s="748">
        <v>2.4</v>
      </c>
      <c r="B29" s="851" t="s">
        <v>3210</v>
      </c>
      <c r="C29" s="790"/>
      <c r="D29" s="738"/>
      <c r="E29" s="739"/>
      <c r="F29" s="738">
        <v>4</v>
      </c>
      <c r="G29" s="739"/>
      <c r="H29" s="738"/>
      <c r="I29" s="739"/>
      <c r="J29" s="738"/>
      <c r="K29" s="739"/>
      <c r="L29" s="738"/>
      <c r="M29" s="739"/>
      <c r="N29" s="738"/>
      <c r="O29" s="921">
        <v>40</v>
      </c>
      <c r="P29" s="922">
        <v>10</v>
      </c>
      <c r="Q29" s="739"/>
      <c r="R29" s="738"/>
      <c r="S29" s="739"/>
      <c r="T29" s="738"/>
      <c r="U29" s="739"/>
      <c r="V29" s="738"/>
      <c r="W29" s="739"/>
      <c r="X29" s="738"/>
      <c r="Y29" s="739"/>
      <c r="Z29" s="738"/>
      <c r="AA29" s="923"/>
    </row>
    <row r="30" spans="1:27" ht="14.25">
      <c r="A30" s="748">
        <v>2.5</v>
      </c>
      <c r="B30" s="851" t="s">
        <v>3211</v>
      </c>
      <c r="C30" s="790"/>
      <c r="D30" s="738"/>
      <c r="E30" s="739"/>
      <c r="F30" s="738"/>
      <c r="G30" s="739"/>
      <c r="H30" s="738"/>
      <c r="I30" s="739"/>
      <c r="J30" s="738"/>
      <c r="K30" s="739"/>
      <c r="L30" s="738"/>
      <c r="M30" s="739"/>
      <c r="N30" s="738"/>
      <c r="O30" s="921">
        <v>40</v>
      </c>
      <c r="P30" s="922">
        <v>10</v>
      </c>
      <c r="Q30" s="739"/>
      <c r="R30" s="738"/>
      <c r="S30" s="739"/>
      <c r="T30" s="738"/>
      <c r="U30" s="739"/>
      <c r="V30" s="738"/>
      <c r="W30" s="739"/>
      <c r="X30" s="738"/>
      <c r="Y30" s="739"/>
      <c r="Z30" s="738"/>
      <c r="AA30" s="923"/>
    </row>
    <row r="31" spans="1:27" ht="14.25">
      <c r="A31" s="748">
        <v>2.6</v>
      </c>
      <c r="B31" s="924" t="s">
        <v>3212</v>
      </c>
      <c r="C31" s="790"/>
      <c r="D31" s="738"/>
      <c r="E31" s="739"/>
      <c r="F31" s="738"/>
      <c r="G31" s="739"/>
      <c r="H31" s="738"/>
      <c r="I31" s="739"/>
      <c r="J31" s="738"/>
      <c r="K31" s="739"/>
      <c r="L31" s="738"/>
      <c r="M31" s="739"/>
      <c r="N31" s="738"/>
      <c r="O31" s="921">
        <v>60</v>
      </c>
      <c r="P31" s="922">
        <v>10</v>
      </c>
      <c r="Q31" s="739"/>
      <c r="R31" s="738"/>
      <c r="S31" s="739"/>
      <c r="T31" s="738"/>
      <c r="U31" s="739"/>
      <c r="V31" s="738"/>
      <c r="W31" s="739"/>
      <c r="X31" s="738"/>
      <c r="Y31" s="739"/>
      <c r="Z31" s="738"/>
      <c r="AA31" s="923"/>
    </row>
    <row r="32" spans="1:27" ht="14.25">
      <c r="A32" s="748">
        <v>2.7</v>
      </c>
      <c r="B32" s="924" t="s">
        <v>3213</v>
      </c>
      <c r="C32" s="790"/>
      <c r="D32" s="738"/>
      <c r="E32" s="739"/>
      <c r="F32" s="738"/>
      <c r="G32" s="739"/>
      <c r="H32" s="738"/>
      <c r="I32" s="739"/>
      <c r="J32" s="738"/>
      <c r="K32" s="739"/>
      <c r="L32" s="738"/>
      <c r="M32" s="739"/>
      <c r="N32" s="738"/>
      <c r="O32" s="921">
        <v>40</v>
      </c>
      <c r="P32" s="922">
        <v>10</v>
      </c>
      <c r="Q32" s="739"/>
      <c r="R32" s="738"/>
      <c r="S32" s="739"/>
      <c r="T32" s="738"/>
      <c r="U32" s="739"/>
      <c r="V32" s="738"/>
      <c r="W32" s="739"/>
      <c r="X32" s="738"/>
      <c r="Y32" s="739"/>
      <c r="Z32" s="738"/>
      <c r="AA32" s="923"/>
    </row>
    <row r="33" spans="1:27" ht="14.25">
      <c r="A33" s="748">
        <v>2.8</v>
      </c>
      <c r="B33" s="924" t="s">
        <v>3214</v>
      </c>
      <c r="C33" s="790"/>
      <c r="D33" s="738"/>
      <c r="E33" s="739"/>
      <c r="F33" s="738"/>
      <c r="G33" s="739"/>
      <c r="H33" s="738"/>
      <c r="I33" s="739"/>
      <c r="J33" s="738"/>
      <c r="K33" s="739"/>
      <c r="L33" s="738"/>
      <c r="M33" s="739"/>
      <c r="N33" s="738"/>
      <c r="O33" s="921">
        <v>40</v>
      </c>
      <c r="P33" s="922">
        <v>10</v>
      </c>
      <c r="Q33" s="739"/>
      <c r="R33" s="738"/>
      <c r="S33" s="739"/>
      <c r="T33" s="738"/>
      <c r="U33" s="739"/>
      <c r="V33" s="738"/>
      <c r="W33" s="739"/>
      <c r="X33" s="738"/>
      <c r="Y33" s="739"/>
      <c r="Z33" s="738"/>
      <c r="AA33" s="923"/>
    </row>
    <row r="34" spans="1:27" ht="14.25">
      <c r="A34" s="748">
        <v>2.9</v>
      </c>
      <c r="B34" s="925" t="s">
        <v>3215</v>
      </c>
      <c r="C34" s="790"/>
      <c r="D34" s="738"/>
      <c r="E34" s="739"/>
      <c r="F34" s="738"/>
      <c r="G34" s="739"/>
      <c r="H34" s="738"/>
      <c r="I34" s="739"/>
      <c r="J34" s="738"/>
      <c r="K34" s="739"/>
      <c r="L34" s="738"/>
      <c r="M34" s="739"/>
      <c r="N34" s="738"/>
      <c r="O34" s="921">
        <v>40</v>
      </c>
      <c r="P34" s="922">
        <v>10</v>
      </c>
      <c r="Q34" s="739"/>
      <c r="R34" s="738"/>
      <c r="S34" s="739"/>
      <c r="T34" s="738"/>
      <c r="U34" s="739"/>
      <c r="V34" s="738"/>
      <c r="W34" s="739"/>
      <c r="X34" s="738"/>
      <c r="Y34" s="739"/>
      <c r="Z34" s="738"/>
      <c r="AA34" s="923"/>
    </row>
    <row r="35" spans="1:27" ht="14.25">
      <c r="A35" s="876" t="s">
        <v>2648</v>
      </c>
      <c r="B35" s="924" t="s">
        <v>3216</v>
      </c>
      <c r="C35" s="790"/>
      <c r="D35" s="738"/>
      <c r="E35" s="739"/>
      <c r="F35" s="738"/>
      <c r="G35" s="739"/>
      <c r="H35" s="738"/>
      <c r="I35" s="739"/>
      <c r="J35" s="738"/>
      <c r="K35" s="739"/>
      <c r="L35" s="738"/>
      <c r="M35" s="739"/>
      <c r="N35" s="738"/>
      <c r="O35" s="921">
        <v>40</v>
      </c>
      <c r="P35" s="922">
        <v>10</v>
      </c>
      <c r="Q35" s="739"/>
      <c r="R35" s="738"/>
      <c r="S35" s="739"/>
      <c r="T35" s="738"/>
      <c r="U35" s="739"/>
      <c r="V35" s="738"/>
      <c r="W35" s="739"/>
      <c r="X35" s="738"/>
      <c r="Y35" s="739"/>
      <c r="Z35" s="738"/>
      <c r="AA35" s="923"/>
    </row>
    <row r="36" spans="1:27" ht="14.25">
      <c r="A36" s="748">
        <v>2.11</v>
      </c>
      <c r="B36" s="924" t="s">
        <v>3217</v>
      </c>
      <c r="C36" s="790"/>
      <c r="D36" s="738"/>
      <c r="E36" s="739"/>
      <c r="F36" s="738"/>
      <c r="G36" s="739"/>
      <c r="H36" s="738"/>
      <c r="I36" s="739"/>
      <c r="J36" s="738"/>
      <c r="K36" s="739"/>
      <c r="L36" s="738"/>
      <c r="M36" s="739"/>
      <c r="N36" s="738"/>
      <c r="O36" s="921">
        <v>40</v>
      </c>
      <c r="P36" s="922">
        <v>10</v>
      </c>
      <c r="Q36" s="739"/>
      <c r="R36" s="738"/>
      <c r="S36" s="739"/>
      <c r="T36" s="738"/>
      <c r="U36" s="739"/>
      <c r="V36" s="738"/>
      <c r="W36" s="739"/>
      <c r="X36" s="738"/>
      <c r="Y36" s="739"/>
      <c r="Z36" s="738"/>
      <c r="AA36" s="923"/>
    </row>
    <row r="37" spans="1:27" ht="14.25">
      <c r="A37" s="748">
        <v>2.12</v>
      </c>
      <c r="B37" s="924" t="s">
        <v>3218</v>
      </c>
      <c r="C37" s="790"/>
      <c r="D37" s="738"/>
      <c r="E37" s="739"/>
      <c r="F37" s="738"/>
      <c r="G37" s="739"/>
      <c r="H37" s="738"/>
      <c r="I37" s="739"/>
      <c r="J37" s="738"/>
      <c r="K37" s="739"/>
      <c r="L37" s="738"/>
      <c r="M37" s="739"/>
      <c r="N37" s="738"/>
      <c r="O37" s="921">
        <v>30</v>
      </c>
      <c r="P37" s="922">
        <v>8</v>
      </c>
      <c r="Q37" s="739"/>
      <c r="R37" s="738"/>
      <c r="S37" s="739"/>
      <c r="T37" s="738"/>
      <c r="U37" s="739"/>
      <c r="V37" s="738"/>
      <c r="W37" s="739"/>
      <c r="X37" s="738"/>
      <c r="Y37" s="739"/>
      <c r="Z37" s="738"/>
      <c r="AA37" s="923"/>
    </row>
    <row r="38" spans="1:27" ht="14.25">
      <c r="A38" s="748">
        <v>2.13</v>
      </c>
      <c r="B38" s="924" t="s">
        <v>3219</v>
      </c>
      <c r="C38" s="790"/>
      <c r="D38" s="738"/>
      <c r="E38" s="739"/>
      <c r="F38" s="738"/>
      <c r="G38" s="739"/>
      <c r="H38" s="738"/>
      <c r="I38" s="739"/>
      <c r="J38" s="738"/>
      <c r="K38" s="739"/>
      <c r="L38" s="738"/>
      <c r="M38" s="739"/>
      <c r="N38" s="738"/>
      <c r="O38" s="921">
        <v>30</v>
      </c>
      <c r="P38" s="922">
        <v>8</v>
      </c>
      <c r="Q38" s="739"/>
      <c r="R38" s="738"/>
      <c r="S38" s="739"/>
      <c r="T38" s="738"/>
      <c r="U38" s="739"/>
      <c r="V38" s="738"/>
      <c r="W38" s="739"/>
      <c r="X38" s="738"/>
      <c r="Y38" s="739"/>
      <c r="Z38" s="738"/>
      <c r="AA38" s="923"/>
    </row>
    <row r="39" spans="1:27" ht="14.25">
      <c r="A39" s="748">
        <v>2.14</v>
      </c>
      <c r="B39" s="924" t="s">
        <v>3220</v>
      </c>
      <c r="C39" s="790"/>
      <c r="D39" s="738"/>
      <c r="E39" s="739"/>
      <c r="F39" s="738"/>
      <c r="G39" s="739"/>
      <c r="H39" s="738"/>
      <c r="I39" s="739"/>
      <c r="J39" s="738"/>
      <c r="K39" s="739"/>
      <c r="L39" s="738"/>
      <c r="M39" s="739"/>
      <c r="N39" s="738"/>
      <c r="O39" s="921">
        <v>30</v>
      </c>
      <c r="P39" s="922">
        <v>8</v>
      </c>
      <c r="Q39" s="739"/>
      <c r="R39" s="738"/>
      <c r="S39" s="739"/>
      <c r="T39" s="738"/>
      <c r="U39" s="739"/>
      <c r="V39" s="738"/>
      <c r="W39" s="739"/>
      <c r="X39" s="738"/>
      <c r="Y39" s="739"/>
      <c r="Z39" s="738"/>
      <c r="AA39" s="923"/>
    </row>
    <row r="40" spans="1:27" ht="14.25">
      <c r="A40" s="748">
        <v>2.15</v>
      </c>
      <c r="B40" s="924" t="s">
        <v>3221</v>
      </c>
      <c r="C40" s="790"/>
      <c r="D40" s="738"/>
      <c r="E40" s="739"/>
      <c r="F40" s="738"/>
      <c r="G40" s="739"/>
      <c r="H40" s="738"/>
      <c r="I40" s="739"/>
      <c r="J40" s="738"/>
      <c r="K40" s="739"/>
      <c r="L40" s="738"/>
      <c r="M40" s="739"/>
      <c r="N40" s="738"/>
      <c r="O40" s="921">
        <v>30</v>
      </c>
      <c r="P40" s="922">
        <v>8</v>
      </c>
      <c r="Q40" s="739"/>
      <c r="R40" s="738"/>
      <c r="S40" s="739"/>
      <c r="T40" s="738"/>
      <c r="U40" s="739"/>
      <c r="V40" s="738"/>
      <c r="W40" s="739"/>
      <c r="X40" s="738"/>
      <c r="Y40" s="739"/>
      <c r="Z40" s="738"/>
      <c r="AA40" s="923"/>
    </row>
    <row r="41" spans="1:27" ht="14.25">
      <c r="A41" s="748">
        <v>2.16</v>
      </c>
      <c r="B41" s="924" t="s">
        <v>3222</v>
      </c>
      <c r="C41" s="790"/>
      <c r="D41" s="738"/>
      <c r="E41" s="739"/>
      <c r="F41" s="738"/>
      <c r="G41" s="739"/>
      <c r="H41" s="738"/>
      <c r="I41" s="739"/>
      <c r="J41" s="738"/>
      <c r="K41" s="739"/>
      <c r="L41" s="738"/>
      <c r="M41" s="739"/>
      <c r="N41" s="738"/>
      <c r="O41" s="921">
        <v>30</v>
      </c>
      <c r="P41" s="922">
        <v>8</v>
      </c>
      <c r="Q41" s="739"/>
      <c r="R41" s="738"/>
      <c r="S41" s="739"/>
      <c r="T41" s="738"/>
      <c r="U41" s="739"/>
      <c r="V41" s="738"/>
      <c r="W41" s="739"/>
      <c r="X41" s="738"/>
      <c r="Y41" s="739"/>
      <c r="Z41" s="738"/>
      <c r="AA41" s="923"/>
    </row>
    <row r="42" spans="1:27" ht="14.25">
      <c r="A42" s="929">
        <v>3</v>
      </c>
      <c r="B42" s="881" t="s">
        <v>3223</v>
      </c>
      <c r="C42" s="790"/>
      <c r="D42" s="738"/>
      <c r="E42" s="739"/>
      <c r="F42" s="738"/>
      <c r="G42" s="739"/>
      <c r="H42" s="738"/>
      <c r="I42" s="739"/>
      <c r="J42" s="738"/>
      <c r="K42" s="739"/>
      <c r="L42" s="738"/>
      <c r="M42" s="739"/>
      <c r="N42" s="738"/>
      <c r="O42" s="926"/>
      <c r="P42" s="927"/>
      <c r="Q42" s="739"/>
      <c r="R42" s="738"/>
      <c r="S42" s="739"/>
      <c r="T42" s="738"/>
      <c r="U42" s="739"/>
      <c r="V42" s="738"/>
      <c r="W42" s="739"/>
      <c r="X42" s="738"/>
      <c r="Y42" s="739"/>
      <c r="Z42" s="738"/>
      <c r="AA42" s="928"/>
    </row>
    <row r="43" spans="1:27" ht="14.25">
      <c r="A43" s="748">
        <v>3.1</v>
      </c>
      <c r="B43" s="851" t="s">
        <v>3224</v>
      </c>
      <c r="C43" s="790">
        <v>5</v>
      </c>
      <c r="D43" s="738"/>
      <c r="E43" s="739">
        <v>30</v>
      </c>
      <c r="F43" s="738"/>
      <c r="G43" s="739"/>
      <c r="H43" s="738"/>
      <c r="I43" s="739"/>
      <c r="J43" s="738"/>
      <c r="K43" s="739"/>
      <c r="L43" s="738"/>
      <c r="M43" s="739"/>
      <c r="N43" s="738"/>
      <c r="O43" s="921">
        <v>120</v>
      </c>
      <c r="P43" s="922">
        <v>50</v>
      </c>
      <c r="Q43" s="739"/>
      <c r="R43" s="738"/>
      <c r="S43" s="739"/>
      <c r="T43" s="738"/>
      <c r="U43" s="739"/>
      <c r="V43" s="738"/>
      <c r="W43" s="739"/>
      <c r="X43" s="738"/>
      <c r="Y43" s="739"/>
      <c r="Z43" s="738"/>
      <c r="AA43" s="923"/>
    </row>
    <row r="44" spans="1:27" ht="14.25">
      <c r="A44" s="748">
        <v>3.2</v>
      </c>
      <c r="B44" s="851" t="s">
        <v>3225</v>
      </c>
      <c r="C44" s="794"/>
      <c r="D44" s="745"/>
      <c r="E44" s="805">
        <v>3</v>
      </c>
      <c r="F44" s="745"/>
      <c r="G44" s="746"/>
      <c r="H44" s="745"/>
      <c r="I44" s="746"/>
      <c r="J44" s="745"/>
      <c r="K44" s="746"/>
      <c r="L44" s="745"/>
      <c r="M44" s="746"/>
      <c r="N44" s="745"/>
      <c r="O44" s="921">
        <v>180</v>
      </c>
      <c r="P44" s="922">
        <v>40</v>
      </c>
      <c r="Q44" s="746"/>
      <c r="R44" s="745"/>
      <c r="S44" s="746"/>
      <c r="T44" s="745"/>
      <c r="U44" s="746"/>
      <c r="V44" s="745"/>
      <c r="W44" s="746"/>
      <c r="X44" s="745"/>
      <c r="Y44" s="746"/>
      <c r="Z44" s="745"/>
      <c r="AA44" s="923"/>
    </row>
    <row r="45" spans="1:27" ht="28.5">
      <c r="A45" s="748">
        <v>3.3</v>
      </c>
      <c r="B45" s="851" t="s">
        <v>3226</v>
      </c>
      <c r="C45" s="790"/>
      <c r="D45" s="738"/>
      <c r="E45" s="739">
        <v>2</v>
      </c>
      <c r="F45" s="738"/>
      <c r="G45" s="739"/>
      <c r="H45" s="738"/>
      <c r="I45" s="739"/>
      <c r="J45" s="738"/>
      <c r="K45" s="739"/>
      <c r="L45" s="738"/>
      <c r="M45" s="739"/>
      <c r="N45" s="738"/>
      <c r="O45" s="921">
        <v>150</v>
      </c>
      <c r="P45" s="922">
        <v>40</v>
      </c>
      <c r="Q45" s="739"/>
      <c r="R45" s="738"/>
      <c r="S45" s="739"/>
      <c r="T45" s="738"/>
      <c r="U45" s="739"/>
      <c r="V45" s="738"/>
      <c r="W45" s="739"/>
      <c r="X45" s="738"/>
      <c r="Y45" s="739"/>
      <c r="Z45" s="738"/>
      <c r="AA45" s="923"/>
    </row>
    <row r="46" spans="1:27" ht="14.25">
      <c r="A46" s="748">
        <v>3.4</v>
      </c>
      <c r="B46" s="851" t="s">
        <v>3227</v>
      </c>
      <c r="C46" s="790"/>
      <c r="D46" s="738"/>
      <c r="E46" s="739">
        <v>1</v>
      </c>
      <c r="F46" s="738"/>
      <c r="G46" s="739"/>
      <c r="H46" s="738"/>
      <c r="I46" s="739"/>
      <c r="J46" s="738"/>
      <c r="K46" s="739"/>
      <c r="L46" s="738"/>
      <c r="M46" s="739"/>
      <c r="N46" s="738"/>
      <c r="O46" s="921">
        <v>80</v>
      </c>
      <c r="P46" s="922">
        <v>35</v>
      </c>
      <c r="Q46" s="739"/>
      <c r="R46" s="738"/>
      <c r="S46" s="739"/>
      <c r="T46" s="738"/>
      <c r="U46" s="739"/>
      <c r="V46" s="738"/>
      <c r="W46" s="739"/>
      <c r="X46" s="738"/>
      <c r="Y46" s="739"/>
      <c r="Z46" s="738"/>
      <c r="AA46" s="923"/>
    </row>
    <row r="47" spans="1:27" ht="28.5">
      <c r="A47" s="748">
        <v>3.5</v>
      </c>
      <c r="B47" s="851" t="s">
        <v>3228</v>
      </c>
      <c r="C47" s="790"/>
      <c r="D47" s="738"/>
      <c r="E47" s="739">
        <v>1</v>
      </c>
      <c r="F47" s="738"/>
      <c r="G47" s="739"/>
      <c r="H47" s="738"/>
      <c r="I47" s="739"/>
      <c r="J47" s="738"/>
      <c r="K47" s="739"/>
      <c r="L47" s="738"/>
      <c r="M47" s="739"/>
      <c r="N47" s="738"/>
      <c r="O47" s="921">
        <v>150</v>
      </c>
      <c r="P47" s="922">
        <v>35</v>
      </c>
      <c r="Q47" s="739"/>
      <c r="R47" s="738"/>
      <c r="S47" s="739"/>
      <c r="T47" s="738"/>
      <c r="U47" s="739"/>
      <c r="V47" s="738"/>
      <c r="W47" s="739"/>
      <c r="X47" s="738"/>
      <c r="Y47" s="739"/>
      <c r="Z47" s="738"/>
      <c r="AA47" s="923"/>
    </row>
    <row r="48" spans="1:27" ht="14.25">
      <c r="A48" s="748">
        <v>3.6</v>
      </c>
      <c r="B48" s="851" t="s">
        <v>3229</v>
      </c>
      <c r="C48" s="790"/>
      <c r="D48" s="738"/>
      <c r="E48" s="739">
        <v>1</v>
      </c>
      <c r="F48" s="738"/>
      <c r="G48" s="739"/>
      <c r="H48" s="738"/>
      <c r="I48" s="739"/>
      <c r="J48" s="738"/>
      <c r="K48" s="739"/>
      <c r="L48" s="738"/>
      <c r="M48" s="739"/>
      <c r="N48" s="738"/>
      <c r="O48" s="921">
        <v>50</v>
      </c>
      <c r="P48" s="922">
        <v>15</v>
      </c>
      <c r="Q48" s="739"/>
      <c r="R48" s="738"/>
      <c r="S48" s="739"/>
      <c r="T48" s="738"/>
      <c r="U48" s="739"/>
      <c r="V48" s="738"/>
      <c r="W48" s="739"/>
      <c r="X48" s="738"/>
      <c r="Y48" s="739"/>
      <c r="Z48" s="738"/>
      <c r="AA48" s="923"/>
    </row>
    <row r="49" spans="1:27" ht="14.25">
      <c r="A49" s="748">
        <v>3.7</v>
      </c>
      <c r="B49" s="851" t="s">
        <v>3230</v>
      </c>
      <c r="C49" s="790"/>
      <c r="D49" s="738"/>
      <c r="E49" s="739"/>
      <c r="F49" s="738"/>
      <c r="G49" s="739"/>
      <c r="H49" s="738"/>
      <c r="I49" s="739"/>
      <c r="J49" s="738"/>
      <c r="K49" s="739"/>
      <c r="L49" s="738"/>
      <c r="M49" s="739"/>
      <c r="N49" s="738"/>
      <c r="O49" s="921">
        <v>150</v>
      </c>
      <c r="P49" s="922">
        <v>30</v>
      </c>
      <c r="Q49" s="739"/>
      <c r="R49" s="738"/>
      <c r="S49" s="739"/>
      <c r="T49" s="738"/>
      <c r="U49" s="739"/>
      <c r="V49" s="738"/>
      <c r="W49" s="739"/>
      <c r="X49" s="738"/>
      <c r="Y49" s="739"/>
      <c r="Z49" s="738"/>
      <c r="AA49" s="923"/>
    </row>
    <row r="50" spans="1:27" ht="14.25">
      <c r="A50" s="880">
        <v>4</v>
      </c>
      <c r="B50" s="881" t="s">
        <v>3231</v>
      </c>
      <c r="C50" s="790"/>
      <c r="D50" s="738"/>
      <c r="E50" s="739"/>
      <c r="F50" s="738"/>
      <c r="G50" s="739"/>
      <c r="H50" s="738"/>
      <c r="I50" s="739"/>
      <c r="J50" s="738"/>
      <c r="K50" s="739"/>
      <c r="L50" s="738"/>
      <c r="M50" s="739"/>
      <c r="N50" s="738"/>
      <c r="O50" s="921"/>
      <c r="P50" s="922"/>
      <c r="Q50" s="739"/>
      <c r="R50" s="738"/>
      <c r="S50" s="739"/>
      <c r="T50" s="738"/>
      <c r="U50" s="739"/>
      <c r="V50" s="738"/>
      <c r="W50" s="739"/>
      <c r="X50" s="738"/>
      <c r="Y50" s="739"/>
      <c r="Z50" s="738"/>
      <c r="AA50" s="923"/>
    </row>
    <row r="51" spans="1:27" ht="14.25">
      <c r="A51" s="748">
        <v>4.0999999999999996</v>
      </c>
      <c r="B51" s="851" t="s">
        <v>3232</v>
      </c>
      <c r="C51" s="790"/>
      <c r="D51" s="738"/>
      <c r="E51" s="739"/>
      <c r="F51" s="738"/>
      <c r="G51" s="739"/>
      <c r="H51" s="738"/>
      <c r="I51" s="739"/>
      <c r="J51" s="738"/>
      <c r="K51" s="739"/>
      <c r="L51" s="738"/>
      <c r="M51" s="739"/>
      <c r="N51" s="738"/>
      <c r="O51" s="921"/>
      <c r="P51" s="922"/>
      <c r="Q51" s="739"/>
      <c r="R51" s="738"/>
      <c r="S51" s="739"/>
      <c r="T51" s="738"/>
      <c r="U51" s="739"/>
      <c r="V51" s="738"/>
      <c r="W51" s="739"/>
      <c r="X51" s="738"/>
      <c r="Y51" s="739"/>
      <c r="Z51" s="738"/>
      <c r="AA51" s="923"/>
    </row>
    <row r="52" spans="1:27" ht="14.25">
      <c r="A52" s="748" t="s">
        <v>2797</v>
      </c>
      <c r="B52" s="930" t="s">
        <v>3233</v>
      </c>
      <c r="C52" s="790"/>
      <c r="D52" s="738"/>
      <c r="E52" s="739"/>
      <c r="F52" s="738"/>
      <c r="G52" s="739"/>
      <c r="H52" s="738"/>
      <c r="I52" s="739"/>
      <c r="J52" s="738"/>
      <c r="K52" s="739"/>
      <c r="L52" s="738"/>
      <c r="M52" s="739"/>
      <c r="N52" s="738"/>
      <c r="O52" s="921">
        <v>5</v>
      </c>
      <c r="P52" s="922"/>
      <c r="Q52" s="739"/>
      <c r="R52" s="738"/>
      <c r="S52" s="739"/>
      <c r="T52" s="738"/>
      <c r="U52" s="739"/>
      <c r="V52" s="738"/>
      <c r="W52" s="739"/>
      <c r="X52" s="738"/>
      <c r="Y52" s="739"/>
      <c r="Z52" s="738"/>
      <c r="AA52" s="923">
        <v>10</v>
      </c>
    </row>
    <row r="53" spans="1:27" ht="14.25">
      <c r="A53" s="748" t="s">
        <v>582</v>
      </c>
      <c r="B53" s="930" t="s">
        <v>3234</v>
      </c>
      <c r="C53" s="790"/>
      <c r="D53" s="738"/>
      <c r="E53" s="739"/>
      <c r="F53" s="738"/>
      <c r="G53" s="739"/>
      <c r="H53" s="738"/>
      <c r="I53" s="739"/>
      <c r="J53" s="738"/>
      <c r="K53" s="739"/>
      <c r="L53" s="738"/>
      <c r="M53" s="739"/>
      <c r="N53" s="738"/>
      <c r="O53" s="921">
        <v>60</v>
      </c>
      <c r="P53" s="922">
        <v>40</v>
      </c>
      <c r="Q53" s="739"/>
      <c r="R53" s="738"/>
      <c r="S53" s="739"/>
      <c r="T53" s="738"/>
      <c r="U53" s="739"/>
      <c r="V53" s="738"/>
      <c r="W53" s="739"/>
      <c r="X53" s="738"/>
      <c r="Y53" s="739"/>
      <c r="Z53" s="738"/>
      <c r="AA53" s="923">
        <v>80</v>
      </c>
    </row>
    <row r="54" spans="1:27" ht="14.25">
      <c r="A54" s="748" t="s">
        <v>2800</v>
      </c>
      <c r="B54" s="930" t="s">
        <v>3235</v>
      </c>
      <c r="C54" s="790"/>
      <c r="D54" s="738"/>
      <c r="E54" s="739"/>
      <c r="F54" s="738"/>
      <c r="G54" s="739"/>
      <c r="H54" s="738"/>
      <c r="I54" s="739"/>
      <c r="J54" s="738"/>
      <c r="K54" s="739"/>
      <c r="L54" s="738"/>
      <c r="M54" s="739"/>
      <c r="N54" s="738"/>
      <c r="O54" s="921">
        <v>60</v>
      </c>
      <c r="P54" s="922">
        <v>30</v>
      </c>
      <c r="Q54" s="739"/>
      <c r="R54" s="738"/>
      <c r="S54" s="739"/>
      <c r="T54" s="738"/>
      <c r="U54" s="739"/>
      <c r="V54" s="738"/>
      <c r="W54" s="739"/>
      <c r="X54" s="738"/>
      <c r="Y54" s="739"/>
      <c r="Z54" s="738"/>
      <c r="AA54" s="923">
        <v>80</v>
      </c>
    </row>
    <row r="55" spans="1:27" ht="14.25">
      <c r="A55" s="748" t="s">
        <v>2802</v>
      </c>
      <c r="B55" s="930" t="s">
        <v>3236</v>
      </c>
      <c r="C55" s="790"/>
      <c r="D55" s="738"/>
      <c r="E55" s="739"/>
      <c r="F55" s="738"/>
      <c r="G55" s="739"/>
      <c r="H55" s="738"/>
      <c r="I55" s="739"/>
      <c r="J55" s="738"/>
      <c r="K55" s="739"/>
      <c r="L55" s="738"/>
      <c r="M55" s="739"/>
      <c r="N55" s="738"/>
      <c r="O55" s="921">
        <v>40</v>
      </c>
      <c r="P55" s="922">
        <v>20</v>
      </c>
      <c r="Q55" s="739"/>
      <c r="R55" s="738"/>
      <c r="S55" s="739"/>
      <c r="T55" s="738"/>
      <c r="U55" s="739"/>
      <c r="V55" s="738"/>
      <c r="W55" s="739"/>
      <c r="X55" s="738"/>
      <c r="Y55" s="739"/>
      <c r="Z55" s="738"/>
      <c r="AA55" s="923">
        <v>50</v>
      </c>
    </row>
    <row r="56" spans="1:27" ht="14.25">
      <c r="A56" s="748" t="s">
        <v>2804</v>
      </c>
      <c r="B56" s="930" t="s">
        <v>3237</v>
      </c>
      <c r="C56" s="790"/>
      <c r="D56" s="738"/>
      <c r="E56" s="739"/>
      <c r="F56" s="738"/>
      <c r="G56" s="739"/>
      <c r="H56" s="738"/>
      <c r="I56" s="739"/>
      <c r="J56" s="738"/>
      <c r="K56" s="739"/>
      <c r="L56" s="738"/>
      <c r="M56" s="739"/>
      <c r="N56" s="738"/>
      <c r="O56" s="921">
        <v>20</v>
      </c>
      <c r="P56" s="922">
        <v>10</v>
      </c>
      <c r="Q56" s="739"/>
      <c r="R56" s="738"/>
      <c r="S56" s="739"/>
      <c r="T56" s="738"/>
      <c r="U56" s="739"/>
      <c r="V56" s="738"/>
      <c r="W56" s="739"/>
      <c r="X56" s="738"/>
      <c r="Y56" s="739"/>
      <c r="Z56" s="738"/>
      <c r="AA56" s="923">
        <v>40</v>
      </c>
    </row>
    <row r="57" spans="1:27" ht="14.25">
      <c r="A57" s="748" t="s">
        <v>2806</v>
      </c>
      <c r="B57" s="930" t="s">
        <v>3238</v>
      </c>
      <c r="C57" s="790"/>
      <c r="D57" s="738"/>
      <c r="E57" s="739"/>
      <c r="F57" s="738"/>
      <c r="G57" s="739"/>
      <c r="H57" s="738"/>
      <c r="I57" s="739"/>
      <c r="J57" s="738"/>
      <c r="K57" s="739"/>
      <c r="L57" s="738"/>
      <c r="M57" s="739"/>
      <c r="N57" s="738"/>
      <c r="O57" s="921">
        <v>20</v>
      </c>
      <c r="P57" s="922">
        <v>10</v>
      </c>
      <c r="Q57" s="739"/>
      <c r="R57" s="738"/>
      <c r="S57" s="739"/>
      <c r="T57" s="738"/>
      <c r="U57" s="739"/>
      <c r="V57" s="738"/>
      <c r="W57" s="739"/>
      <c r="X57" s="738"/>
      <c r="Y57" s="739"/>
      <c r="Z57" s="738"/>
      <c r="AA57" s="923">
        <v>40</v>
      </c>
    </row>
    <row r="58" spans="1:27" ht="14.25">
      <c r="A58" s="748" t="s">
        <v>2808</v>
      </c>
      <c r="B58" s="930" t="s">
        <v>3239</v>
      </c>
      <c r="C58" s="790"/>
      <c r="D58" s="738"/>
      <c r="E58" s="739"/>
      <c r="F58" s="738"/>
      <c r="G58" s="739"/>
      <c r="H58" s="738"/>
      <c r="I58" s="739"/>
      <c r="J58" s="738"/>
      <c r="K58" s="739"/>
      <c r="L58" s="738"/>
      <c r="M58" s="739"/>
      <c r="N58" s="738"/>
      <c r="O58" s="921">
        <v>20</v>
      </c>
      <c r="P58" s="922">
        <v>10</v>
      </c>
      <c r="Q58" s="739"/>
      <c r="R58" s="738"/>
      <c r="S58" s="739"/>
      <c r="T58" s="738"/>
      <c r="U58" s="739"/>
      <c r="V58" s="738"/>
      <c r="W58" s="739"/>
      <c r="X58" s="738"/>
      <c r="Y58" s="739"/>
      <c r="Z58" s="738"/>
      <c r="AA58" s="923">
        <v>40</v>
      </c>
    </row>
    <row r="59" spans="1:27" ht="14.25">
      <c r="A59" s="748" t="s">
        <v>2810</v>
      </c>
      <c r="B59" s="930" t="s">
        <v>3240</v>
      </c>
      <c r="C59" s="790"/>
      <c r="D59" s="738"/>
      <c r="E59" s="739"/>
      <c r="F59" s="738"/>
      <c r="G59" s="739"/>
      <c r="H59" s="738"/>
      <c r="I59" s="739"/>
      <c r="J59" s="738"/>
      <c r="K59" s="739"/>
      <c r="L59" s="738"/>
      <c r="M59" s="739"/>
      <c r="N59" s="738"/>
      <c r="O59" s="921">
        <v>20</v>
      </c>
      <c r="P59" s="922">
        <v>10</v>
      </c>
      <c r="Q59" s="739"/>
      <c r="R59" s="738"/>
      <c r="S59" s="739"/>
      <c r="T59" s="738"/>
      <c r="U59" s="739"/>
      <c r="V59" s="738"/>
      <c r="W59" s="739"/>
      <c r="X59" s="738"/>
      <c r="Y59" s="739"/>
      <c r="Z59" s="738"/>
      <c r="AA59" s="923">
        <v>40</v>
      </c>
    </row>
    <row r="60" spans="1:27" ht="14.25">
      <c r="A60" s="748" t="s">
        <v>2812</v>
      </c>
      <c r="B60" s="930" t="s">
        <v>3241</v>
      </c>
      <c r="C60" s="790"/>
      <c r="D60" s="738"/>
      <c r="E60" s="739"/>
      <c r="F60" s="738"/>
      <c r="G60" s="739"/>
      <c r="H60" s="738"/>
      <c r="I60" s="739"/>
      <c r="J60" s="738"/>
      <c r="K60" s="739"/>
      <c r="L60" s="738"/>
      <c r="M60" s="739"/>
      <c r="N60" s="738"/>
      <c r="O60" s="921">
        <v>50</v>
      </c>
      <c r="P60" s="922">
        <v>35</v>
      </c>
      <c r="Q60" s="739"/>
      <c r="R60" s="738"/>
      <c r="S60" s="739"/>
      <c r="T60" s="738"/>
      <c r="U60" s="739"/>
      <c r="V60" s="738"/>
      <c r="W60" s="739"/>
      <c r="X60" s="738"/>
      <c r="Y60" s="739"/>
      <c r="Z60" s="738"/>
      <c r="AA60" s="923">
        <v>80</v>
      </c>
    </row>
    <row r="61" spans="1:27" ht="14.25">
      <c r="A61" s="748" t="s">
        <v>2814</v>
      </c>
      <c r="B61" s="930" t="s">
        <v>3242</v>
      </c>
      <c r="C61" s="790"/>
      <c r="D61" s="738"/>
      <c r="E61" s="739"/>
      <c r="F61" s="738"/>
      <c r="G61" s="739"/>
      <c r="H61" s="738"/>
      <c r="I61" s="739"/>
      <c r="J61" s="738"/>
      <c r="K61" s="739"/>
      <c r="L61" s="738"/>
      <c r="M61" s="739"/>
      <c r="N61" s="738"/>
      <c r="O61" s="921">
        <v>60</v>
      </c>
      <c r="P61" s="922">
        <v>40</v>
      </c>
      <c r="Q61" s="739"/>
      <c r="R61" s="738"/>
      <c r="S61" s="739"/>
      <c r="T61" s="738"/>
      <c r="U61" s="739"/>
      <c r="V61" s="738"/>
      <c r="W61" s="739"/>
      <c r="X61" s="738"/>
      <c r="Y61" s="739"/>
      <c r="Z61" s="738"/>
      <c r="AA61" s="923">
        <v>50</v>
      </c>
    </row>
    <row r="62" spans="1:27" ht="14.25">
      <c r="A62" s="748" t="s">
        <v>3243</v>
      </c>
      <c r="B62" s="930" t="s">
        <v>3244</v>
      </c>
      <c r="C62" s="790"/>
      <c r="D62" s="738"/>
      <c r="E62" s="739"/>
      <c r="F62" s="738"/>
      <c r="G62" s="739"/>
      <c r="H62" s="738"/>
      <c r="I62" s="739"/>
      <c r="J62" s="738"/>
      <c r="K62" s="739"/>
      <c r="L62" s="738"/>
      <c r="M62" s="739"/>
      <c r="N62" s="738"/>
      <c r="O62" s="921">
        <v>20</v>
      </c>
      <c r="P62" s="922">
        <v>20</v>
      </c>
      <c r="Q62" s="739"/>
      <c r="R62" s="738"/>
      <c r="S62" s="739"/>
      <c r="T62" s="738"/>
      <c r="U62" s="739"/>
      <c r="V62" s="738"/>
      <c r="W62" s="739"/>
      <c r="X62" s="738"/>
      <c r="Y62" s="739"/>
      <c r="Z62" s="738"/>
      <c r="AA62" s="923">
        <v>50</v>
      </c>
    </row>
    <row r="63" spans="1:27" ht="14.25">
      <c r="A63" s="748" t="s">
        <v>3245</v>
      </c>
      <c r="B63" s="930" t="s">
        <v>3246</v>
      </c>
      <c r="C63" s="790"/>
      <c r="D63" s="738"/>
      <c r="E63" s="739"/>
      <c r="F63" s="738"/>
      <c r="G63" s="739"/>
      <c r="H63" s="738"/>
      <c r="I63" s="739"/>
      <c r="J63" s="738"/>
      <c r="K63" s="739"/>
      <c r="L63" s="738"/>
      <c r="M63" s="739"/>
      <c r="N63" s="738"/>
      <c r="O63" s="921">
        <v>30</v>
      </c>
      <c r="P63" s="922">
        <v>20</v>
      </c>
      <c r="Q63" s="739"/>
      <c r="R63" s="738"/>
      <c r="S63" s="739"/>
      <c r="T63" s="738"/>
      <c r="U63" s="739"/>
      <c r="V63" s="738"/>
      <c r="W63" s="739"/>
      <c r="X63" s="738"/>
      <c r="Y63" s="739"/>
      <c r="Z63" s="738"/>
      <c r="AA63" s="923">
        <v>50</v>
      </c>
    </row>
    <row r="64" spans="1:27" ht="14.25">
      <c r="A64" s="748" t="s">
        <v>3247</v>
      </c>
      <c r="B64" s="930" t="s">
        <v>3248</v>
      </c>
      <c r="C64" s="790"/>
      <c r="D64" s="738"/>
      <c r="E64" s="739"/>
      <c r="F64" s="738"/>
      <c r="G64" s="739"/>
      <c r="H64" s="738"/>
      <c r="I64" s="739"/>
      <c r="J64" s="738"/>
      <c r="K64" s="739"/>
      <c r="L64" s="738"/>
      <c r="M64" s="739"/>
      <c r="N64" s="738"/>
      <c r="O64" s="921">
        <v>25</v>
      </c>
      <c r="P64" s="922">
        <v>10</v>
      </c>
      <c r="Q64" s="739"/>
      <c r="R64" s="738"/>
      <c r="S64" s="739"/>
      <c r="T64" s="738"/>
      <c r="U64" s="739"/>
      <c r="V64" s="738"/>
      <c r="W64" s="739"/>
      <c r="X64" s="738"/>
      <c r="Y64" s="739"/>
      <c r="Z64" s="738"/>
      <c r="AA64" s="923">
        <v>40</v>
      </c>
    </row>
    <row r="65" spans="1:27" ht="14.25">
      <c r="A65" s="748" t="s">
        <v>3249</v>
      </c>
      <c r="B65" s="930" t="s">
        <v>3250</v>
      </c>
      <c r="C65" s="790"/>
      <c r="D65" s="738"/>
      <c r="E65" s="739"/>
      <c r="F65" s="738"/>
      <c r="G65" s="739"/>
      <c r="H65" s="738"/>
      <c r="I65" s="739"/>
      <c r="J65" s="738"/>
      <c r="K65" s="739"/>
      <c r="L65" s="738"/>
      <c r="M65" s="739"/>
      <c r="N65" s="738"/>
      <c r="O65" s="921">
        <v>25</v>
      </c>
      <c r="P65" s="922">
        <v>10</v>
      </c>
      <c r="Q65" s="739"/>
      <c r="R65" s="738"/>
      <c r="S65" s="739"/>
      <c r="T65" s="738"/>
      <c r="U65" s="739"/>
      <c r="V65" s="738"/>
      <c r="W65" s="739"/>
      <c r="X65" s="738"/>
      <c r="Y65" s="739"/>
      <c r="Z65" s="738"/>
      <c r="AA65" s="923">
        <v>40</v>
      </c>
    </row>
    <row r="66" spans="1:27" ht="14.25">
      <c r="A66" s="748" t="s">
        <v>3251</v>
      </c>
      <c r="B66" s="931" t="s">
        <v>3252</v>
      </c>
      <c r="C66" s="790"/>
      <c r="D66" s="738"/>
      <c r="E66" s="739"/>
      <c r="F66" s="738"/>
      <c r="G66" s="739"/>
      <c r="H66" s="738"/>
      <c r="I66" s="739"/>
      <c r="J66" s="738"/>
      <c r="K66" s="739"/>
      <c r="L66" s="738"/>
      <c r="M66" s="739"/>
      <c r="N66" s="738"/>
      <c r="O66" s="921">
        <v>25</v>
      </c>
      <c r="P66" s="922">
        <v>10</v>
      </c>
      <c r="Q66" s="739"/>
      <c r="R66" s="738"/>
      <c r="S66" s="739"/>
      <c r="T66" s="738"/>
      <c r="U66" s="739"/>
      <c r="V66" s="738"/>
      <c r="W66" s="739"/>
      <c r="X66" s="738"/>
      <c r="Y66" s="739"/>
      <c r="Z66" s="738"/>
      <c r="AA66" s="923">
        <v>70</v>
      </c>
    </row>
    <row r="67" spans="1:27" ht="28.5">
      <c r="A67" s="748" t="s">
        <v>3253</v>
      </c>
      <c r="B67" s="931" t="s">
        <v>3254</v>
      </c>
      <c r="C67" s="790"/>
      <c r="D67" s="738"/>
      <c r="E67" s="739"/>
      <c r="F67" s="738"/>
      <c r="G67" s="739"/>
      <c r="H67" s="738"/>
      <c r="I67" s="739"/>
      <c r="J67" s="738"/>
      <c r="K67" s="739"/>
      <c r="L67" s="738"/>
      <c r="M67" s="739"/>
      <c r="N67" s="738"/>
      <c r="O67" s="921">
        <v>30</v>
      </c>
      <c r="P67" s="922">
        <v>10</v>
      </c>
      <c r="Q67" s="739"/>
      <c r="R67" s="738"/>
      <c r="S67" s="739"/>
      <c r="T67" s="738"/>
      <c r="U67" s="739"/>
      <c r="V67" s="738"/>
      <c r="W67" s="739"/>
      <c r="X67" s="738"/>
      <c r="Y67" s="739"/>
      <c r="Z67" s="738"/>
      <c r="AA67" s="923">
        <v>80</v>
      </c>
    </row>
    <row r="68" spans="1:27" ht="28.5">
      <c r="A68" s="748" t="s">
        <v>3255</v>
      </c>
      <c r="B68" s="931" t="s">
        <v>3256</v>
      </c>
      <c r="C68" s="790"/>
      <c r="D68" s="738"/>
      <c r="E68" s="739"/>
      <c r="F68" s="738"/>
      <c r="G68" s="739"/>
      <c r="H68" s="738"/>
      <c r="I68" s="739"/>
      <c r="J68" s="738"/>
      <c r="K68" s="739"/>
      <c r="L68" s="738"/>
      <c r="M68" s="739"/>
      <c r="N68" s="738"/>
      <c r="O68" s="921">
        <v>10</v>
      </c>
      <c r="P68" s="922">
        <v>10</v>
      </c>
      <c r="Q68" s="739"/>
      <c r="R68" s="738"/>
      <c r="S68" s="739"/>
      <c r="T68" s="738"/>
      <c r="U68" s="739"/>
      <c r="V68" s="738"/>
      <c r="W68" s="739"/>
      <c r="X68" s="738"/>
      <c r="Y68" s="739"/>
      <c r="Z68" s="738"/>
      <c r="AA68" s="923">
        <v>30</v>
      </c>
    </row>
    <row r="69" spans="1:27" ht="28.5">
      <c r="A69" s="748" t="s">
        <v>3257</v>
      </c>
      <c r="B69" s="931" t="s">
        <v>3258</v>
      </c>
      <c r="C69" s="790"/>
      <c r="D69" s="738"/>
      <c r="E69" s="739"/>
      <c r="F69" s="738"/>
      <c r="G69" s="739"/>
      <c r="H69" s="738"/>
      <c r="I69" s="739"/>
      <c r="J69" s="738"/>
      <c r="K69" s="739"/>
      <c r="L69" s="738"/>
      <c r="M69" s="739"/>
      <c r="N69" s="738"/>
      <c r="O69" s="921">
        <v>10</v>
      </c>
      <c r="P69" s="922">
        <v>10</v>
      </c>
      <c r="Q69" s="739"/>
      <c r="R69" s="738"/>
      <c r="S69" s="739"/>
      <c r="T69" s="738"/>
      <c r="U69" s="739"/>
      <c r="V69" s="738"/>
      <c r="W69" s="739"/>
      <c r="X69" s="738"/>
      <c r="Y69" s="739"/>
      <c r="Z69" s="738"/>
      <c r="AA69" s="923">
        <v>30</v>
      </c>
    </row>
    <row r="70" spans="1:27" ht="28.5">
      <c r="A70" s="748" t="s">
        <v>3259</v>
      </c>
      <c r="B70" s="931" t="s">
        <v>3260</v>
      </c>
      <c r="C70" s="790"/>
      <c r="D70" s="738"/>
      <c r="E70" s="739"/>
      <c r="F70" s="738"/>
      <c r="G70" s="739"/>
      <c r="H70" s="738"/>
      <c r="I70" s="739"/>
      <c r="J70" s="738"/>
      <c r="K70" s="739"/>
      <c r="L70" s="738"/>
      <c r="M70" s="739"/>
      <c r="N70" s="738"/>
      <c r="O70" s="921">
        <v>10</v>
      </c>
      <c r="P70" s="922">
        <v>10</v>
      </c>
      <c r="Q70" s="739"/>
      <c r="R70" s="738"/>
      <c r="S70" s="739"/>
      <c r="T70" s="738"/>
      <c r="U70" s="739"/>
      <c r="V70" s="738"/>
      <c r="W70" s="739"/>
      <c r="X70" s="738"/>
      <c r="Y70" s="739"/>
      <c r="Z70" s="738"/>
      <c r="AA70" s="923">
        <v>30</v>
      </c>
    </row>
    <row r="71" spans="1:27" ht="28.5">
      <c r="A71" s="748" t="s">
        <v>3261</v>
      </c>
      <c r="B71" s="931" t="s">
        <v>3262</v>
      </c>
      <c r="C71" s="790"/>
      <c r="D71" s="738"/>
      <c r="E71" s="739"/>
      <c r="F71" s="738"/>
      <c r="G71" s="739"/>
      <c r="H71" s="738"/>
      <c r="I71" s="739"/>
      <c r="J71" s="738"/>
      <c r="K71" s="739"/>
      <c r="L71" s="738"/>
      <c r="M71" s="739"/>
      <c r="N71" s="738"/>
      <c r="O71" s="921">
        <v>10</v>
      </c>
      <c r="P71" s="922">
        <v>10</v>
      </c>
      <c r="Q71" s="739"/>
      <c r="R71" s="738"/>
      <c r="S71" s="739"/>
      <c r="T71" s="738"/>
      <c r="U71" s="739"/>
      <c r="V71" s="738"/>
      <c r="W71" s="739"/>
      <c r="X71" s="738"/>
      <c r="Y71" s="739"/>
      <c r="Z71" s="738"/>
      <c r="AA71" s="923">
        <v>30</v>
      </c>
    </row>
    <row r="72" spans="1:27" ht="28.5">
      <c r="A72" s="748" t="s">
        <v>3263</v>
      </c>
      <c r="B72" s="931" t="s">
        <v>3264</v>
      </c>
      <c r="C72" s="790"/>
      <c r="D72" s="738"/>
      <c r="E72" s="739"/>
      <c r="F72" s="738"/>
      <c r="G72" s="739"/>
      <c r="H72" s="738"/>
      <c r="I72" s="739"/>
      <c r="J72" s="738"/>
      <c r="K72" s="739"/>
      <c r="L72" s="738"/>
      <c r="M72" s="739"/>
      <c r="N72" s="738"/>
      <c r="O72" s="921">
        <v>40</v>
      </c>
      <c r="P72" s="922">
        <v>10</v>
      </c>
      <c r="Q72" s="739"/>
      <c r="R72" s="738"/>
      <c r="S72" s="739"/>
      <c r="T72" s="738"/>
      <c r="U72" s="739"/>
      <c r="V72" s="738"/>
      <c r="W72" s="739"/>
      <c r="X72" s="738"/>
      <c r="Y72" s="739"/>
      <c r="Z72" s="738"/>
      <c r="AA72" s="923">
        <v>60</v>
      </c>
    </row>
    <row r="73" spans="1:27" ht="28.5">
      <c r="A73" s="748" t="s">
        <v>3265</v>
      </c>
      <c r="B73" s="931" t="s">
        <v>3266</v>
      </c>
      <c r="C73" s="790"/>
      <c r="D73" s="738"/>
      <c r="E73" s="739"/>
      <c r="F73" s="738"/>
      <c r="G73" s="739"/>
      <c r="H73" s="738"/>
      <c r="I73" s="739"/>
      <c r="J73" s="738"/>
      <c r="K73" s="739"/>
      <c r="L73" s="738"/>
      <c r="M73" s="739"/>
      <c r="N73" s="738"/>
      <c r="O73" s="921">
        <v>20</v>
      </c>
      <c r="P73" s="922">
        <v>10</v>
      </c>
      <c r="Q73" s="739"/>
      <c r="R73" s="738"/>
      <c r="S73" s="739"/>
      <c r="T73" s="738"/>
      <c r="U73" s="739"/>
      <c r="V73" s="738"/>
      <c r="W73" s="739"/>
      <c r="X73" s="738"/>
      <c r="Y73" s="739"/>
      <c r="Z73" s="738"/>
      <c r="AA73" s="923">
        <v>40</v>
      </c>
    </row>
    <row r="74" spans="1:27" ht="28.5">
      <c r="A74" s="748" t="s">
        <v>3267</v>
      </c>
      <c r="B74" s="931" t="s">
        <v>3268</v>
      </c>
      <c r="C74" s="790"/>
      <c r="D74" s="738"/>
      <c r="E74" s="739"/>
      <c r="F74" s="738"/>
      <c r="G74" s="739"/>
      <c r="H74" s="738"/>
      <c r="I74" s="739"/>
      <c r="J74" s="738"/>
      <c r="K74" s="739"/>
      <c r="L74" s="738"/>
      <c r="M74" s="739"/>
      <c r="N74" s="738"/>
      <c r="O74" s="921">
        <v>20</v>
      </c>
      <c r="P74" s="922">
        <v>10</v>
      </c>
      <c r="Q74" s="739"/>
      <c r="R74" s="738"/>
      <c r="S74" s="739"/>
      <c r="T74" s="738"/>
      <c r="U74" s="739"/>
      <c r="V74" s="738"/>
      <c r="W74" s="739"/>
      <c r="X74" s="738"/>
      <c r="Y74" s="739"/>
      <c r="Z74" s="738"/>
      <c r="AA74" s="923">
        <v>40</v>
      </c>
    </row>
    <row r="75" spans="1:27" ht="28.5">
      <c r="A75" s="748" t="s">
        <v>3269</v>
      </c>
      <c r="B75" s="931" t="s">
        <v>3270</v>
      </c>
      <c r="C75" s="790"/>
      <c r="D75" s="738"/>
      <c r="E75" s="739"/>
      <c r="F75" s="738"/>
      <c r="G75" s="739"/>
      <c r="H75" s="738"/>
      <c r="I75" s="739"/>
      <c r="J75" s="738"/>
      <c r="K75" s="739"/>
      <c r="L75" s="738"/>
      <c r="M75" s="739"/>
      <c r="N75" s="738"/>
      <c r="O75" s="921">
        <v>20</v>
      </c>
      <c r="P75" s="922">
        <v>10</v>
      </c>
      <c r="Q75" s="739"/>
      <c r="R75" s="738"/>
      <c r="S75" s="739"/>
      <c r="T75" s="738"/>
      <c r="U75" s="739"/>
      <c r="V75" s="738"/>
      <c r="W75" s="739"/>
      <c r="X75" s="738"/>
      <c r="Y75" s="739"/>
      <c r="Z75" s="738"/>
      <c r="AA75" s="923">
        <v>40</v>
      </c>
    </row>
    <row r="76" spans="1:27" ht="28.5">
      <c r="A76" s="748" t="s">
        <v>3271</v>
      </c>
      <c r="B76" s="931" t="s">
        <v>3272</v>
      </c>
      <c r="C76" s="790"/>
      <c r="D76" s="738"/>
      <c r="E76" s="739"/>
      <c r="F76" s="738"/>
      <c r="G76" s="739"/>
      <c r="H76" s="738"/>
      <c r="I76" s="739"/>
      <c r="J76" s="738"/>
      <c r="K76" s="739"/>
      <c r="L76" s="738"/>
      <c r="M76" s="739"/>
      <c r="N76" s="738"/>
      <c r="O76" s="921">
        <v>20</v>
      </c>
      <c r="P76" s="922">
        <v>10</v>
      </c>
      <c r="Q76" s="739"/>
      <c r="R76" s="738"/>
      <c r="S76" s="739"/>
      <c r="T76" s="738"/>
      <c r="U76" s="739"/>
      <c r="V76" s="738"/>
      <c r="W76" s="739"/>
      <c r="X76" s="738"/>
      <c r="Y76" s="739"/>
      <c r="Z76" s="738"/>
      <c r="AA76" s="923">
        <v>40</v>
      </c>
    </row>
    <row r="77" spans="1:27" ht="28.5">
      <c r="A77" s="748" t="s">
        <v>3273</v>
      </c>
      <c r="B77" s="931" t="s">
        <v>3274</v>
      </c>
      <c r="C77" s="790"/>
      <c r="D77" s="738"/>
      <c r="E77" s="739"/>
      <c r="F77" s="738"/>
      <c r="G77" s="739"/>
      <c r="H77" s="738"/>
      <c r="I77" s="739"/>
      <c r="J77" s="738"/>
      <c r="K77" s="739"/>
      <c r="L77" s="738"/>
      <c r="M77" s="739"/>
      <c r="N77" s="738"/>
      <c r="O77" s="921">
        <v>20</v>
      </c>
      <c r="P77" s="922">
        <v>10</v>
      </c>
      <c r="Q77" s="739"/>
      <c r="R77" s="738"/>
      <c r="S77" s="739"/>
      <c r="T77" s="738"/>
      <c r="U77" s="739"/>
      <c r="V77" s="738"/>
      <c r="W77" s="739"/>
      <c r="X77" s="738"/>
      <c r="Y77" s="739"/>
      <c r="Z77" s="738"/>
      <c r="AA77" s="923">
        <v>40</v>
      </c>
    </row>
    <row r="78" spans="1:27" ht="14.25">
      <c r="A78" s="748" t="s">
        <v>3275</v>
      </c>
      <c r="B78" s="931" t="s">
        <v>3276</v>
      </c>
      <c r="C78" s="790"/>
      <c r="D78" s="738"/>
      <c r="E78" s="739"/>
      <c r="F78" s="738"/>
      <c r="G78" s="739"/>
      <c r="H78" s="738"/>
      <c r="I78" s="739"/>
      <c r="J78" s="738"/>
      <c r="K78" s="739"/>
      <c r="L78" s="738"/>
      <c r="M78" s="739"/>
      <c r="N78" s="738"/>
      <c r="O78" s="921">
        <v>40</v>
      </c>
      <c r="P78" s="922">
        <v>10</v>
      </c>
      <c r="Q78" s="739"/>
      <c r="R78" s="738"/>
      <c r="S78" s="739"/>
      <c r="T78" s="738"/>
      <c r="U78" s="739"/>
      <c r="V78" s="738"/>
      <c r="W78" s="739"/>
      <c r="X78" s="738"/>
      <c r="Y78" s="739"/>
      <c r="Z78" s="738"/>
      <c r="AA78" s="923">
        <v>40</v>
      </c>
    </row>
    <row r="79" spans="1:27" ht="14.25">
      <c r="A79" s="748" t="s">
        <v>3277</v>
      </c>
      <c r="B79" s="931" t="s">
        <v>3278</v>
      </c>
      <c r="C79" s="790"/>
      <c r="D79" s="738"/>
      <c r="E79" s="739"/>
      <c r="F79" s="738"/>
      <c r="G79" s="739"/>
      <c r="H79" s="738"/>
      <c r="I79" s="739"/>
      <c r="J79" s="738"/>
      <c r="K79" s="739"/>
      <c r="L79" s="738"/>
      <c r="M79" s="739"/>
      <c r="N79" s="738"/>
      <c r="O79" s="921">
        <v>40</v>
      </c>
      <c r="P79" s="922">
        <v>10</v>
      </c>
      <c r="Q79" s="739"/>
      <c r="R79" s="738"/>
      <c r="S79" s="739"/>
      <c r="T79" s="738"/>
      <c r="U79" s="739"/>
      <c r="V79" s="738"/>
      <c r="W79" s="739"/>
      <c r="X79" s="738"/>
      <c r="Y79" s="739"/>
      <c r="Z79" s="738"/>
      <c r="AA79" s="923">
        <v>40</v>
      </c>
    </row>
    <row r="80" spans="1:27" ht="14.25">
      <c r="A80" s="748">
        <v>4.2</v>
      </c>
      <c r="B80" s="851" t="s">
        <v>3279</v>
      </c>
      <c r="C80" s="790"/>
      <c r="D80" s="738"/>
      <c r="E80" s="739"/>
      <c r="F80" s="738"/>
      <c r="G80" s="739"/>
      <c r="H80" s="738"/>
      <c r="I80" s="739"/>
      <c r="J80" s="738"/>
      <c r="K80" s="739"/>
      <c r="L80" s="738"/>
      <c r="M80" s="739"/>
      <c r="N80" s="738"/>
      <c r="O80" s="926"/>
      <c r="P80" s="927"/>
      <c r="Q80" s="739"/>
      <c r="R80" s="738"/>
      <c r="S80" s="739"/>
      <c r="T80" s="738"/>
      <c r="U80" s="739"/>
      <c r="V80" s="738"/>
      <c r="W80" s="739"/>
      <c r="X80" s="738"/>
      <c r="Y80" s="739"/>
      <c r="Z80" s="738"/>
      <c r="AA80" s="928"/>
    </row>
    <row r="81" spans="1:27" ht="28.5">
      <c r="A81" s="748" t="s">
        <v>585</v>
      </c>
      <c r="B81" s="931" t="s">
        <v>3280</v>
      </c>
      <c r="C81" s="853"/>
      <c r="D81" s="738"/>
      <c r="E81" s="751"/>
      <c r="F81" s="738"/>
      <c r="G81" s="751"/>
      <c r="H81" s="738"/>
      <c r="I81" s="751"/>
      <c r="J81" s="738"/>
      <c r="K81" s="751"/>
      <c r="L81" s="738"/>
      <c r="M81" s="751"/>
      <c r="N81" s="738"/>
      <c r="O81" s="921">
        <v>10</v>
      </c>
      <c r="P81" s="922">
        <v>2</v>
      </c>
      <c r="Q81" s="751"/>
      <c r="R81" s="738"/>
      <c r="S81" s="751"/>
      <c r="T81" s="738"/>
      <c r="U81" s="751"/>
      <c r="V81" s="738"/>
      <c r="W81" s="751"/>
      <c r="X81" s="738"/>
      <c r="Y81" s="751"/>
      <c r="Z81" s="738"/>
      <c r="AA81" s="923">
        <v>20</v>
      </c>
    </row>
    <row r="82" spans="1:27" ht="14.25">
      <c r="A82" s="748" t="s">
        <v>587</v>
      </c>
      <c r="B82" s="930" t="s">
        <v>3281</v>
      </c>
      <c r="C82" s="855"/>
      <c r="D82" s="754"/>
      <c r="E82" s="755"/>
      <c r="F82" s="754"/>
      <c r="G82" s="755"/>
      <c r="H82" s="754"/>
      <c r="I82" s="755"/>
      <c r="J82" s="754"/>
      <c r="K82" s="755"/>
      <c r="L82" s="754"/>
      <c r="M82" s="755"/>
      <c r="N82" s="754"/>
      <c r="O82" s="921">
        <v>20</v>
      </c>
      <c r="P82" s="922">
        <v>2</v>
      </c>
      <c r="Q82" s="755"/>
      <c r="R82" s="754"/>
      <c r="S82" s="755"/>
      <c r="T82" s="754"/>
      <c r="U82" s="755"/>
      <c r="V82" s="754"/>
      <c r="W82" s="755"/>
      <c r="X82" s="754"/>
      <c r="Y82" s="755"/>
      <c r="Z82" s="754"/>
      <c r="AA82" s="923">
        <v>40</v>
      </c>
    </row>
    <row r="83" spans="1:27" ht="14.25">
      <c r="A83" s="748" t="s">
        <v>2819</v>
      </c>
      <c r="B83" s="930" t="s">
        <v>3282</v>
      </c>
      <c r="C83" s="790"/>
      <c r="D83" s="738"/>
      <c r="E83" s="739"/>
      <c r="F83" s="738"/>
      <c r="G83" s="739"/>
      <c r="H83" s="738"/>
      <c r="I83" s="739"/>
      <c r="J83" s="738"/>
      <c r="K83" s="739"/>
      <c r="L83" s="738"/>
      <c r="M83" s="739"/>
      <c r="N83" s="738"/>
      <c r="O83" s="921">
        <v>10</v>
      </c>
      <c r="P83" s="922">
        <v>2</v>
      </c>
      <c r="Q83" s="739"/>
      <c r="R83" s="738"/>
      <c r="S83" s="739"/>
      <c r="T83" s="738"/>
      <c r="U83" s="739"/>
      <c r="V83" s="738"/>
      <c r="W83" s="739"/>
      <c r="X83" s="738"/>
      <c r="Y83" s="739"/>
      <c r="Z83" s="738"/>
      <c r="AA83" s="923">
        <v>10</v>
      </c>
    </row>
    <row r="84" spans="1:27" ht="14.25">
      <c r="A84" s="748" t="s">
        <v>2821</v>
      </c>
      <c r="B84" s="930" t="s">
        <v>3283</v>
      </c>
      <c r="C84" s="790"/>
      <c r="D84" s="738"/>
      <c r="E84" s="739"/>
      <c r="F84" s="738"/>
      <c r="G84" s="739"/>
      <c r="H84" s="738"/>
      <c r="I84" s="739"/>
      <c r="J84" s="738"/>
      <c r="K84" s="739"/>
      <c r="L84" s="738"/>
      <c r="M84" s="739"/>
      <c r="N84" s="738"/>
      <c r="O84" s="921">
        <v>15</v>
      </c>
      <c r="P84" s="922">
        <v>2</v>
      </c>
      <c r="Q84" s="739"/>
      <c r="R84" s="738"/>
      <c r="S84" s="739"/>
      <c r="T84" s="738"/>
      <c r="U84" s="739"/>
      <c r="V84" s="738"/>
      <c r="W84" s="739"/>
      <c r="X84" s="738"/>
      <c r="Y84" s="739"/>
      <c r="Z84" s="738"/>
      <c r="AA84" s="923">
        <v>40</v>
      </c>
    </row>
    <row r="85" spans="1:27" ht="14.25">
      <c r="A85" s="748" t="s">
        <v>2823</v>
      </c>
      <c r="B85" s="930" t="s">
        <v>3284</v>
      </c>
      <c r="C85" s="790"/>
      <c r="D85" s="738"/>
      <c r="E85" s="739"/>
      <c r="F85" s="738"/>
      <c r="G85" s="739"/>
      <c r="H85" s="738"/>
      <c r="I85" s="739"/>
      <c r="J85" s="738"/>
      <c r="K85" s="739"/>
      <c r="L85" s="738"/>
      <c r="M85" s="739"/>
      <c r="N85" s="738"/>
      <c r="O85" s="921">
        <v>10</v>
      </c>
      <c r="P85" s="922">
        <v>2</v>
      </c>
      <c r="Q85" s="739"/>
      <c r="R85" s="738"/>
      <c r="S85" s="739"/>
      <c r="T85" s="738"/>
      <c r="U85" s="739"/>
      <c r="V85" s="738"/>
      <c r="W85" s="739"/>
      <c r="X85" s="738"/>
      <c r="Y85" s="739"/>
      <c r="Z85" s="738"/>
      <c r="AA85" s="923">
        <v>15</v>
      </c>
    </row>
    <row r="86" spans="1:27" ht="14.25">
      <c r="A86" s="748" t="s">
        <v>2825</v>
      </c>
      <c r="B86" s="930" t="s">
        <v>3285</v>
      </c>
      <c r="C86" s="790"/>
      <c r="D86" s="738"/>
      <c r="E86" s="739"/>
      <c r="F86" s="738"/>
      <c r="G86" s="739"/>
      <c r="H86" s="738"/>
      <c r="I86" s="739"/>
      <c r="J86" s="738"/>
      <c r="K86" s="739"/>
      <c r="L86" s="738"/>
      <c r="M86" s="739"/>
      <c r="N86" s="738"/>
      <c r="O86" s="921">
        <v>10</v>
      </c>
      <c r="P86" s="922">
        <v>2</v>
      </c>
      <c r="Q86" s="739"/>
      <c r="R86" s="738"/>
      <c r="S86" s="739"/>
      <c r="T86" s="738"/>
      <c r="U86" s="739"/>
      <c r="V86" s="738"/>
      <c r="W86" s="739"/>
      <c r="X86" s="738"/>
      <c r="Y86" s="739"/>
      <c r="Z86" s="738"/>
      <c r="AA86" s="923">
        <v>15</v>
      </c>
    </row>
    <row r="87" spans="1:27" ht="28.5">
      <c r="A87" s="748" t="s">
        <v>2826</v>
      </c>
      <c r="B87" s="931" t="s">
        <v>3286</v>
      </c>
      <c r="C87" s="790"/>
      <c r="D87" s="738"/>
      <c r="E87" s="739"/>
      <c r="F87" s="738"/>
      <c r="G87" s="739"/>
      <c r="H87" s="738"/>
      <c r="I87" s="739"/>
      <c r="J87" s="738"/>
      <c r="K87" s="739"/>
      <c r="L87" s="738"/>
      <c r="M87" s="739"/>
      <c r="N87" s="738"/>
      <c r="O87" s="921">
        <v>10</v>
      </c>
      <c r="P87" s="922">
        <v>2</v>
      </c>
      <c r="Q87" s="739"/>
      <c r="R87" s="738"/>
      <c r="S87" s="739"/>
      <c r="T87" s="738"/>
      <c r="U87" s="739"/>
      <c r="V87" s="738"/>
      <c r="W87" s="739"/>
      <c r="X87" s="738"/>
      <c r="Y87" s="739"/>
      <c r="Z87" s="738"/>
      <c r="AA87" s="923">
        <v>15</v>
      </c>
    </row>
    <row r="88" spans="1:27" ht="28.5">
      <c r="A88" s="748" t="s">
        <v>2827</v>
      </c>
      <c r="B88" s="931" t="s">
        <v>3287</v>
      </c>
      <c r="C88" s="790"/>
      <c r="D88" s="738"/>
      <c r="E88" s="739"/>
      <c r="F88" s="738"/>
      <c r="G88" s="739"/>
      <c r="H88" s="738"/>
      <c r="I88" s="739"/>
      <c r="J88" s="738"/>
      <c r="K88" s="739"/>
      <c r="L88" s="738"/>
      <c r="M88" s="739"/>
      <c r="N88" s="738"/>
      <c r="O88" s="921">
        <v>10</v>
      </c>
      <c r="P88" s="922">
        <v>2</v>
      </c>
      <c r="Q88" s="739"/>
      <c r="R88" s="738"/>
      <c r="S88" s="739"/>
      <c r="T88" s="738"/>
      <c r="U88" s="739"/>
      <c r="V88" s="738"/>
      <c r="W88" s="739"/>
      <c r="X88" s="738"/>
      <c r="Y88" s="739"/>
      <c r="Z88" s="738"/>
      <c r="AA88" s="923">
        <v>15</v>
      </c>
    </row>
    <row r="89" spans="1:27" ht="14.25">
      <c r="A89" s="748" t="s">
        <v>2829</v>
      </c>
      <c r="B89" s="930" t="s">
        <v>3288</v>
      </c>
      <c r="C89" s="790"/>
      <c r="D89" s="738"/>
      <c r="E89" s="739"/>
      <c r="F89" s="738"/>
      <c r="G89" s="739"/>
      <c r="H89" s="738"/>
      <c r="I89" s="739"/>
      <c r="J89" s="738"/>
      <c r="K89" s="739"/>
      <c r="L89" s="738"/>
      <c r="M89" s="739"/>
      <c r="N89" s="738"/>
      <c r="O89" s="921">
        <v>10</v>
      </c>
      <c r="P89" s="922">
        <v>2</v>
      </c>
      <c r="Q89" s="739"/>
      <c r="R89" s="738"/>
      <c r="S89" s="739"/>
      <c r="T89" s="738"/>
      <c r="U89" s="739"/>
      <c r="V89" s="738"/>
      <c r="W89" s="739"/>
      <c r="X89" s="738"/>
      <c r="Y89" s="739"/>
      <c r="Z89" s="738"/>
      <c r="AA89" s="923">
        <v>15</v>
      </c>
    </row>
    <row r="90" spans="1:27" ht="14.25">
      <c r="A90" s="748" t="s">
        <v>3289</v>
      </c>
      <c r="B90" s="930" t="s">
        <v>3290</v>
      </c>
      <c r="C90" s="790"/>
      <c r="D90" s="738"/>
      <c r="E90" s="739"/>
      <c r="F90" s="738"/>
      <c r="G90" s="739"/>
      <c r="H90" s="738"/>
      <c r="I90" s="739"/>
      <c r="J90" s="738"/>
      <c r="K90" s="739"/>
      <c r="L90" s="738"/>
      <c r="M90" s="739"/>
      <c r="N90" s="738"/>
      <c r="O90" s="921">
        <v>10</v>
      </c>
      <c r="P90" s="922">
        <v>2</v>
      </c>
      <c r="Q90" s="739"/>
      <c r="R90" s="738"/>
      <c r="S90" s="739"/>
      <c r="T90" s="738"/>
      <c r="U90" s="739"/>
      <c r="V90" s="738"/>
      <c r="W90" s="739"/>
      <c r="X90" s="738"/>
      <c r="Y90" s="739"/>
      <c r="Z90" s="738"/>
      <c r="AA90" s="923">
        <v>15</v>
      </c>
    </row>
    <row r="91" spans="1:27" ht="14.25">
      <c r="A91" s="748" t="s">
        <v>3291</v>
      </c>
      <c r="B91" s="930" t="s">
        <v>3292</v>
      </c>
      <c r="C91" s="790"/>
      <c r="D91" s="738"/>
      <c r="E91" s="739"/>
      <c r="F91" s="738"/>
      <c r="G91" s="739"/>
      <c r="H91" s="738"/>
      <c r="I91" s="739"/>
      <c r="J91" s="738"/>
      <c r="K91" s="739"/>
      <c r="L91" s="738"/>
      <c r="M91" s="739"/>
      <c r="N91" s="738"/>
      <c r="O91" s="921">
        <v>10</v>
      </c>
      <c r="P91" s="922">
        <v>2</v>
      </c>
      <c r="Q91" s="739"/>
      <c r="R91" s="738"/>
      <c r="S91" s="739"/>
      <c r="T91" s="738"/>
      <c r="U91" s="739"/>
      <c r="V91" s="738"/>
      <c r="W91" s="739"/>
      <c r="X91" s="738"/>
      <c r="Y91" s="739"/>
      <c r="Z91" s="738"/>
      <c r="AA91" s="923">
        <v>15</v>
      </c>
    </row>
    <row r="92" spans="1:27" ht="14.25">
      <c r="A92" s="748" t="s">
        <v>3293</v>
      </c>
      <c r="B92" s="930" t="s">
        <v>3294</v>
      </c>
      <c r="C92" s="790"/>
      <c r="D92" s="738"/>
      <c r="E92" s="739"/>
      <c r="F92" s="738"/>
      <c r="G92" s="739"/>
      <c r="H92" s="738"/>
      <c r="I92" s="739"/>
      <c r="J92" s="738"/>
      <c r="K92" s="739"/>
      <c r="L92" s="738"/>
      <c r="M92" s="739"/>
      <c r="N92" s="738"/>
      <c r="O92" s="921">
        <v>10</v>
      </c>
      <c r="P92" s="922">
        <v>2</v>
      </c>
      <c r="Q92" s="739"/>
      <c r="R92" s="738"/>
      <c r="S92" s="739"/>
      <c r="T92" s="738"/>
      <c r="U92" s="739"/>
      <c r="V92" s="738"/>
      <c r="W92" s="739"/>
      <c r="X92" s="738"/>
      <c r="Y92" s="739"/>
      <c r="Z92" s="738"/>
      <c r="AA92" s="923">
        <v>15</v>
      </c>
    </row>
    <row r="93" spans="1:27" ht="14.25">
      <c r="A93" s="748" t="s">
        <v>3295</v>
      </c>
      <c r="B93" s="930" t="s">
        <v>3296</v>
      </c>
      <c r="C93" s="790"/>
      <c r="D93" s="738"/>
      <c r="E93" s="739"/>
      <c r="F93" s="738"/>
      <c r="G93" s="739"/>
      <c r="H93" s="738"/>
      <c r="I93" s="739"/>
      <c r="J93" s="738"/>
      <c r="K93" s="739"/>
      <c r="L93" s="738"/>
      <c r="M93" s="739"/>
      <c r="N93" s="738"/>
      <c r="O93" s="921">
        <v>10</v>
      </c>
      <c r="P93" s="922">
        <v>2</v>
      </c>
      <c r="Q93" s="739"/>
      <c r="R93" s="738"/>
      <c r="S93" s="739"/>
      <c r="T93" s="738"/>
      <c r="U93" s="739"/>
      <c r="V93" s="738"/>
      <c r="W93" s="739"/>
      <c r="X93" s="738"/>
      <c r="Y93" s="739"/>
      <c r="Z93" s="738"/>
      <c r="AA93" s="923">
        <v>15</v>
      </c>
    </row>
    <row r="94" spans="1:27" ht="14.25">
      <c r="A94" s="748" t="s">
        <v>3297</v>
      </c>
      <c r="B94" s="930" t="s">
        <v>3298</v>
      </c>
      <c r="C94" s="790"/>
      <c r="D94" s="738"/>
      <c r="E94" s="739"/>
      <c r="F94" s="738"/>
      <c r="G94" s="739"/>
      <c r="H94" s="738"/>
      <c r="I94" s="739"/>
      <c r="J94" s="738"/>
      <c r="K94" s="739"/>
      <c r="L94" s="738"/>
      <c r="M94" s="739"/>
      <c r="N94" s="738"/>
      <c r="O94" s="921">
        <v>10</v>
      </c>
      <c r="P94" s="922">
        <v>2</v>
      </c>
      <c r="Q94" s="739"/>
      <c r="R94" s="738"/>
      <c r="S94" s="739"/>
      <c r="T94" s="738"/>
      <c r="U94" s="739"/>
      <c r="V94" s="738"/>
      <c r="W94" s="739"/>
      <c r="X94" s="738"/>
      <c r="Y94" s="739"/>
      <c r="Z94" s="738"/>
      <c r="AA94" s="923">
        <v>20</v>
      </c>
    </row>
    <row r="95" spans="1:27" ht="14.25">
      <c r="A95" s="748" t="s">
        <v>3299</v>
      </c>
      <c r="B95" s="930" t="s">
        <v>3300</v>
      </c>
      <c r="C95" s="790"/>
      <c r="D95" s="738"/>
      <c r="E95" s="739"/>
      <c r="F95" s="738"/>
      <c r="G95" s="739"/>
      <c r="H95" s="738"/>
      <c r="I95" s="739"/>
      <c r="J95" s="738"/>
      <c r="K95" s="739"/>
      <c r="L95" s="738"/>
      <c r="M95" s="739"/>
      <c r="N95" s="738"/>
      <c r="O95" s="921">
        <v>10</v>
      </c>
      <c r="P95" s="922">
        <v>2</v>
      </c>
      <c r="Q95" s="739"/>
      <c r="R95" s="738"/>
      <c r="S95" s="739"/>
      <c r="T95" s="738"/>
      <c r="U95" s="739"/>
      <c r="V95" s="738"/>
      <c r="W95" s="739"/>
      <c r="X95" s="738"/>
      <c r="Y95" s="739"/>
      <c r="Z95" s="738"/>
      <c r="AA95" s="923">
        <v>10</v>
      </c>
    </row>
    <row r="96" spans="1:27" ht="14.25">
      <c r="A96" s="748" t="s">
        <v>3301</v>
      </c>
      <c r="B96" s="930" t="s">
        <v>3302</v>
      </c>
      <c r="C96" s="790"/>
      <c r="D96" s="738"/>
      <c r="E96" s="739"/>
      <c r="F96" s="738"/>
      <c r="G96" s="739"/>
      <c r="H96" s="738"/>
      <c r="I96" s="739"/>
      <c r="J96" s="738"/>
      <c r="K96" s="739"/>
      <c r="L96" s="738"/>
      <c r="M96" s="739"/>
      <c r="N96" s="738"/>
      <c r="O96" s="921">
        <v>10</v>
      </c>
      <c r="P96" s="922">
        <v>2</v>
      </c>
      <c r="Q96" s="739"/>
      <c r="R96" s="738"/>
      <c r="S96" s="739"/>
      <c r="T96" s="738"/>
      <c r="U96" s="739"/>
      <c r="V96" s="738"/>
      <c r="W96" s="739"/>
      <c r="X96" s="738"/>
      <c r="Y96" s="739"/>
      <c r="Z96" s="738"/>
      <c r="AA96" s="923">
        <v>15</v>
      </c>
    </row>
    <row r="97" spans="1:27" ht="14.25">
      <c r="A97" s="748" t="s">
        <v>3303</v>
      </c>
      <c r="B97" s="930" t="s">
        <v>3304</v>
      </c>
      <c r="C97" s="790"/>
      <c r="D97" s="738"/>
      <c r="E97" s="739"/>
      <c r="F97" s="738"/>
      <c r="G97" s="739"/>
      <c r="H97" s="738"/>
      <c r="I97" s="739"/>
      <c r="J97" s="738"/>
      <c r="K97" s="739"/>
      <c r="L97" s="738"/>
      <c r="M97" s="739"/>
      <c r="N97" s="738"/>
      <c r="O97" s="921">
        <v>10</v>
      </c>
      <c r="P97" s="922">
        <v>2</v>
      </c>
      <c r="Q97" s="739"/>
      <c r="R97" s="738"/>
      <c r="S97" s="739"/>
      <c r="T97" s="738"/>
      <c r="U97" s="739"/>
      <c r="V97" s="738"/>
      <c r="W97" s="739"/>
      <c r="X97" s="738"/>
      <c r="Y97" s="739"/>
      <c r="Z97" s="738"/>
      <c r="AA97" s="923">
        <v>10</v>
      </c>
    </row>
    <row r="98" spans="1:27" ht="14.25">
      <c r="A98" s="748" t="s">
        <v>3305</v>
      </c>
      <c r="B98" s="930" t="s">
        <v>3306</v>
      </c>
      <c r="C98" s="790"/>
      <c r="D98" s="738"/>
      <c r="E98" s="739"/>
      <c r="F98" s="738"/>
      <c r="G98" s="739"/>
      <c r="H98" s="738"/>
      <c r="I98" s="739"/>
      <c r="J98" s="738"/>
      <c r="K98" s="739"/>
      <c r="L98" s="738"/>
      <c r="M98" s="739"/>
      <c r="N98" s="738"/>
      <c r="O98" s="921">
        <v>10</v>
      </c>
      <c r="P98" s="922">
        <v>2</v>
      </c>
      <c r="Q98" s="739"/>
      <c r="R98" s="738"/>
      <c r="S98" s="739"/>
      <c r="T98" s="738"/>
      <c r="U98" s="739"/>
      <c r="V98" s="738"/>
      <c r="W98" s="739"/>
      <c r="X98" s="738"/>
      <c r="Y98" s="739"/>
      <c r="Z98" s="738"/>
      <c r="AA98" s="923">
        <v>10</v>
      </c>
    </row>
    <row r="99" spans="1:27" ht="14.25">
      <c r="A99" s="748" t="s">
        <v>3307</v>
      </c>
      <c r="B99" s="930" t="s">
        <v>3308</v>
      </c>
      <c r="C99" s="790"/>
      <c r="D99" s="738"/>
      <c r="E99" s="739"/>
      <c r="F99" s="738"/>
      <c r="G99" s="739"/>
      <c r="H99" s="738"/>
      <c r="I99" s="739"/>
      <c r="J99" s="738"/>
      <c r="K99" s="739"/>
      <c r="L99" s="738"/>
      <c r="M99" s="739"/>
      <c r="N99" s="738"/>
      <c r="O99" s="921">
        <v>10</v>
      </c>
      <c r="P99" s="922">
        <v>2</v>
      </c>
      <c r="Q99" s="739"/>
      <c r="R99" s="738"/>
      <c r="S99" s="739"/>
      <c r="T99" s="738"/>
      <c r="U99" s="739"/>
      <c r="V99" s="738"/>
      <c r="W99" s="739"/>
      <c r="X99" s="738"/>
      <c r="Y99" s="739"/>
      <c r="Z99" s="738"/>
      <c r="AA99" s="923">
        <v>30</v>
      </c>
    </row>
    <row r="100" spans="1:27" ht="14.25">
      <c r="A100" s="748" t="s">
        <v>3309</v>
      </c>
      <c r="B100" s="930" t="s">
        <v>3310</v>
      </c>
      <c r="C100" s="790"/>
      <c r="D100" s="738"/>
      <c r="E100" s="739"/>
      <c r="F100" s="738"/>
      <c r="G100" s="739"/>
      <c r="H100" s="738"/>
      <c r="I100" s="739"/>
      <c r="J100" s="738"/>
      <c r="K100" s="739"/>
      <c r="L100" s="738"/>
      <c r="M100" s="739"/>
      <c r="N100" s="738"/>
      <c r="O100" s="921">
        <v>10</v>
      </c>
      <c r="P100" s="922">
        <v>2</v>
      </c>
      <c r="Q100" s="739"/>
      <c r="R100" s="738"/>
      <c r="S100" s="739"/>
      <c r="T100" s="738"/>
      <c r="U100" s="739"/>
      <c r="V100" s="738"/>
      <c r="W100" s="739"/>
      <c r="X100" s="738"/>
      <c r="Y100" s="739"/>
      <c r="Z100" s="738"/>
      <c r="AA100" s="923">
        <v>10</v>
      </c>
    </row>
    <row r="101" spans="1:27" ht="14.25">
      <c r="A101" s="748" t="s">
        <v>3311</v>
      </c>
      <c r="B101" s="930" t="s">
        <v>3312</v>
      </c>
      <c r="C101" s="790"/>
      <c r="D101" s="738"/>
      <c r="E101" s="739"/>
      <c r="F101" s="738"/>
      <c r="G101" s="739"/>
      <c r="H101" s="738"/>
      <c r="I101" s="739"/>
      <c r="J101" s="738"/>
      <c r="K101" s="739"/>
      <c r="L101" s="738"/>
      <c r="M101" s="739"/>
      <c r="N101" s="738"/>
      <c r="O101" s="921">
        <v>10</v>
      </c>
      <c r="P101" s="922">
        <v>2</v>
      </c>
      <c r="Q101" s="739"/>
      <c r="R101" s="738"/>
      <c r="S101" s="739"/>
      <c r="T101" s="738"/>
      <c r="U101" s="739"/>
      <c r="V101" s="738"/>
      <c r="W101" s="739"/>
      <c r="X101" s="738"/>
      <c r="Y101" s="739"/>
      <c r="Z101" s="738"/>
      <c r="AA101" s="923">
        <v>30</v>
      </c>
    </row>
    <row r="102" spans="1:27" ht="14.25">
      <c r="A102" s="748" t="s">
        <v>3313</v>
      </c>
      <c r="B102" s="930" t="s">
        <v>3314</v>
      </c>
      <c r="C102" s="790"/>
      <c r="D102" s="738"/>
      <c r="E102" s="739"/>
      <c r="F102" s="738"/>
      <c r="G102" s="739"/>
      <c r="H102" s="738"/>
      <c r="I102" s="739"/>
      <c r="J102" s="738"/>
      <c r="K102" s="739"/>
      <c r="L102" s="738"/>
      <c r="M102" s="739"/>
      <c r="N102" s="738"/>
      <c r="O102" s="921">
        <v>10</v>
      </c>
      <c r="P102" s="922">
        <v>2</v>
      </c>
      <c r="Q102" s="739"/>
      <c r="R102" s="738"/>
      <c r="S102" s="739"/>
      <c r="T102" s="738"/>
      <c r="U102" s="739"/>
      <c r="V102" s="738"/>
      <c r="W102" s="739"/>
      <c r="X102" s="738"/>
      <c r="Y102" s="739"/>
      <c r="Z102" s="738"/>
      <c r="AA102" s="923">
        <v>20</v>
      </c>
    </row>
    <row r="103" spans="1:27" ht="14.25">
      <c r="A103" s="748" t="s">
        <v>3315</v>
      </c>
      <c r="B103" s="930" t="s">
        <v>3316</v>
      </c>
      <c r="C103" s="790"/>
      <c r="D103" s="738"/>
      <c r="E103" s="739"/>
      <c r="F103" s="738"/>
      <c r="G103" s="739"/>
      <c r="H103" s="738"/>
      <c r="I103" s="739"/>
      <c r="J103" s="738"/>
      <c r="K103" s="739"/>
      <c r="L103" s="738"/>
      <c r="M103" s="739"/>
      <c r="N103" s="738"/>
      <c r="O103" s="921">
        <v>10</v>
      </c>
      <c r="P103" s="922">
        <v>2</v>
      </c>
      <c r="Q103" s="739"/>
      <c r="R103" s="738"/>
      <c r="S103" s="739"/>
      <c r="T103" s="738"/>
      <c r="U103" s="739"/>
      <c r="V103" s="738"/>
      <c r="W103" s="739"/>
      <c r="X103" s="738"/>
      <c r="Y103" s="739"/>
      <c r="Z103" s="738"/>
      <c r="AA103" s="923">
        <v>30</v>
      </c>
    </row>
    <row r="104" spans="1:27" ht="14.25">
      <c r="A104" s="748" t="s">
        <v>3317</v>
      </c>
      <c r="B104" s="930" t="s">
        <v>3318</v>
      </c>
      <c r="C104" s="790"/>
      <c r="D104" s="738"/>
      <c r="E104" s="739"/>
      <c r="F104" s="738"/>
      <c r="G104" s="739"/>
      <c r="H104" s="738"/>
      <c r="I104" s="739"/>
      <c r="J104" s="738"/>
      <c r="K104" s="739"/>
      <c r="L104" s="738"/>
      <c r="M104" s="739"/>
      <c r="N104" s="738"/>
      <c r="O104" s="921">
        <v>10</v>
      </c>
      <c r="P104" s="922">
        <v>2</v>
      </c>
      <c r="Q104" s="739"/>
      <c r="R104" s="738"/>
      <c r="S104" s="739"/>
      <c r="T104" s="738"/>
      <c r="U104" s="739"/>
      <c r="V104" s="738"/>
      <c r="W104" s="739"/>
      <c r="X104" s="738"/>
      <c r="Y104" s="739"/>
      <c r="Z104" s="738"/>
      <c r="AA104" s="923">
        <v>30</v>
      </c>
    </row>
    <row r="105" spans="1:27" ht="14.25">
      <c r="A105" s="748" t="s">
        <v>3319</v>
      </c>
      <c r="B105" s="930" t="s">
        <v>3320</v>
      </c>
      <c r="C105" s="790"/>
      <c r="D105" s="738"/>
      <c r="E105" s="739"/>
      <c r="F105" s="738"/>
      <c r="G105" s="739"/>
      <c r="H105" s="738"/>
      <c r="I105" s="739"/>
      <c r="J105" s="738"/>
      <c r="K105" s="739"/>
      <c r="L105" s="738"/>
      <c r="M105" s="739"/>
      <c r="N105" s="738"/>
      <c r="O105" s="921">
        <v>10</v>
      </c>
      <c r="P105" s="922">
        <v>2</v>
      </c>
      <c r="Q105" s="739"/>
      <c r="R105" s="738"/>
      <c r="S105" s="739"/>
      <c r="T105" s="738"/>
      <c r="U105" s="739"/>
      <c r="V105" s="738"/>
      <c r="W105" s="739"/>
      <c r="X105" s="738"/>
      <c r="Y105" s="739"/>
      <c r="Z105" s="738"/>
      <c r="AA105" s="923">
        <v>10</v>
      </c>
    </row>
    <row r="106" spans="1:27" ht="14.25">
      <c r="A106" s="748" t="s">
        <v>3321</v>
      </c>
      <c r="B106" s="930" t="s">
        <v>3322</v>
      </c>
      <c r="C106" s="790"/>
      <c r="D106" s="738"/>
      <c r="E106" s="739"/>
      <c r="F106" s="738"/>
      <c r="G106" s="739"/>
      <c r="H106" s="738"/>
      <c r="I106" s="739"/>
      <c r="J106" s="738"/>
      <c r="K106" s="739"/>
      <c r="L106" s="738"/>
      <c r="M106" s="739"/>
      <c r="N106" s="738"/>
      <c r="O106" s="921">
        <v>10</v>
      </c>
      <c r="P106" s="922">
        <v>2</v>
      </c>
      <c r="Q106" s="739"/>
      <c r="R106" s="738"/>
      <c r="S106" s="739"/>
      <c r="T106" s="738"/>
      <c r="U106" s="739"/>
      <c r="V106" s="738"/>
      <c r="W106" s="739"/>
      <c r="X106" s="738"/>
      <c r="Y106" s="739"/>
      <c r="Z106" s="738"/>
      <c r="AA106" s="923">
        <v>30</v>
      </c>
    </row>
    <row r="107" spans="1:27" ht="14.25">
      <c r="A107" s="880">
        <v>5</v>
      </c>
      <c r="B107" s="881" t="s">
        <v>3323</v>
      </c>
      <c r="C107" s="790"/>
      <c r="D107" s="738"/>
      <c r="E107" s="739"/>
      <c r="F107" s="738"/>
      <c r="G107" s="739"/>
      <c r="H107" s="738"/>
      <c r="I107" s="739"/>
      <c r="J107" s="738"/>
      <c r="K107" s="739"/>
      <c r="L107" s="738"/>
      <c r="M107" s="739"/>
      <c r="N107" s="738"/>
      <c r="O107" s="926"/>
      <c r="P107" s="927"/>
      <c r="Q107" s="739"/>
      <c r="R107" s="738"/>
      <c r="S107" s="739"/>
      <c r="T107" s="738"/>
      <c r="U107" s="739"/>
      <c r="V107" s="738"/>
      <c r="W107" s="739"/>
      <c r="X107" s="738"/>
      <c r="Y107" s="739"/>
      <c r="Z107" s="738"/>
      <c r="AA107" s="928"/>
    </row>
    <row r="108" spans="1:27" ht="14.25">
      <c r="A108" s="748">
        <v>5.0999999999999996</v>
      </c>
      <c r="B108" s="924" t="s">
        <v>3324</v>
      </c>
      <c r="C108" s="790"/>
      <c r="D108" s="738"/>
      <c r="E108" s="739"/>
      <c r="F108" s="738"/>
      <c r="G108" s="739"/>
      <c r="H108" s="738"/>
      <c r="I108" s="739"/>
      <c r="J108" s="738"/>
      <c r="K108" s="739"/>
      <c r="L108" s="738"/>
      <c r="M108" s="739"/>
      <c r="N108" s="738"/>
      <c r="O108" s="921">
        <v>80</v>
      </c>
      <c r="P108" s="922">
        <v>10</v>
      </c>
      <c r="Q108" s="739"/>
      <c r="R108" s="738"/>
      <c r="S108" s="739"/>
      <c r="T108" s="738"/>
      <c r="U108" s="739"/>
      <c r="V108" s="738"/>
      <c r="W108" s="739"/>
      <c r="X108" s="738"/>
      <c r="Y108" s="739"/>
      <c r="Z108" s="738"/>
      <c r="AA108" s="923"/>
    </row>
    <row r="109" spans="1:27" ht="14.25">
      <c r="A109" s="748">
        <v>5.2</v>
      </c>
      <c r="B109" s="851" t="s">
        <v>3325</v>
      </c>
      <c r="C109" s="790"/>
      <c r="D109" s="738"/>
      <c r="E109" s="739"/>
      <c r="F109" s="738"/>
      <c r="G109" s="739"/>
      <c r="H109" s="738"/>
      <c r="I109" s="739"/>
      <c r="J109" s="738"/>
      <c r="K109" s="739"/>
      <c r="L109" s="738"/>
      <c r="M109" s="739"/>
      <c r="N109" s="738"/>
      <c r="O109" s="921">
        <v>60</v>
      </c>
      <c r="P109" s="922">
        <v>10</v>
      </c>
      <c r="Q109" s="739"/>
      <c r="R109" s="738"/>
      <c r="S109" s="739"/>
      <c r="T109" s="738"/>
      <c r="U109" s="739"/>
      <c r="V109" s="738"/>
      <c r="W109" s="739"/>
      <c r="X109" s="738"/>
      <c r="Y109" s="739"/>
      <c r="Z109" s="738"/>
      <c r="AA109" s="923"/>
    </row>
    <row r="110" spans="1:27" ht="14.25">
      <c r="A110" s="748">
        <v>5.3</v>
      </c>
      <c r="B110" s="924" t="s">
        <v>3326</v>
      </c>
      <c r="C110" s="790"/>
      <c r="D110" s="738"/>
      <c r="E110" s="739"/>
      <c r="F110" s="738"/>
      <c r="G110" s="739"/>
      <c r="H110" s="738"/>
      <c r="I110" s="739"/>
      <c r="J110" s="738"/>
      <c r="K110" s="739"/>
      <c r="L110" s="738"/>
      <c r="M110" s="739"/>
      <c r="N110" s="738"/>
      <c r="O110" s="921">
        <v>90</v>
      </c>
      <c r="P110" s="922">
        <v>10</v>
      </c>
      <c r="Q110" s="739"/>
      <c r="R110" s="738"/>
      <c r="S110" s="739"/>
      <c r="T110" s="738"/>
      <c r="U110" s="739"/>
      <c r="V110" s="738"/>
      <c r="W110" s="739"/>
      <c r="X110" s="738"/>
      <c r="Y110" s="739"/>
      <c r="Z110" s="738"/>
      <c r="AA110" s="923"/>
    </row>
    <row r="111" spans="1:27" ht="14.25">
      <c r="A111" s="748">
        <v>5.4</v>
      </c>
      <c r="B111" s="924" t="s">
        <v>3327</v>
      </c>
      <c r="C111" s="790"/>
      <c r="D111" s="738"/>
      <c r="E111" s="739"/>
      <c r="F111" s="738"/>
      <c r="G111" s="739"/>
      <c r="H111" s="738"/>
      <c r="I111" s="739"/>
      <c r="J111" s="738"/>
      <c r="K111" s="739"/>
      <c r="L111" s="738"/>
      <c r="M111" s="739"/>
      <c r="N111" s="738"/>
      <c r="O111" s="921">
        <v>60</v>
      </c>
      <c r="P111" s="922">
        <v>10</v>
      </c>
      <c r="Q111" s="739"/>
      <c r="R111" s="738"/>
      <c r="S111" s="739"/>
      <c r="T111" s="738"/>
      <c r="U111" s="739"/>
      <c r="V111" s="738"/>
      <c r="W111" s="739"/>
      <c r="X111" s="738"/>
      <c r="Y111" s="739"/>
      <c r="Z111" s="738"/>
      <c r="AA111" s="923"/>
    </row>
    <row r="112" spans="1:27" ht="14.25">
      <c r="A112" s="748">
        <v>5.5</v>
      </c>
      <c r="B112" s="924" t="s">
        <v>3328</v>
      </c>
      <c r="C112" s="790"/>
      <c r="D112" s="738"/>
      <c r="E112" s="739"/>
      <c r="F112" s="738"/>
      <c r="G112" s="739"/>
      <c r="H112" s="738"/>
      <c r="I112" s="739"/>
      <c r="J112" s="738"/>
      <c r="K112" s="739"/>
      <c r="L112" s="738"/>
      <c r="M112" s="739"/>
      <c r="N112" s="738"/>
      <c r="O112" s="921">
        <v>20</v>
      </c>
      <c r="P112" s="922">
        <v>10</v>
      </c>
      <c r="Q112" s="739"/>
      <c r="R112" s="738"/>
      <c r="S112" s="739"/>
      <c r="T112" s="738"/>
      <c r="U112" s="739"/>
      <c r="V112" s="738"/>
      <c r="W112" s="739"/>
      <c r="X112" s="738"/>
      <c r="Y112" s="739"/>
      <c r="Z112" s="738"/>
      <c r="AA112" s="923"/>
    </row>
    <row r="113" spans="1:27" ht="14.25">
      <c r="A113" s="748">
        <v>5.6</v>
      </c>
      <c r="B113" s="924" t="s">
        <v>3329</v>
      </c>
      <c r="C113" s="790"/>
      <c r="D113" s="738"/>
      <c r="E113" s="739"/>
      <c r="F113" s="738"/>
      <c r="G113" s="739"/>
      <c r="H113" s="738"/>
      <c r="I113" s="739"/>
      <c r="J113" s="738"/>
      <c r="K113" s="739"/>
      <c r="L113" s="738"/>
      <c r="M113" s="739"/>
      <c r="N113" s="738"/>
      <c r="O113" s="921">
        <v>20</v>
      </c>
      <c r="P113" s="922">
        <v>10</v>
      </c>
      <c r="Q113" s="739"/>
      <c r="R113" s="738"/>
      <c r="S113" s="739"/>
      <c r="T113" s="738"/>
      <c r="U113" s="739"/>
      <c r="V113" s="738"/>
      <c r="W113" s="739"/>
      <c r="X113" s="738"/>
      <c r="Y113" s="739"/>
      <c r="Z113" s="738"/>
      <c r="AA113" s="923"/>
    </row>
    <row r="114" spans="1:27" ht="14.25">
      <c r="A114" s="748">
        <v>5.7</v>
      </c>
      <c r="B114" s="924" t="s">
        <v>3330</v>
      </c>
      <c r="C114" s="790"/>
      <c r="D114" s="738"/>
      <c r="E114" s="739"/>
      <c r="F114" s="738"/>
      <c r="G114" s="739"/>
      <c r="H114" s="738"/>
      <c r="I114" s="739"/>
      <c r="J114" s="738"/>
      <c r="K114" s="739"/>
      <c r="L114" s="738"/>
      <c r="M114" s="739"/>
      <c r="N114" s="738"/>
      <c r="O114" s="921">
        <v>20</v>
      </c>
      <c r="P114" s="922">
        <v>10</v>
      </c>
      <c r="Q114" s="739"/>
      <c r="R114" s="738"/>
      <c r="S114" s="739"/>
      <c r="T114" s="738"/>
      <c r="U114" s="739"/>
      <c r="V114" s="738"/>
      <c r="W114" s="739"/>
      <c r="X114" s="738"/>
      <c r="Y114" s="739"/>
      <c r="Z114" s="738"/>
      <c r="AA114" s="923"/>
    </row>
    <row r="115" spans="1:27" ht="14.25">
      <c r="A115" s="748">
        <v>5.8</v>
      </c>
      <c r="B115" s="925" t="s">
        <v>3331</v>
      </c>
      <c r="C115" s="790"/>
      <c r="D115" s="738"/>
      <c r="E115" s="739"/>
      <c r="F115" s="738"/>
      <c r="G115" s="739"/>
      <c r="H115" s="738"/>
      <c r="I115" s="739"/>
      <c r="J115" s="738"/>
      <c r="K115" s="739"/>
      <c r="L115" s="738"/>
      <c r="M115" s="739"/>
      <c r="N115" s="738"/>
      <c r="O115" s="921">
        <v>100</v>
      </c>
      <c r="P115" s="922">
        <v>10</v>
      </c>
      <c r="Q115" s="739"/>
      <c r="R115" s="738"/>
      <c r="S115" s="739"/>
      <c r="T115" s="738"/>
      <c r="U115" s="739"/>
      <c r="V115" s="738"/>
      <c r="W115" s="739"/>
      <c r="X115" s="738"/>
      <c r="Y115" s="739"/>
      <c r="Z115" s="738"/>
      <c r="AA115" s="923"/>
    </row>
    <row r="116" spans="1:27" ht="14.25">
      <c r="A116" s="748">
        <v>5.9</v>
      </c>
      <c r="B116" s="925" t="s">
        <v>3332</v>
      </c>
      <c r="C116" s="790"/>
      <c r="D116" s="738"/>
      <c r="E116" s="739"/>
      <c r="F116" s="738"/>
      <c r="G116" s="739"/>
      <c r="H116" s="738"/>
      <c r="I116" s="739"/>
      <c r="J116" s="738"/>
      <c r="K116" s="739"/>
      <c r="L116" s="738"/>
      <c r="M116" s="739"/>
      <c r="N116" s="738"/>
      <c r="O116" s="921">
        <v>40</v>
      </c>
      <c r="P116" s="922">
        <v>10</v>
      </c>
      <c r="Q116" s="739"/>
      <c r="R116" s="738"/>
      <c r="S116" s="739"/>
      <c r="T116" s="738"/>
      <c r="U116" s="739"/>
      <c r="V116" s="738"/>
      <c r="W116" s="739"/>
      <c r="X116" s="738"/>
      <c r="Y116" s="739"/>
      <c r="Z116" s="738"/>
      <c r="AA116" s="923"/>
    </row>
    <row r="117" spans="1:27" ht="14.25">
      <c r="A117" s="876" t="s">
        <v>615</v>
      </c>
      <c r="B117" s="925" t="s">
        <v>3333</v>
      </c>
      <c r="C117" s="790"/>
      <c r="D117" s="738"/>
      <c r="E117" s="739"/>
      <c r="F117" s="738"/>
      <c r="G117" s="739"/>
      <c r="H117" s="738"/>
      <c r="I117" s="739"/>
      <c r="J117" s="738"/>
      <c r="K117" s="739"/>
      <c r="L117" s="738"/>
      <c r="M117" s="739"/>
      <c r="N117" s="738"/>
      <c r="O117" s="921">
        <v>20</v>
      </c>
      <c r="P117" s="922">
        <v>5</v>
      </c>
      <c r="Q117" s="739"/>
      <c r="R117" s="738"/>
      <c r="S117" s="739"/>
      <c r="T117" s="738"/>
      <c r="U117" s="739"/>
      <c r="V117" s="738"/>
      <c r="W117" s="739"/>
      <c r="X117" s="738"/>
      <c r="Y117" s="739"/>
      <c r="Z117" s="738"/>
      <c r="AA117" s="923"/>
    </row>
    <row r="118" spans="1:27" ht="14.25">
      <c r="A118" s="748">
        <v>5.1100000000000003</v>
      </c>
      <c r="B118" s="925" t="s">
        <v>3334</v>
      </c>
      <c r="C118" s="790"/>
      <c r="D118" s="738"/>
      <c r="E118" s="739"/>
      <c r="F118" s="738"/>
      <c r="G118" s="739"/>
      <c r="H118" s="738"/>
      <c r="I118" s="739"/>
      <c r="J118" s="738"/>
      <c r="K118" s="739"/>
      <c r="L118" s="738"/>
      <c r="M118" s="739"/>
      <c r="N118" s="738"/>
      <c r="O118" s="921">
        <v>25</v>
      </c>
      <c r="P118" s="922">
        <v>5</v>
      </c>
      <c r="Q118" s="739"/>
      <c r="R118" s="738"/>
      <c r="S118" s="739"/>
      <c r="T118" s="738"/>
      <c r="U118" s="739"/>
      <c r="V118" s="738"/>
      <c r="W118" s="739"/>
      <c r="X118" s="738"/>
      <c r="Y118" s="739"/>
      <c r="Z118" s="738"/>
      <c r="AA118" s="923"/>
    </row>
    <row r="119" spans="1:27" ht="14.25">
      <c r="A119" s="748">
        <v>5.12</v>
      </c>
      <c r="B119" s="925" t="s">
        <v>3335</v>
      </c>
      <c r="C119" s="790"/>
      <c r="D119" s="738"/>
      <c r="E119" s="739"/>
      <c r="F119" s="738"/>
      <c r="G119" s="739"/>
      <c r="H119" s="738"/>
      <c r="I119" s="739"/>
      <c r="J119" s="738"/>
      <c r="K119" s="739"/>
      <c r="L119" s="738"/>
      <c r="M119" s="739"/>
      <c r="N119" s="738"/>
      <c r="O119" s="921">
        <v>15</v>
      </c>
      <c r="P119" s="922">
        <v>5</v>
      </c>
      <c r="Q119" s="739"/>
      <c r="R119" s="738"/>
      <c r="S119" s="739"/>
      <c r="T119" s="738"/>
      <c r="U119" s="739"/>
      <c r="V119" s="738"/>
      <c r="W119" s="739"/>
      <c r="X119" s="738"/>
      <c r="Y119" s="739"/>
      <c r="Z119" s="738"/>
      <c r="AA119" s="923"/>
    </row>
    <row r="120" spans="1:27" ht="14.25">
      <c r="A120" s="748">
        <v>5.13</v>
      </c>
      <c r="B120" s="925" t="s">
        <v>3336</v>
      </c>
      <c r="C120" s="790"/>
      <c r="D120" s="738"/>
      <c r="E120" s="739"/>
      <c r="F120" s="738"/>
      <c r="G120" s="739"/>
      <c r="H120" s="738"/>
      <c r="I120" s="739"/>
      <c r="J120" s="738"/>
      <c r="K120" s="739"/>
      <c r="L120" s="738"/>
      <c r="M120" s="739"/>
      <c r="N120" s="738"/>
      <c r="O120" s="921">
        <v>15</v>
      </c>
      <c r="P120" s="922">
        <v>5</v>
      </c>
      <c r="Q120" s="739"/>
      <c r="R120" s="738"/>
      <c r="S120" s="739"/>
      <c r="T120" s="738"/>
      <c r="U120" s="739"/>
      <c r="V120" s="738"/>
      <c r="W120" s="739"/>
      <c r="X120" s="738"/>
      <c r="Y120" s="739"/>
      <c r="Z120" s="738"/>
      <c r="AA120" s="923"/>
    </row>
    <row r="121" spans="1:27" ht="28.5">
      <c r="A121" s="748">
        <v>5.14</v>
      </c>
      <c r="B121" s="925" t="s">
        <v>3337</v>
      </c>
      <c r="C121" s="790"/>
      <c r="D121" s="738"/>
      <c r="E121" s="739"/>
      <c r="F121" s="738"/>
      <c r="G121" s="739"/>
      <c r="H121" s="738"/>
      <c r="I121" s="739"/>
      <c r="J121" s="738"/>
      <c r="K121" s="739"/>
      <c r="L121" s="738"/>
      <c r="M121" s="739"/>
      <c r="N121" s="738"/>
      <c r="O121" s="921">
        <v>15</v>
      </c>
      <c r="P121" s="922">
        <v>5</v>
      </c>
      <c r="Q121" s="739"/>
      <c r="R121" s="738"/>
      <c r="S121" s="739"/>
      <c r="T121" s="738"/>
      <c r="U121" s="739"/>
      <c r="V121" s="738"/>
      <c r="W121" s="739"/>
      <c r="X121" s="738"/>
      <c r="Y121" s="739"/>
      <c r="Z121" s="738"/>
      <c r="AA121" s="923"/>
    </row>
    <row r="122" spans="1:27" ht="28.5">
      <c r="A122" s="748">
        <v>5.15</v>
      </c>
      <c r="B122" s="925" t="s">
        <v>3338</v>
      </c>
      <c r="C122" s="790"/>
      <c r="D122" s="738"/>
      <c r="E122" s="739"/>
      <c r="F122" s="738"/>
      <c r="G122" s="739"/>
      <c r="H122" s="738"/>
      <c r="I122" s="739"/>
      <c r="J122" s="738"/>
      <c r="K122" s="739"/>
      <c r="L122" s="738"/>
      <c r="M122" s="739"/>
      <c r="N122" s="738"/>
      <c r="O122" s="921">
        <v>15</v>
      </c>
      <c r="P122" s="922">
        <v>5</v>
      </c>
      <c r="Q122" s="739"/>
      <c r="R122" s="738"/>
      <c r="S122" s="739"/>
      <c r="T122" s="738"/>
      <c r="U122" s="739"/>
      <c r="V122" s="738"/>
      <c r="W122" s="739"/>
      <c r="X122" s="738"/>
      <c r="Y122" s="739"/>
      <c r="Z122" s="738"/>
      <c r="AA122" s="923"/>
    </row>
    <row r="123" spans="1:27" ht="14.25">
      <c r="A123" s="880">
        <v>6</v>
      </c>
      <c r="B123" s="881" t="s">
        <v>3339</v>
      </c>
      <c r="C123" s="790"/>
      <c r="D123" s="738"/>
      <c r="E123" s="739"/>
      <c r="F123" s="738"/>
      <c r="G123" s="739"/>
      <c r="H123" s="738"/>
      <c r="I123" s="739"/>
      <c r="J123" s="738"/>
      <c r="K123" s="739"/>
      <c r="L123" s="738"/>
      <c r="M123" s="739"/>
      <c r="N123" s="738"/>
      <c r="O123" s="921"/>
      <c r="P123" s="922"/>
      <c r="Q123" s="739"/>
      <c r="R123" s="738"/>
      <c r="S123" s="739"/>
      <c r="T123" s="738"/>
      <c r="U123" s="739"/>
      <c r="V123" s="738"/>
      <c r="W123" s="739"/>
      <c r="X123" s="738"/>
      <c r="Y123" s="739"/>
      <c r="Z123" s="738"/>
      <c r="AA123" s="923"/>
    </row>
    <row r="124" spans="1:27" ht="14.25">
      <c r="A124" s="748">
        <v>6.1</v>
      </c>
      <c r="B124" s="851" t="s">
        <v>3340</v>
      </c>
      <c r="C124" s="790"/>
      <c r="D124" s="738"/>
      <c r="E124" s="739"/>
      <c r="F124" s="738"/>
      <c r="G124" s="739"/>
      <c r="H124" s="738"/>
      <c r="I124" s="739"/>
      <c r="J124" s="738"/>
      <c r="K124" s="739"/>
      <c r="L124" s="738"/>
      <c r="M124" s="739"/>
      <c r="N124" s="738"/>
      <c r="O124" s="926"/>
      <c r="P124" s="927"/>
      <c r="Q124" s="739"/>
      <c r="R124" s="738"/>
      <c r="S124" s="739"/>
      <c r="T124" s="738"/>
      <c r="U124" s="739"/>
      <c r="V124" s="738"/>
      <c r="W124" s="739"/>
      <c r="X124" s="738"/>
      <c r="Y124" s="739"/>
      <c r="Z124" s="738"/>
      <c r="AA124" s="928"/>
    </row>
    <row r="125" spans="1:27" ht="14.25">
      <c r="A125" s="748" t="s">
        <v>2974</v>
      </c>
      <c r="B125" s="930" t="s">
        <v>3341</v>
      </c>
      <c r="C125" s="790"/>
      <c r="D125" s="738"/>
      <c r="E125" s="739">
        <v>4</v>
      </c>
      <c r="F125" s="738"/>
      <c r="G125" s="739"/>
      <c r="H125" s="738"/>
      <c r="I125" s="739"/>
      <c r="J125" s="738"/>
      <c r="K125" s="739">
        <v>4</v>
      </c>
      <c r="L125" s="738"/>
      <c r="M125" s="739">
        <v>2</v>
      </c>
      <c r="N125" s="738"/>
      <c r="O125" s="921">
        <v>50</v>
      </c>
      <c r="P125" s="922">
        <v>10</v>
      </c>
      <c r="Q125" s="739">
        <v>4</v>
      </c>
      <c r="R125" s="738"/>
      <c r="S125" s="739"/>
      <c r="T125" s="738"/>
      <c r="U125" s="739"/>
      <c r="V125" s="738"/>
      <c r="W125" s="739"/>
      <c r="X125" s="738"/>
      <c r="Y125" s="739"/>
      <c r="Z125" s="738"/>
      <c r="AA125" s="923">
        <v>120</v>
      </c>
    </row>
    <row r="126" spans="1:27" ht="14.25">
      <c r="A126" s="748" t="s">
        <v>2976</v>
      </c>
      <c r="B126" s="930" t="s">
        <v>3342</v>
      </c>
      <c r="C126" s="790"/>
      <c r="D126" s="738"/>
      <c r="E126" s="739">
        <v>3</v>
      </c>
      <c r="F126" s="738"/>
      <c r="G126" s="739"/>
      <c r="H126" s="738"/>
      <c r="I126" s="739"/>
      <c r="J126" s="738"/>
      <c r="K126" s="739">
        <v>3</v>
      </c>
      <c r="L126" s="738"/>
      <c r="M126" s="739">
        <v>2</v>
      </c>
      <c r="N126" s="738"/>
      <c r="O126" s="921">
        <v>30</v>
      </c>
      <c r="P126" s="922">
        <v>5</v>
      </c>
      <c r="Q126" s="739">
        <v>4</v>
      </c>
      <c r="R126" s="738"/>
      <c r="S126" s="739"/>
      <c r="T126" s="738"/>
      <c r="U126" s="739"/>
      <c r="V126" s="738"/>
      <c r="W126" s="739"/>
      <c r="X126" s="738"/>
      <c r="Y126" s="739"/>
      <c r="Z126" s="738"/>
      <c r="AA126" s="923">
        <v>60</v>
      </c>
    </row>
    <row r="127" spans="1:27" ht="14.25">
      <c r="A127" s="748" t="s">
        <v>2978</v>
      </c>
      <c r="B127" s="932" t="s">
        <v>3343</v>
      </c>
      <c r="C127" s="790"/>
      <c r="D127" s="738"/>
      <c r="E127" s="739">
        <v>2</v>
      </c>
      <c r="F127" s="738"/>
      <c r="G127" s="739"/>
      <c r="H127" s="738"/>
      <c r="I127" s="739"/>
      <c r="J127" s="738"/>
      <c r="K127" s="739">
        <v>2</v>
      </c>
      <c r="L127" s="738"/>
      <c r="M127" s="739">
        <v>1</v>
      </c>
      <c r="N127" s="738"/>
      <c r="O127" s="921">
        <v>10</v>
      </c>
      <c r="P127" s="922">
        <v>3</v>
      </c>
      <c r="Q127" s="739">
        <v>2</v>
      </c>
      <c r="R127" s="738"/>
      <c r="S127" s="739"/>
      <c r="T127" s="738"/>
      <c r="U127" s="739"/>
      <c r="V127" s="738"/>
      <c r="W127" s="739"/>
      <c r="X127" s="738"/>
      <c r="Y127" s="739"/>
      <c r="Z127" s="738"/>
      <c r="AA127" s="923">
        <v>25</v>
      </c>
    </row>
    <row r="128" spans="1:27" ht="14.25">
      <c r="A128" s="748" t="s">
        <v>2980</v>
      </c>
      <c r="B128" s="932" t="s">
        <v>3344</v>
      </c>
      <c r="C128" s="790"/>
      <c r="D128" s="738"/>
      <c r="E128" s="739">
        <v>2</v>
      </c>
      <c r="F128" s="738"/>
      <c r="G128" s="739"/>
      <c r="H128" s="738"/>
      <c r="I128" s="739"/>
      <c r="J128" s="738"/>
      <c r="K128" s="739">
        <v>2</v>
      </c>
      <c r="L128" s="738"/>
      <c r="M128" s="739">
        <v>1</v>
      </c>
      <c r="N128" s="738"/>
      <c r="O128" s="921">
        <v>10</v>
      </c>
      <c r="P128" s="922">
        <v>3</v>
      </c>
      <c r="Q128" s="739">
        <v>2</v>
      </c>
      <c r="R128" s="738"/>
      <c r="S128" s="739"/>
      <c r="T128" s="738"/>
      <c r="U128" s="739"/>
      <c r="V128" s="738"/>
      <c r="W128" s="739"/>
      <c r="X128" s="738"/>
      <c r="Y128" s="739"/>
      <c r="Z128" s="738"/>
      <c r="AA128" s="923">
        <v>25</v>
      </c>
    </row>
    <row r="129" spans="1:27" ht="28.5">
      <c r="A129" s="748" t="s">
        <v>2982</v>
      </c>
      <c r="B129" s="932" t="s">
        <v>3345</v>
      </c>
      <c r="C129" s="790"/>
      <c r="D129" s="738"/>
      <c r="E129" s="739"/>
      <c r="F129" s="738"/>
      <c r="G129" s="739"/>
      <c r="H129" s="738"/>
      <c r="I129" s="739"/>
      <c r="J129" s="738"/>
      <c r="K129" s="739"/>
      <c r="L129" s="738"/>
      <c r="M129" s="739"/>
      <c r="N129" s="738"/>
      <c r="O129" s="921">
        <v>10</v>
      </c>
      <c r="P129" s="922">
        <v>3</v>
      </c>
      <c r="Q129" s="739">
        <v>4</v>
      </c>
      <c r="R129" s="738"/>
      <c r="S129" s="739"/>
      <c r="T129" s="738"/>
      <c r="U129" s="739"/>
      <c r="V129" s="738"/>
      <c r="W129" s="739"/>
      <c r="X129" s="738"/>
      <c r="Y129" s="739"/>
      <c r="Z129" s="738"/>
      <c r="AA129" s="923">
        <v>25</v>
      </c>
    </row>
    <row r="130" spans="1:27" ht="28.5">
      <c r="A130" s="748" t="s">
        <v>2984</v>
      </c>
      <c r="B130" s="932" t="s">
        <v>3346</v>
      </c>
      <c r="C130" s="790"/>
      <c r="D130" s="738"/>
      <c r="E130" s="739"/>
      <c r="F130" s="738"/>
      <c r="G130" s="739"/>
      <c r="H130" s="738"/>
      <c r="I130" s="739"/>
      <c r="J130" s="738"/>
      <c r="K130" s="739"/>
      <c r="L130" s="738"/>
      <c r="M130" s="739"/>
      <c r="N130" s="738"/>
      <c r="O130" s="921">
        <v>10</v>
      </c>
      <c r="P130" s="922">
        <v>3</v>
      </c>
      <c r="Q130" s="739">
        <v>4</v>
      </c>
      <c r="R130" s="738"/>
      <c r="S130" s="739"/>
      <c r="T130" s="738"/>
      <c r="U130" s="739"/>
      <c r="V130" s="738"/>
      <c r="W130" s="739"/>
      <c r="X130" s="738"/>
      <c r="Y130" s="739"/>
      <c r="Z130" s="738"/>
      <c r="AA130" s="923">
        <v>25</v>
      </c>
    </row>
    <row r="131" spans="1:27" ht="14.25">
      <c r="A131" s="748" t="s">
        <v>3347</v>
      </c>
      <c r="B131" s="932" t="s">
        <v>3348</v>
      </c>
      <c r="C131" s="790"/>
      <c r="D131" s="738"/>
      <c r="E131" s="739"/>
      <c r="F131" s="738"/>
      <c r="G131" s="739"/>
      <c r="H131" s="738"/>
      <c r="I131" s="739"/>
      <c r="J131" s="738"/>
      <c r="K131" s="739"/>
      <c r="L131" s="738"/>
      <c r="M131" s="739"/>
      <c r="N131" s="738"/>
      <c r="O131" s="921">
        <v>20</v>
      </c>
      <c r="P131" s="922">
        <v>5</v>
      </c>
      <c r="Q131" s="739">
        <v>3</v>
      </c>
      <c r="R131" s="738"/>
      <c r="S131" s="739"/>
      <c r="T131" s="738"/>
      <c r="U131" s="739"/>
      <c r="V131" s="738"/>
      <c r="W131" s="739"/>
      <c r="X131" s="738"/>
      <c r="Y131" s="739"/>
      <c r="Z131" s="738"/>
      <c r="AA131" s="923">
        <v>25</v>
      </c>
    </row>
    <row r="132" spans="1:27" ht="14.25">
      <c r="A132" s="748" t="s">
        <v>2986</v>
      </c>
      <c r="B132" s="932" t="s">
        <v>3349</v>
      </c>
      <c r="C132" s="790"/>
      <c r="D132" s="738"/>
      <c r="E132" s="739"/>
      <c r="F132" s="738"/>
      <c r="G132" s="739"/>
      <c r="H132" s="738"/>
      <c r="I132" s="739"/>
      <c r="J132" s="738"/>
      <c r="K132" s="739"/>
      <c r="L132" s="738"/>
      <c r="M132" s="739"/>
      <c r="N132" s="738"/>
      <c r="O132" s="921">
        <v>20</v>
      </c>
      <c r="P132" s="922">
        <v>5</v>
      </c>
      <c r="Q132" s="739">
        <v>2</v>
      </c>
      <c r="R132" s="738"/>
      <c r="S132" s="739"/>
      <c r="T132" s="738"/>
      <c r="U132" s="739"/>
      <c r="V132" s="738"/>
      <c r="W132" s="739"/>
      <c r="X132" s="738"/>
      <c r="Y132" s="739"/>
      <c r="Z132" s="738"/>
      <c r="AA132" s="923">
        <v>25</v>
      </c>
    </row>
    <row r="133" spans="1:27" ht="28.5">
      <c r="A133" s="748" t="s">
        <v>3350</v>
      </c>
      <c r="B133" s="932" t="s">
        <v>3351</v>
      </c>
      <c r="C133" s="790"/>
      <c r="D133" s="738"/>
      <c r="E133" s="739"/>
      <c r="F133" s="738"/>
      <c r="G133" s="739"/>
      <c r="H133" s="738"/>
      <c r="I133" s="739"/>
      <c r="J133" s="738"/>
      <c r="K133" s="739"/>
      <c r="L133" s="738"/>
      <c r="M133" s="739"/>
      <c r="N133" s="738"/>
      <c r="O133" s="921">
        <v>40</v>
      </c>
      <c r="P133" s="922">
        <v>8</v>
      </c>
      <c r="Q133" s="739">
        <v>2</v>
      </c>
      <c r="R133" s="738"/>
      <c r="S133" s="739"/>
      <c r="T133" s="738"/>
      <c r="U133" s="739"/>
      <c r="V133" s="738"/>
      <c r="W133" s="739"/>
      <c r="X133" s="738"/>
      <c r="Y133" s="739"/>
      <c r="Z133" s="738"/>
      <c r="AA133" s="923">
        <v>30</v>
      </c>
    </row>
    <row r="134" spans="1:27" ht="14.25">
      <c r="A134" s="748" t="s">
        <v>3352</v>
      </c>
      <c r="B134" s="932" t="s">
        <v>3353</v>
      </c>
      <c r="C134" s="790"/>
      <c r="D134" s="738"/>
      <c r="E134" s="739"/>
      <c r="F134" s="738"/>
      <c r="G134" s="739"/>
      <c r="H134" s="738"/>
      <c r="I134" s="739"/>
      <c r="J134" s="738"/>
      <c r="K134" s="739"/>
      <c r="L134" s="738"/>
      <c r="M134" s="739"/>
      <c r="N134" s="738"/>
      <c r="O134" s="921">
        <v>20</v>
      </c>
      <c r="P134" s="922">
        <v>3</v>
      </c>
      <c r="Q134" s="739">
        <v>2</v>
      </c>
      <c r="R134" s="738"/>
      <c r="S134" s="739"/>
      <c r="T134" s="738"/>
      <c r="U134" s="739"/>
      <c r="V134" s="738"/>
      <c r="W134" s="739"/>
      <c r="X134" s="738"/>
      <c r="Y134" s="739"/>
      <c r="Z134" s="738"/>
      <c r="AA134" s="923">
        <v>25</v>
      </c>
    </row>
    <row r="135" spans="1:27" ht="14.25">
      <c r="A135" s="748" t="s">
        <v>3354</v>
      </c>
      <c r="B135" s="932" t="s">
        <v>3355</v>
      </c>
      <c r="C135" s="790"/>
      <c r="D135" s="738"/>
      <c r="E135" s="739"/>
      <c r="F135" s="738"/>
      <c r="G135" s="739"/>
      <c r="H135" s="738"/>
      <c r="I135" s="739"/>
      <c r="J135" s="738"/>
      <c r="K135" s="739"/>
      <c r="L135" s="738"/>
      <c r="M135" s="739"/>
      <c r="N135" s="738"/>
      <c r="O135" s="921">
        <v>20</v>
      </c>
      <c r="P135" s="922">
        <v>3</v>
      </c>
      <c r="Q135" s="739">
        <v>2</v>
      </c>
      <c r="R135" s="738"/>
      <c r="S135" s="739"/>
      <c r="T135" s="738"/>
      <c r="U135" s="739"/>
      <c r="V135" s="738"/>
      <c r="W135" s="739"/>
      <c r="X135" s="738"/>
      <c r="Y135" s="739"/>
      <c r="Z135" s="738"/>
      <c r="AA135" s="923">
        <v>25</v>
      </c>
    </row>
    <row r="136" spans="1:27" ht="14.25">
      <c r="A136" s="748">
        <v>6.2</v>
      </c>
      <c r="B136" s="851" t="s">
        <v>3356</v>
      </c>
      <c r="C136" s="790"/>
      <c r="D136" s="738"/>
      <c r="E136" s="739"/>
      <c r="F136" s="738"/>
      <c r="G136" s="739"/>
      <c r="H136" s="738"/>
      <c r="I136" s="739"/>
      <c r="J136" s="738"/>
      <c r="K136" s="739"/>
      <c r="L136" s="738"/>
      <c r="M136" s="739"/>
      <c r="N136" s="738"/>
      <c r="O136" s="921"/>
      <c r="P136" s="922"/>
      <c r="Q136" s="739"/>
      <c r="R136" s="738"/>
      <c r="S136" s="739"/>
      <c r="T136" s="738"/>
      <c r="U136" s="739"/>
      <c r="V136" s="738"/>
      <c r="W136" s="739"/>
      <c r="X136" s="738"/>
      <c r="Y136" s="739"/>
      <c r="Z136" s="738"/>
      <c r="AA136" s="923"/>
    </row>
    <row r="137" spans="1:27" ht="28.5">
      <c r="A137" s="748" t="s">
        <v>2989</v>
      </c>
      <c r="B137" s="932" t="s">
        <v>3357</v>
      </c>
      <c r="C137" s="790"/>
      <c r="D137" s="738"/>
      <c r="E137" s="739"/>
      <c r="F137" s="738"/>
      <c r="G137" s="739"/>
      <c r="H137" s="738"/>
      <c r="I137" s="739"/>
      <c r="J137" s="738"/>
      <c r="K137" s="739"/>
      <c r="L137" s="738"/>
      <c r="M137" s="739"/>
      <c r="N137" s="738"/>
      <c r="O137" s="921">
        <v>30</v>
      </c>
      <c r="P137" s="922">
        <v>5</v>
      </c>
      <c r="Q137" s="739"/>
      <c r="R137" s="738"/>
      <c r="S137" s="739"/>
      <c r="T137" s="738"/>
      <c r="U137" s="739"/>
      <c r="V137" s="738"/>
      <c r="W137" s="739"/>
      <c r="X137" s="738"/>
      <c r="Y137" s="739"/>
      <c r="Z137" s="738"/>
      <c r="AA137" s="923">
        <v>80</v>
      </c>
    </row>
    <row r="138" spans="1:27" ht="28.5">
      <c r="A138" s="748" t="s">
        <v>2991</v>
      </c>
      <c r="B138" s="932" t="s">
        <v>3358</v>
      </c>
      <c r="C138" s="790"/>
      <c r="D138" s="738"/>
      <c r="E138" s="739"/>
      <c r="F138" s="738"/>
      <c r="G138" s="739"/>
      <c r="H138" s="738"/>
      <c r="I138" s="739"/>
      <c r="J138" s="738"/>
      <c r="K138" s="739"/>
      <c r="L138" s="738"/>
      <c r="M138" s="739"/>
      <c r="N138" s="738"/>
      <c r="O138" s="921">
        <v>10</v>
      </c>
      <c r="P138" s="922">
        <v>2</v>
      </c>
      <c r="Q138" s="739"/>
      <c r="R138" s="738"/>
      <c r="S138" s="739"/>
      <c r="T138" s="738"/>
      <c r="U138" s="739"/>
      <c r="V138" s="738"/>
      <c r="W138" s="739"/>
      <c r="X138" s="738"/>
      <c r="Y138" s="739"/>
      <c r="Z138" s="738"/>
      <c r="AA138" s="923">
        <v>30</v>
      </c>
    </row>
    <row r="139" spans="1:27" ht="28.5">
      <c r="A139" s="748" t="s">
        <v>2993</v>
      </c>
      <c r="B139" s="932" t="s">
        <v>3359</v>
      </c>
      <c r="C139" s="790"/>
      <c r="D139" s="738"/>
      <c r="E139" s="739"/>
      <c r="F139" s="738"/>
      <c r="G139" s="739"/>
      <c r="H139" s="738"/>
      <c r="I139" s="739"/>
      <c r="J139" s="738"/>
      <c r="K139" s="739"/>
      <c r="L139" s="738"/>
      <c r="M139" s="739"/>
      <c r="N139" s="738"/>
      <c r="O139" s="921">
        <v>10</v>
      </c>
      <c r="P139" s="922">
        <v>2</v>
      </c>
      <c r="Q139" s="739"/>
      <c r="R139" s="738"/>
      <c r="S139" s="739"/>
      <c r="T139" s="738"/>
      <c r="U139" s="739"/>
      <c r="V139" s="738"/>
      <c r="W139" s="739"/>
      <c r="X139" s="738"/>
      <c r="Y139" s="739"/>
      <c r="Z139" s="738"/>
      <c r="AA139" s="923">
        <v>30</v>
      </c>
    </row>
    <row r="140" spans="1:27" ht="28.5">
      <c r="A140" s="748" t="s">
        <v>2995</v>
      </c>
      <c r="B140" s="932" t="s">
        <v>3360</v>
      </c>
      <c r="C140" s="790"/>
      <c r="D140" s="738"/>
      <c r="E140" s="739"/>
      <c r="F140" s="738"/>
      <c r="G140" s="739"/>
      <c r="H140" s="738"/>
      <c r="I140" s="739"/>
      <c r="J140" s="738"/>
      <c r="K140" s="739"/>
      <c r="L140" s="738"/>
      <c r="M140" s="739"/>
      <c r="N140" s="738"/>
      <c r="O140" s="921">
        <v>10</v>
      </c>
      <c r="P140" s="922">
        <v>2</v>
      </c>
      <c r="Q140" s="739"/>
      <c r="R140" s="738"/>
      <c r="S140" s="739"/>
      <c r="T140" s="738"/>
      <c r="U140" s="739"/>
      <c r="V140" s="738"/>
      <c r="W140" s="739"/>
      <c r="X140" s="738"/>
      <c r="Y140" s="739"/>
      <c r="Z140" s="738"/>
      <c r="AA140" s="923">
        <v>30</v>
      </c>
    </row>
    <row r="141" spans="1:27" ht="14.25">
      <c r="A141" s="748">
        <v>6.3</v>
      </c>
      <c r="B141" s="851" t="s">
        <v>3361</v>
      </c>
      <c r="C141" s="790"/>
      <c r="D141" s="738"/>
      <c r="E141" s="739"/>
      <c r="F141" s="738"/>
      <c r="G141" s="739"/>
      <c r="H141" s="738"/>
      <c r="I141" s="739"/>
      <c r="J141" s="738"/>
      <c r="K141" s="739"/>
      <c r="L141" s="738"/>
      <c r="M141" s="739"/>
      <c r="N141" s="738"/>
      <c r="O141" s="926"/>
      <c r="P141" s="927"/>
      <c r="Q141" s="739"/>
      <c r="R141" s="738"/>
      <c r="S141" s="739"/>
      <c r="T141" s="738"/>
      <c r="U141" s="739"/>
      <c r="V141" s="738"/>
      <c r="W141" s="739"/>
      <c r="X141" s="738"/>
      <c r="Y141" s="739"/>
      <c r="Z141" s="738"/>
      <c r="AA141" s="928"/>
    </row>
    <row r="142" spans="1:27" ht="14.25">
      <c r="A142" s="748" t="s">
        <v>3000</v>
      </c>
      <c r="B142" s="932" t="s">
        <v>3362</v>
      </c>
      <c r="C142" s="790"/>
      <c r="D142" s="738"/>
      <c r="E142" s="739"/>
      <c r="F142" s="738"/>
      <c r="G142" s="739"/>
      <c r="H142" s="738"/>
      <c r="I142" s="739"/>
      <c r="J142" s="738"/>
      <c r="K142" s="739"/>
      <c r="L142" s="738"/>
      <c r="M142" s="739"/>
      <c r="N142" s="738"/>
      <c r="O142" s="921">
        <v>15</v>
      </c>
      <c r="P142" s="922">
        <v>2</v>
      </c>
      <c r="Q142" s="739"/>
      <c r="R142" s="738"/>
      <c r="S142" s="739"/>
      <c r="T142" s="738"/>
      <c r="U142" s="739"/>
      <c r="V142" s="738"/>
      <c r="W142" s="739"/>
      <c r="X142" s="738"/>
      <c r="Y142" s="739"/>
      <c r="Z142" s="738"/>
      <c r="AA142" s="923">
        <v>80</v>
      </c>
    </row>
    <row r="143" spans="1:27" ht="14.25">
      <c r="A143" s="748" t="s">
        <v>3363</v>
      </c>
      <c r="B143" s="932" t="s">
        <v>3364</v>
      </c>
      <c r="C143" s="790"/>
      <c r="D143" s="738"/>
      <c r="E143" s="739"/>
      <c r="F143" s="738"/>
      <c r="G143" s="739"/>
      <c r="H143" s="738"/>
      <c r="I143" s="739"/>
      <c r="J143" s="738"/>
      <c r="K143" s="739"/>
      <c r="L143" s="738"/>
      <c r="M143" s="739"/>
      <c r="N143" s="738"/>
      <c r="O143" s="921">
        <v>10</v>
      </c>
      <c r="P143" s="922">
        <v>2</v>
      </c>
      <c r="Q143" s="739"/>
      <c r="R143" s="738"/>
      <c r="S143" s="739"/>
      <c r="T143" s="738"/>
      <c r="U143" s="739"/>
      <c r="V143" s="738"/>
      <c r="W143" s="739"/>
      <c r="X143" s="738"/>
      <c r="Y143" s="739"/>
      <c r="Z143" s="738"/>
      <c r="AA143" s="923">
        <v>30</v>
      </c>
    </row>
    <row r="144" spans="1:27" ht="14.25">
      <c r="A144" s="748" t="s">
        <v>3365</v>
      </c>
      <c r="B144" s="932" t="s">
        <v>3366</v>
      </c>
      <c r="C144" s="790"/>
      <c r="D144" s="738"/>
      <c r="E144" s="739"/>
      <c r="F144" s="738"/>
      <c r="G144" s="739"/>
      <c r="H144" s="738"/>
      <c r="I144" s="739"/>
      <c r="J144" s="738"/>
      <c r="K144" s="739"/>
      <c r="L144" s="738"/>
      <c r="M144" s="739"/>
      <c r="N144" s="738"/>
      <c r="O144" s="921">
        <v>10</v>
      </c>
      <c r="P144" s="922">
        <v>2</v>
      </c>
      <c r="Q144" s="739"/>
      <c r="R144" s="738"/>
      <c r="S144" s="739"/>
      <c r="T144" s="738"/>
      <c r="U144" s="739"/>
      <c r="V144" s="738"/>
      <c r="W144" s="739"/>
      <c r="X144" s="738"/>
      <c r="Y144" s="739"/>
      <c r="Z144" s="738"/>
      <c r="AA144" s="923">
        <v>30</v>
      </c>
    </row>
    <row r="145" spans="1:27" ht="14.25">
      <c r="A145" s="748">
        <v>6.4</v>
      </c>
      <c r="B145" s="851" t="s">
        <v>3367</v>
      </c>
      <c r="C145" s="790"/>
      <c r="D145" s="738"/>
      <c r="E145" s="739"/>
      <c r="F145" s="738"/>
      <c r="G145" s="739"/>
      <c r="H145" s="738"/>
      <c r="I145" s="739"/>
      <c r="J145" s="738"/>
      <c r="K145" s="739"/>
      <c r="L145" s="738"/>
      <c r="M145" s="739"/>
      <c r="N145" s="738"/>
      <c r="O145" s="926"/>
      <c r="P145" s="927"/>
      <c r="Q145" s="739"/>
      <c r="R145" s="738"/>
      <c r="S145" s="739"/>
      <c r="T145" s="738"/>
      <c r="U145" s="739"/>
      <c r="V145" s="738"/>
      <c r="W145" s="739"/>
      <c r="X145" s="738"/>
      <c r="Y145" s="739"/>
      <c r="Z145" s="738"/>
      <c r="AA145" s="928"/>
    </row>
    <row r="146" spans="1:27" ht="28.5">
      <c r="A146" s="748" t="s">
        <v>3368</v>
      </c>
      <c r="B146" s="933" t="s">
        <v>3369</v>
      </c>
      <c r="C146" s="790"/>
      <c r="D146" s="738"/>
      <c r="E146" s="739"/>
      <c r="F146" s="738"/>
      <c r="G146" s="739"/>
      <c r="H146" s="738"/>
      <c r="I146" s="739"/>
      <c r="J146" s="738"/>
      <c r="K146" s="739"/>
      <c r="L146" s="738"/>
      <c r="M146" s="739"/>
      <c r="N146" s="738"/>
      <c r="O146" s="921">
        <v>5</v>
      </c>
      <c r="P146" s="922"/>
      <c r="Q146" s="739"/>
      <c r="R146" s="738"/>
      <c r="S146" s="739"/>
      <c r="T146" s="738"/>
      <c r="U146" s="739"/>
      <c r="V146" s="738"/>
      <c r="W146" s="739"/>
      <c r="X146" s="738"/>
      <c r="Y146" s="739"/>
      <c r="Z146" s="738"/>
      <c r="AA146" s="923">
        <v>10</v>
      </c>
    </row>
    <row r="147" spans="1:27" ht="14.25">
      <c r="A147" s="748" t="s">
        <v>3370</v>
      </c>
      <c r="B147" s="933" t="s">
        <v>3371</v>
      </c>
      <c r="C147" s="790"/>
      <c r="D147" s="738"/>
      <c r="E147" s="739"/>
      <c r="F147" s="738"/>
      <c r="G147" s="739"/>
      <c r="H147" s="738"/>
      <c r="I147" s="739"/>
      <c r="J147" s="738"/>
      <c r="K147" s="739"/>
      <c r="L147" s="738"/>
      <c r="M147" s="739"/>
      <c r="N147" s="738"/>
      <c r="O147" s="921">
        <v>5</v>
      </c>
      <c r="P147" s="922"/>
      <c r="Q147" s="739"/>
      <c r="R147" s="738"/>
      <c r="S147" s="739"/>
      <c r="T147" s="738"/>
      <c r="U147" s="739"/>
      <c r="V147" s="738"/>
      <c r="W147" s="739"/>
      <c r="X147" s="738"/>
      <c r="Y147" s="739"/>
      <c r="Z147" s="738"/>
      <c r="AA147" s="923">
        <v>25</v>
      </c>
    </row>
    <row r="148" spans="1:27" ht="14.25">
      <c r="A148" s="748" t="s">
        <v>3372</v>
      </c>
      <c r="B148" s="933" t="s">
        <v>3373</v>
      </c>
      <c r="C148" s="790"/>
      <c r="D148" s="738"/>
      <c r="E148" s="739"/>
      <c r="F148" s="738"/>
      <c r="G148" s="739"/>
      <c r="H148" s="738"/>
      <c r="I148" s="739"/>
      <c r="J148" s="738"/>
      <c r="K148" s="739"/>
      <c r="L148" s="738"/>
      <c r="M148" s="739"/>
      <c r="N148" s="738"/>
      <c r="O148" s="921">
        <v>5</v>
      </c>
      <c r="P148" s="922"/>
      <c r="Q148" s="739"/>
      <c r="R148" s="738"/>
      <c r="S148" s="739"/>
      <c r="T148" s="738"/>
      <c r="U148" s="739"/>
      <c r="V148" s="738"/>
      <c r="W148" s="739"/>
      <c r="X148" s="738"/>
      <c r="Y148" s="739"/>
      <c r="Z148" s="738"/>
      <c r="AA148" s="923">
        <v>15</v>
      </c>
    </row>
    <row r="149" spans="1:27" ht="14.25">
      <c r="A149" s="748" t="s">
        <v>3374</v>
      </c>
      <c r="B149" s="933" t="s">
        <v>3375</v>
      </c>
      <c r="C149" s="790"/>
      <c r="D149" s="738"/>
      <c r="E149" s="739"/>
      <c r="F149" s="738"/>
      <c r="G149" s="739"/>
      <c r="H149" s="738"/>
      <c r="I149" s="739"/>
      <c r="J149" s="738"/>
      <c r="K149" s="739"/>
      <c r="L149" s="738"/>
      <c r="M149" s="739"/>
      <c r="N149" s="738"/>
      <c r="O149" s="921">
        <v>5</v>
      </c>
      <c r="P149" s="922"/>
      <c r="Q149" s="739"/>
      <c r="R149" s="738"/>
      <c r="S149" s="739"/>
      <c r="T149" s="738"/>
      <c r="U149" s="739"/>
      <c r="V149" s="738"/>
      <c r="W149" s="739"/>
      <c r="X149" s="738"/>
      <c r="Y149" s="739"/>
      <c r="Z149" s="738"/>
      <c r="AA149" s="923">
        <v>25</v>
      </c>
    </row>
    <row r="150" spans="1:27" ht="14.25">
      <c r="A150" s="748" t="s">
        <v>3376</v>
      </c>
      <c r="B150" s="933" t="s">
        <v>3377</v>
      </c>
      <c r="C150" s="790"/>
      <c r="D150" s="738"/>
      <c r="E150" s="739"/>
      <c r="F150" s="738"/>
      <c r="G150" s="739"/>
      <c r="H150" s="738"/>
      <c r="I150" s="739"/>
      <c r="J150" s="738"/>
      <c r="K150" s="739"/>
      <c r="L150" s="738"/>
      <c r="M150" s="739"/>
      <c r="N150" s="738"/>
      <c r="O150" s="921">
        <v>3</v>
      </c>
      <c r="P150" s="922"/>
      <c r="Q150" s="739"/>
      <c r="R150" s="738"/>
      <c r="S150" s="739"/>
      <c r="T150" s="738"/>
      <c r="U150" s="739"/>
      <c r="V150" s="738"/>
      <c r="W150" s="739"/>
      <c r="X150" s="738"/>
      <c r="Y150" s="739"/>
      <c r="Z150" s="738"/>
      <c r="AA150" s="923">
        <v>10</v>
      </c>
    </row>
    <row r="151" spans="1:27" ht="14.25">
      <c r="A151" s="748" t="s">
        <v>3378</v>
      </c>
      <c r="B151" s="933" t="s">
        <v>3379</v>
      </c>
      <c r="C151" s="790"/>
      <c r="D151" s="738"/>
      <c r="E151" s="739"/>
      <c r="F151" s="738"/>
      <c r="G151" s="739"/>
      <c r="H151" s="738"/>
      <c r="I151" s="739"/>
      <c r="J151" s="738"/>
      <c r="K151" s="739"/>
      <c r="L151" s="738"/>
      <c r="M151" s="739"/>
      <c r="N151" s="738"/>
      <c r="O151" s="921">
        <v>3</v>
      </c>
      <c r="P151" s="922"/>
      <c r="Q151" s="739"/>
      <c r="R151" s="738"/>
      <c r="S151" s="739"/>
      <c r="T151" s="738"/>
      <c r="U151" s="739"/>
      <c r="V151" s="738"/>
      <c r="W151" s="739"/>
      <c r="X151" s="738"/>
      <c r="Y151" s="739"/>
      <c r="Z151" s="738"/>
      <c r="AA151" s="923">
        <v>10</v>
      </c>
    </row>
    <row r="152" spans="1:27" ht="28.5">
      <c r="A152" s="748" t="s">
        <v>3380</v>
      </c>
      <c r="B152" s="933" t="s">
        <v>3381</v>
      </c>
      <c r="C152" s="790"/>
      <c r="D152" s="738"/>
      <c r="E152" s="739"/>
      <c r="F152" s="738"/>
      <c r="G152" s="739"/>
      <c r="H152" s="738"/>
      <c r="I152" s="739"/>
      <c r="J152" s="738"/>
      <c r="K152" s="739"/>
      <c r="L152" s="738"/>
      <c r="M152" s="739"/>
      <c r="N152" s="738"/>
      <c r="O152" s="921">
        <v>3</v>
      </c>
      <c r="P152" s="922"/>
      <c r="Q152" s="739"/>
      <c r="R152" s="738"/>
      <c r="S152" s="739"/>
      <c r="T152" s="738"/>
      <c r="U152" s="739"/>
      <c r="V152" s="738"/>
      <c r="W152" s="739"/>
      <c r="X152" s="738"/>
      <c r="Y152" s="739"/>
      <c r="Z152" s="738"/>
      <c r="AA152" s="923">
        <v>10</v>
      </c>
    </row>
    <row r="153" spans="1:27" ht="28.5">
      <c r="A153" s="748" t="s">
        <v>3382</v>
      </c>
      <c r="B153" s="933" t="s">
        <v>3383</v>
      </c>
      <c r="C153" s="790"/>
      <c r="D153" s="738"/>
      <c r="E153" s="739"/>
      <c r="F153" s="738"/>
      <c r="G153" s="739"/>
      <c r="H153" s="738"/>
      <c r="I153" s="739"/>
      <c r="J153" s="738"/>
      <c r="K153" s="739"/>
      <c r="L153" s="738"/>
      <c r="M153" s="739"/>
      <c r="N153" s="738"/>
      <c r="O153" s="921">
        <v>3</v>
      </c>
      <c r="P153" s="922"/>
      <c r="Q153" s="739"/>
      <c r="R153" s="738"/>
      <c r="S153" s="739"/>
      <c r="T153" s="738"/>
      <c r="U153" s="739"/>
      <c r="V153" s="738"/>
      <c r="W153" s="739"/>
      <c r="X153" s="738"/>
      <c r="Y153" s="739"/>
      <c r="Z153" s="738"/>
      <c r="AA153" s="923">
        <v>10</v>
      </c>
    </row>
    <row r="154" spans="1:27" ht="14.25">
      <c r="A154" s="748" t="s">
        <v>3384</v>
      </c>
      <c r="B154" s="933" t="s">
        <v>3385</v>
      </c>
      <c r="C154" s="794"/>
      <c r="D154" s="745"/>
      <c r="E154" s="746"/>
      <c r="F154" s="745"/>
      <c r="G154" s="746"/>
      <c r="H154" s="745"/>
      <c r="I154" s="746"/>
      <c r="J154" s="745"/>
      <c r="K154" s="746"/>
      <c r="L154" s="745"/>
      <c r="M154" s="746"/>
      <c r="N154" s="745"/>
      <c r="O154" s="921">
        <v>3</v>
      </c>
      <c r="P154" s="922"/>
      <c r="Q154" s="746"/>
      <c r="R154" s="745"/>
      <c r="S154" s="746"/>
      <c r="T154" s="745"/>
      <c r="U154" s="746"/>
      <c r="V154" s="745"/>
      <c r="W154" s="746"/>
      <c r="X154" s="745"/>
      <c r="Y154" s="746"/>
      <c r="Z154" s="745"/>
      <c r="AA154" s="923">
        <v>10</v>
      </c>
    </row>
    <row r="155" spans="1:27" ht="14.25">
      <c r="A155" s="748" t="s">
        <v>3386</v>
      </c>
      <c r="B155" s="933" t="s">
        <v>3387</v>
      </c>
      <c r="C155" s="790"/>
      <c r="D155" s="738"/>
      <c r="E155" s="739"/>
      <c r="F155" s="738"/>
      <c r="G155" s="739"/>
      <c r="H155" s="738"/>
      <c r="I155" s="739"/>
      <c r="J155" s="738"/>
      <c r="K155" s="739"/>
      <c r="L155" s="738"/>
      <c r="M155" s="739"/>
      <c r="N155" s="738"/>
      <c r="O155" s="921">
        <v>3</v>
      </c>
      <c r="P155" s="922"/>
      <c r="Q155" s="739"/>
      <c r="R155" s="738"/>
      <c r="S155" s="739"/>
      <c r="T155" s="738"/>
      <c r="U155" s="739"/>
      <c r="V155" s="738"/>
      <c r="W155" s="739"/>
      <c r="X155" s="738"/>
      <c r="Y155" s="739"/>
      <c r="Z155" s="738"/>
      <c r="AA155" s="923">
        <v>10</v>
      </c>
    </row>
    <row r="156" spans="1:27" ht="14.25">
      <c r="A156" s="748" t="s">
        <v>3388</v>
      </c>
      <c r="B156" s="933" t="s">
        <v>3389</v>
      </c>
      <c r="C156" s="790"/>
      <c r="D156" s="738"/>
      <c r="E156" s="739"/>
      <c r="F156" s="738"/>
      <c r="G156" s="739"/>
      <c r="H156" s="738"/>
      <c r="I156" s="739"/>
      <c r="J156" s="738"/>
      <c r="K156" s="739"/>
      <c r="L156" s="738"/>
      <c r="M156" s="739"/>
      <c r="N156" s="738"/>
      <c r="O156" s="921">
        <v>3</v>
      </c>
      <c r="P156" s="922"/>
      <c r="Q156" s="739"/>
      <c r="R156" s="738"/>
      <c r="S156" s="739"/>
      <c r="T156" s="738"/>
      <c r="U156" s="739"/>
      <c r="V156" s="738"/>
      <c r="W156" s="739"/>
      <c r="X156" s="738"/>
      <c r="Y156" s="739"/>
      <c r="Z156" s="738"/>
      <c r="AA156" s="923">
        <v>10</v>
      </c>
    </row>
    <row r="157" spans="1:27" ht="14.25">
      <c r="A157" s="748" t="s">
        <v>3390</v>
      </c>
      <c r="B157" s="933" t="s">
        <v>3391</v>
      </c>
      <c r="C157" s="794"/>
      <c r="D157" s="745"/>
      <c r="E157" s="746"/>
      <c r="F157" s="745"/>
      <c r="G157" s="746"/>
      <c r="H157" s="745"/>
      <c r="I157" s="746"/>
      <c r="J157" s="745"/>
      <c r="K157" s="746"/>
      <c r="L157" s="745"/>
      <c r="M157" s="746"/>
      <c r="N157" s="745"/>
      <c r="O157" s="921">
        <v>3</v>
      </c>
      <c r="P157" s="922"/>
      <c r="Q157" s="746"/>
      <c r="R157" s="745"/>
      <c r="S157" s="746"/>
      <c r="T157" s="745"/>
      <c r="U157" s="746"/>
      <c r="V157" s="745"/>
      <c r="W157" s="746"/>
      <c r="X157" s="745"/>
      <c r="Y157" s="746"/>
      <c r="Z157" s="745"/>
      <c r="AA157" s="923">
        <v>10</v>
      </c>
    </row>
    <row r="158" spans="1:27" ht="14.25">
      <c r="A158" s="748" t="s">
        <v>3392</v>
      </c>
      <c r="B158" s="933" t="s">
        <v>3393</v>
      </c>
      <c r="C158" s="790"/>
      <c r="D158" s="738"/>
      <c r="E158" s="739"/>
      <c r="F158" s="738"/>
      <c r="G158" s="739"/>
      <c r="H158" s="738"/>
      <c r="I158" s="739"/>
      <c r="J158" s="738"/>
      <c r="K158" s="739"/>
      <c r="L158" s="738"/>
      <c r="M158" s="739"/>
      <c r="N158" s="738"/>
      <c r="O158" s="921">
        <v>3</v>
      </c>
      <c r="P158" s="922"/>
      <c r="Q158" s="739"/>
      <c r="R158" s="738"/>
      <c r="S158" s="739"/>
      <c r="T158" s="738"/>
      <c r="U158" s="739"/>
      <c r="V158" s="738"/>
      <c r="W158" s="739"/>
      <c r="X158" s="738"/>
      <c r="Y158" s="739"/>
      <c r="Z158" s="738"/>
      <c r="AA158" s="923">
        <v>10</v>
      </c>
    </row>
    <row r="159" spans="1:27" ht="14.25">
      <c r="A159" s="748" t="s">
        <v>3394</v>
      </c>
      <c r="B159" s="933" t="s">
        <v>3395</v>
      </c>
      <c r="C159" s="790"/>
      <c r="D159" s="738"/>
      <c r="E159" s="739"/>
      <c r="F159" s="738"/>
      <c r="G159" s="739"/>
      <c r="H159" s="738"/>
      <c r="I159" s="739"/>
      <c r="J159" s="738"/>
      <c r="K159" s="739"/>
      <c r="L159" s="738"/>
      <c r="M159" s="739"/>
      <c r="N159" s="738"/>
      <c r="O159" s="921">
        <v>3</v>
      </c>
      <c r="P159" s="922"/>
      <c r="Q159" s="739"/>
      <c r="R159" s="738"/>
      <c r="S159" s="739"/>
      <c r="T159" s="738"/>
      <c r="U159" s="739"/>
      <c r="V159" s="738"/>
      <c r="W159" s="739"/>
      <c r="X159" s="738"/>
      <c r="Y159" s="739"/>
      <c r="Z159" s="738"/>
      <c r="AA159" s="923">
        <v>25</v>
      </c>
    </row>
    <row r="160" spans="1:27" ht="14.25">
      <c r="A160" s="748" t="s">
        <v>3396</v>
      </c>
      <c r="B160" s="933" t="s">
        <v>3397</v>
      </c>
      <c r="C160" s="790"/>
      <c r="D160" s="738"/>
      <c r="E160" s="739"/>
      <c r="F160" s="738"/>
      <c r="G160" s="739"/>
      <c r="H160" s="738"/>
      <c r="I160" s="739"/>
      <c r="J160" s="738"/>
      <c r="K160" s="739"/>
      <c r="L160" s="738"/>
      <c r="M160" s="739"/>
      <c r="N160" s="738"/>
      <c r="O160" s="921">
        <v>2</v>
      </c>
      <c r="P160" s="922"/>
      <c r="Q160" s="739"/>
      <c r="R160" s="738"/>
      <c r="S160" s="739"/>
      <c r="T160" s="738"/>
      <c r="U160" s="739"/>
      <c r="V160" s="738"/>
      <c r="W160" s="739"/>
      <c r="X160" s="738"/>
      <c r="Y160" s="739"/>
      <c r="Z160" s="738"/>
      <c r="AA160" s="923">
        <v>5</v>
      </c>
    </row>
    <row r="161" spans="1:27" ht="14.25">
      <c r="A161" s="748" t="s">
        <v>3398</v>
      </c>
      <c r="B161" s="933" t="s">
        <v>3399</v>
      </c>
      <c r="C161" s="790"/>
      <c r="D161" s="738"/>
      <c r="E161" s="739"/>
      <c r="F161" s="738"/>
      <c r="G161" s="739"/>
      <c r="H161" s="738"/>
      <c r="I161" s="739"/>
      <c r="J161" s="738"/>
      <c r="K161" s="739"/>
      <c r="L161" s="738"/>
      <c r="M161" s="739"/>
      <c r="N161" s="738"/>
      <c r="O161" s="921">
        <v>3</v>
      </c>
      <c r="P161" s="922"/>
      <c r="Q161" s="739"/>
      <c r="R161" s="738"/>
      <c r="S161" s="739"/>
      <c r="T161" s="738"/>
      <c r="U161" s="739"/>
      <c r="V161" s="738"/>
      <c r="W161" s="739"/>
      <c r="X161" s="738"/>
      <c r="Y161" s="739"/>
      <c r="Z161" s="738"/>
      <c r="AA161" s="923">
        <v>10</v>
      </c>
    </row>
    <row r="162" spans="1:27" ht="14.25">
      <c r="A162" s="748" t="s">
        <v>3400</v>
      </c>
      <c r="B162" s="933" t="s">
        <v>3401</v>
      </c>
      <c r="C162" s="790"/>
      <c r="D162" s="738"/>
      <c r="E162" s="739"/>
      <c r="F162" s="738"/>
      <c r="G162" s="739"/>
      <c r="H162" s="738"/>
      <c r="I162" s="739"/>
      <c r="J162" s="738"/>
      <c r="K162" s="739"/>
      <c r="L162" s="738"/>
      <c r="M162" s="739"/>
      <c r="N162" s="738"/>
      <c r="O162" s="921">
        <v>3</v>
      </c>
      <c r="P162" s="922"/>
      <c r="Q162" s="739"/>
      <c r="R162" s="738"/>
      <c r="S162" s="739"/>
      <c r="T162" s="738"/>
      <c r="U162" s="739"/>
      <c r="V162" s="738"/>
      <c r="W162" s="739"/>
      <c r="X162" s="738"/>
      <c r="Y162" s="739"/>
      <c r="Z162" s="738"/>
      <c r="AA162" s="923">
        <v>10</v>
      </c>
    </row>
    <row r="163" spans="1:27" ht="14.25">
      <c r="A163" s="748" t="s">
        <v>3402</v>
      </c>
      <c r="B163" s="933" t="s">
        <v>3403</v>
      </c>
      <c r="C163" s="790"/>
      <c r="D163" s="738"/>
      <c r="E163" s="739"/>
      <c r="F163" s="738"/>
      <c r="G163" s="739"/>
      <c r="H163" s="738"/>
      <c r="I163" s="739"/>
      <c r="J163" s="738"/>
      <c r="K163" s="739"/>
      <c r="L163" s="738"/>
      <c r="M163" s="739"/>
      <c r="N163" s="738"/>
      <c r="O163" s="921">
        <v>3</v>
      </c>
      <c r="P163" s="922"/>
      <c r="Q163" s="739"/>
      <c r="R163" s="738"/>
      <c r="S163" s="739"/>
      <c r="T163" s="738"/>
      <c r="U163" s="739"/>
      <c r="V163" s="738"/>
      <c r="W163" s="739"/>
      <c r="X163" s="738"/>
      <c r="Y163" s="739"/>
      <c r="Z163" s="738"/>
      <c r="AA163" s="923">
        <v>10</v>
      </c>
    </row>
    <row r="164" spans="1:27" ht="14.25">
      <c r="A164" s="748" t="s">
        <v>3404</v>
      </c>
      <c r="B164" s="933" t="s">
        <v>3405</v>
      </c>
      <c r="C164" s="790"/>
      <c r="D164" s="738"/>
      <c r="E164" s="739"/>
      <c r="F164" s="738"/>
      <c r="G164" s="739"/>
      <c r="H164" s="738"/>
      <c r="I164" s="739"/>
      <c r="J164" s="738"/>
      <c r="K164" s="739"/>
      <c r="L164" s="738"/>
      <c r="M164" s="739"/>
      <c r="N164" s="738"/>
      <c r="O164" s="921">
        <v>5</v>
      </c>
      <c r="P164" s="922"/>
      <c r="Q164" s="739"/>
      <c r="R164" s="738"/>
      <c r="S164" s="739"/>
      <c r="T164" s="738"/>
      <c r="U164" s="739"/>
      <c r="V164" s="738"/>
      <c r="W164" s="739"/>
      <c r="X164" s="738"/>
      <c r="Y164" s="739"/>
      <c r="Z164" s="738"/>
      <c r="AA164" s="923">
        <v>10</v>
      </c>
    </row>
    <row r="165" spans="1:27" ht="14.25">
      <c r="A165" s="748" t="s">
        <v>3406</v>
      </c>
      <c r="B165" s="933" t="s">
        <v>3407</v>
      </c>
      <c r="C165" s="790"/>
      <c r="D165" s="738"/>
      <c r="E165" s="739"/>
      <c r="F165" s="738"/>
      <c r="G165" s="739"/>
      <c r="H165" s="738"/>
      <c r="I165" s="739"/>
      <c r="J165" s="738"/>
      <c r="K165" s="739"/>
      <c r="L165" s="738"/>
      <c r="M165" s="739"/>
      <c r="N165" s="738"/>
      <c r="O165" s="921">
        <v>5</v>
      </c>
      <c r="P165" s="922"/>
      <c r="Q165" s="739"/>
      <c r="R165" s="738"/>
      <c r="S165" s="739"/>
      <c r="T165" s="738"/>
      <c r="U165" s="739"/>
      <c r="V165" s="738"/>
      <c r="W165" s="739"/>
      <c r="X165" s="738"/>
      <c r="Y165" s="739"/>
      <c r="Z165" s="738"/>
      <c r="AA165" s="923">
        <v>10</v>
      </c>
    </row>
    <row r="166" spans="1:27" ht="14.25">
      <c r="A166" s="748" t="s">
        <v>3408</v>
      </c>
      <c r="B166" s="933" t="s">
        <v>3409</v>
      </c>
      <c r="C166" s="794"/>
      <c r="D166" s="745"/>
      <c r="E166" s="746"/>
      <c r="F166" s="745"/>
      <c r="G166" s="746"/>
      <c r="H166" s="745"/>
      <c r="I166" s="746"/>
      <c r="J166" s="745"/>
      <c r="K166" s="746"/>
      <c r="L166" s="745"/>
      <c r="M166" s="746"/>
      <c r="N166" s="745"/>
      <c r="O166" s="921">
        <v>10</v>
      </c>
      <c r="P166" s="922"/>
      <c r="Q166" s="746"/>
      <c r="R166" s="745"/>
      <c r="S166" s="746"/>
      <c r="T166" s="745"/>
      <c r="U166" s="746"/>
      <c r="V166" s="745"/>
      <c r="W166" s="746"/>
      <c r="X166" s="745"/>
      <c r="Y166" s="746"/>
      <c r="Z166" s="745"/>
      <c r="AA166" s="923">
        <v>25</v>
      </c>
    </row>
    <row r="167" spans="1:27" ht="14.25">
      <c r="A167" s="748" t="s">
        <v>3410</v>
      </c>
      <c r="B167" s="933" t="s">
        <v>3411</v>
      </c>
      <c r="C167" s="790"/>
      <c r="D167" s="738"/>
      <c r="E167" s="739"/>
      <c r="F167" s="738"/>
      <c r="G167" s="739"/>
      <c r="H167" s="738"/>
      <c r="I167" s="739"/>
      <c r="J167" s="738"/>
      <c r="K167" s="739"/>
      <c r="L167" s="738"/>
      <c r="M167" s="739"/>
      <c r="N167" s="738"/>
      <c r="O167" s="921">
        <v>5</v>
      </c>
      <c r="P167" s="922"/>
      <c r="Q167" s="739"/>
      <c r="R167" s="738"/>
      <c r="S167" s="739"/>
      <c r="T167" s="738"/>
      <c r="U167" s="739"/>
      <c r="V167" s="738"/>
      <c r="W167" s="739"/>
      <c r="X167" s="738"/>
      <c r="Y167" s="739"/>
      <c r="Z167" s="738"/>
      <c r="AA167" s="923">
        <v>20</v>
      </c>
    </row>
    <row r="168" spans="1:27" ht="28.5">
      <c r="A168" s="748" t="s">
        <v>3412</v>
      </c>
      <c r="B168" s="933" t="s">
        <v>3413</v>
      </c>
      <c r="C168" s="794"/>
      <c r="D168" s="745"/>
      <c r="E168" s="746"/>
      <c r="F168" s="745"/>
      <c r="G168" s="746"/>
      <c r="H168" s="745"/>
      <c r="I168" s="746"/>
      <c r="J168" s="745"/>
      <c r="K168" s="746"/>
      <c r="L168" s="745"/>
      <c r="M168" s="746"/>
      <c r="N168" s="745"/>
      <c r="O168" s="921">
        <v>5</v>
      </c>
      <c r="P168" s="922"/>
      <c r="Q168" s="746"/>
      <c r="R168" s="745"/>
      <c r="S168" s="746"/>
      <c r="T168" s="745"/>
      <c r="U168" s="746"/>
      <c r="V168" s="745"/>
      <c r="W168" s="746"/>
      <c r="X168" s="745"/>
      <c r="Y168" s="746"/>
      <c r="Z168" s="745"/>
      <c r="AA168" s="923">
        <v>20</v>
      </c>
    </row>
    <row r="169" spans="1:27" ht="28.5">
      <c r="A169" s="748" t="s">
        <v>3414</v>
      </c>
      <c r="B169" s="933" t="s">
        <v>3415</v>
      </c>
      <c r="C169" s="794"/>
      <c r="D169" s="745"/>
      <c r="E169" s="746"/>
      <c r="F169" s="745"/>
      <c r="G169" s="746"/>
      <c r="H169" s="745"/>
      <c r="I169" s="746"/>
      <c r="J169" s="745"/>
      <c r="K169" s="746"/>
      <c r="L169" s="745"/>
      <c r="M169" s="746"/>
      <c r="N169" s="745"/>
      <c r="O169" s="921">
        <v>5</v>
      </c>
      <c r="P169" s="922"/>
      <c r="Q169" s="746"/>
      <c r="R169" s="745"/>
      <c r="S169" s="746"/>
      <c r="T169" s="745"/>
      <c r="U169" s="746"/>
      <c r="V169" s="745"/>
      <c r="W169" s="746"/>
      <c r="X169" s="745"/>
      <c r="Y169" s="746"/>
      <c r="Z169" s="745"/>
      <c r="AA169" s="923">
        <v>20</v>
      </c>
    </row>
    <row r="170" spans="1:27" ht="14.25">
      <c r="A170" s="748" t="s">
        <v>3416</v>
      </c>
      <c r="B170" s="933" t="s">
        <v>3417</v>
      </c>
      <c r="C170" s="794"/>
      <c r="D170" s="745"/>
      <c r="E170" s="746"/>
      <c r="F170" s="745"/>
      <c r="G170" s="746"/>
      <c r="H170" s="745"/>
      <c r="I170" s="746"/>
      <c r="J170" s="745"/>
      <c r="K170" s="746"/>
      <c r="L170" s="745"/>
      <c r="M170" s="746"/>
      <c r="N170" s="745"/>
      <c r="O170" s="921">
        <v>5</v>
      </c>
      <c r="P170" s="922"/>
      <c r="Q170" s="746"/>
      <c r="R170" s="745"/>
      <c r="S170" s="746"/>
      <c r="T170" s="745"/>
      <c r="U170" s="746"/>
      <c r="V170" s="745"/>
      <c r="W170" s="746"/>
      <c r="X170" s="745"/>
      <c r="Y170" s="746"/>
      <c r="Z170" s="745"/>
      <c r="AA170" s="923">
        <v>10</v>
      </c>
    </row>
    <row r="171" spans="1:27" ht="14.25">
      <c r="A171" s="748" t="s">
        <v>3418</v>
      </c>
      <c r="B171" s="933" t="s">
        <v>3419</v>
      </c>
      <c r="C171" s="794"/>
      <c r="D171" s="745"/>
      <c r="E171" s="746"/>
      <c r="F171" s="745"/>
      <c r="G171" s="746"/>
      <c r="H171" s="745"/>
      <c r="I171" s="746"/>
      <c r="J171" s="745"/>
      <c r="K171" s="746"/>
      <c r="L171" s="745"/>
      <c r="M171" s="746"/>
      <c r="N171" s="745"/>
      <c r="O171" s="921">
        <v>5</v>
      </c>
      <c r="P171" s="922"/>
      <c r="Q171" s="746"/>
      <c r="R171" s="745"/>
      <c r="S171" s="746"/>
      <c r="T171" s="745"/>
      <c r="U171" s="746"/>
      <c r="V171" s="745"/>
      <c r="W171" s="746"/>
      <c r="X171" s="745"/>
      <c r="Y171" s="746"/>
      <c r="Z171" s="745"/>
      <c r="AA171" s="923">
        <v>20</v>
      </c>
    </row>
    <row r="172" spans="1:27" ht="14.25">
      <c r="A172" s="748">
        <v>6.5</v>
      </c>
      <c r="B172" s="934" t="s">
        <v>3420</v>
      </c>
      <c r="C172" s="794"/>
      <c r="D172" s="745"/>
      <c r="E172" s="746"/>
      <c r="F172" s="745"/>
      <c r="G172" s="746"/>
      <c r="H172" s="745"/>
      <c r="I172" s="746"/>
      <c r="J172" s="745"/>
      <c r="K172" s="746"/>
      <c r="L172" s="745"/>
      <c r="M172" s="746"/>
      <c r="N172" s="745"/>
      <c r="O172" s="921"/>
      <c r="P172" s="922"/>
      <c r="Q172" s="746"/>
      <c r="R172" s="745"/>
      <c r="S172" s="746"/>
      <c r="T172" s="745"/>
      <c r="U172" s="746"/>
      <c r="V172" s="745"/>
      <c r="W172" s="746"/>
      <c r="X172" s="745"/>
      <c r="Y172" s="746"/>
      <c r="Z172" s="745"/>
      <c r="AA172" s="923"/>
    </row>
    <row r="173" spans="1:27" ht="14.25">
      <c r="A173" s="748" t="s">
        <v>3421</v>
      </c>
      <c r="B173" s="930" t="s">
        <v>3422</v>
      </c>
      <c r="C173" s="794"/>
      <c r="D173" s="745"/>
      <c r="E173" s="746"/>
      <c r="F173" s="745"/>
      <c r="G173" s="746"/>
      <c r="H173" s="745"/>
      <c r="I173" s="746"/>
      <c r="J173" s="745"/>
      <c r="K173" s="746"/>
      <c r="L173" s="745"/>
      <c r="M173" s="746"/>
      <c r="N173" s="745"/>
      <c r="O173" s="921">
        <v>50</v>
      </c>
      <c r="P173" s="922">
        <v>5</v>
      </c>
      <c r="Q173" s="746"/>
      <c r="R173" s="745"/>
      <c r="S173" s="746"/>
      <c r="T173" s="745"/>
      <c r="U173" s="746"/>
      <c r="V173" s="745"/>
      <c r="W173" s="746"/>
      <c r="X173" s="745"/>
      <c r="Y173" s="746"/>
      <c r="Z173" s="745"/>
      <c r="AA173" s="923">
        <v>80</v>
      </c>
    </row>
    <row r="174" spans="1:27" ht="14.25">
      <c r="A174" s="748" t="s">
        <v>3423</v>
      </c>
      <c r="B174" s="930" t="s">
        <v>3424</v>
      </c>
      <c r="C174" s="794"/>
      <c r="D174" s="745"/>
      <c r="E174" s="746"/>
      <c r="F174" s="745"/>
      <c r="G174" s="746"/>
      <c r="H174" s="745"/>
      <c r="I174" s="746"/>
      <c r="J174" s="745"/>
      <c r="K174" s="746"/>
      <c r="L174" s="745"/>
      <c r="M174" s="746"/>
      <c r="N174" s="745"/>
      <c r="O174" s="921">
        <v>10</v>
      </c>
      <c r="P174" s="922">
        <v>2</v>
      </c>
      <c r="Q174" s="746"/>
      <c r="R174" s="745"/>
      <c r="S174" s="746"/>
      <c r="T174" s="745"/>
      <c r="U174" s="746"/>
      <c r="V174" s="745"/>
      <c r="W174" s="746"/>
      <c r="X174" s="745"/>
      <c r="Y174" s="746"/>
      <c r="Z174" s="745"/>
      <c r="AA174" s="923">
        <v>40</v>
      </c>
    </row>
    <row r="175" spans="1:27" ht="14.25">
      <c r="A175" s="748" t="s">
        <v>3425</v>
      </c>
      <c r="B175" s="930" t="s">
        <v>3426</v>
      </c>
      <c r="C175" s="794"/>
      <c r="D175" s="745"/>
      <c r="E175" s="746"/>
      <c r="F175" s="745"/>
      <c r="G175" s="746"/>
      <c r="H175" s="745"/>
      <c r="I175" s="746"/>
      <c r="J175" s="745"/>
      <c r="K175" s="746"/>
      <c r="L175" s="745"/>
      <c r="M175" s="746"/>
      <c r="N175" s="745"/>
      <c r="O175" s="921">
        <v>10</v>
      </c>
      <c r="P175" s="922">
        <v>2</v>
      </c>
      <c r="Q175" s="746"/>
      <c r="R175" s="745"/>
      <c r="S175" s="746"/>
      <c r="T175" s="745"/>
      <c r="U175" s="746"/>
      <c r="V175" s="745"/>
      <c r="W175" s="746"/>
      <c r="X175" s="745"/>
      <c r="Y175" s="746"/>
      <c r="Z175" s="745"/>
      <c r="AA175" s="923">
        <v>40</v>
      </c>
    </row>
    <row r="176" spans="1:27" ht="14.25">
      <c r="A176" s="748" t="s">
        <v>3427</v>
      </c>
      <c r="B176" s="930" t="s">
        <v>3428</v>
      </c>
      <c r="C176" s="794"/>
      <c r="D176" s="745"/>
      <c r="E176" s="746"/>
      <c r="F176" s="745"/>
      <c r="G176" s="746"/>
      <c r="H176" s="745"/>
      <c r="I176" s="746"/>
      <c r="J176" s="745"/>
      <c r="K176" s="746"/>
      <c r="L176" s="745"/>
      <c r="M176" s="746"/>
      <c r="N176" s="745"/>
      <c r="O176" s="921">
        <v>10</v>
      </c>
      <c r="P176" s="922">
        <v>2</v>
      </c>
      <c r="Q176" s="746"/>
      <c r="R176" s="745"/>
      <c r="S176" s="746"/>
      <c r="T176" s="745"/>
      <c r="U176" s="746"/>
      <c r="V176" s="745"/>
      <c r="W176" s="746"/>
      <c r="X176" s="745"/>
      <c r="Y176" s="746"/>
      <c r="Z176" s="745"/>
      <c r="AA176" s="923">
        <v>40</v>
      </c>
    </row>
    <row r="177" spans="1:27" ht="14.25">
      <c r="A177" s="748">
        <v>6.6</v>
      </c>
      <c r="B177" s="924" t="s">
        <v>3429</v>
      </c>
      <c r="C177" s="794"/>
      <c r="D177" s="745"/>
      <c r="E177" s="746"/>
      <c r="F177" s="745"/>
      <c r="G177" s="746"/>
      <c r="H177" s="745"/>
      <c r="I177" s="746"/>
      <c r="J177" s="745"/>
      <c r="K177" s="746"/>
      <c r="L177" s="745"/>
      <c r="M177" s="746"/>
      <c r="N177" s="745"/>
      <c r="O177" s="921"/>
      <c r="P177" s="922"/>
      <c r="Q177" s="746"/>
      <c r="R177" s="745"/>
      <c r="S177" s="746"/>
      <c r="T177" s="745"/>
      <c r="U177" s="746"/>
      <c r="V177" s="745"/>
      <c r="W177" s="746"/>
      <c r="X177" s="745"/>
      <c r="Y177" s="746"/>
      <c r="Z177" s="745"/>
      <c r="AA177" s="923"/>
    </row>
    <row r="178" spans="1:27" ht="14.25">
      <c r="A178" s="748" t="s">
        <v>3430</v>
      </c>
      <c r="B178" s="930" t="s">
        <v>3431</v>
      </c>
      <c r="C178" s="794"/>
      <c r="D178" s="745"/>
      <c r="E178" s="746"/>
      <c r="F178" s="745"/>
      <c r="G178" s="746"/>
      <c r="H178" s="745"/>
      <c r="I178" s="746"/>
      <c r="J178" s="745"/>
      <c r="K178" s="746"/>
      <c r="L178" s="745"/>
      <c r="M178" s="746"/>
      <c r="N178" s="745"/>
      <c r="O178" s="921">
        <v>10</v>
      </c>
      <c r="P178" s="922">
        <v>2</v>
      </c>
      <c r="Q178" s="746"/>
      <c r="R178" s="745"/>
      <c r="S178" s="746"/>
      <c r="T178" s="745"/>
      <c r="U178" s="746"/>
      <c r="V178" s="745"/>
      <c r="W178" s="746"/>
      <c r="X178" s="745"/>
      <c r="Y178" s="746"/>
      <c r="Z178" s="745"/>
      <c r="AA178" s="923">
        <v>30</v>
      </c>
    </row>
    <row r="179" spans="1:27" ht="14.25">
      <c r="A179" s="748" t="s">
        <v>3432</v>
      </c>
      <c r="B179" s="930" t="s">
        <v>3433</v>
      </c>
      <c r="C179" s="794"/>
      <c r="D179" s="745"/>
      <c r="E179" s="746"/>
      <c r="F179" s="745"/>
      <c r="G179" s="746"/>
      <c r="H179" s="745"/>
      <c r="I179" s="746"/>
      <c r="J179" s="745"/>
      <c r="K179" s="746"/>
      <c r="L179" s="745"/>
      <c r="M179" s="746"/>
      <c r="N179" s="745"/>
      <c r="O179" s="921">
        <v>10</v>
      </c>
      <c r="P179" s="922">
        <v>2</v>
      </c>
      <c r="Q179" s="746"/>
      <c r="R179" s="745"/>
      <c r="S179" s="746"/>
      <c r="T179" s="745"/>
      <c r="U179" s="746"/>
      <c r="V179" s="745"/>
      <c r="W179" s="746"/>
      <c r="X179" s="745"/>
      <c r="Y179" s="746"/>
      <c r="Z179" s="745"/>
      <c r="AA179" s="923">
        <v>30</v>
      </c>
    </row>
    <row r="180" spans="1:27" ht="14.25">
      <c r="A180" s="748" t="s">
        <v>3434</v>
      </c>
      <c r="B180" s="930" t="s">
        <v>3435</v>
      </c>
      <c r="C180" s="794"/>
      <c r="D180" s="745"/>
      <c r="E180" s="746"/>
      <c r="F180" s="745"/>
      <c r="G180" s="746"/>
      <c r="H180" s="745"/>
      <c r="I180" s="746"/>
      <c r="J180" s="745"/>
      <c r="K180" s="746"/>
      <c r="L180" s="745"/>
      <c r="M180" s="746"/>
      <c r="N180" s="745"/>
      <c r="O180" s="921">
        <v>5</v>
      </c>
      <c r="P180" s="922">
        <v>2</v>
      </c>
      <c r="Q180" s="746"/>
      <c r="R180" s="745"/>
      <c r="S180" s="746"/>
      <c r="T180" s="745"/>
      <c r="U180" s="746"/>
      <c r="V180" s="745"/>
      <c r="W180" s="746"/>
      <c r="X180" s="745"/>
      <c r="Y180" s="746"/>
      <c r="Z180" s="745"/>
      <c r="AA180" s="923">
        <v>20</v>
      </c>
    </row>
    <row r="181" spans="1:27" ht="14.25">
      <c r="A181" s="748" t="s">
        <v>3436</v>
      </c>
      <c r="B181" s="930" t="s">
        <v>3437</v>
      </c>
      <c r="C181" s="794"/>
      <c r="D181" s="745"/>
      <c r="E181" s="746"/>
      <c r="F181" s="745"/>
      <c r="G181" s="746"/>
      <c r="H181" s="745"/>
      <c r="I181" s="746"/>
      <c r="J181" s="745"/>
      <c r="K181" s="746"/>
      <c r="L181" s="745"/>
      <c r="M181" s="746"/>
      <c r="N181" s="745"/>
      <c r="O181" s="921">
        <v>10</v>
      </c>
      <c r="P181" s="922">
        <v>2</v>
      </c>
      <c r="Q181" s="746"/>
      <c r="R181" s="745"/>
      <c r="S181" s="746"/>
      <c r="T181" s="745"/>
      <c r="U181" s="746"/>
      <c r="V181" s="745"/>
      <c r="W181" s="746"/>
      <c r="X181" s="745"/>
      <c r="Y181" s="746"/>
      <c r="Z181" s="745"/>
      <c r="AA181" s="923">
        <v>40</v>
      </c>
    </row>
    <row r="182" spans="1:27" ht="14.25">
      <c r="A182" s="748" t="s">
        <v>3438</v>
      </c>
      <c r="B182" s="930" t="s">
        <v>3439</v>
      </c>
      <c r="C182" s="794"/>
      <c r="D182" s="745"/>
      <c r="E182" s="746"/>
      <c r="F182" s="745"/>
      <c r="G182" s="746"/>
      <c r="H182" s="745"/>
      <c r="I182" s="746"/>
      <c r="J182" s="745"/>
      <c r="K182" s="746"/>
      <c r="L182" s="745"/>
      <c r="M182" s="746"/>
      <c r="N182" s="745"/>
      <c r="O182" s="921">
        <v>5</v>
      </c>
      <c r="P182" s="922">
        <v>2</v>
      </c>
      <c r="Q182" s="746"/>
      <c r="R182" s="745"/>
      <c r="S182" s="746"/>
      <c r="T182" s="745"/>
      <c r="U182" s="746"/>
      <c r="V182" s="745"/>
      <c r="W182" s="746"/>
      <c r="X182" s="745"/>
      <c r="Y182" s="746"/>
      <c r="Z182" s="745"/>
      <c r="AA182" s="923">
        <v>10</v>
      </c>
    </row>
    <row r="183" spans="1:27" ht="14.25">
      <c r="A183" s="748" t="s">
        <v>3440</v>
      </c>
      <c r="B183" s="930" t="s">
        <v>3441</v>
      </c>
      <c r="C183" s="794"/>
      <c r="D183" s="745"/>
      <c r="E183" s="746"/>
      <c r="F183" s="745"/>
      <c r="G183" s="746"/>
      <c r="H183" s="745"/>
      <c r="I183" s="746"/>
      <c r="J183" s="745"/>
      <c r="K183" s="746"/>
      <c r="L183" s="745"/>
      <c r="M183" s="746"/>
      <c r="N183" s="745"/>
      <c r="O183" s="921">
        <v>5</v>
      </c>
      <c r="P183" s="922">
        <v>2</v>
      </c>
      <c r="Q183" s="746"/>
      <c r="R183" s="745"/>
      <c r="S183" s="746"/>
      <c r="T183" s="745"/>
      <c r="U183" s="746"/>
      <c r="V183" s="745"/>
      <c r="W183" s="746"/>
      <c r="X183" s="745"/>
      <c r="Y183" s="746"/>
      <c r="Z183" s="745"/>
      <c r="AA183" s="923">
        <v>10</v>
      </c>
    </row>
    <row r="184" spans="1:27" ht="14.25">
      <c r="A184" s="748">
        <v>6.7</v>
      </c>
      <c r="B184" s="924" t="s">
        <v>3442</v>
      </c>
      <c r="C184" s="794"/>
      <c r="D184" s="745"/>
      <c r="E184" s="746"/>
      <c r="F184" s="745"/>
      <c r="G184" s="746"/>
      <c r="H184" s="745"/>
      <c r="I184" s="746"/>
      <c r="J184" s="745"/>
      <c r="K184" s="746"/>
      <c r="L184" s="745"/>
      <c r="M184" s="746"/>
      <c r="N184" s="745"/>
      <c r="O184" s="921"/>
      <c r="P184" s="922"/>
      <c r="Q184" s="746"/>
      <c r="R184" s="745"/>
      <c r="S184" s="746"/>
      <c r="T184" s="745"/>
      <c r="U184" s="746"/>
      <c r="V184" s="745"/>
      <c r="W184" s="746"/>
      <c r="X184" s="745"/>
      <c r="Y184" s="746"/>
      <c r="Z184" s="745"/>
      <c r="AA184" s="923"/>
    </row>
    <row r="185" spans="1:27" ht="14.25">
      <c r="A185" s="748" t="s">
        <v>3443</v>
      </c>
      <c r="B185" s="930" t="s">
        <v>3444</v>
      </c>
      <c r="C185" s="794"/>
      <c r="D185" s="745"/>
      <c r="E185" s="746"/>
      <c r="F185" s="745"/>
      <c r="G185" s="746"/>
      <c r="H185" s="745"/>
      <c r="I185" s="746"/>
      <c r="J185" s="745"/>
      <c r="K185" s="746"/>
      <c r="L185" s="745"/>
      <c r="M185" s="746"/>
      <c r="N185" s="745"/>
      <c r="O185" s="921">
        <v>20</v>
      </c>
      <c r="P185" s="922">
        <v>5</v>
      </c>
      <c r="Q185" s="746"/>
      <c r="R185" s="745"/>
      <c r="S185" s="746"/>
      <c r="T185" s="745"/>
      <c r="U185" s="746"/>
      <c r="V185" s="745"/>
      <c r="W185" s="746"/>
      <c r="X185" s="745"/>
      <c r="Y185" s="746"/>
      <c r="Z185" s="745"/>
      <c r="AA185" s="923">
        <v>20</v>
      </c>
    </row>
    <row r="186" spans="1:27" ht="14.25">
      <c r="A186" s="748" t="s">
        <v>3445</v>
      </c>
      <c r="B186" s="930" t="s">
        <v>3446</v>
      </c>
      <c r="C186" s="794"/>
      <c r="D186" s="745"/>
      <c r="E186" s="746"/>
      <c r="F186" s="745"/>
      <c r="G186" s="746"/>
      <c r="H186" s="745"/>
      <c r="I186" s="746"/>
      <c r="J186" s="745"/>
      <c r="K186" s="746"/>
      <c r="L186" s="745"/>
      <c r="M186" s="746"/>
      <c r="N186" s="745"/>
      <c r="O186" s="921">
        <v>20</v>
      </c>
      <c r="P186" s="922">
        <v>5</v>
      </c>
      <c r="Q186" s="746"/>
      <c r="R186" s="745"/>
      <c r="S186" s="746"/>
      <c r="T186" s="745"/>
      <c r="U186" s="746"/>
      <c r="V186" s="745"/>
      <c r="W186" s="746"/>
      <c r="X186" s="745"/>
      <c r="Y186" s="746"/>
      <c r="Z186" s="745"/>
      <c r="AA186" s="923">
        <v>20</v>
      </c>
    </row>
    <row r="187" spans="1:27" ht="14.25">
      <c r="A187" s="880">
        <v>7</v>
      </c>
      <c r="B187" s="881" t="s">
        <v>3447</v>
      </c>
      <c r="C187" s="794"/>
      <c r="D187" s="745"/>
      <c r="E187" s="746"/>
      <c r="F187" s="745"/>
      <c r="G187" s="746"/>
      <c r="H187" s="745"/>
      <c r="I187" s="746"/>
      <c r="J187" s="745"/>
      <c r="K187" s="746"/>
      <c r="L187" s="745"/>
      <c r="M187" s="746"/>
      <c r="N187" s="745"/>
      <c r="O187" s="921"/>
      <c r="P187" s="922"/>
      <c r="Q187" s="746"/>
      <c r="R187" s="745"/>
      <c r="S187" s="746"/>
      <c r="T187" s="745"/>
      <c r="U187" s="746"/>
      <c r="V187" s="745"/>
      <c r="W187" s="746"/>
      <c r="X187" s="745"/>
      <c r="Y187" s="746"/>
      <c r="Z187" s="745"/>
      <c r="AA187" s="923"/>
    </row>
    <row r="188" spans="1:27" ht="14.25">
      <c r="A188" s="748">
        <v>7.1</v>
      </c>
      <c r="B188" s="934" t="s">
        <v>3448</v>
      </c>
      <c r="C188" s="794"/>
      <c r="D188" s="745"/>
      <c r="E188" s="746"/>
      <c r="F188" s="745"/>
      <c r="G188" s="746"/>
      <c r="H188" s="745"/>
      <c r="I188" s="746"/>
      <c r="J188" s="745"/>
      <c r="K188" s="746"/>
      <c r="L188" s="745"/>
      <c r="M188" s="746"/>
      <c r="N188" s="745"/>
      <c r="O188" s="921"/>
      <c r="P188" s="922"/>
      <c r="Q188" s="746"/>
      <c r="R188" s="745"/>
      <c r="S188" s="746"/>
      <c r="T188" s="745"/>
      <c r="U188" s="746"/>
      <c r="V188" s="745"/>
      <c r="W188" s="746"/>
      <c r="X188" s="745"/>
      <c r="Y188" s="746"/>
      <c r="Z188" s="745"/>
      <c r="AA188" s="923"/>
    </row>
    <row r="189" spans="1:27" ht="14.25">
      <c r="A189" s="748" t="s">
        <v>3449</v>
      </c>
      <c r="B189" s="932" t="s">
        <v>3450</v>
      </c>
      <c r="C189" s="794"/>
      <c r="D189" s="745"/>
      <c r="E189" s="746"/>
      <c r="F189" s="745"/>
      <c r="G189" s="746"/>
      <c r="H189" s="745"/>
      <c r="I189" s="746"/>
      <c r="J189" s="745"/>
      <c r="K189" s="746"/>
      <c r="L189" s="745"/>
      <c r="M189" s="746"/>
      <c r="N189" s="745"/>
      <c r="O189" s="921">
        <v>80</v>
      </c>
      <c r="P189" s="922">
        <v>10</v>
      </c>
      <c r="Q189" s="746"/>
      <c r="R189" s="745"/>
      <c r="S189" s="746"/>
      <c r="T189" s="745"/>
      <c r="U189" s="746"/>
      <c r="V189" s="745"/>
      <c r="W189" s="746"/>
      <c r="X189" s="745"/>
      <c r="Y189" s="746"/>
      <c r="Z189" s="745"/>
      <c r="AA189" s="923"/>
    </row>
    <row r="190" spans="1:27" ht="14.25">
      <c r="A190" s="748" t="s">
        <v>3451</v>
      </c>
      <c r="B190" s="930" t="s">
        <v>3452</v>
      </c>
      <c r="C190" s="794"/>
      <c r="D190" s="745"/>
      <c r="E190" s="746"/>
      <c r="F190" s="745"/>
      <c r="G190" s="746"/>
      <c r="H190" s="745"/>
      <c r="I190" s="746"/>
      <c r="J190" s="745"/>
      <c r="K190" s="746"/>
      <c r="L190" s="745"/>
      <c r="M190" s="746"/>
      <c r="N190" s="745"/>
      <c r="O190" s="921">
        <v>120</v>
      </c>
      <c r="P190" s="922">
        <v>10</v>
      </c>
      <c r="Q190" s="746"/>
      <c r="R190" s="745"/>
      <c r="S190" s="746"/>
      <c r="T190" s="745"/>
      <c r="U190" s="746"/>
      <c r="V190" s="745"/>
      <c r="W190" s="746"/>
      <c r="X190" s="745"/>
      <c r="Y190" s="746"/>
      <c r="Z190" s="745"/>
      <c r="AA190" s="923"/>
    </row>
    <row r="191" spans="1:27" ht="14.25">
      <c r="A191" s="748" t="s">
        <v>3453</v>
      </c>
      <c r="B191" s="930" t="s">
        <v>3454</v>
      </c>
      <c r="C191" s="794"/>
      <c r="D191" s="745"/>
      <c r="E191" s="746"/>
      <c r="F191" s="745"/>
      <c r="G191" s="746"/>
      <c r="H191" s="745"/>
      <c r="I191" s="746"/>
      <c r="J191" s="745"/>
      <c r="K191" s="746"/>
      <c r="L191" s="745"/>
      <c r="M191" s="746"/>
      <c r="N191" s="745"/>
      <c r="O191" s="921">
        <v>50</v>
      </c>
      <c r="P191" s="922">
        <v>10</v>
      </c>
      <c r="Q191" s="746"/>
      <c r="R191" s="745"/>
      <c r="S191" s="746"/>
      <c r="T191" s="745"/>
      <c r="U191" s="746"/>
      <c r="V191" s="745"/>
      <c r="W191" s="746"/>
      <c r="X191" s="745"/>
      <c r="Y191" s="746"/>
      <c r="Z191" s="745"/>
      <c r="AA191" s="923"/>
    </row>
    <row r="192" spans="1:27" ht="14.25">
      <c r="A192" s="748" t="s">
        <v>3455</v>
      </c>
      <c r="B192" s="930" t="s">
        <v>3456</v>
      </c>
      <c r="C192" s="794"/>
      <c r="D192" s="745"/>
      <c r="E192" s="746"/>
      <c r="F192" s="745"/>
      <c r="G192" s="746"/>
      <c r="H192" s="745"/>
      <c r="I192" s="746"/>
      <c r="J192" s="745"/>
      <c r="K192" s="746"/>
      <c r="L192" s="745"/>
      <c r="M192" s="746"/>
      <c r="N192" s="745"/>
      <c r="O192" s="921">
        <v>50</v>
      </c>
      <c r="P192" s="922">
        <v>10</v>
      </c>
      <c r="Q192" s="746"/>
      <c r="R192" s="745"/>
      <c r="S192" s="746"/>
      <c r="T192" s="745"/>
      <c r="U192" s="746"/>
      <c r="V192" s="745"/>
      <c r="W192" s="746"/>
      <c r="X192" s="745"/>
      <c r="Y192" s="746"/>
      <c r="Z192" s="745"/>
      <c r="AA192" s="923"/>
    </row>
    <row r="193" spans="1:27" ht="14.25">
      <c r="A193" s="748" t="s">
        <v>3457</v>
      </c>
      <c r="B193" s="930" t="s">
        <v>3458</v>
      </c>
      <c r="C193" s="794"/>
      <c r="D193" s="745"/>
      <c r="E193" s="746"/>
      <c r="F193" s="745"/>
      <c r="G193" s="746"/>
      <c r="H193" s="745"/>
      <c r="I193" s="746"/>
      <c r="J193" s="745"/>
      <c r="K193" s="746"/>
      <c r="L193" s="745"/>
      <c r="M193" s="746"/>
      <c r="N193" s="745"/>
      <c r="O193" s="921">
        <v>150</v>
      </c>
      <c r="P193" s="922">
        <v>25</v>
      </c>
      <c r="Q193" s="746"/>
      <c r="R193" s="745"/>
      <c r="S193" s="746"/>
      <c r="T193" s="745"/>
      <c r="U193" s="746"/>
      <c r="V193" s="745"/>
      <c r="W193" s="746"/>
      <c r="X193" s="745"/>
      <c r="Y193" s="746"/>
      <c r="Z193" s="745"/>
      <c r="AA193" s="923"/>
    </row>
    <row r="194" spans="1:27" ht="14.25">
      <c r="A194" s="748" t="s">
        <v>3459</v>
      </c>
      <c r="B194" s="930" t="s">
        <v>3460</v>
      </c>
      <c r="C194" s="794"/>
      <c r="D194" s="745"/>
      <c r="E194" s="746"/>
      <c r="F194" s="745"/>
      <c r="G194" s="746"/>
      <c r="H194" s="745"/>
      <c r="I194" s="746"/>
      <c r="J194" s="745"/>
      <c r="K194" s="746"/>
      <c r="L194" s="745"/>
      <c r="M194" s="746"/>
      <c r="N194" s="745"/>
      <c r="O194" s="921">
        <v>50</v>
      </c>
      <c r="P194" s="922">
        <v>10</v>
      </c>
      <c r="Q194" s="746"/>
      <c r="R194" s="745"/>
      <c r="S194" s="746"/>
      <c r="T194" s="745"/>
      <c r="U194" s="746"/>
      <c r="V194" s="745"/>
      <c r="W194" s="746"/>
      <c r="X194" s="745"/>
      <c r="Y194" s="746"/>
      <c r="Z194" s="745"/>
      <c r="AA194" s="923"/>
    </row>
    <row r="195" spans="1:27" ht="14.25">
      <c r="A195" s="748" t="s">
        <v>3461</v>
      </c>
      <c r="B195" s="930" t="s">
        <v>3462</v>
      </c>
      <c r="C195" s="794"/>
      <c r="D195" s="745"/>
      <c r="E195" s="746"/>
      <c r="F195" s="745"/>
      <c r="G195" s="746"/>
      <c r="H195" s="745"/>
      <c r="I195" s="746"/>
      <c r="J195" s="745"/>
      <c r="K195" s="746"/>
      <c r="L195" s="745"/>
      <c r="M195" s="746"/>
      <c r="N195" s="745"/>
      <c r="O195" s="921">
        <v>40</v>
      </c>
      <c r="P195" s="922">
        <v>10</v>
      </c>
      <c r="Q195" s="746"/>
      <c r="R195" s="745"/>
      <c r="S195" s="746"/>
      <c r="T195" s="745"/>
      <c r="U195" s="746"/>
      <c r="V195" s="745"/>
      <c r="W195" s="746"/>
      <c r="X195" s="745"/>
      <c r="Y195" s="746"/>
      <c r="Z195" s="745"/>
      <c r="AA195" s="923"/>
    </row>
    <row r="196" spans="1:27" ht="14.25">
      <c r="A196" s="748" t="s">
        <v>3463</v>
      </c>
      <c r="B196" s="930" t="s">
        <v>3464</v>
      </c>
      <c r="C196" s="794"/>
      <c r="D196" s="745"/>
      <c r="E196" s="746"/>
      <c r="F196" s="745"/>
      <c r="G196" s="746"/>
      <c r="H196" s="745"/>
      <c r="I196" s="746"/>
      <c r="J196" s="745"/>
      <c r="K196" s="746"/>
      <c r="L196" s="745"/>
      <c r="M196" s="746"/>
      <c r="N196" s="745"/>
      <c r="O196" s="921">
        <v>20</v>
      </c>
      <c r="P196" s="922">
        <v>5</v>
      </c>
      <c r="Q196" s="746"/>
      <c r="R196" s="745"/>
      <c r="S196" s="746"/>
      <c r="T196" s="745"/>
      <c r="U196" s="746"/>
      <c r="V196" s="745"/>
      <c r="W196" s="746"/>
      <c r="X196" s="745"/>
      <c r="Y196" s="746"/>
      <c r="Z196" s="745"/>
      <c r="AA196" s="923"/>
    </row>
    <row r="197" spans="1:27" ht="14.25">
      <c r="A197" s="748" t="s">
        <v>3465</v>
      </c>
      <c r="B197" s="930" t="s">
        <v>3466</v>
      </c>
      <c r="C197" s="794"/>
      <c r="D197" s="745"/>
      <c r="E197" s="746"/>
      <c r="F197" s="745"/>
      <c r="G197" s="746"/>
      <c r="H197" s="745"/>
      <c r="I197" s="746"/>
      <c r="J197" s="745"/>
      <c r="K197" s="746"/>
      <c r="L197" s="745"/>
      <c r="M197" s="746"/>
      <c r="N197" s="745"/>
      <c r="O197" s="921">
        <v>20</v>
      </c>
      <c r="P197" s="922">
        <v>5</v>
      </c>
      <c r="Q197" s="746"/>
      <c r="R197" s="745"/>
      <c r="S197" s="746"/>
      <c r="T197" s="745"/>
      <c r="U197" s="746"/>
      <c r="V197" s="745"/>
      <c r="W197" s="746"/>
      <c r="X197" s="745"/>
      <c r="Y197" s="746"/>
      <c r="Z197" s="745"/>
      <c r="AA197" s="923"/>
    </row>
    <row r="198" spans="1:27" ht="14.25">
      <c r="A198" s="748">
        <v>7.2</v>
      </c>
      <c r="B198" s="935" t="s">
        <v>3467</v>
      </c>
      <c r="C198" s="794"/>
      <c r="D198" s="745"/>
      <c r="E198" s="746"/>
      <c r="F198" s="745"/>
      <c r="G198" s="746"/>
      <c r="H198" s="745"/>
      <c r="I198" s="746"/>
      <c r="J198" s="745"/>
      <c r="K198" s="746"/>
      <c r="L198" s="745"/>
      <c r="M198" s="746"/>
      <c r="N198" s="745"/>
      <c r="O198" s="921"/>
      <c r="P198" s="922"/>
      <c r="Q198" s="746"/>
      <c r="R198" s="745"/>
      <c r="S198" s="746"/>
      <c r="T198" s="745"/>
      <c r="U198" s="746"/>
      <c r="V198" s="745"/>
      <c r="W198" s="746"/>
      <c r="X198" s="745"/>
      <c r="Y198" s="746"/>
      <c r="Z198" s="745"/>
      <c r="AA198" s="923"/>
    </row>
    <row r="199" spans="1:27" ht="14.25">
      <c r="A199" s="748" t="s">
        <v>3468</v>
      </c>
      <c r="B199" s="930" t="s">
        <v>3469</v>
      </c>
      <c r="C199" s="794"/>
      <c r="D199" s="745"/>
      <c r="E199" s="746"/>
      <c r="F199" s="745"/>
      <c r="G199" s="746"/>
      <c r="H199" s="745"/>
      <c r="I199" s="746"/>
      <c r="J199" s="745"/>
      <c r="K199" s="746"/>
      <c r="L199" s="745"/>
      <c r="M199" s="746"/>
      <c r="N199" s="745"/>
      <c r="O199" s="921">
        <v>25</v>
      </c>
      <c r="P199" s="922">
        <v>15</v>
      </c>
      <c r="Q199" s="746"/>
      <c r="R199" s="745"/>
      <c r="S199" s="746"/>
      <c r="T199" s="745"/>
      <c r="U199" s="746"/>
      <c r="V199" s="745"/>
      <c r="W199" s="746"/>
      <c r="X199" s="745"/>
      <c r="Y199" s="746"/>
      <c r="Z199" s="745"/>
      <c r="AA199" s="923"/>
    </row>
    <row r="200" spans="1:27" ht="14.25">
      <c r="A200" s="748" t="s">
        <v>3470</v>
      </c>
      <c r="B200" s="930" t="s">
        <v>3471</v>
      </c>
      <c r="C200" s="794"/>
      <c r="D200" s="745"/>
      <c r="E200" s="746"/>
      <c r="F200" s="745"/>
      <c r="G200" s="746"/>
      <c r="H200" s="745"/>
      <c r="I200" s="746"/>
      <c r="J200" s="745"/>
      <c r="K200" s="746"/>
      <c r="L200" s="745"/>
      <c r="M200" s="746"/>
      <c r="N200" s="745"/>
      <c r="O200" s="921">
        <v>25</v>
      </c>
      <c r="P200" s="922">
        <v>10</v>
      </c>
      <c r="Q200" s="746"/>
      <c r="R200" s="745"/>
      <c r="S200" s="746"/>
      <c r="T200" s="745"/>
      <c r="U200" s="746"/>
      <c r="V200" s="745"/>
      <c r="W200" s="746"/>
      <c r="X200" s="745"/>
      <c r="Y200" s="746"/>
      <c r="Z200" s="745"/>
      <c r="AA200" s="923"/>
    </row>
    <row r="201" spans="1:27" ht="14.25">
      <c r="A201" s="748" t="s">
        <v>3472</v>
      </c>
      <c r="B201" s="930" t="s">
        <v>3473</v>
      </c>
      <c r="C201" s="794"/>
      <c r="D201" s="745"/>
      <c r="E201" s="746"/>
      <c r="F201" s="745"/>
      <c r="G201" s="746"/>
      <c r="H201" s="745"/>
      <c r="I201" s="746"/>
      <c r="J201" s="745"/>
      <c r="K201" s="746"/>
      <c r="L201" s="745"/>
      <c r="M201" s="746"/>
      <c r="N201" s="745"/>
      <c r="O201" s="921">
        <v>15</v>
      </c>
      <c r="P201" s="922">
        <v>10</v>
      </c>
      <c r="Q201" s="746"/>
      <c r="R201" s="745"/>
      <c r="S201" s="746"/>
      <c r="T201" s="745"/>
      <c r="U201" s="746"/>
      <c r="V201" s="745"/>
      <c r="W201" s="746"/>
      <c r="X201" s="745"/>
      <c r="Y201" s="746"/>
      <c r="Z201" s="745"/>
      <c r="AA201" s="923"/>
    </row>
    <row r="202" spans="1:27" ht="14.25">
      <c r="A202" s="748" t="s">
        <v>3474</v>
      </c>
      <c r="B202" s="930" t="s">
        <v>3475</v>
      </c>
      <c r="C202" s="794"/>
      <c r="D202" s="745"/>
      <c r="E202" s="746"/>
      <c r="F202" s="745"/>
      <c r="G202" s="746"/>
      <c r="H202" s="745"/>
      <c r="I202" s="746"/>
      <c r="J202" s="745"/>
      <c r="K202" s="746"/>
      <c r="L202" s="745"/>
      <c r="M202" s="746"/>
      <c r="N202" s="745"/>
      <c r="O202" s="921">
        <v>20</v>
      </c>
      <c r="P202" s="922">
        <v>15</v>
      </c>
      <c r="Q202" s="746"/>
      <c r="R202" s="745"/>
      <c r="S202" s="746"/>
      <c r="T202" s="745"/>
      <c r="U202" s="746"/>
      <c r="V202" s="745"/>
      <c r="W202" s="746"/>
      <c r="X202" s="745"/>
      <c r="Y202" s="746"/>
      <c r="Z202" s="745"/>
      <c r="AA202" s="923"/>
    </row>
    <row r="203" spans="1:27" ht="14.25">
      <c r="A203" s="748" t="s">
        <v>3476</v>
      </c>
      <c r="B203" s="930" t="s">
        <v>3477</v>
      </c>
      <c r="C203" s="794"/>
      <c r="D203" s="745"/>
      <c r="E203" s="746"/>
      <c r="F203" s="745"/>
      <c r="G203" s="746"/>
      <c r="H203" s="745"/>
      <c r="I203" s="746"/>
      <c r="J203" s="745"/>
      <c r="K203" s="746"/>
      <c r="L203" s="745"/>
      <c r="M203" s="746"/>
      <c r="N203" s="745"/>
      <c r="O203" s="921">
        <v>25</v>
      </c>
      <c r="P203" s="922">
        <v>15</v>
      </c>
      <c r="Q203" s="746"/>
      <c r="R203" s="745"/>
      <c r="S203" s="746"/>
      <c r="T203" s="745"/>
      <c r="U203" s="746"/>
      <c r="V203" s="745"/>
      <c r="W203" s="746"/>
      <c r="X203" s="745"/>
      <c r="Y203" s="746"/>
      <c r="Z203" s="745"/>
      <c r="AA203" s="923"/>
    </row>
    <row r="204" spans="1:27" ht="14.25">
      <c r="A204" s="748" t="s">
        <v>3478</v>
      </c>
      <c r="B204" s="930" t="s">
        <v>3479</v>
      </c>
      <c r="C204" s="794"/>
      <c r="D204" s="745"/>
      <c r="E204" s="746"/>
      <c r="F204" s="745"/>
      <c r="G204" s="746"/>
      <c r="H204" s="745"/>
      <c r="I204" s="746"/>
      <c r="J204" s="745"/>
      <c r="K204" s="746"/>
      <c r="L204" s="745"/>
      <c r="M204" s="746"/>
      <c r="N204" s="745"/>
      <c r="O204" s="921">
        <v>10</v>
      </c>
      <c r="P204" s="922">
        <v>5</v>
      </c>
      <c r="Q204" s="746"/>
      <c r="R204" s="745"/>
      <c r="S204" s="746"/>
      <c r="T204" s="745"/>
      <c r="U204" s="746"/>
      <c r="V204" s="745"/>
      <c r="W204" s="746"/>
      <c r="X204" s="745"/>
      <c r="Y204" s="746"/>
      <c r="Z204" s="745"/>
      <c r="AA204" s="923"/>
    </row>
    <row r="205" spans="1:27" ht="14.25">
      <c r="A205" s="748" t="s">
        <v>3480</v>
      </c>
      <c r="B205" s="930" t="s">
        <v>3481</v>
      </c>
      <c r="C205" s="794"/>
      <c r="D205" s="745"/>
      <c r="E205" s="746"/>
      <c r="F205" s="745"/>
      <c r="G205" s="746"/>
      <c r="H205" s="745"/>
      <c r="I205" s="746"/>
      <c r="J205" s="745"/>
      <c r="K205" s="746"/>
      <c r="L205" s="745"/>
      <c r="M205" s="746"/>
      <c r="N205" s="745"/>
      <c r="O205" s="921">
        <v>25</v>
      </c>
      <c r="P205" s="922">
        <v>20</v>
      </c>
      <c r="Q205" s="746"/>
      <c r="R205" s="745"/>
      <c r="S205" s="746"/>
      <c r="T205" s="745"/>
      <c r="U205" s="746"/>
      <c r="V205" s="745"/>
      <c r="W205" s="746"/>
      <c r="X205" s="745"/>
      <c r="Y205" s="746"/>
      <c r="Z205" s="745"/>
      <c r="AA205" s="923"/>
    </row>
    <row r="206" spans="1:27" ht="14.25">
      <c r="A206" s="748" t="s">
        <v>3482</v>
      </c>
      <c r="B206" s="930" t="s">
        <v>3483</v>
      </c>
      <c r="C206" s="794"/>
      <c r="D206" s="745"/>
      <c r="E206" s="746"/>
      <c r="F206" s="745"/>
      <c r="G206" s="746"/>
      <c r="H206" s="745"/>
      <c r="I206" s="746"/>
      <c r="J206" s="745"/>
      <c r="K206" s="746"/>
      <c r="L206" s="745"/>
      <c r="M206" s="746"/>
      <c r="N206" s="745"/>
      <c r="O206" s="921">
        <v>20</v>
      </c>
      <c r="P206" s="922">
        <v>15</v>
      </c>
      <c r="Q206" s="746"/>
      <c r="R206" s="745"/>
      <c r="S206" s="746"/>
      <c r="T206" s="745"/>
      <c r="U206" s="746"/>
      <c r="V206" s="745"/>
      <c r="W206" s="746"/>
      <c r="X206" s="745"/>
      <c r="Y206" s="746"/>
      <c r="Z206" s="745"/>
      <c r="AA206" s="923"/>
    </row>
    <row r="207" spans="1:27" ht="14.25">
      <c r="A207" s="748" t="s">
        <v>3484</v>
      </c>
      <c r="B207" s="930" t="s">
        <v>3485</v>
      </c>
      <c r="C207" s="794"/>
      <c r="D207" s="745"/>
      <c r="E207" s="746"/>
      <c r="F207" s="745"/>
      <c r="G207" s="746"/>
      <c r="H207" s="745"/>
      <c r="I207" s="746"/>
      <c r="J207" s="745"/>
      <c r="K207" s="746"/>
      <c r="L207" s="745"/>
      <c r="M207" s="746"/>
      <c r="N207" s="745"/>
      <c r="O207" s="921">
        <v>20</v>
      </c>
      <c r="P207" s="922">
        <v>15</v>
      </c>
      <c r="Q207" s="746"/>
      <c r="R207" s="745"/>
      <c r="S207" s="746"/>
      <c r="T207" s="745"/>
      <c r="U207" s="746"/>
      <c r="V207" s="745"/>
      <c r="W207" s="746"/>
      <c r="X207" s="745"/>
      <c r="Y207" s="746"/>
      <c r="Z207" s="745"/>
      <c r="AA207" s="923"/>
    </row>
    <row r="208" spans="1:27" ht="14.25">
      <c r="A208" s="748" t="s">
        <v>3486</v>
      </c>
      <c r="B208" s="930" t="s">
        <v>3487</v>
      </c>
      <c r="C208" s="794"/>
      <c r="D208" s="745"/>
      <c r="E208" s="746"/>
      <c r="F208" s="745"/>
      <c r="G208" s="746"/>
      <c r="H208" s="745"/>
      <c r="I208" s="746"/>
      <c r="J208" s="745"/>
      <c r="K208" s="746"/>
      <c r="L208" s="745"/>
      <c r="M208" s="746"/>
      <c r="N208" s="745"/>
      <c r="O208" s="921">
        <v>30</v>
      </c>
      <c r="P208" s="922">
        <v>15</v>
      </c>
      <c r="Q208" s="746"/>
      <c r="R208" s="745"/>
      <c r="S208" s="746"/>
      <c r="T208" s="745"/>
      <c r="U208" s="746"/>
      <c r="V208" s="745"/>
      <c r="W208" s="746"/>
      <c r="X208" s="745"/>
      <c r="Y208" s="746"/>
      <c r="Z208" s="745"/>
      <c r="AA208" s="923"/>
    </row>
    <row r="209" spans="1:27" ht="14.25">
      <c r="A209" s="748" t="s">
        <v>3488</v>
      </c>
      <c r="B209" s="930" t="s">
        <v>3489</v>
      </c>
      <c r="C209" s="794"/>
      <c r="D209" s="745"/>
      <c r="E209" s="746"/>
      <c r="F209" s="745"/>
      <c r="G209" s="746"/>
      <c r="H209" s="745"/>
      <c r="I209" s="746"/>
      <c r="J209" s="745"/>
      <c r="K209" s="746"/>
      <c r="L209" s="745"/>
      <c r="M209" s="746"/>
      <c r="N209" s="745"/>
      <c r="O209" s="921">
        <v>50</v>
      </c>
      <c r="P209" s="922">
        <v>25</v>
      </c>
      <c r="Q209" s="746"/>
      <c r="R209" s="745"/>
      <c r="S209" s="746"/>
      <c r="T209" s="745"/>
      <c r="U209" s="746"/>
      <c r="V209" s="745"/>
      <c r="W209" s="746"/>
      <c r="X209" s="745"/>
      <c r="Y209" s="746"/>
      <c r="Z209" s="745"/>
      <c r="AA209" s="923"/>
    </row>
    <row r="210" spans="1:27" ht="14.25">
      <c r="A210" s="748" t="s">
        <v>3490</v>
      </c>
      <c r="B210" s="930" t="s">
        <v>3491</v>
      </c>
      <c r="C210" s="794"/>
      <c r="D210" s="745"/>
      <c r="E210" s="746"/>
      <c r="F210" s="745"/>
      <c r="G210" s="746"/>
      <c r="H210" s="745"/>
      <c r="I210" s="746"/>
      <c r="J210" s="745"/>
      <c r="K210" s="746"/>
      <c r="L210" s="745"/>
      <c r="M210" s="746"/>
      <c r="N210" s="745"/>
      <c r="O210" s="921">
        <v>40</v>
      </c>
      <c r="P210" s="922">
        <v>15</v>
      </c>
      <c r="Q210" s="746"/>
      <c r="R210" s="745"/>
      <c r="S210" s="746"/>
      <c r="T210" s="745"/>
      <c r="U210" s="746"/>
      <c r="V210" s="745"/>
      <c r="W210" s="746"/>
      <c r="X210" s="745"/>
      <c r="Y210" s="746"/>
      <c r="Z210" s="745"/>
      <c r="AA210" s="923"/>
    </row>
    <row r="211" spans="1:27" ht="14.25">
      <c r="A211" s="748" t="s">
        <v>3492</v>
      </c>
      <c r="B211" s="930" t="s">
        <v>3493</v>
      </c>
      <c r="C211" s="794"/>
      <c r="D211" s="745"/>
      <c r="E211" s="746"/>
      <c r="F211" s="745"/>
      <c r="G211" s="746"/>
      <c r="H211" s="745"/>
      <c r="I211" s="746"/>
      <c r="J211" s="745"/>
      <c r="K211" s="746"/>
      <c r="L211" s="745"/>
      <c r="M211" s="746"/>
      <c r="N211" s="745"/>
      <c r="O211" s="921">
        <v>30</v>
      </c>
      <c r="P211" s="922">
        <v>10</v>
      </c>
      <c r="Q211" s="746"/>
      <c r="R211" s="745"/>
      <c r="S211" s="746"/>
      <c r="T211" s="745"/>
      <c r="U211" s="746"/>
      <c r="V211" s="745"/>
      <c r="W211" s="746"/>
      <c r="X211" s="745"/>
      <c r="Y211" s="746"/>
      <c r="Z211" s="745"/>
      <c r="AA211" s="923"/>
    </row>
    <row r="212" spans="1:27" ht="14.25">
      <c r="A212" s="748" t="s">
        <v>3494</v>
      </c>
      <c r="B212" s="930" t="s">
        <v>3495</v>
      </c>
      <c r="C212" s="794"/>
      <c r="D212" s="745"/>
      <c r="E212" s="746"/>
      <c r="F212" s="745"/>
      <c r="G212" s="746"/>
      <c r="H212" s="745"/>
      <c r="I212" s="746"/>
      <c r="J212" s="745"/>
      <c r="K212" s="746"/>
      <c r="L212" s="745"/>
      <c r="M212" s="746"/>
      <c r="N212" s="745"/>
      <c r="O212" s="921">
        <v>20</v>
      </c>
      <c r="P212" s="922">
        <v>5</v>
      </c>
      <c r="Q212" s="746"/>
      <c r="R212" s="745"/>
      <c r="S212" s="746"/>
      <c r="T212" s="745"/>
      <c r="U212" s="746"/>
      <c r="V212" s="745"/>
      <c r="W212" s="746"/>
      <c r="X212" s="745"/>
      <c r="Y212" s="746"/>
      <c r="Z212" s="745"/>
      <c r="AA212" s="923"/>
    </row>
    <row r="213" spans="1:27" ht="14.25">
      <c r="A213" s="748">
        <v>7.3</v>
      </c>
      <c r="B213" s="924" t="s">
        <v>3496</v>
      </c>
      <c r="C213" s="794"/>
      <c r="D213" s="745"/>
      <c r="E213" s="746"/>
      <c r="F213" s="745"/>
      <c r="G213" s="746"/>
      <c r="H213" s="745"/>
      <c r="I213" s="746"/>
      <c r="J213" s="745"/>
      <c r="K213" s="746"/>
      <c r="L213" s="745"/>
      <c r="M213" s="746"/>
      <c r="N213" s="745"/>
      <c r="O213" s="921"/>
      <c r="P213" s="922"/>
      <c r="Q213" s="746"/>
      <c r="R213" s="745"/>
      <c r="S213" s="746"/>
      <c r="T213" s="745"/>
      <c r="U213" s="746"/>
      <c r="V213" s="745"/>
      <c r="W213" s="746"/>
      <c r="X213" s="745"/>
      <c r="Y213" s="746"/>
      <c r="Z213" s="745"/>
      <c r="AA213" s="923"/>
    </row>
    <row r="214" spans="1:27" ht="14.25">
      <c r="A214" s="748" t="s">
        <v>3497</v>
      </c>
      <c r="B214" s="930" t="s">
        <v>3498</v>
      </c>
      <c r="C214" s="794"/>
      <c r="D214" s="745"/>
      <c r="E214" s="746"/>
      <c r="F214" s="745"/>
      <c r="G214" s="746"/>
      <c r="H214" s="745"/>
      <c r="I214" s="746"/>
      <c r="J214" s="745"/>
      <c r="K214" s="746"/>
      <c r="L214" s="745"/>
      <c r="M214" s="746"/>
      <c r="N214" s="745"/>
      <c r="O214" s="921">
        <v>40</v>
      </c>
      <c r="P214" s="922">
        <v>15</v>
      </c>
      <c r="Q214" s="746"/>
      <c r="R214" s="745"/>
      <c r="S214" s="746"/>
      <c r="T214" s="745"/>
      <c r="U214" s="746"/>
      <c r="V214" s="745"/>
      <c r="W214" s="746"/>
      <c r="X214" s="745"/>
      <c r="Y214" s="746"/>
      <c r="Z214" s="745"/>
      <c r="AA214" s="923"/>
    </row>
    <row r="215" spans="1:27" ht="14.25">
      <c r="A215" s="748" t="s">
        <v>3499</v>
      </c>
      <c r="B215" s="930" t="s">
        <v>3500</v>
      </c>
      <c r="C215" s="794"/>
      <c r="D215" s="745"/>
      <c r="E215" s="746"/>
      <c r="F215" s="745"/>
      <c r="G215" s="746"/>
      <c r="H215" s="745"/>
      <c r="I215" s="746"/>
      <c r="J215" s="745"/>
      <c r="K215" s="746"/>
      <c r="L215" s="745"/>
      <c r="M215" s="746"/>
      <c r="N215" s="745"/>
      <c r="O215" s="921">
        <v>40</v>
      </c>
      <c r="P215" s="922">
        <v>10</v>
      </c>
      <c r="Q215" s="746"/>
      <c r="R215" s="745"/>
      <c r="S215" s="746"/>
      <c r="T215" s="745"/>
      <c r="U215" s="746"/>
      <c r="V215" s="745"/>
      <c r="W215" s="746"/>
      <c r="X215" s="745"/>
      <c r="Y215" s="746"/>
      <c r="Z215" s="745"/>
      <c r="AA215" s="923"/>
    </row>
    <row r="216" spans="1:27" ht="14.25">
      <c r="A216" s="748" t="s">
        <v>3501</v>
      </c>
      <c r="B216" s="930" t="s">
        <v>3502</v>
      </c>
      <c r="C216" s="794"/>
      <c r="D216" s="745"/>
      <c r="E216" s="746"/>
      <c r="F216" s="745"/>
      <c r="G216" s="746"/>
      <c r="H216" s="745"/>
      <c r="I216" s="746"/>
      <c r="J216" s="745"/>
      <c r="K216" s="746"/>
      <c r="L216" s="745"/>
      <c r="M216" s="746"/>
      <c r="N216" s="745"/>
      <c r="O216" s="921">
        <v>40</v>
      </c>
      <c r="P216" s="922">
        <v>10</v>
      </c>
      <c r="Q216" s="746"/>
      <c r="R216" s="745"/>
      <c r="S216" s="746"/>
      <c r="T216" s="745"/>
      <c r="U216" s="746"/>
      <c r="V216" s="745"/>
      <c r="W216" s="746"/>
      <c r="X216" s="745"/>
      <c r="Y216" s="746"/>
      <c r="Z216" s="745"/>
      <c r="AA216" s="923"/>
    </row>
    <row r="217" spans="1:27" ht="14.25">
      <c r="A217" s="748" t="s">
        <v>3503</v>
      </c>
      <c r="B217" s="930" t="s">
        <v>3504</v>
      </c>
      <c r="C217" s="794"/>
      <c r="D217" s="745"/>
      <c r="E217" s="746"/>
      <c r="F217" s="745"/>
      <c r="G217" s="746"/>
      <c r="H217" s="745"/>
      <c r="I217" s="746"/>
      <c r="J217" s="745"/>
      <c r="K217" s="746"/>
      <c r="L217" s="745"/>
      <c r="M217" s="746"/>
      <c r="N217" s="745"/>
      <c r="O217" s="921">
        <v>80</v>
      </c>
      <c r="P217" s="922">
        <v>30</v>
      </c>
      <c r="Q217" s="746"/>
      <c r="R217" s="745"/>
      <c r="S217" s="746"/>
      <c r="T217" s="745"/>
      <c r="U217" s="746"/>
      <c r="V217" s="745"/>
      <c r="W217" s="746"/>
      <c r="X217" s="745"/>
      <c r="Y217" s="746"/>
      <c r="Z217" s="745"/>
      <c r="AA217" s="923"/>
    </row>
    <row r="218" spans="1:27" ht="14.25">
      <c r="A218" s="748" t="s">
        <v>3505</v>
      </c>
      <c r="B218" s="930" t="s">
        <v>3506</v>
      </c>
      <c r="C218" s="794"/>
      <c r="D218" s="745"/>
      <c r="E218" s="746"/>
      <c r="F218" s="745"/>
      <c r="G218" s="746"/>
      <c r="H218" s="745"/>
      <c r="I218" s="746"/>
      <c r="J218" s="745"/>
      <c r="K218" s="746"/>
      <c r="L218" s="745"/>
      <c r="M218" s="746"/>
      <c r="N218" s="745"/>
      <c r="O218" s="921">
        <v>30</v>
      </c>
      <c r="P218" s="922">
        <v>10</v>
      </c>
      <c r="Q218" s="746"/>
      <c r="R218" s="745"/>
      <c r="S218" s="746"/>
      <c r="T218" s="745"/>
      <c r="U218" s="746"/>
      <c r="V218" s="745"/>
      <c r="W218" s="746"/>
      <c r="X218" s="745"/>
      <c r="Y218" s="746"/>
      <c r="Z218" s="745"/>
      <c r="AA218" s="923"/>
    </row>
    <row r="219" spans="1:27" ht="14.25">
      <c r="A219" s="748" t="s">
        <v>3507</v>
      </c>
      <c r="B219" s="930" t="s">
        <v>3508</v>
      </c>
      <c r="C219" s="794"/>
      <c r="D219" s="745"/>
      <c r="E219" s="746"/>
      <c r="F219" s="745"/>
      <c r="G219" s="746"/>
      <c r="H219" s="745"/>
      <c r="I219" s="746"/>
      <c r="J219" s="745"/>
      <c r="K219" s="746"/>
      <c r="L219" s="745"/>
      <c r="M219" s="746"/>
      <c r="N219" s="745"/>
      <c r="O219" s="921">
        <v>80</v>
      </c>
      <c r="P219" s="922">
        <v>40</v>
      </c>
      <c r="Q219" s="746"/>
      <c r="R219" s="745"/>
      <c r="S219" s="746"/>
      <c r="T219" s="745"/>
      <c r="U219" s="746"/>
      <c r="V219" s="745"/>
      <c r="W219" s="746"/>
      <c r="X219" s="745"/>
      <c r="Y219" s="746"/>
      <c r="Z219" s="745"/>
      <c r="AA219" s="923"/>
    </row>
    <row r="220" spans="1:27" ht="14.25">
      <c r="A220" s="748" t="s">
        <v>3509</v>
      </c>
      <c r="B220" s="930" t="s">
        <v>3510</v>
      </c>
      <c r="C220" s="794"/>
      <c r="D220" s="745"/>
      <c r="E220" s="746"/>
      <c r="F220" s="745"/>
      <c r="G220" s="746"/>
      <c r="H220" s="745"/>
      <c r="I220" s="746"/>
      <c r="J220" s="745"/>
      <c r="K220" s="746"/>
      <c r="L220" s="745"/>
      <c r="M220" s="746"/>
      <c r="N220" s="745"/>
      <c r="O220" s="921">
        <v>40</v>
      </c>
      <c r="P220" s="922">
        <v>20</v>
      </c>
      <c r="Q220" s="746"/>
      <c r="R220" s="745"/>
      <c r="S220" s="746"/>
      <c r="T220" s="745"/>
      <c r="U220" s="746"/>
      <c r="V220" s="745"/>
      <c r="W220" s="746"/>
      <c r="X220" s="745"/>
      <c r="Y220" s="746"/>
      <c r="Z220" s="745"/>
      <c r="AA220" s="923"/>
    </row>
    <row r="221" spans="1:27" ht="14.25">
      <c r="A221" s="880">
        <v>8</v>
      </c>
      <c r="B221" s="881" t="s">
        <v>2611</v>
      </c>
      <c r="C221" s="794"/>
      <c r="D221" s="745"/>
      <c r="E221" s="746"/>
      <c r="F221" s="745"/>
      <c r="G221" s="746"/>
      <c r="H221" s="745"/>
      <c r="I221" s="746"/>
      <c r="J221" s="745"/>
      <c r="K221" s="746"/>
      <c r="L221" s="745"/>
      <c r="M221" s="746"/>
      <c r="N221" s="745"/>
      <c r="O221" s="921"/>
      <c r="P221" s="922"/>
      <c r="Q221" s="746"/>
      <c r="R221" s="745"/>
      <c r="S221" s="746"/>
      <c r="T221" s="745"/>
      <c r="U221" s="746"/>
      <c r="V221" s="745"/>
      <c r="W221" s="746"/>
      <c r="X221" s="745"/>
      <c r="Y221" s="746"/>
      <c r="Z221" s="745"/>
      <c r="AA221" s="923"/>
    </row>
    <row r="222" spans="1:27" ht="14.25">
      <c r="A222" s="748">
        <v>8.1</v>
      </c>
      <c r="B222" s="851" t="s">
        <v>3511</v>
      </c>
      <c r="C222" s="794"/>
      <c r="D222" s="745"/>
      <c r="E222" s="746"/>
      <c r="F222" s="745"/>
      <c r="G222" s="746"/>
      <c r="H222" s="745"/>
      <c r="I222" s="746"/>
      <c r="J222" s="745"/>
      <c r="K222" s="746"/>
      <c r="L222" s="745"/>
      <c r="M222" s="746"/>
      <c r="N222" s="745"/>
      <c r="O222" s="921">
        <v>300</v>
      </c>
      <c r="P222" s="922">
        <v>50</v>
      </c>
      <c r="Q222" s="746"/>
      <c r="R222" s="745"/>
      <c r="S222" s="746"/>
      <c r="T222" s="745"/>
      <c r="U222" s="746"/>
      <c r="V222" s="745"/>
      <c r="W222" s="746"/>
      <c r="X222" s="745"/>
      <c r="Y222" s="746"/>
      <c r="Z222" s="745"/>
      <c r="AA222" s="923"/>
    </row>
    <row r="223" spans="1:27" ht="14.25">
      <c r="A223" s="748">
        <v>8.1999999999999993</v>
      </c>
      <c r="B223" s="851" t="s">
        <v>3512</v>
      </c>
      <c r="C223" s="794"/>
      <c r="D223" s="745"/>
      <c r="E223" s="746"/>
      <c r="F223" s="745"/>
      <c r="G223" s="746"/>
      <c r="H223" s="745"/>
      <c r="I223" s="746"/>
      <c r="J223" s="745"/>
      <c r="K223" s="746"/>
      <c r="L223" s="745"/>
      <c r="M223" s="746"/>
      <c r="N223" s="745"/>
      <c r="O223" s="921">
        <v>250</v>
      </c>
      <c r="P223" s="922">
        <v>30</v>
      </c>
      <c r="Q223" s="746"/>
      <c r="R223" s="745"/>
      <c r="S223" s="746"/>
      <c r="T223" s="745"/>
      <c r="U223" s="746"/>
      <c r="V223" s="745"/>
      <c r="W223" s="746"/>
      <c r="X223" s="745"/>
      <c r="Y223" s="746"/>
      <c r="Z223" s="745"/>
      <c r="AA223" s="923"/>
    </row>
    <row r="224" spans="1:27" ht="14.25">
      <c r="A224" s="748">
        <v>8.3000000000000007</v>
      </c>
      <c r="B224" s="851" t="s">
        <v>3513</v>
      </c>
      <c r="C224" s="803"/>
      <c r="D224" s="804"/>
      <c r="E224" s="805">
        <v>30</v>
      </c>
      <c r="F224" s="804">
        <v>4</v>
      </c>
      <c r="G224" s="805"/>
      <c r="H224" s="804"/>
      <c r="I224" s="805"/>
      <c r="J224" s="804"/>
      <c r="K224" s="805"/>
      <c r="L224" s="804"/>
      <c r="M224" s="805"/>
      <c r="N224" s="745"/>
      <c r="O224" s="921">
        <v>200</v>
      </c>
      <c r="P224" s="922">
        <v>30</v>
      </c>
      <c r="Q224" s="746"/>
      <c r="R224" s="745"/>
      <c r="S224" s="746"/>
      <c r="T224" s="745"/>
      <c r="U224" s="746"/>
      <c r="V224" s="745"/>
      <c r="W224" s="746"/>
      <c r="X224" s="745"/>
      <c r="Y224" s="746"/>
      <c r="Z224" s="745"/>
      <c r="AA224" s="923"/>
    </row>
    <row r="225" spans="1:28" ht="14.25">
      <c r="A225" s="748">
        <v>8.4</v>
      </c>
      <c r="B225" s="851" t="s">
        <v>3514</v>
      </c>
      <c r="C225" s="803"/>
      <c r="D225" s="804"/>
      <c r="E225" s="805"/>
      <c r="F225" s="804"/>
      <c r="G225" s="805"/>
      <c r="H225" s="804"/>
      <c r="I225" s="805"/>
      <c r="J225" s="804"/>
      <c r="K225" s="805"/>
      <c r="L225" s="804"/>
      <c r="M225" s="805"/>
      <c r="N225" s="745"/>
      <c r="O225" s="921">
        <v>500</v>
      </c>
      <c r="P225" s="922">
        <v>150</v>
      </c>
      <c r="Q225" s="746"/>
      <c r="R225" s="745"/>
      <c r="S225" s="746"/>
      <c r="T225" s="745"/>
      <c r="U225" s="746"/>
      <c r="V225" s="745"/>
      <c r="W225" s="746"/>
      <c r="X225" s="745"/>
      <c r="Y225" s="746"/>
      <c r="Z225" s="745"/>
      <c r="AA225" s="923"/>
    </row>
    <row r="226" spans="1:28" ht="14.25">
      <c r="A226" s="748">
        <v>8.5</v>
      </c>
      <c r="B226" s="851" t="s">
        <v>3515</v>
      </c>
      <c r="C226" s="803"/>
      <c r="D226" s="804"/>
      <c r="E226" s="805"/>
      <c r="F226" s="804"/>
      <c r="G226" s="805"/>
      <c r="H226" s="804"/>
      <c r="I226" s="805"/>
      <c r="J226" s="804"/>
      <c r="K226" s="805"/>
      <c r="L226" s="804"/>
      <c r="M226" s="805"/>
      <c r="N226" s="745"/>
      <c r="O226" s="921">
        <v>100</v>
      </c>
      <c r="P226" s="922">
        <v>20</v>
      </c>
      <c r="Q226" s="746"/>
      <c r="R226" s="745"/>
      <c r="S226" s="746"/>
      <c r="T226" s="745"/>
      <c r="U226" s="746"/>
      <c r="V226" s="745"/>
      <c r="W226" s="746"/>
      <c r="X226" s="745"/>
      <c r="Y226" s="746"/>
      <c r="Z226" s="745"/>
      <c r="AA226" s="923"/>
    </row>
    <row r="227" spans="1:28" ht="14.25">
      <c r="A227" s="748">
        <v>8.6</v>
      </c>
      <c r="B227" s="851" t="s">
        <v>3516</v>
      </c>
      <c r="C227" s="803"/>
      <c r="D227" s="804"/>
      <c r="E227" s="805"/>
      <c r="F227" s="804"/>
      <c r="G227" s="805"/>
      <c r="H227" s="804"/>
      <c r="I227" s="805"/>
      <c r="J227" s="804"/>
      <c r="K227" s="805"/>
      <c r="L227" s="804"/>
      <c r="M227" s="805"/>
      <c r="N227" s="745"/>
      <c r="O227" s="921">
        <v>50</v>
      </c>
      <c r="P227" s="922">
        <v>15</v>
      </c>
      <c r="Q227" s="746"/>
      <c r="R227" s="745"/>
      <c r="S227" s="746"/>
      <c r="T227" s="745"/>
      <c r="U227" s="746"/>
      <c r="V227" s="745"/>
      <c r="W227" s="746"/>
      <c r="X227" s="745"/>
      <c r="Y227" s="746"/>
      <c r="Z227" s="745"/>
      <c r="AA227" s="923"/>
    </row>
    <row r="228" spans="1:28" ht="14.25">
      <c r="A228" s="936">
        <v>8.6999999999999993</v>
      </c>
      <c r="B228" s="898" t="s">
        <v>3517</v>
      </c>
      <c r="C228" s="899"/>
      <c r="D228" s="896"/>
      <c r="E228" s="895"/>
      <c r="F228" s="896"/>
      <c r="G228" s="895"/>
      <c r="H228" s="896"/>
      <c r="I228" s="895"/>
      <c r="J228" s="896"/>
      <c r="K228" s="895"/>
      <c r="L228" s="896"/>
      <c r="M228" s="895"/>
      <c r="N228" s="861"/>
      <c r="O228" s="937">
        <v>50</v>
      </c>
      <c r="P228" s="938">
        <v>15</v>
      </c>
      <c r="Q228" s="862"/>
      <c r="R228" s="861"/>
      <c r="S228" s="862"/>
      <c r="T228" s="861"/>
      <c r="U228" s="862"/>
      <c r="V228" s="861"/>
      <c r="W228" s="862"/>
      <c r="X228" s="861"/>
      <c r="Y228" s="862"/>
      <c r="Z228" s="861"/>
      <c r="AA228" s="939"/>
    </row>
    <row r="229" spans="1:28" ht="14.25">
      <c r="A229" s="760">
        <v>9</v>
      </c>
      <c r="B229" s="808" t="s">
        <v>2626</v>
      </c>
      <c r="C229" s="899"/>
      <c r="D229" s="896"/>
      <c r="E229" s="911"/>
      <c r="F229" s="912"/>
      <c r="G229" s="895"/>
      <c r="H229" s="896"/>
      <c r="I229" s="895"/>
      <c r="J229" s="896"/>
      <c r="K229" s="895"/>
      <c r="L229" s="896"/>
      <c r="M229" s="895"/>
      <c r="N229" s="763"/>
      <c r="O229" s="766"/>
      <c r="P229" s="763"/>
      <c r="Q229" s="766"/>
      <c r="R229" s="763"/>
      <c r="S229" s="766"/>
      <c r="T229" s="763"/>
      <c r="U229" s="766"/>
      <c r="V229" s="763"/>
      <c r="W229" s="766"/>
      <c r="X229" s="763"/>
      <c r="Y229" s="766"/>
      <c r="Z229" s="763"/>
      <c r="AA229" s="767"/>
    </row>
    <row r="230" spans="1:28" ht="14.25">
      <c r="A230" s="806">
        <v>9.1</v>
      </c>
      <c r="B230" s="810" t="s">
        <v>2627</v>
      </c>
      <c r="C230" s="899"/>
      <c r="D230" s="896"/>
      <c r="E230" s="911"/>
      <c r="F230" s="912"/>
      <c r="G230" s="895"/>
      <c r="H230" s="896"/>
      <c r="I230" s="895"/>
      <c r="J230" s="896"/>
      <c r="K230" s="895"/>
      <c r="L230" s="896"/>
      <c r="M230" s="895"/>
      <c r="N230" s="763"/>
      <c r="O230" s="766">
        <f>0.01*O238</f>
        <v>65.010000000000005</v>
      </c>
      <c r="P230" s="763">
        <f>0.1*P238</f>
        <v>208.8</v>
      </c>
      <c r="Q230" s="766"/>
      <c r="R230" s="763"/>
      <c r="S230" s="766"/>
      <c r="T230" s="763"/>
      <c r="U230" s="766"/>
      <c r="V230" s="763"/>
      <c r="W230" s="766"/>
      <c r="X230" s="763"/>
      <c r="Y230" s="766"/>
      <c r="Z230" s="763"/>
      <c r="AA230" s="767">
        <f>0.1*AA238</f>
        <v>328</v>
      </c>
    </row>
    <row r="231" spans="1:28" ht="14.25">
      <c r="A231" s="806">
        <v>9.1999999999999993</v>
      </c>
      <c r="B231" s="810" t="s">
        <v>2472</v>
      </c>
      <c r="C231" s="809"/>
      <c r="D231" s="763"/>
      <c r="E231" s="764"/>
      <c r="F231" s="765"/>
      <c r="G231" s="766"/>
      <c r="H231" s="763"/>
      <c r="I231" s="766"/>
      <c r="J231" s="763"/>
      <c r="K231" s="766"/>
      <c r="L231" s="763"/>
      <c r="M231" s="766"/>
      <c r="N231" s="763"/>
      <c r="O231" s="766">
        <f>0.05*O238</f>
        <v>325.05</v>
      </c>
      <c r="P231" s="763"/>
      <c r="Q231" s="766"/>
      <c r="R231" s="763"/>
      <c r="S231" s="766"/>
      <c r="T231" s="763"/>
      <c r="U231" s="766"/>
      <c r="V231" s="763"/>
      <c r="W231" s="766"/>
      <c r="X231" s="763"/>
      <c r="Y231" s="766"/>
      <c r="Z231" s="763"/>
      <c r="AA231" s="767">
        <f>0.05*AA238</f>
        <v>164</v>
      </c>
    </row>
    <row r="232" spans="1:28" ht="14.25">
      <c r="A232" s="806">
        <v>9.3000000000000007</v>
      </c>
      <c r="B232" s="810" t="s">
        <v>2628</v>
      </c>
      <c r="C232" s="809"/>
      <c r="D232" s="763"/>
      <c r="E232" s="764"/>
      <c r="F232" s="765"/>
      <c r="G232" s="766"/>
      <c r="H232" s="763"/>
      <c r="I232" s="766"/>
      <c r="J232" s="763"/>
      <c r="K232" s="766"/>
      <c r="L232" s="763"/>
      <c r="M232" s="766"/>
      <c r="N232" s="763"/>
      <c r="O232" s="766">
        <v>120</v>
      </c>
      <c r="P232" s="763"/>
      <c r="Q232" s="766"/>
      <c r="R232" s="763"/>
      <c r="S232" s="766"/>
      <c r="T232" s="763"/>
      <c r="U232" s="766"/>
      <c r="V232" s="763"/>
      <c r="W232" s="766"/>
      <c r="X232" s="763"/>
      <c r="Y232" s="766"/>
      <c r="Z232" s="763"/>
      <c r="AA232" s="767"/>
    </row>
    <row r="233" spans="1:28" ht="14.25">
      <c r="A233" s="806">
        <v>9.4</v>
      </c>
      <c r="B233" s="810" t="s">
        <v>2629</v>
      </c>
      <c r="C233" s="809"/>
      <c r="D233" s="763"/>
      <c r="E233" s="764"/>
      <c r="F233" s="765"/>
      <c r="G233" s="766"/>
      <c r="H233" s="763"/>
      <c r="I233" s="766"/>
      <c r="J233" s="763"/>
      <c r="K233" s="766"/>
      <c r="L233" s="763"/>
      <c r="M233" s="766"/>
      <c r="N233" s="763"/>
      <c r="O233" s="766">
        <v>100</v>
      </c>
      <c r="P233" s="763"/>
      <c r="Q233" s="766"/>
      <c r="R233" s="763"/>
      <c r="S233" s="766"/>
      <c r="T233" s="763"/>
      <c r="U233" s="766"/>
      <c r="V233" s="763"/>
      <c r="W233" s="766"/>
      <c r="X233" s="763"/>
      <c r="Y233" s="766"/>
      <c r="Z233" s="763"/>
      <c r="AA233" s="767"/>
    </row>
    <row r="234" spans="1:28" ht="15" thickBot="1">
      <c r="A234" s="806">
        <v>9.5</v>
      </c>
      <c r="B234" s="810" t="s">
        <v>2630</v>
      </c>
      <c r="C234" s="809"/>
      <c r="D234" s="763"/>
      <c r="E234" s="764"/>
      <c r="F234" s="765"/>
      <c r="G234" s="766"/>
      <c r="H234" s="763"/>
      <c r="I234" s="766"/>
      <c r="J234" s="763"/>
      <c r="K234" s="766"/>
      <c r="L234" s="763"/>
      <c r="M234" s="766"/>
      <c r="N234" s="763"/>
      <c r="O234" s="766">
        <v>50</v>
      </c>
      <c r="P234" s="763">
        <v>8</v>
      </c>
      <c r="Q234" s="766"/>
      <c r="R234" s="763"/>
      <c r="S234" s="766"/>
      <c r="T234" s="763"/>
      <c r="U234" s="766"/>
      <c r="V234" s="763"/>
      <c r="W234" s="766"/>
      <c r="X234" s="763"/>
      <c r="Y234" s="766"/>
      <c r="Z234" s="763"/>
      <c r="AA234" s="767"/>
    </row>
    <row r="235" spans="1:28" ht="15.75" thickBot="1">
      <c r="A235" s="916"/>
      <c r="B235" s="812" t="s">
        <v>2102</v>
      </c>
      <c r="C235" s="838">
        <f>SUM(C5:C234)</f>
        <v>5</v>
      </c>
      <c r="D235" s="814">
        <f>SUM(D5:D234)</f>
        <v>0</v>
      </c>
      <c r="E235" s="838">
        <f t="shared" ref="E235:Z235" si="0">SUM(E5:E234)</f>
        <v>79</v>
      </c>
      <c r="F235" s="814">
        <f t="shared" si="0"/>
        <v>8</v>
      </c>
      <c r="G235" s="838">
        <f t="shared" si="0"/>
        <v>0</v>
      </c>
      <c r="H235" s="814">
        <f t="shared" si="0"/>
        <v>0</v>
      </c>
      <c r="I235" s="838">
        <f t="shared" si="0"/>
        <v>0</v>
      </c>
      <c r="J235" s="814">
        <f t="shared" si="0"/>
        <v>0</v>
      </c>
      <c r="K235" s="838">
        <f t="shared" si="0"/>
        <v>11</v>
      </c>
      <c r="L235" s="814">
        <f t="shared" si="0"/>
        <v>0</v>
      </c>
      <c r="M235" s="838">
        <f t="shared" si="0"/>
        <v>6</v>
      </c>
      <c r="N235" s="814">
        <f t="shared" si="0"/>
        <v>0</v>
      </c>
      <c r="O235" s="838">
        <f t="shared" si="0"/>
        <v>7161.06</v>
      </c>
      <c r="P235" s="814">
        <f t="shared" si="0"/>
        <v>2304.8000000000002</v>
      </c>
      <c r="Q235" s="838">
        <f t="shared" si="0"/>
        <v>31</v>
      </c>
      <c r="R235" s="814">
        <f t="shared" si="0"/>
        <v>0</v>
      </c>
      <c r="S235" s="838">
        <f t="shared" si="0"/>
        <v>0</v>
      </c>
      <c r="T235" s="814">
        <f t="shared" si="0"/>
        <v>0</v>
      </c>
      <c r="U235" s="838">
        <f t="shared" si="0"/>
        <v>0</v>
      </c>
      <c r="V235" s="814">
        <f t="shared" si="0"/>
        <v>0</v>
      </c>
      <c r="W235" s="838">
        <f t="shared" si="0"/>
        <v>0</v>
      </c>
      <c r="X235" s="814">
        <f t="shared" si="0"/>
        <v>0</v>
      </c>
      <c r="Y235" s="838">
        <f t="shared" si="0"/>
        <v>0</v>
      </c>
      <c r="Z235" s="814">
        <f t="shared" si="0"/>
        <v>0</v>
      </c>
      <c r="AA235" s="777">
        <f>SUM(AA5:AA234)</f>
        <v>3772</v>
      </c>
    </row>
    <row r="236" spans="1:28">
      <c r="A236" s="940"/>
      <c r="B236" s="941"/>
      <c r="C236" s="781"/>
      <c r="D236" s="781"/>
      <c r="E236" s="781"/>
      <c r="F236" s="781"/>
      <c r="G236" s="781"/>
      <c r="H236" s="781"/>
      <c r="I236" s="781"/>
      <c r="J236" s="781"/>
      <c r="K236" s="781"/>
      <c r="L236" s="781"/>
      <c r="M236" s="781"/>
      <c r="N236" s="781"/>
      <c r="O236" s="781"/>
      <c r="P236" s="781"/>
      <c r="Q236" s="781"/>
      <c r="R236" s="781"/>
      <c r="S236" s="781"/>
      <c r="T236" s="781"/>
      <c r="U236" s="781"/>
      <c r="V236" s="781"/>
      <c r="W236" s="781"/>
      <c r="X236" s="781"/>
      <c r="Y236" s="781"/>
      <c r="Z236" s="781"/>
      <c r="AA236" s="781"/>
      <c r="AB236" s="941"/>
    </row>
    <row r="237" spans="1:28" ht="13.5" thickBot="1">
      <c r="A237" s="940"/>
      <c r="B237" s="941"/>
      <c r="C237" s="781"/>
      <c r="D237" s="781"/>
      <c r="E237" s="781"/>
      <c r="F237" s="781"/>
      <c r="G237" s="781"/>
      <c r="H237" s="781"/>
      <c r="I237" s="781"/>
      <c r="J237" s="781"/>
      <c r="K237" s="781"/>
      <c r="L237" s="781"/>
      <c r="M237" s="781"/>
      <c r="N237" s="781"/>
      <c r="O237" s="781"/>
      <c r="P237" s="781"/>
      <c r="Q237" s="781"/>
      <c r="R237" s="781"/>
      <c r="S237" s="781"/>
      <c r="T237" s="781"/>
      <c r="U237" s="781"/>
      <c r="V237" s="781"/>
      <c r="W237" s="781"/>
      <c r="X237" s="781"/>
      <c r="Y237" s="781"/>
      <c r="Z237" s="781"/>
      <c r="AA237" s="781"/>
      <c r="AB237" s="941"/>
    </row>
    <row r="238" spans="1:28" ht="13.5" thickBot="1">
      <c r="A238" s="940"/>
      <c r="B238" s="941"/>
      <c r="C238" s="815">
        <f>SUM(C5:C228)</f>
        <v>5</v>
      </c>
      <c r="D238" s="815">
        <f t="shared" ref="D238:AA238" si="1">SUM(D5:D228)</f>
        <v>0</v>
      </c>
      <c r="E238" s="815">
        <f t="shared" si="1"/>
        <v>79</v>
      </c>
      <c r="F238" s="815">
        <f t="shared" si="1"/>
        <v>8</v>
      </c>
      <c r="G238" s="815">
        <f t="shared" si="1"/>
        <v>0</v>
      </c>
      <c r="H238" s="815">
        <f t="shared" si="1"/>
        <v>0</v>
      </c>
      <c r="I238" s="815">
        <f t="shared" si="1"/>
        <v>0</v>
      </c>
      <c r="J238" s="815">
        <f t="shared" si="1"/>
        <v>0</v>
      </c>
      <c r="K238" s="815">
        <f t="shared" si="1"/>
        <v>11</v>
      </c>
      <c r="L238" s="815">
        <f t="shared" si="1"/>
        <v>0</v>
      </c>
      <c r="M238" s="815">
        <f t="shared" si="1"/>
        <v>6</v>
      </c>
      <c r="N238" s="815">
        <f t="shared" si="1"/>
        <v>0</v>
      </c>
      <c r="O238" s="815">
        <f t="shared" si="1"/>
        <v>6501</v>
      </c>
      <c r="P238" s="815">
        <f t="shared" si="1"/>
        <v>2088</v>
      </c>
      <c r="Q238" s="815">
        <f t="shared" si="1"/>
        <v>31</v>
      </c>
      <c r="R238" s="815">
        <f t="shared" si="1"/>
        <v>0</v>
      </c>
      <c r="S238" s="815">
        <f t="shared" si="1"/>
        <v>0</v>
      </c>
      <c r="T238" s="815">
        <f t="shared" si="1"/>
        <v>0</v>
      </c>
      <c r="U238" s="815">
        <f t="shared" si="1"/>
        <v>0</v>
      </c>
      <c r="V238" s="815">
        <f t="shared" si="1"/>
        <v>0</v>
      </c>
      <c r="W238" s="815">
        <f t="shared" si="1"/>
        <v>0</v>
      </c>
      <c r="X238" s="815">
        <f t="shared" si="1"/>
        <v>0</v>
      </c>
      <c r="Y238" s="815">
        <f t="shared" si="1"/>
        <v>0</v>
      </c>
      <c r="Z238" s="815">
        <f t="shared" si="1"/>
        <v>0</v>
      </c>
      <c r="AA238" s="815">
        <f t="shared" si="1"/>
        <v>3280</v>
      </c>
      <c r="AB238" s="941"/>
    </row>
    <row r="239" spans="1:28">
      <c r="A239" s="940"/>
      <c r="B239" s="941"/>
      <c r="C239" s="781"/>
      <c r="D239" s="781"/>
      <c r="E239" s="781"/>
      <c r="F239" s="781"/>
      <c r="G239" s="781"/>
      <c r="H239" s="781"/>
      <c r="I239" s="781"/>
      <c r="J239" s="781"/>
      <c r="K239" s="781"/>
      <c r="L239" s="781"/>
      <c r="M239" s="781"/>
      <c r="N239" s="781"/>
      <c r="O239" s="781"/>
      <c r="P239" s="781"/>
      <c r="Q239" s="781"/>
      <c r="R239" s="781"/>
      <c r="S239" s="781"/>
      <c r="T239" s="781"/>
      <c r="U239" s="781"/>
      <c r="V239" s="781"/>
      <c r="W239" s="781"/>
      <c r="X239" s="781"/>
      <c r="Y239" s="941"/>
      <c r="Z239" s="941"/>
      <c r="AA239" s="941"/>
      <c r="AB239" s="941"/>
    </row>
  </sheetData>
  <mergeCells count="18">
    <mergeCell ref="S3:T3"/>
    <mergeCell ref="U3:V3"/>
    <mergeCell ref="W3:X3"/>
    <mergeCell ref="B1:X1"/>
    <mergeCell ref="Y1:AA1"/>
    <mergeCell ref="A2:AA2"/>
    <mergeCell ref="A3:A4"/>
    <mergeCell ref="B3:B4"/>
    <mergeCell ref="C3:D3"/>
    <mergeCell ref="E3:F3"/>
    <mergeCell ref="G3:H3"/>
    <mergeCell ref="I3:J3"/>
    <mergeCell ref="K3:L3"/>
    <mergeCell ref="Y3:Z3"/>
    <mergeCell ref="AA3:AA4"/>
    <mergeCell ref="M3:N3"/>
    <mergeCell ref="O3:P3"/>
    <mergeCell ref="Q3:R3"/>
  </mergeCells>
  <conditionalFormatting sqref="B230:B234">
    <cfRule type="expression" dxfId="262" priority="1" stopIfTrue="1">
      <formula>IF(AND(#REF!&lt;&gt;"",#REF!&gt;15),1,0)</formula>
    </cfRule>
    <cfRule type="expression" dxfId="261" priority="2" stopIfTrue="1">
      <formula>IF(AND(#REF!&lt;&gt;"",#REF!&gt;15),1,0)</formula>
    </cfRule>
    <cfRule type="expression" dxfId="260" priority="9" stopIfTrue="1">
      <formula>IF(AND(AG244&lt;&gt;"",AG244&gt;15),1,0)</formula>
    </cfRule>
    <cfRule type="expression" dxfId="259" priority="11" stopIfTrue="1">
      <formula>IF(AND(AJ228&lt;&gt;"",AJ228&gt;15),1,0)</formula>
    </cfRule>
  </conditionalFormatting>
  <conditionalFormatting sqref="M229:N234 AA229:AA234">
    <cfRule type="expression" dxfId="258" priority="3" stopIfTrue="1">
      <formula>IF(AND(#REF!&lt;&gt;"",#REF!&gt;15),1,0)</formula>
    </cfRule>
    <cfRule type="expression" dxfId="257" priority="7" stopIfTrue="1">
      <formula>IF(AND(AY225&lt;&gt;"",AY225&gt;15),1,0)</formula>
    </cfRule>
    <cfRule type="expression" dxfId="256" priority="8" stopIfTrue="1">
      <formula>IF(AND(AY226&lt;&gt;"",AY226&gt;15),1,0)</formula>
    </cfRule>
    <cfRule type="expression" dxfId="255" priority="10" stopIfTrue="1">
      <formula>IF(AND(#REF!&lt;&gt;"",#REF!&gt;15),1,0)</formula>
    </cfRule>
  </conditionalFormatting>
  <conditionalFormatting sqref="M229:N234">
    <cfRule type="expression" dxfId="254" priority="5" stopIfTrue="1">
      <formula>IF(AND(AV243&lt;&gt;"",AV243&gt;15),1,0)</formula>
    </cfRule>
    <cfRule type="expression" dxfId="253" priority="6" stopIfTrue="1">
      <formula>IF(AND(AY227&lt;&gt;"",AY227&gt;15),1,0)</formula>
    </cfRule>
  </conditionalFormatting>
  <conditionalFormatting sqref="AA229:AA234">
    <cfRule type="expression" dxfId="252" priority="4" stopIfTrue="1">
      <formula>IF(AND(BM227&lt;&gt;"",BM227&gt;15),1,0)</formula>
    </cfRule>
    <cfRule type="expression" dxfId="251" priority="12" stopIfTrue="1">
      <formula>IF(AND(BJ243&lt;&gt;"",BJ243&gt;15),1,0)</formula>
    </cfRule>
  </conditionalFormatting>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4"/>
  <dimension ref="A1:AC55"/>
  <sheetViews>
    <sheetView rightToLeft="1" topLeftCell="A43" workbookViewId="0">
      <selection activeCell="F12" sqref="F12"/>
    </sheetView>
  </sheetViews>
  <sheetFormatPr defaultColWidth="8.85546875" defaultRowHeight="12.75"/>
  <cols>
    <col min="1" max="1" width="8.85546875" style="661"/>
    <col min="2" max="2" width="53.7109375" style="661" customWidth="1"/>
    <col min="3" max="16384" width="8.85546875" style="661"/>
  </cols>
  <sheetData>
    <row r="1" spans="1:27" ht="18.75" thickBot="1">
      <c r="A1" s="723"/>
      <c r="B1" s="2333"/>
      <c r="C1" s="2333"/>
      <c r="D1" s="2333"/>
      <c r="E1" s="2333"/>
      <c r="F1" s="2333"/>
      <c r="G1" s="2333"/>
      <c r="H1" s="2333"/>
      <c r="I1" s="2333"/>
      <c r="J1" s="2333"/>
      <c r="K1" s="2333"/>
      <c r="L1" s="2333"/>
      <c r="M1" s="2333"/>
      <c r="N1" s="2333"/>
      <c r="O1" s="2333"/>
      <c r="P1" s="2333"/>
      <c r="Q1" s="2333"/>
      <c r="R1" s="2333"/>
      <c r="S1" s="2333"/>
      <c r="T1" s="2333"/>
      <c r="U1" s="2333"/>
      <c r="V1" s="2333"/>
      <c r="W1" s="2333"/>
      <c r="X1" s="2333"/>
      <c r="Y1" s="2334"/>
      <c r="Z1" s="2334"/>
      <c r="AA1" s="2335"/>
    </row>
    <row r="2" spans="1:27" ht="21" thickBot="1">
      <c r="A2" s="2336" t="s">
        <v>2322</v>
      </c>
      <c r="B2" s="2337"/>
      <c r="C2" s="2337"/>
      <c r="D2" s="2337"/>
      <c r="E2" s="2337"/>
      <c r="F2" s="2337"/>
      <c r="G2" s="2337"/>
      <c r="H2" s="2337"/>
      <c r="I2" s="2337"/>
      <c r="J2" s="2337"/>
      <c r="K2" s="2337"/>
      <c r="L2" s="2337"/>
      <c r="M2" s="2337"/>
      <c r="N2" s="2337"/>
      <c r="O2" s="2337"/>
      <c r="P2" s="2337"/>
      <c r="Q2" s="2337"/>
      <c r="R2" s="2337"/>
      <c r="S2" s="2337"/>
      <c r="T2" s="2337"/>
      <c r="U2" s="2337"/>
      <c r="V2" s="2337"/>
      <c r="W2" s="2337"/>
      <c r="X2" s="2337"/>
      <c r="Y2" s="2337"/>
      <c r="Z2" s="2337"/>
      <c r="AA2" s="2338"/>
    </row>
    <row r="3" spans="1:27">
      <c r="A3" s="2339" t="s">
        <v>2306</v>
      </c>
      <c r="B3" s="2341" t="s">
        <v>2307</v>
      </c>
      <c r="C3" s="2331" t="s">
        <v>2255</v>
      </c>
      <c r="D3" s="2332"/>
      <c r="E3" s="2331" t="s">
        <v>2256</v>
      </c>
      <c r="F3" s="2332"/>
      <c r="G3" s="2331" t="s">
        <v>2257</v>
      </c>
      <c r="H3" s="2332"/>
      <c r="I3" s="2331" t="s">
        <v>2258</v>
      </c>
      <c r="J3" s="2332"/>
      <c r="K3" s="2331" t="s">
        <v>2259</v>
      </c>
      <c r="L3" s="2332"/>
      <c r="M3" s="2331" t="s">
        <v>2260</v>
      </c>
      <c r="N3" s="2332"/>
      <c r="O3" s="2331" t="s">
        <v>2261</v>
      </c>
      <c r="P3" s="2332"/>
      <c r="Q3" s="2331" t="s">
        <v>2262</v>
      </c>
      <c r="R3" s="2332"/>
      <c r="S3" s="2331" t="s">
        <v>2263</v>
      </c>
      <c r="T3" s="2332"/>
      <c r="U3" s="2331" t="s">
        <v>2264</v>
      </c>
      <c r="V3" s="2332"/>
      <c r="W3" s="2331" t="s">
        <v>2265</v>
      </c>
      <c r="X3" s="2332"/>
      <c r="Y3" s="2331" t="s">
        <v>2266</v>
      </c>
      <c r="Z3" s="2332"/>
      <c r="AA3" s="2343" t="s">
        <v>2267</v>
      </c>
    </row>
    <row r="4" spans="1:27" ht="13.5" thickBot="1">
      <c r="A4" s="2345"/>
      <c r="B4" s="2346"/>
      <c r="C4" s="726" t="s">
        <v>2269</v>
      </c>
      <c r="D4" s="727" t="s">
        <v>2270</v>
      </c>
      <c r="E4" s="726" t="s">
        <v>2269</v>
      </c>
      <c r="F4" s="727" t="s">
        <v>2270</v>
      </c>
      <c r="G4" s="726" t="s">
        <v>2269</v>
      </c>
      <c r="H4" s="727" t="s">
        <v>2270</v>
      </c>
      <c r="I4" s="726" t="s">
        <v>2269</v>
      </c>
      <c r="J4" s="727" t="s">
        <v>2270</v>
      </c>
      <c r="K4" s="726" t="s">
        <v>2269</v>
      </c>
      <c r="L4" s="727" t="s">
        <v>2270</v>
      </c>
      <c r="M4" s="726" t="s">
        <v>2269</v>
      </c>
      <c r="N4" s="727" t="s">
        <v>2270</v>
      </c>
      <c r="O4" s="726" t="s">
        <v>2269</v>
      </c>
      <c r="P4" s="727" t="s">
        <v>2270</v>
      </c>
      <c r="Q4" s="726" t="s">
        <v>2269</v>
      </c>
      <c r="R4" s="727" t="s">
        <v>2270</v>
      </c>
      <c r="S4" s="726" t="s">
        <v>2269</v>
      </c>
      <c r="T4" s="727" t="s">
        <v>2270</v>
      </c>
      <c r="U4" s="726" t="s">
        <v>2269</v>
      </c>
      <c r="V4" s="727" t="s">
        <v>2270</v>
      </c>
      <c r="W4" s="726" t="s">
        <v>2269</v>
      </c>
      <c r="X4" s="727" t="s">
        <v>2270</v>
      </c>
      <c r="Y4" s="726" t="s">
        <v>2269</v>
      </c>
      <c r="Z4" s="727" t="s">
        <v>2270</v>
      </c>
      <c r="AA4" s="2344"/>
    </row>
    <row r="5" spans="1:27" ht="14.25">
      <c r="A5" s="728">
        <v>1</v>
      </c>
      <c r="B5" s="819" t="s">
        <v>2326</v>
      </c>
      <c r="C5" s="784"/>
      <c r="D5" s="731"/>
      <c r="E5" s="732"/>
      <c r="F5" s="731"/>
      <c r="G5" s="732"/>
      <c r="H5" s="731"/>
      <c r="I5" s="732"/>
      <c r="J5" s="731"/>
      <c r="K5" s="732"/>
      <c r="L5" s="731"/>
      <c r="M5" s="732"/>
      <c r="N5" s="731"/>
      <c r="O5" s="732"/>
      <c r="P5" s="731"/>
      <c r="Q5" s="732"/>
      <c r="R5" s="731"/>
      <c r="S5" s="732"/>
      <c r="T5" s="731"/>
      <c r="U5" s="732"/>
      <c r="V5" s="731"/>
      <c r="W5" s="942"/>
      <c r="X5" s="943"/>
      <c r="Y5" s="732"/>
      <c r="Z5" s="731"/>
      <c r="AA5" s="944"/>
    </row>
    <row r="6" spans="1:27" ht="14.25">
      <c r="A6" s="735">
        <v>1.1000000000000001</v>
      </c>
      <c r="B6" s="789" t="s">
        <v>3518</v>
      </c>
      <c r="C6" s="790"/>
      <c r="D6" s="738"/>
      <c r="E6" s="739"/>
      <c r="F6" s="738"/>
      <c r="G6" s="739"/>
      <c r="H6" s="738"/>
      <c r="I6" s="739"/>
      <c r="J6" s="738"/>
      <c r="K6" s="739"/>
      <c r="L6" s="738"/>
      <c r="M6" s="739"/>
      <c r="N6" s="738"/>
      <c r="O6" s="739"/>
      <c r="P6" s="738"/>
      <c r="Q6" s="739"/>
      <c r="R6" s="738"/>
      <c r="S6" s="739"/>
      <c r="T6" s="738"/>
      <c r="U6" s="739"/>
      <c r="V6" s="738"/>
      <c r="W6" s="887"/>
      <c r="X6" s="888">
        <v>8</v>
      </c>
      <c r="Y6" s="739"/>
      <c r="Z6" s="738"/>
      <c r="AA6" s="894"/>
    </row>
    <row r="7" spans="1:27" ht="14.25">
      <c r="A7" s="735">
        <v>1.2</v>
      </c>
      <c r="B7" s="789" t="s">
        <v>3519</v>
      </c>
      <c r="C7" s="790"/>
      <c r="D7" s="738"/>
      <c r="E7" s="739"/>
      <c r="F7" s="738"/>
      <c r="G7" s="739"/>
      <c r="H7" s="738"/>
      <c r="I7" s="739"/>
      <c r="J7" s="738"/>
      <c r="K7" s="739"/>
      <c r="L7" s="738"/>
      <c r="M7" s="739"/>
      <c r="N7" s="738"/>
      <c r="O7" s="739"/>
      <c r="P7" s="738"/>
      <c r="Q7" s="739"/>
      <c r="R7" s="738"/>
      <c r="S7" s="739"/>
      <c r="T7" s="738"/>
      <c r="U7" s="739"/>
      <c r="V7" s="738"/>
      <c r="W7" s="887"/>
      <c r="X7" s="888">
        <v>8</v>
      </c>
      <c r="Y7" s="739"/>
      <c r="Z7" s="738"/>
      <c r="AA7" s="894"/>
    </row>
    <row r="8" spans="1:27" ht="14.25">
      <c r="A8" s="735">
        <v>1.3</v>
      </c>
      <c r="B8" s="789" t="s">
        <v>3520</v>
      </c>
      <c r="C8" s="790"/>
      <c r="D8" s="738"/>
      <c r="E8" s="739"/>
      <c r="F8" s="738"/>
      <c r="G8" s="739"/>
      <c r="H8" s="738"/>
      <c r="I8" s="739"/>
      <c r="J8" s="738"/>
      <c r="K8" s="739"/>
      <c r="L8" s="738"/>
      <c r="M8" s="739"/>
      <c r="N8" s="738"/>
      <c r="O8" s="739"/>
      <c r="P8" s="738"/>
      <c r="Q8" s="739"/>
      <c r="R8" s="738"/>
      <c r="S8" s="739"/>
      <c r="T8" s="738"/>
      <c r="U8" s="739"/>
      <c r="V8" s="738"/>
      <c r="W8" s="887">
        <v>20</v>
      </c>
      <c r="X8" s="888">
        <v>5</v>
      </c>
      <c r="Y8" s="739"/>
      <c r="Z8" s="738"/>
      <c r="AA8" s="894">
        <v>30</v>
      </c>
    </row>
    <row r="9" spans="1:27" ht="14.25">
      <c r="A9" s="742">
        <v>2</v>
      </c>
      <c r="B9" s="796" t="s">
        <v>3521</v>
      </c>
      <c r="C9" s="790"/>
      <c r="D9" s="738"/>
      <c r="E9" s="739"/>
      <c r="F9" s="738"/>
      <c r="G9" s="739"/>
      <c r="H9" s="738"/>
      <c r="I9" s="739"/>
      <c r="J9" s="738"/>
      <c r="K9" s="739"/>
      <c r="L9" s="738"/>
      <c r="M9" s="739"/>
      <c r="N9" s="738"/>
      <c r="O9" s="739"/>
      <c r="P9" s="738"/>
      <c r="Q9" s="739"/>
      <c r="R9" s="738"/>
      <c r="S9" s="739"/>
      <c r="T9" s="738"/>
      <c r="U9" s="739"/>
      <c r="V9" s="738"/>
      <c r="W9" s="887">
        <v>80</v>
      </c>
      <c r="X9" s="888">
        <v>40</v>
      </c>
      <c r="Y9" s="739"/>
      <c r="Z9" s="738"/>
      <c r="AA9" s="894"/>
    </row>
    <row r="10" spans="1:27" ht="14.25">
      <c r="A10" s="742">
        <v>3</v>
      </c>
      <c r="B10" s="796" t="s">
        <v>3522</v>
      </c>
      <c r="C10" s="790"/>
      <c r="D10" s="738"/>
      <c r="E10" s="739"/>
      <c r="F10" s="738"/>
      <c r="G10" s="739"/>
      <c r="H10" s="738"/>
      <c r="I10" s="739"/>
      <c r="J10" s="738"/>
      <c r="K10" s="739"/>
      <c r="L10" s="738"/>
      <c r="M10" s="739"/>
      <c r="N10" s="738"/>
      <c r="O10" s="739"/>
      <c r="P10" s="738"/>
      <c r="Q10" s="739"/>
      <c r="R10" s="738"/>
      <c r="S10" s="739"/>
      <c r="T10" s="738"/>
      <c r="U10" s="739"/>
      <c r="V10" s="738"/>
      <c r="W10" s="887">
        <v>70</v>
      </c>
      <c r="X10" s="888">
        <v>30</v>
      </c>
      <c r="Y10" s="739"/>
      <c r="Z10" s="738"/>
      <c r="AA10" s="894"/>
    </row>
    <row r="11" spans="1:27" ht="14.25">
      <c r="A11" s="742">
        <v>4</v>
      </c>
      <c r="B11" s="796" t="s">
        <v>3523</v>
      </c>
      <c r="C11" s="794"/>
      <c r="D11" s="745"/>
      <c r="E11" s="746"/>
      <c r="F11" s="745"/>
      <c r="G11" s="746"/>
      <c r="H11" s="745"/>
      <c r="I11" s="746"/>
      <c r="J11" s="745"/>
      <c r="K11" s="746"/>
      <c r="L11" s="745"/>
      <c r="M11" s="746"/>
      <c r="N11" s="745"/>
      <c r="O11" s="746"/>
      <c r="P11" s="745"/>
      <c r="Q11" s="746"/>
      <c r="R11" s="745"/>
      <c r="S11" s="746"/>
      <c r="T11" s="745"/>
      <c r="U11" s="746"/>
      <c r="V11" s="745"/>
      <c r="W11" s="945"/>
      <c r="X11" s="946"/>
      <c r="Y11" s="746"/>
      <c r="Z11" s="745"/>
      <c r="AA11" s="947"/>
    </row>
    <row r="12" spans="1:27" ht="14.25">
      <c r="A12" s="735">
        <v>4.0999999999999996</v>
      </c>
      <c r="B12" s="789" t="s">
        <v>3524</v>
      </c>
      <c r="C12" s="790"/>
      <c r="D12" s="738"/>
      <c r="E12" s="739"/>
      <c r="F12" s="738"/>
      <c r="G12" s="739"/>
      <c r="H12" s="738"/>
      <c r="I12" s="739"/>
      <c r="J12" s="738"/>
      <c r="K12" s="739"/>
      <c r="L12" s="738"/>
      <c r="M12" s="739"/>
      <c r="N12" s="738"/>
      <c r="O12" s="739"/>
      <c r="P12" s="738"/>
      <c r="Q12" s="739"/>
      <c r="R12" s="738"/>
      <c r="S12" s="739"/>
      <c r="T12" s="738"/>
      <c r="U12" s="739"/>
      <c r="V12" s="738"/>
      <c r="W12" s="887">
        <v>80</v>
      </c>
      <c r="X12" s="888">
        <v>30</v>
      </c>
      <c r="Y12" s="739"/>
      <c r="Z12" s="738"/>
      <c r="AA12" s="894">
        <v>30</v>
      </c>
    </row>
    <row r="13" spans="1:27" ht="14.25">
      <c r="A13" s="735">
        <v>4.2</v>
      </c>
      <c r="B13" s="789" t="s">
        <v>3525</v>
      </c>
      <c r="C13" s="790"/>
      <c r="D13" s="738"/>
      <c r="E13" s="739"/>
      <c r="F13" s="738"/>
      <c r="G13" s="739"/>
      <c r="H13" s="738"/>
      <c r="I13" s="739"/>
      <c r="J13" s="738"/>
      <c r="K13" s="739"/>
      <c r="L13" s="738"/>
      <c r="M13" s="739"/>
      <c r="N13" s="738"/>
      <c r="O13" s="739"/>
      <c r="P13" s="738"/>
      <c r="Q13" s="739"/>
      <c r="R13" s="738"/>
      <c r="S13" s="739"/>
      <c r="T13" s="738"/>
      <c r="U13" s="739"/>
      <c r="V13" s="738"/>
      <c r="W13" s="887">
        <v>60</v>
      </c>
      <c r="X13" s="888">
        <v>20</v>
      </c>
      <c r="Y13" s="739"/>
      <c r="Z13" s="738"/>
      <c r="AA13" s="894">
        <v>30</v>
      </c>
    </row>
    <row r="14" spans="1:27" ht="14.25">
      <c r="A14" s="742">
        <v>5</v>
      </c>
      <c r="B14" s="796" t="s">
        <v>3526</v>
      </c>
      <c r="C14" s="790"/>
      <c r="D14" s="738"/>
      <c r="E14" s="739"/>
      <c r="F14" s="738"/>
      <c r="G14" s="739"/>
      <c r="H14" s="738"/>
      <c r="I14" s="739"/>
      <c r="J14" s="738"/>
      <c r="K14" s="739"/>
      <c r="L14" s="738"/>
      <c r="M14" s="739"/>
      <c r="N14" s="738"/>
      <c r="O14" s="739"/>
      <c r="P14" s="738"/>
      <c r="Q14" s="739"/>
      <c r="R14" s="738"/>
      <c r="S14" s="739"/>
      <c r="T14" s="738"/>
      <c r="U14" s="739"/>
      <c r="V14" s="738"/>
      <c r="W14" s="945"/>
      <c r="X14" s="946"/>
      <c r="Y14" s="739"/>
      <c r="Z14" s="738"/>
      <c r="AA14" s="947"/>
    </row>
    <row r="15" spans="1:27" ht="28.5">
      <c r="A15" s="735">
        <v>5.0999999999999996</v>
      </c>
      <c r="B15" s="789" t="s">
        <v>3527</v>
      </c>
      <c r="C15" s="790"/>
      <c r="D15" s="738"/>
      <c r="E15" s="739"/>
      <c r="F15" s="738"/>
      <c r="G15" s="739"/>
      <c r="H15" s="738"/>
      <c r="I15" s="739"/>
      <c r="J15" s="738"/>
      <c r="K15" s="739"/>
      <c r="L15" s="738"/>
      <c r="M15" s="739"/>
      <c r="N15" s="738"/>
      <c r="O15" s="739">
        <v>1</v>
      </c>
      <c r="P15" s="738"/>
      <c r="Q15" s="739"/>
      <c r="R15" s="738"/>
      <c r="S15" s="739"/>
      <c r="T15" s="738"/>
      <c r="U15" s="739"/>
      <c r="V15" s="738"/>
      <c r="W15" s="887">
        <v>10</v>
      </c>
      <c r="X15" s="888"/>
      <c r="Y15" s="739"/>
      <c r="Z15" s="738"/>
      <c r="AA15" s="894">
        <v>40</v>
      </c>
    </row>
    <row r="16" spans="1:27" ht="14.25">
      <c r="A16" s="735">
        <v>5.2</v>
      </c>
      <c r="B16" s="789" t="s">
        <v>3528</v>
      </c>
      <c r="C16" s="790"/>
      <c r="D16" s="738"/>
      <c r="E16" s="739"/>
      <c r="F16" s="738"/>
      <c r="G16" s="739"/>
      <c r="H16" s="738"/>
      <c r="I16" s="739"/>
      <c r="J16" s="738"/>
      <c r="K16" s="739"/>
      <c r="L16" s="738"/>
      <c r="M16" s="739"/>
      <c r="N16" s="738"/>
      <c r="O16" s="739">
        <v>1</v>
      </c>
      <c r="P16" s="738"/>
      <c r="Q16" s="739"/>
      <c r="R16" s="738"/>
      <c r="S16" s="739"/>
      <c r="T16" s="738"/>
      <c r="U16" s="739"/>
      <c r="V16" s="738"/>
      <c r="W16" s="887">
        <v>5</v>
      </c>
      <c r="X16" s="888"/>
      <c r="Y16" s="739"/>
      <c r="Z16" s="738"/>
      <c r="AA16" s="894">
        <v>20</v>
      </c>
    </row>
    <row r="17" spans="1:27" ht="28.5">
      <c r="A17" s="735">
        <v>5.3</v>
      </c>
      <c r="B17" s="789" t="s">
        <v>3529</v>
      </c>
      <c r="C17" s="794"/>
      <c r="D17" s="745"/>
      <c r="E17" s="746"/>
      <c r="F17" s="745"/>
      <c r="G17" s="746"/>
      <c r="H17" s="745"/>
      <c r="I17" s="746"/>
      <c r="J17" s="745"/>
      <c r="K17" s="746"/>
      <c r="L17" s="745"/>
      <c r="M17" s="746"/>
      <c r="N17" s="745"/>
      <c r="O17" s="746">
        <v>1</v>
      </c>
      <c r="P17" s="745"/>
      <c r="Q17" s="746"/>
      <c r="R17" s="745"/>
      <c r="S17" s="746"/>
      <c r="T17" s="745"/>
      <c r="U17" s="746"/>
      <c r="V17" s="745"/>
      <c r="W17" s="887">
        <v>10</v>
      </c>
      <c r="X17" s="888"/>
      <c r="Y17" s="746"/>
      <c r="Z17" s="745"/>
      <c r="AA17" s="894">
        <v>30</v>
      </c>
    </row>
    <row r="18" spans="1:27" ht="28.5">
      <c r="A18" s="735">
        <v>5.4</v>
      </c>
      <c r="B18" s="789" t="s">
        <v>3530</v>
      </c>
      <c r="C18" s="790"/>
      <c r="D18" s="738"/>
      <c r="E18" s="739"/>
      <c r="F18" s="738"/>
      <c r="G18" s="739"/>
      <c r="H18" s="738"/>
      <c r="I18" s="739"/>
      <c r="J18" s="738"/>
      <c r="K18" s="739"/>
      <c r="L18" s="738"/>
      <c r="M18" s="739"/>
      <c r="N18" s="738"/>
      <c r="O18" s="739">
        <v>1</v>
      </c>
      <c r="P18" s="738"/>
      <c r="Q18" s="739"/>
      <c r="R18" s="738"/>
      <c r="S18" s="739"/>
      <c r="T18" s="738"/>
      <c r="U18" s="739"/>
      <c r="V18" s="738"/>
      <c r="W18" s="887">
        <v>10</v>
      </c>
      <c r="X18" s="888"/>
      <c r="Y18" s="739"/>
      <c r="Z18" s="738"/>
      <c r="AA18" s="894">
        <v>40</v>
      </c>
    </row>
    <row r="19" spans="1:27" ht="28.5">
      <c r="A19" s="735">
        <v>5.5</v>
      </c>
      <c r="B19" s="789" t="s">
        <v>3531</v>
      </c>
      <c r="C19" s="790"/>
      <c r="D19" s="738"/>
      <c r="E19" s="739"/>
      <c r="F19" s="738"/>
      <c r="G19" s="739"/>
      <c r="H19" s="738"/>
      <c r="I19" s="739"/>
      <c r="J19" s="738"/>
      <c r="K19" s="739"/>
      <c r="L19" s="738"/>
      <c r="M19" s="739"/>
      <c r="N19" s="738"/>
      <c r="O19" s="739">
        <v>1</v>
      </c>
      <c r="P19" s="738"/>
      <c r="Q19" s="739"/>
      <c r="R19" s="738"/>
      <c r="S19" s="739"/>
      <c r="T19" s="738"/>
      <c r="U19" s="739"/>
      <c r="V19" s="738"/>
      <c r="W19" s="887">
        <v>10</v>
      </c>
      <c r="X19" s="888"/>
      <c r="Y19" s="739"/>
      <c r="Z19" s="738"/>
      <c r="AA19" s="894">
        <v>30</v>
      </c>
    </row>
    <row r="20" spans="1:27" ht="14.25">
      <c r="A20" s="735">
        <v>5.6</v>
      </c>
      <c r="B20" s="789" t="s">
        <v>3532</v>
      </c>
      <c r="C20" s="790"/>
      <c r="D20" s="738"/>
      <c r="E20" s="739"/>
      <c r="F20" s="738"/>
      <c r="G20" s="739"/>
      <c r="H20" s="738"/>
      <c r="I20" s="739"/>
      <c r="J20" s="738"/>
      <c r="K20" s="739"/>
      <c r="L20" s="738"/>
      <c r="M20" s="739"/>
      <c r="N20" s="738"/>
      <c r="O20" s="739">
        <v>1</v>
      </c>
      <c r="P20" s="738"/>
      <c r="Q20" s="739"/>
      <c r="R20" s="738"/>
      <c r="S20" s="739"/>
      <c r="T20" s="738"/>
      <c r="U20" s="739"/>
      <c r="V20" s="738"/>
      <c r="W20" s="887">
        <v>10</v>
      </c>
      <c r="X20" s="888"/>
      <c r="Y20" s="739"/>
      <c r="Z20" s="738"/>
      <c r="AA20" s="894">
        <v>40</v>
      </c>
    </row>
    <row r="21" spans="1:27" ht="14.25">
      <c r="A21" s="735">
        <v>5.7</v>
      </c>
      <c r="B21" s="789" t="s">
        <v>3533</v>
      </c>
      <c r="C21" s="790"/>
      <c r="D21" s="738"/>
      <c r="E21" s="739"/>
      <c r="F21" s="738"/>
      <c r="G21" s="739"/>
      <c r="H21" s="738"/>
      <c r="I21" s="739"/>
      <c r="J21" s="738"/>
      <c r="K21" s="739"/>
      <c r="L21" s="738"/>
      <c r="M21" s="739"/>
      <c r="N21" s="738"/>
      <c r="O21" s="739">
        <v>1</v>
      </c>
      <c r="P21" s="738"/>
      <c r="Q21" s="739"/>
      <c r="R21" s="738"/>
      <c r="S21" s="739"/>
      <c r="T21" s="738"/>
      <c r="U21" s="739"/>
      <c r="V21" s="738"/>
      <c r="W21" s="887">
        <v>10</v>
      </c>
      <c r="X21" s="888"/>
      <c r="Y21" s="739"/>
      <c r="Z21" s="738"/>
      <c r="AA21" s="894">
        <v>30</v>
      </c>
    </row>
    <row r="22" spans="1:27" ht="28.5">
      <c r="A22" s="735">
        <v>5.8</v>
      </c>
      <c r="B22" s="789" t="s">
        <v>3534</v>
      </c>
      <c r="C22" s="790"/>
      <c r="D22" s="738"/>
      <c r="E22" s="739"/>
      <c r="F22" s="738"/>
      <c r="G22" s="739"/>
      <c r="H22" s="738"/>
      <c r="I22" s="739"/>
      <c r="J22" s="738"/>
      <c r="K22" s="739"/>
      <c r="L22" s="738"/>
      <c r="M22" s="739"/>
      <c r="N22" s="738"/>
      <c r="O22" s="739">
        <v>1</v>
      </c>
      <c r="P22" s="738"/>
      <c r="Q22" s="739"/>
      <c r="R22" s="738"/>
      <c r="S22" s="739"/>
      <c r="T22" s="738"/>
      <c r="U22" s="739"/>
      <c r="V22" s="738"/>
      <c r="W22" s="887">
        <v>10</v>
      </c>
      <c r="X22" s="888"/>
      <c r="Y22" s="739"/>
      <c r="Z22" s="738"/>
      <c r="AA22" s="894">
        <v>40</v>
      </c>
    </row>
    <row r="23" spans="1:27" ht="28.5">
      <c r="A23" s="735">
        <v>5.9</v>
      </c>
      <c r="B23" s="789" t="s">
        <v>3535</v>
      </c>
      <c r="C23" s="790"/>
      <c r="D23" s="738"/>
      <c r="E23" s="739"/>
      <c r="F23" s="738"/>
      <c r="G23" s="739"/>
      <c r="H23" s="738"/>
      <c r="I23" s="739"/>
      <c r="J23" s="738"/>
      <c r="K23" s="739"/>
      <c r="L23" s="738"/>
      <c r="M23" s="739"/>
      <c r="N23" s="738"/>
      <c r="O23" s="739">
        <v>1</v>
      </c>
      <c r="P23" s="738"/>
      <c r="Q23" s="739"/>
      <c r="R23" s="738"/>
      <c r="S23" s="739"/>
      <c r="T23" s="738"/>
      <c r="U23" s="739"/>
      <c r="V23" s="738"/>
      <c r="W23" s="887">
        <v>5</v>
      </c>
      <c r="X23" s="888"/>
      <c r="Y23" s="739"/>
      <c r="Z23" s="738"/>
      <c r="AA23" s="894">
        <v>20</v>
      </c>
    </row>
    <row r="24" spans="1:27" ht="14.25">
      <c r="A24" s="742">
        <v>6</v>
      </c>
      <c r="B24" s="796" t="s">
        <v>3536</v>
      </c>
      <c r="C24" s="790"/>
      <c r="D24" s="738"/>
      <c r="E24" s="739"/>
      <c r="F24" s="738"/>
      <c r="G24" s="739"/>
      <c r="H24" s="738"/>
      <c r="I24" s="739"/>
      <c r="J24" s="738"/>
      <c r="K24" s="739"/>
      <c r="L24" s="738"/>
      <c r="M24" s="739"/>
      <c r="N24" s="738"/>
      <c r="O24" s="739"/>
      <c r="P24" s="738"/>
      <c r="Q24" s="739"/>
      <c r="R24" s="738"/>
      <c r="S24" s="739"/>
      <c r="T24" s="738"/>
      <c r="U24" s="739"/>
      <c r="V24" s="738"/>
      <c r="W24" s="945"/>
      <c r="X24" s="946"/>
      <c r="Y24" s="739"/>
      <c r="Z24" s="738"/>
      <c r="AA24" s="947"/>
    </row>
    <row r="25" spans="1:27" ht="14.25">
      <c r="A25" s="735">
        <v>6.1</v>
      </c>
      <c r="B25" s="789" t="s">
        <v>3537</v>
      </c>
      <c r="C25" s="790"/>
      <c r="D25" s="738"/>
      <c r="E25" s="739"/>
      <c r="F25" s="738"/>
      <c r="G25" s="739"/>
      <c r="H25" s="738"/>
      <c r="I25" s="739"/>
      <c r="J25" s="738"/>
      <c r="K25" s="739"/>
      <c r="L25" s="738"/>
      <c r="M25" s="739"/>
      <c r="N25" s="738"/>
      <c r="O25" s="739">
        <v>1</v>
      </c>
      <c r="P25" s="738"/>
      <c r="Q25" s="739"/>
      <c r="R25" s="738"/>
      <c r="S25" s="739"/>
      <c r="T25" s="738"/>
      <c r="U25" s="739"/>
      <c r="V25" s="738"/>
      <c r="W25" s="887">
        <v>15</v>
      </c>
      <c r="X25" s="888">
        <v>5</v>
      </c>
      <c r="Y25" s="739"/>
      <c r="Z25" s="738"/>
      <c r="AA25" s="894">
        <v>40</v>
      </c>
    </row>
    <row r="26" spans="1:27" ht="28.5">
      <c r="A26" s="735">
        <v>6.2</v>
      </c>
      <c r="B26" s="789" t="s">
        <v>3538</v>
      </c>
      <c r="C26" s="794"/>
      <c r="D26" s="745"/>
      <c r="E26" s="746"/>
      <c r="F26" s="745"/>
      <c r="G26" s="746"/>
      <c r="H26" s="745"/>
      <c r="I26" s="746"/>
      <c r="J26" s="745"/>
      <c r="K26" s="746"/>
      <c r="L26" s="745"/>
      <c r="M26" s="746"/>
      <c r="N26" s="745"/>
      <c r="O26" s="746">
        <v>1</v>
      </c>
      <c r="P26" s="745"/>
      <c r="Q26" s="746"/>
      <c r="R26" s="745"/>
      <c r="S26" s="746"/>
      <c r="T26" s="745"/>
      <c r="U26" s="746"/>
      <c r="V26" s="745"/>
      <c r="W26" s="887">
        <v>10</v>
      </c>
      <c r="X26" s="888">
        <v>2</v>
      </c>
      <c r="Y26" s="746"/>
      <c r="Z26" s="745"/>
      <c r="AA26" s="894">
        <v>20</v>
      </c>
    </row>
    <row r="27" spans="1:27" ht="28.5">
      <c r="A27" s="735">
        <v>6.3</v>
      </c>
      <c r="B27" s="789" t="s">
        <v>3539</v>
      </c>
      <c r="C27" s="790"/>
      <c r="D27" s="738"/>
      <c r="E27" s="739"/>
      <c r="F27" s="738"/>
      <c r="G27" s="739"/>
      <c r="H27" s="738"/>
      <c r="I27" s="739"/>
      <c r="J27" s="738"/>
      <c r="K27" s="739"/>
      <c r="L27" s="738"/>
      <c r="M27" s="739"/>
      <c r="N27" s="738"/>
      <c r="O27" s="739">
        <v>1</v>
      </c>
      <c r="P27" s="738"/>
      <c r="Q27" s="739"/>
      <c r="R27" s="738"/>
      <c r="S27" s="739"/>
      <c r="T27" s="738"/>
      <c r="U27" s="739"/>
      <c r="V27" s="738"/>
      <c r="W27" s="887">
        <v>25</v>
      </c>
      <c r="X27" s="888">
        <v>2</v>
      </c>
      <c r="Y27" s="739"/>
      <c r="Z27" s="738"/>
      <c r="AA27" s="894">
        <v>60</v>
      </c>
    </row>
    <row r="28" spans="1:27" ht="28.5">
      <c r="A28" s="735">
        <v>6.4</v>
      </c>
      <c r="B28" s="789" t="s">
        <v>3540</v>
      </c>
      <c r="C28" s="790"/>
      <c r="D28" s="738"/>
      <c r="E28" s="739"/>
      <c r="F28" s="738"/>
      <c r="G28" s="739"/>
      <c r="H28" s="738"/>
      <c r="I28" s="739"/>
      <c r="J28" s="738"/>
      <c r="K28" s="739"/>
      <c r="L28" s="738"/>
      <c r="M28" s="739"/>
      <c r="N28" s="738"/>
      <c r="O28" s="739">
        <v>1</v>
      </c>
      <c r="P28" s="738"/>
      <c r="Q28" s="739"/>
      <c r="R28" s="738"/>
      <c r="S28" s="739"/>
      <c r="T28" s="738"/>
      <c r="U28" s="739"/>
      <c r="V28" s="738"/>
      <c r="W28" s="887">
        <v>10</v>
      </c>
      <c r="X28" s="888">
        <v>2</v>
      </c>
      <c r="Y28" s="739"/>
      <c r="Z28" s="738"/>
      <c r="AA28" s="894">
        <v>20</v>
      </c>
    </row>
    <row r="29" spans="1:27" ht="14.25">
      <c r="A29" s="735">
        <v>6.5</v>
      </c>
      <c r="B29" s="789" t="s">
        <v>3541</v>
      </c>
      <c r="C29" s="790"/>
      <c r="D29" s="738"/>
      <c r="E29" s="739"/>
      <c r="F29" s="738"/>
      <c r="G29" s="739"/>
      <c r="H29" s="738"/>
      <c r="I29" s="739"/>
      <c r="J29" s="738"/>
      <c r="K29" s="739"/>
      <c r="L29" s="738"/>
      <c r="M29" s="739"/>
      <c r="N29" s="738"/>
      <c r="O29" s="739">
        <v>1</v>
      </c>
      <c r="P29" s="738"/>
      <c r="Q29" s="739"/>
      <c r="R29" s="738"/>
      <c r="S29" s="739"/>
      <c r="T29" s="738"/>
      <c r="U29" s="739"/>
      <c r="V29" s="738"/>
      <c r="W29" s="887">
        <v>50</v>
      </c>
      <c r="X29" s="888">
        <v>5</v>
      </c>
      <c r="Y29" s="739"/>
      <c r="Z29" s="738"/>
      <c r="AA29" s="894"/>
    </row>
    <row r="30" spans="1:27" ht="28.5">
      <c r="A30" s="735">
        <v>6.6</v>
      </c>
      <c r="B30" s="789" t="s">
        <v>3542</v>
      </c>
      <c r="C30" s="790"/>
      <c r="D30" s="738"/>
      <c r="E30" s="739"/>
      <c r="F30" s="738"/>
      <c r="G30" s="739"/>
      <c r="H30" s="738"/>
      <c r="I30" s="739"/>
      <c r="J30" s="738"/>
      <c r="K30" s="739"/>
      <c r="L30" s="738"/>
      <c r="M30" s="739"/>
      <c r="N30" s="738"/>
      <c r="O30" s="739">
        <v>1</v>
      </c>
      <c r="P30" s="738"/>
      <c r="Q30" s="739"/>
      <c r="R30" s="738"/>
      <c r="S30" s="739"/>
      <c r="T30" s="738"/>
      <c r="U30" s="739"/>
      <c r="V30" s="738"/>
      <c r="W30" s="887">
        <v>20</v>
      </c>
      <c r="X30" s="888">
        <v>3</v>
      </c>
      <c r="Y30" s="739"/>
      <c r="Z30" s="738"/>
      <c r="AA30" s="894"/>
    </row>
    <row r="31" spans="1:27" ht="14.25">
      <c r="A31" s="742">
        <v>7</v>
      </c>
      <c r="B31" s="829" t="s">
        <v>3543</v>
      </c>
      <c r="C31" s="790"/>
      <c r="D31" s="738"/>
      <c r="E31" s="739"/>
      <c r="F31" s="738"/>
      <c r="G31" s="739"/>
      <c r="H31" s="738"/>
      <c r="I31" s="739"/>
      <c r="J31" s="738"/>
      <c r="K31" s="739"/>
      <c r="L31" s="738"/>
      <c r="M31" s="739"/>
      <c r="N31" s="738"/>
      <c r="O31" s="739"/>
      <c r="P31" s="738"/>
      <c r="Q31" s="739"/>
      <c r="R31" s="738"/>
      <c r="S31" s="739"/>
      <c r="T31" s="738"/>
      <c r="U31" s="739"/>
      <c r="V31" s="738"/>
      <c r="W31" s="945"/>
      <c r="X31" s="946"/>
      <c r="Y31" s="739"/>
      <c r="Z31" s="738"/>
      <c r="AA31" s="947"/>
    </row>
    <row r="32" spans="1:27" ht="14.25">
      <c r="A32" s="735">
        <v>7.1</v>
      </c>
      <c r="B32" s="789" t="s">
        <v>3544</v>
      </c>
      <c r="C32" s="790"/>
      <c r="D32" s="738"/>
      <c r="E32" s="739"/>
      <c r="F32" s="738"/>
      <c r="G32" s="739"/>
      <c r="H32" s="738"/>
      <c r="I32" s="739"/>
      <c r="J32" s="738"/>
      <c r="K32" s="739"/>
      <c r="L32" s="738"/>
      <c r="M32" s="739"/>
      <c r="N32" s="738"/>
      <c r="O32" s="739"/>
      <c r="P32" s="738"/>
      <c r="Q32" s="739"/>
      <c r="R32" s="738"/>
      <c r="S32" s="739"/>
      <c r="T32" s="738"/>
      <c r="U32" s="739"/>
      <c r="V32" s="738"/>
      <c r="W32" s="887">
        <v>10</v>
      </c>
      <c r="X32" s="888">
        <v>3</v>
      </c>
      <c r="Y32" s="739"/>
      <c r="Z32" s="738"/>
      <c r="AA32" s="894"/>
    </row>
    <row r="33" spans="1:27" ht="14.25">
      <c r="A33" s="735">
        <v>7.2</v>
      </c>
      <c r="B33" s="789" t="s">
        <v>3545</v>
      </c>
      <c r="C33" s="790"/>
      <c r="D33" s="738"/>
      <c r="E33" s="739"/>
      <c r="F33" s="738"/>
      <c r="G33" s="739"/>
      <c r="H33" s="738"/>
      <c r="I33" s="739"/>
      <c r="J33" s="738"/>
      <c r="K33" s="739"/>
      <c r="L33" s="738"/>
      <c r="M33" s="739"/>
      <c r="N33" s="738"/>
      <c r="O33" s="739"/>
      <c r="P33" s="738"/>
      <c r="Q33" s="739"/>
      <c r="R33" s="738"/>
      <c r="S33" s="739"/>
      <c r="T33" s="738"/>
      <c r="U33" s="739"/>
      <c r="V33" s="738"/>
      <c r="W33" s="887">
        <v>10</v>
      </c>
      <c r="X33" s="888">
        <v>3</v>
      </c>
      <c r="Y33" s="739"/>
      <c r="Z33" s="738"/>
      <c r="AA33" s="894"/>
    </row>
    <row r="34" spans="1:27" ht="14.25">
      <c r="A34" s="735">
        <v>7.3</v>
      </c>
      <c r="B34" s="789" t="s">
        <v>3546</v>
      </c>
      <c r="C34" s="794"/>
      <c r="D34" s="745"/>
      <c r="E34" s="746"/>
      <c r="F34" s="745"/>
      <c r="G34" s="746"/>
      <c r="H34" s="745"/>
      <c r="I34" s="746"/>
      <c r="J34" s="745"/>
      <c r="K34" s="746"/>
      <c r="L34" s="745"/>
      <c r="M34" s="746"/>
      <c r="N34" s="745"/>
      <c r="O34" s="746"/>
      <c r="P34" s="745"/>
      <c r="Q34" s="746"/>
      <c r="R34" s="745"/>
      <c r="S34" s="746"/>
      <c r="T34" s="745"/>
      <c r="U34" s="746"/>
      <c r="V34" s="745"/>
      <c r="W34" s="887">
        <v>10</v>
      </c>
      <c r="X34" s="888">
        <v>3</v>
      </c>
      <c r="Y34" s="746"/>
      <c r="Z34" s="745"/>
      <c r="AA34" s="894"/>
    </row>
    <row r="35" spans="1:27" ht="14.25">
      <c r="A35" s="735">
        <v>7.5</v>
      </c>
      <c r="B35" s="789" t="s">
        <v>3547</v>
      </c>
      <c r="C35" s="790"/>
      <c r="D35" s="738"/>
      <c r="E35" s="739"/>
      <c r="F35" s="738"/>
      <c r="G35" s="739"/>
      <c r="H35" s="738"/>
      <c r="I35" s="739"/>
      <c r="J35" s="738"/>
      <c r="K35" s="739"/>
      <c r="L35" s="738"/>
      <c r="M35" s="739"/>
      <c r="N35" s="738"/>
      <c r="O35" s="739"/>
      <c r="P35" s="738"/>
      <c r="Q35" s="739"/>
      <c r="R35" s="738"/>
      <c r="S35" s="739"/>
      <c r="T35" s="738"/>
      <c r="U35" s="739"/>
      <c r="V35" s="738"/>
      <c r="W35" s="887">
        <v>20</v>
      </c>
      <c r="X35" s="888">
        <v>5</v>
      </c>
      <c r="Y35" s="739"/>
      <c r="Z35" s="738"/>
      <c r="AA35" s="894"/>
    </row>
    <row r="36" spans="1:27" ht="14.25">
      <c r="A36" s="742">
        <v>8</v>
      </c>
      <c r="B36" s="829" t="s">
        <v>2723</v>
      </c>
      <c r="C36" s="790"/>
      <c r="D36" s="738"/>
      <c r="E36" s="739"/>
      <c r="F36" s="738"/>
      <c r="G36" s="739"/>
      <c r="H36" s="738"/>
      <c r="I36" s="739"/>
      <c r="J36" s="738"/>
      <c r="K36" s="739"/>
      <c r="L36" s="738"/>
      <c r="M36" s="739"/>
      <c r="N36" s="738"/>
      <c r="O36" s="739"/>
      <c r="P36" s="738"/>
      <c r="Q36" s="739"/>
      <c r="R36" s="738"/>
      <c r="S36" s="739"/>
      <c r="T36" s="738"/>
      <c r="U36" s="739"/>
      <c r="V36" s="738"/>
      <c r="W36" s="945"/>
      <c r="X36" s="946"/>
      <c r="Y36" s="739"/>
      <c r="Z36" s="738"/>
      <c r="AA36" s="947"/>
    </row>
    <row r="37" spans="1:27" ht="14.25">
      <c r="A37" s="735">
        <v>8.1</v>
      </c>
      <c r="B37" s="789" t="s">
        <v>3548</v>
      </c>
      <c r="C37" s="790"/>
      <c r="D37" s="738"/>
      <c r="E37" s="739"/>
      <c r="F37" s="738"/>
      <c r="G37" s="739"/>
      <c r="H37" s="738"/>
      <c r="I37" s="739"/>
      <c r="J37" s="738"/>
      <c r="K37" s="739"/>
      <c r="L37" s="738"/>
      <c r="M37" s="739"/>
      <c r="N37" s="738"/>
      <c r="O37" s="739"/>
      <c r="P37" s="738"/>
      <c r="Q37" s="739"/>
      <c r="R37" s="738"/>
      <c r="S37" s="739"/>
      <c r="T37" s="738"/>
      <c r="U37" s="739"/>
      <c r="V37" s="738"/>
      <c r="W37" s="887">
        <v>10</v>
      </c>
      <c r="X37" s="888">
        <v>3</v>
      </c>
      <c r="Y37" s="739"/>
      <c r="Z37" s="738"/>
      <c r="AA37" s="894"/>
    </row>
    <row r="38" spans="1:27" ht="14.25">
      <c r="A38" s="735">
        <v>8.1999999999999993</v>
      </c>
      <c r="B38" s="789" t="s">
        <v>3549</v>
      </c>
      <c r="C38" s="790"/>
      <c r="D38" s="738"/>
      <c r="E38" s="739"/>
      <c r="F38" s="738"/>
      <c r="G38" s="739"/>
      <c r="H38" s="738"/>
      <c r="I38" s="739"/>
      <c r="J38" s="738"/>
      <c r="K38" s="739"/>
      <c r="L38" s="738"/>
      <c r="M38" s="739"/>
      <c r="N38" s="738"/>
      <c r="O38" s="739"/>
      <c r="P38" s="738"/>
      <c r="Q38" s="739"/>
      <c r="R38" s="738"/>
      <c r="S38" s="739"/>
      <c r="T38" s="738"/>
      <c r="U38" s="739"/>
      <c r="V38" s="738"/>
      <c r="W38" s="887">
        <v>10</v>
      </c>
      <c r="X38" s="888">
        <v>3</v>
      </c>
      <c r="Y38" s="739"/>
      <c r="Z38" s="738"/>
      <c r="AA38" s="894"/>
    </row>
    <row r="39" spans="1:27" ht="14.25">
      <c r="A39" s="735">
        <v>8.3000000000000007</v>
      </c>
      <c r="B39" s="789" t="s">
        <v>3550</v>
      </c>
      <c r="C39" s="794"/>
      <c r="D39" s="745"/>
      <c r="E39" s="746"/>
      <c r="F39" s="745"/>
      <c r="G39" s="746"/>
      <c r="H39" s="745"/>
      <c r="I39" s="746"/>
      <c r="J39" s="745"/>
      <c r="K39" s="746"/>
      <c r="L39" s="745"/>
      <c r="M39" s="746"/>
      <c r="N39" s="745"/>
      <c r="O39" s="746"/>
      <c r="P39" s="745"/>
      <c r="Q39" s="746"/>
      <c r="R39" s="745"/>
      <c r="S39" s="746"/>
      <c r="T39" s="745"/>
      <c r="U39" s="746"/>
      <c r="V39" s="745"/>
      <c r="W39" s="887">
        <v>10</v>
      </c>
      <c r="X39" s="888">
        <v>3</v>
      </c>
      <c r="Y39" s="746"/>
      <c r="Z39" s="745"/>
      <c r="AA39" s="894"/>
    </row>
    <row r="40" spans="1:27" ht="14.25">
      <c r="A40" s="735">
        <v>8.5</v>
      </c>
      <c r="B40" s="789" t="s">
        <v>3551</v>
      </c>
      <c r="C40" s="790"/>
      <c r="D40" s="738"/>
      <c r="E40" s="739"/>
      <c r="F40" s="738"/>
      <c r="G40" s="739"/>
      <c r="H40" s="738"/>
      <c r="I40" s="739"/>
      <c r="J40" s="738"/>
      <c r="K40" s="739"/>
      <c r="L40" s="738"/>
      <c r="M40" s="739"/>
      <c r="N40" s="738"/>
      <c r="O40" s="739"/>
      <c r="P40" s="738"/>
      <c r="Q40" s="739"/>
      <c r="R40" s="738"/>
      <c r="S40" s="739"/>
      <c r="T40" s="738"/>
      <c r="U40" s="739"/>
      <c r="V40" s="738"/>
      <c r="W40" s="887">
        <v>30</v>
      </c>
      <c r="X40" s="888">
        <v>10</v>
      </c>
      <c r="Y40" s="739"/>
      <c r="Z40" s="738"/>
      <c r="AA40" s="894"/>
    </row>
    <row r="41" spans="1:27" ht="14.25">
      <c r="A41" s="735">
        <v>8.6</v>
      </c>
      <c r="B41" s="789" t="s">
        <v>3552</v>
      </c>
      <c r="C41" s="790"/>
      <c r="D41" s="738"/>
      <c r="E41" s="739"/>
      <c r="F41" s="738"/>
      <c r="G41" s="739"/>
      <c r="H41" s="738"/>
      <c r="I41" s="739"/>
      <c r="J41" s="738"/>
      <c r="K41" s="739"/>
      <c r="L41" s="738"/>
      <c r="M41" s="739"/>
      <c r="N41" s="738"/>
      <c r="O41" s="739"/>
      <c r="P41" s="738"/>
      <c r="Q41" s="739"/>
      <c r="R41" s="738"/>
      <c r="S41" s="739"/>
      <c r="T41" s="738"/>
      <c r="U41" s="739"/>
      <c r="V41" s="738"/>
      <c r="W41" s="887">
        <v>30</v>
      </c>
      <c r="X41" s="888">
        <v>10</v>
      </c>
      <c r="Y41" s="739"/>
      <c r="Z41" s="738"/>
      <c r="AA41" s="894"/>
    </row>
    <row r="42" spans="1:27" ht="14.25">
      <c r="A42" s="735">
        <v>8.8000000000000007</v>
      </c>
      <c r="B42" s="789" t="s">
        <v>3553</v>
      </c>
      <c r="C42" s="790"/>
      <c r="D42" s="738"/>
      <c r="E42" s="739"/>
      <c r="F42" s="738"/>
      <c r="G42" s="739"/>
      <c r="H42" s="738"/>
      <c r="I42" s="739"/>
      <c r="J42" s="738"/>
      <c r="K42" s="739"/>
      <c r="L42" s="738"/>
      <c r="M42" s="739"/>
      <c r="N42" s="738"/>
      <c r="O42" s="739"/>
      <c r="P42" s="738"/>
      <c r="Q42" s="739"/>
      <c r="R42" s="738"/>
      <c r="S42" s="739"/>
      <c r="T42" s="738"/>
      <c r="U42" s="739"/>
      <c r="V42" s="738"/>
      <c r="W42" s="887">
        <v>30</v>
      </c>
      <c r="X42" s="888">
        <v>10</v>
      </c>
      <c r="Y42" s="739"/>
      <c r="Z42" s="738"/>
      <c r="AA42" s="894"/>
    </row>
    <row r="43" spans="1:27" ht="14.25">
      <c r="A43" s="742">
        <v>9</v>
      </c>
      <c r="B43" s="829" t="s">
        <v>2611</v>
      </c>
      <c r="C43" s="790"/>
      <c r="D43" s="738"/>
      <c r="E43" s="739"/>
      <c r="F43" s="738"/>
      <c r="G43" s="739"/>
      <c r="H43" s="738"/>
      <c r="I43" s="739"/>
      <c r="J43" s="738"/>
      <c r="K43" s="739"/>
      <c r="L43" s="738"/>
      <c r="M43" s="739"/>
      <c r="N43" s="738"/>
      <c r="O43" s="739"/>
      <c r="P43" s="738"/>
      <c r="Q43" s="739"/>
      <c r="R43" s="738"/>
      <c r="S43" s="739"/>
      <c r="T43" s="738"/>
      <c r="U43" s="739"/>
      <c r="V43" s="738"/>
      <c r="W43" s="945"/>
      <c r="X43" s="946"/>
      <c r="Y43" s="739"/>
      <c r="Z43" s="738"/>
      <c r="AA43" s="947"/>
    </row>
    <row r="44" spans="1:27" ht="14.25">
      <c r="A44" s="790">
        <v>9.1</v>
      </c>
      <c r="B44" s="789" t="s">
        <v>3554</v>
      </c>
      <c r="C44" s="790"/>
      <c r="D44" s="738"/>
      <c r="E44" s="739"/>
      <c r="F44" s="738"/>
      <c r="G44" s="739"/>
      <c r="H44" s="738"/>
      <c r="I44" s="739"/>
      <c r="J44" s="738"/>
      <c r="K44" s="739"/>
      <c r="L44" s="738"/>
      <c r="M44" s="739"/>
      <c r="N44" s="738"/>
      <c r="O44" s="739"/>
      <c r="P44" s="738"/>
      <c r="Q44" s="739"/>
      <c r="R44" s="738"/>
      <c r="S44" s="739"/>
      <c r="T44" s="738"/>
      <c r="U44" s="739"/>
      <c r="V44" s="738"/>
      <c r="W44" s="948">
        <v>80</v>
      </c>
      <c r="X44" s="949">
        <v>15</v>
      </c>
      <c r="Y44" s="739"/>
      <c r="Z44" s="738"/>
      <c r="AA44" s="950"/>
    </row>
    <row r="45" spans="1:27" ht="28.5">
      <c r="A45" s="790">
        <v>9.1999999999999993</v>
      </c>
      <c r="B45" s="789" t="s">
        <v>3555</v>
      </c>
      <c r="C45" s="790"/>
      <c r="D45" s="738"/>
      <c r="E45" s="739"/>
      <c r="F45" s="738"/>
      <c r="G45" s="739"/>
      <c r="H45" s="738"/>
      <c r="I45" s="739"/>
      <c r="J45" s="738"/>
      <c r="K45" s="739"/>
      <c r="L45" s="738"/>
      <c r="M45" s="739"/>
      <c r="N45" s="738"/>
      <c r="O45" s="739"/>
      <c r="P45" s="738"/>
      <c r="Q45" s="739"/>
      <c r="R45" s="738"/>
      <c r="S45" s="739"/>
      <c r="T45" s="738"/>
      <c r="U45" s="739"/>
      <c r="V45" s="738"/>
      <c r="W45" s="948">
        <v>80</v>
      </c>
      <c r="X45" s="949">
        <v>15</v>
      </c>
      <c r="Y45" s="739"/>
      <c r="Z45" s="738"/>
      <c r="AA45" s="950"/>
    </row>
    <row r="46" spans="1:27" ht="14.25">
      <c r="A46" s="790">
        <v>9.3000000000000007</v>
      </c>
      <c r="B46" s="789" t="s">
        <v>3556</v>
      </c>
      <c r="C46" s="790"/>
      <c r="D46" s="738"/>
      <c r="E46" s="739"/>
      <c r="F46" s="738"/>
      <c r="G46" s="739"/>
      <c r="H46" s="738"/>
      <c r="I46" s="739"/>
      <c r="J46" s="738"/>
      <c r="K46" s="739"/>
      <c r="L46" s="738"/>
      <c r="M46" s="739"/>
      <c r="N46" s="738"/>
      <c r="O46" s="739"/>
      <c r="P46" s="738"/>
      <c r="Q46" s="739"/>
      <c r="R46" s="738"/>
      <c r="S46" s="739"/>
      <c r="T46" s="738"/>
      <c r="U46" s="739"/>
      <c r="V46" s="738"/>
      <c r="W46" s="948">
        <v>60</v>
      </c>
      <c r="X46" s="949">
        <v>15</v>
      </c>
      <c r="Y46" s="739"/>
      <c r="Z46" s="738"/>
      <c r="AA46" s="950"/>
    </row>
    <row r="47" spans="1:27" ht="14.25">
      <c r="A47" s="760">
        <v>10</v>
      </c>
      <c r="B47" s="808" t="s">
        <v>2626</v>
      </c>
      <c r="C47" s="809"/>
      <c r="D47" s="763"/>
      <c r="E47" s="764"/>
      <c r="F47" s="765"/>
      <c r="G47" s="766"/>
      <c r="H47" s="763"/>
      <c r="I47" s="766"/>
      <c r="J47" s="763"/>
      <c r="K47" s="766"/>
      <c r="L47" s="763"/>
      <c r="M47" s="766"/>
      <c r="N47" s="763"/>
      <c r="O47" s="766"/>
      <c r="P47" s="763"/>
      <c r="Q47" s="766"/>
      <c r="R47" s="763"/>
      <c r="S47" s="766"/>
      <c r="T47" s="763"/>
      <c r="U47" s="766"/>
      <c r="V47" s="763"/>
      <c r="W47" s="772"/>
      <c r="X47" s="771"/>
      <c r="Y47" s="772"/>
      <c r="Z47" s="771"/>
      <c r="AA47" s="767"/>
    </row>
    <row r="48" spans="1:27" ht="14.25">
      <c r="A48" s="806">
        <v>10.1</v>
      </c>
      <c r="B48" s="810" t="s">
        <v>2627</v>
      </c>
      <c r="C48" s="809"/>
      <c r="D48" s="763"/>
      <c r="E48" s="764"/>
      <c r="F48" s="765"/>
      <c r="G48" s="766"/>
      <c r="H48" s="763"/>
      <c r="I48" s="766"/>
      <c r="J48" s="763"/>
      <c r="K48" s="766"/>
      <c r="L48" s="763"/>
      <c r="M48" s="766"/>
      <c r="N48" s="763"/>
      <c r="O48" s="766"/>
      <c r="P48" s="763"/>
      <c r="Q48" s="766"/>
      <c r="R48" s="763"/>
      <c r="S48" s="766"/>
      <c r="T48" s="763"/>
      <c r="U48" s="766"/>
      <c r="V48" s="763"/>
      <c r="W48" s="772">
        <f>0.1*W55</f>
        <v>91</v>
      </c>
      <c r="X48" s="771">
        <f>0.1*X55</f>
        <v>25.8</v>
      </c>
      <c r="Y48" s="772"/>
      <c r="Z48" s="771"/>
      <c r="AA48" s="767">
        <f>0.1*AA55</f>
        <v>52</v>
      </c>
    </row>
    <row r="49" spans="1:29" ht="28.5">
      <c r="A49" s="806">
        <v>10.199999999999999</v>
      </c>
      <c r="B49" s="810" t="s">
        <v>2472</v>
      </c>
      <c r="C49" s="809"/>
      <c r="D49" s="763"/>
      <c r="E49" s="764"/>
      <c r="F49" s="765"/>
      <c r="G49" s="766"/>
      <c r="H49" s="763"/>
      <c r="I49" s="766"/>
      <c r="J49" s="763"/>
      <c r="K49" s="766"/>
      <c r="L49" s="763"/>
      <c r="M49" s="766"/>
      <c r="N49" s="763"/>
      <c r="O49" s="766"/>
      <c r="P49" s="763"/>
      <c r="Q49" s="766"/>
      <c r="R49" s="763"/>
      <c r="S49" s="766"/>
      <c r="T49" s="763"/>
      <c r="U49" s="766"/>
      <c r="V49" s="763"/>
      <c r="W49" s="772">
        <f>0.05*W55</f>
        <v>45.5</v>
      </c>
      <c r="X49" s="771"/>
      <c r="Y49" s="772"/>
      <c r="Z49" s="771"/>
      <c r="AA49" s="767">
        <f>0.05*AA55</f>
        <v>26</v>
      </c>
    </row>
    <row r="50" spans="1:29" ht="14.25">
      <c r="A50" s="806" t="s">
        <v>3557</v>
      </c>
      <c r="B50" s="810" t="s">
        <v>2628</v>
      </c>
      <c r="C50" s="809"/>
      <c r="D50" s="763"/>
      <c r="E50" s="764"/>
      <c r="F50" s="765"/>
      <c r="G50" s="766"/>
      <c r="H50" s="763"/>
      <c r="I50" s="766"/>
      <c r="J50" s="763"/>
      <c r="K50" s="766"/>
      <c r="L50" s="763"/>
      <c r="M50" s="766"/>
      <c r="N50" s="763"/>
      <c r="O50" s="766"/>
      <c r="P50" s="763"/>
      <c r="Q50" s="766"/>
      <c r="R50" s="763"/>
      <c r="S50" s="766"/>
      <c r="T50" s="763"/>
      <c r="U50" s="766"/>
      <c r="V50" s="763"/>
      <c r="W50" s="772">
        <v>50</v>
      </c>
      <c r="X50" s="771"/>
      <c r="Y50" s="772"/>
      <c r="Z50" s="771"/>
      <c r="AA50" s="767"/>
    </row>
    <row r="51" spans="1:29" ht="14.25">
      <c r="A51" s="806">
        <v>10.4</v>
      </c>
      <c r="B51" s="810" t="s">
        <v>2629</v>
      </c>
      <c r="C51" s="809"/>
      <c r="D51" s="763"/>
      <c r="E51" s="764"/>
      <c r="F51" s="765"/>
      <c r="G51" s="766"/>
      <c r="H51" s="763"/>
      <c r="I51" s="766"/>
      <c r="J51" s="763"/>
      <c r="K51" s="766"/>
      <c r="L51" s="763"/>
      <c r="M51" s="766"/>
      <c r="N51" s="763"/>
      <c r="O51" s="766"/>
      <c r="P51" s="763"/>
      <c r="Q51" s="766"/>
      <c r="R51" s="763"/>
      <c r="S51" s="766"/>
      <c r="T51" s="763"/>
      <c r="U51" s="766"/>
      <c r="V51" s="763"/>
      <c r="W51" s="772">
        <v>60</v>
      </c>
      <c r="X51" s="771"/>
      <c r="Y51" s="772"/>
      <c r="Z51" s="771"/>
      <c r="AA51" s="767"/>
    </row>
    <row r="52" spans="1:29" ht="15" thickBot="1">
      <c r="A52" s="806">
        <v>10.5</v>
      </c>
      <c r="B52" s="810" t="s">
        <v>2630</v>
      </c>
      <c r="C52" s="809"/>
      <c r="D52" s="763"/>
      <c r="E52" s="764"/>
      <c r="F52" s="765"/>
      <c r="G52" s="766"/>
      <c r="H52" s="763"/>
      <c r="I52" s="766"/>
      <c r="J52" s="763"/>
      <c r="K52" s="766"/>
      <c r="L52" s="763"/>
      <c r="M52" s="766"/>
      <c r="N52" s="763"/>
      <c r="O52" s="766"/>
      <c r="P52" s="763"/>
      <c r="Q52" s="766"/>
      <c r="R52" s="763"/>
      <c r="S52" s="766"/>
      <c r="T52" s="763"/>
      <c r="U52" s="766"/>
      <c r="V52" s="763"/>
      <c r="W52" s="772">
        <v>30</v>
      </c>
      <c r="X52" s="771">
        <v>8</v>
      </c>
      <c r="Y52" s="772"/>
      <c r="Z52" s="771"/>
      <c r="AA52" s="767"/>
    </row>
    <row r="53" spans="1:29" ht="15.75" thickBot="1">
      <c r="A53" s="951"/>
      <c r="B53" s="812" t="s">
        <v>2325</v>
      </c>
      <c r="C53" s="838">
        <f>SUM(C5:C52)</f>
        <v>0</v>
      </c>
      <c r="D53" s="814">
        <f>SUM(D5:D52)</f>
        <v>0</v>
      </c>
      <c r="E53" s="838">
        <f t="shared" ref="E53:Z53" si="0">SUM(E5:E52)</f>
        <v>0</v>
      </c>
      <c r="F53" s="814">
        <f t="shared" si="0"/>
        <v>0</v>
      </c>
      <c r="G53" s="838">
        <f t="shared" si="0"/>
        <v>0</v>
      </c>
      <c r="H53" s="814">
        <f t="shared" si="0"/>
        <v>0</v>
      </c>
      <c r="I53" s="838">
        <f t="shared" si="0"/>
        <v>0</v>
      </c>
      <c r="J53" s="814">
        <f t="shared" si="0"/>
        <v>0</v>
      </c>
      <c r="K53" s="838">
        <f t="shared" si="0"/>
        <v>0</v>
      </c>
      <c r="L53" s="814">
        <f t="shared" si="0"/>
        <v>0</v>
      </c>
      <c r="M53" s="838">
        <f t="shared" si="0"/>
        <v>0</v>
      </c>
      <c r="N53" s="814">
        <f t="shared" si="0"/>
        <v>0</v>
      </c>
      <c r="O53" s="838">
        <f t="shared" si="0"/>
        <v>15</v>
      </c>
      <c r="P53" s="814">
        <f t="shared" si="0"/>
        <v>0</v>
      </c>
      <c r="Q53" s="838">
        <f t="shared" si="0"/>
        <v>0</v>
      </c>
      <c r="R53" s="814">
        <f t="shared" si="0"/>
        <v>0</v>
      </c>
      <c r="S53" s="838">
        <f t="shared" si="0"/>
        <v>0</v>
      </c>
      <c r="T53" s="814">
        <f t="shared" si="0"/>
        <v>0</v>
      </c>
      <c r="U53" s="838">
        <f t="shared" si="0"/>
        <v>0</v>
      </c>
      <c r="V53" s="814">
        <f t="shared" si="0"/>
        <v>0</v>
      </c>
      <c r="W53" s="846">
        <f t="shared" si="0"/>
        <v>1186.5</v>
      </c>
      <c r="X53" s="776">
        <f t="shared" si="0"/>
        <v>291.8</v>
      </c>
      <c r="Y53" s="846">
        <f t="shared" si="0"/>
        <v>0</v>
      </c>
      <c r="Z53" s="776">
        <f t="shared" si="0"/>
        <v>0</v>
      </c>
      <c r="AA53" s="777">
        <f>SUM(AA5:AA52)</f>
        <v>598</v>
      </c>
    </row>
    <row r="54" spans="1:29" ht="15" thickBot="1">
      <c r="A54" s="778"/>
      <c r="B54" s="779"/>
      <c r="C54" s="781"/>
      <c r="D54" s="781"/>
      <c r="E54" s="781"/>
      <c r="F54" s="781"/>
      <c r="G54" s="781"/>
      <c r="H54" s="781"/>
      <c r="I54" s="781"/>
      <c r="J54" s="781"/>
      <c r="K54" s="781"/>
      <c r="L54" s="781"/>
      <c r="M54" s="781"/>
      <c r="N54" s="781"/>
      <c r="O54" s="781"/>
      <c r="P54" s="781"/>
      <c r="Q54" s="781"/>
      <c r="R54" s="781"/>
      <c r="S54" s="781"/>
      <c r="T54" s="781"/>
      <c r="U54" s="781"/>
      <c r="V54" s="781"/>
      <c r="W54" s="781"/>
      <c r="X54" s="781"/>
      <c r="Y54" s="781"/>
      <c r="Z54" s="781"/>
      <c r="AA54" s="781"/>
      <c r="AB54" s="734"/>
      <c r="AC54" s="734"/>
    </row>
    <row r="55" spans="1:29" ht="15" thickBot="1">
      <c r="A55" s="778"/>
      <c r="B55" s="779"/>
      <c r="C55" s="815">
        <f>SUM(C5:C46)</f>
        <v>0</v>
      </c>
      <c r="D55" s="815">
        <f t="shared" ref="D55:AA55" si="1">SUM(D5:D46)</f>
        <v>0</v>
      </c>
      <c r="E55" s="815">
        <f t="shared" si="1"/>
        <v>0</v>
      </c>
      <c r="F55" s="815">
        <f t="shared" si="1"/>
        <v>0</v>
      </c>
      <c r="G55" s="815">
        <f t="shared" si="1"/>
        <v>0</v>
      </c>
      <c r="H55" s="815">
        <f t="shared" si="1"/>
        <v>0</v>
      </c>
      <c r="I55" s="815">
        <f t="shared" si="1"/>
        <v>0</v>
      </c>
      <c r="J55" s="815">
        <f t="shared" si="1"/>
        <v>0</v>
      </c>
      <c r="K55" s="815">
        <f t="shared" si="1"/>
        <v>0</v>
      </c>
      <c r="L55" s="815">
        <f t="shared" si="1"/>
        <v>0</v>
      </c>
      <c r="M55" s="815">
        <f t="shared" si="1"/>
        <v>0</v>
      </c>
      <c r="N55" s="815">
        <f t="shared" si="1"/>
        <v>0</v>
      </c>
      <c r="O55" s="815">
        <f t="shared" si="1"/>
        <v>15</v>
      </c>
      <c r="P55" s="815">
        <f t="shared" si="1"/>
        <v>0</v>
      </c>
      <c r="Q55" s="815">
        <f t="shared" si="1"/>
        <v>0</v>
      </c>
      <c r="R55" s="815">
        <f t="shared" si="1"/>
        <v>0</v>
      </c>
      <c r="S55" s="815">
        <f t="shared" si="1"/>
        <v>0</v>
      </c>
      <c r="T55" s="815">
        <f t="shared" si="1"/>
        <v>0</v>
      </c>
      <c r="U55" s="815">
        <f t="shared" si="1"/>
        <v>0</v>
      </c>
      <c r="V55" s="815">
        <f t="shared" si="1"/>
        <v>0</v>
      </c>
      <c r="W55" s="815">
        <f t="shared" si="1"/>
        <v>910</v>
      </c>
      <c r="X55" s="815">
        <f t="shared" si="1"/>
        <v>258</v>
      </c>
      <c r="Y55" s="815">
        <f t="shared" si="1"/>
        <v>0</v>
      </c>
      <c r="Z55" s="815">
        <f t="shared" si="1"/>
        <v>0</v>
      </c>
      <c r="AA55" s="815">
        <f t="shared" si="1"/>
        <v>520</v>
      </c>
      <c r="AB55" s="734"/>
      <c r="AC55" s="734"/>
    </row>
  </sheetData>
  <mergeCells count="18">
    <mergeCell ref="S3:T3"/>
    <mergeCell ref="U3:V3"/>
    <mergeCell ref="W3:X3"/>
    <mergeCell ref="B1:X1"/>
    <mergeCell ref="Y1:AA1"/>
    <mergeCell ref="A2:AA2"/>
    <mergeCell ref="A3:A4"/>
    <mergeCell ref="B3:B4"/>
    <mergeCell ref="C3:D3"/>
    <mergeCell ref="E3:F3"/>
    <mergeCell ref="G3:H3"/>
    <mergeCell ref="I3:J3"/>
    <mergeCell ref="K3:L3"/>
    <mergeCell ref="Y3:Z3"/>
    <mergeCell ref="AA3:AA4"/>
    <mergeCell ref="M3:N3"/>
    <mergeCell ref="O3:P3"/>
    <mergeCell ref="Q3:R3"/>
  </mergeCells>
  <conditionalFormatting sqref="B31 B36">
    <cfRule type="expression" dxfId="250" priority="13" stopIfTrue="1">
      <formula>IF(AND(#REF!&lt;&gt;"",#REF!&gt;15),1,0)</formula>
    </cfRule>
  </conditionalFormatting>
  <conditionalFormatting sqref="B43">
    <cfRule type="expression" dxfId="249" priority="12" stopIfTrue="1">
      <formula>IF(AND(#REF!&lt;&gt;"",#REF!&gt;15),1,0)</formula>
    </cfRule>
  </conditionalFormatting>
  <conditionalFormatting sqref="B48">
    <cfRule type="expression" dxfId="248" priority="14" stopIfTrue="1">
      <formula>IF(AND(AF62&lt;&gt;"",AF62&gt;15),1,0)</formula>
    </cfRule>
  </conditionalFormatting>
  <conditionalFormatting sqref="B48:B52">
    <cfRule type="expression" dxfId="247" priority="1" stopIfTrue="1">
      <formula>IF(AND(#REF!&lt;&gt;"",#REF!&gt;15),1,0)</formula>
    </cfRule>
    <cfRule type="expression" dxfId="246" priority="2" stopIfTrue="1">
      <formula>IF(AND(#REF!&lt;&gt;"",#REF!&gt;15),1,0)</formula>
    </cfRule>
    <cfRule type="expression" dxfId="245" priority="10" stopIfTrue="1">
      <formula>IF(AND(AJ46&lt;&gt;"",AJ46&gt;15),1,0)</formula>
    </cfRule>
  </conditionalFormatting>
  <conditionalFormatting sqref="M47:N48 AA47:AA48 B49:B52">
    <cfRule type="expression" dxfId="244" priority="8" stopIfTrue="1">
      <formula>IF(AND(AJ61&lt;&gt;"",AJ61&gt;15),1,0)</formula>
    </cfRule>
  </conditionalFormatting>
  <conditionalFormatting sqref="M47:N52 AA47:AA52">
    <cfRule type="expression" dxfId="243" priority="3" stopIfTrue="1">
      <formula>IF(AND(#REF!&lt;&gt;"",#REF!&gt;15),1,0)</formula>
    </cfRule>
    <cfRule type="expression" dxfId="242" priority="6" stopIfTrue="1">
      <formula>IF(AND(AY43&lt;&gt;"",AY43&gt;15),1,0)</formula>
    </cfRule>
    <cfRule type="expression" dxfId="241" priority="7" stopIfTrue="1">
      <formula>IF(AND(AY44&lt;&gt;"",AY44&gt;15),1,0)</formula>
    </cfRule>
    <cfRule type="expression" dxfId="240" priority="9" stopIfTrue="1">
      <formula>IF(AND(#REF!&lt;&gt;"",#REF!&gt;15),1,0)</formula>
    </cfRule>
  </conditionalFormatting>
  <conditionalFormatting sqref="M47:N52">
    <cfRule type="expression" dxfId="239" priority="5" stopIfTrue="1">
      <formula>IF(AND(AY45&lt;&gt;"",AY45&gt;15),1,0)</formula>
    </cfRule>
  </conditionalFormatting>
  <conditionalFormatting sqref="M49:N52 AA49:AA52">
    <cfRule type="expression" dxfId="238" priority="11" stopIfTrue="1">
      <formula>IF(AND(AY63&lt;&gt;"",AY63&gt;15),1,0)</formula>
    </cfRule>
  </conditionalFormatting>
  <conditionalFormatting sqref="AA47:AA52">
    <cfRule type="expression" dxfId="237" priority="4" stopIfTrue="1">
      <formula>IF(AND(BM45&lt;&gt;"",BM45&gt;15),1,0)</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5"/>
  <dimension ref="A1:AL160"/>
  <sheetViews>
    <sheetView rightToLeft="1" topLeftCell="A136" workbookViewId="0">
      <selection activeCell="F12" sqref="F12"/>
    </sheetView>
  </sheetViews>
  <sheetFormatPr defaultColWidth="8.85546875" defaultRowHeight="12.75"/>
  <cols>
    <col min="1" max="1" width="8.85546875" style="661"/>
    <col min="2" max="2" width="69.28515625" style="661" customWidth="1"/>
    <col min="3" max="16384" width="8.85546875" style="661"/>
  </cols>
  <sheetData>
    <row r="1" spans="1:27" ht="18.75" thickBot="1">
      <c r="A1" s="723"/>
      <c r="B1" s="2333"/>
      <c r="C1" s="2333"/>
      <c r="D1" s="2333"/>
      <c r="E1" s="2333"/>
      <c r="F1" s="2333"/>
      <c r="G1" s="2333"/>
      <c r="H1" s="2333"/>
      <c r="I1" s="2333"/>
      <c r="J1" s="2333"/>
      <c r="K1" s="2333"/>
      <c r="L1" s="2333"/>
      <c r="M1" s="2333"/>
      <c r="N1" s="2333"/>
      <c r="O1" s="2333"/>
      <c r="P1" s="2333"/>
      <c r="Q1" s="2333"/>
      <c r="R1" s="2333"/>
      <c r="S1" s="2333"/>
      <c r="T1" s="2333"/>
      <c r="U1" s="2333"/>
      <c r="V1" s="2333"/>
      <c r="W1" s="2333"/>
      <c r="X1" s="2333"/>
      <c r="Y1" s="2334"/>
      <c r="Z1" s="2334"/>
      <c r="AA1" s="2335"/>
    </row>
    <row r="2" spans="1:27" ht="21" thickBot="1">
      <c r="A2" s="2336" t="s">
        <v>2314</v>
      </c>
      <c r="B2" s="2337"/>
      <c r="C2" s="2337"/>
      <c r="D2" s="2337"/>
      <c r="E2" s="2337"/>
      <c r="F2" s="2337"/>
      <c r="G2" s="2337"/>
      <c r="H2" s="2337"/>
      <c r="I2" s="2337"/>
      <c r="J2" s="2337"/>
      <c r="K2" s="2337"/>
      <c r="L2" s="2337"/>
      <c r="M2" s="2337"/>
      <c r="N2" s="2337"/>
      <c r="O2" s="2337"/>
      <c r="P2" s="2337"/>
      <c r="Q2" s="2337"/>
      <c r="R2" s="2337"/>
      <c r="S2" s="2337"/>
      <c r="T2" s="2337"/>
      <c r="U2" s="2337"/>
      <c r="V2" s="2337"/>
      <c r="W2" s="2337"/>
      <c r="X2" s="2337"/>
      <c r="Y2" s="2337"/>
      <c r="Z2" s="2337"/>
      <c r="AA2" s="2338"/>
    </row>
    <row r="3" spans="1:27">
      <c r="A3" s="2339" t="s">
        <v>2306</v>
      </c>
      <c r="B3" s="2341" t="s">
        <v>2307</v>
      </c>
      <c r="C3" s="2331" t="s">
        <v>2255</v>
      </c>
      <c r="D3" s="2332"/>
      <c r="E3" s="2331" t="s">
        <v>2256</v>
      </c>
      <c r="F3" s="2332"/>
      <c r="G3" s="2331" t="s">
        <v>2257</v>
      </c>
      <c r="H3" s="2332"/>
      <c r="I3" s="2331" t="s">
        <v>2258</v>
      </c>
      <c r="J3" s="2332"/>
      <c r="K3" s="2331" t="s">
        <v>2259</v>
      </c>
      <c r="L3" s="2332"/>
      <c r="M3" s="2331" t="s">
        <v>2260</v>
      </c>
      <c r="N3" s="2332"/>
      <c r="O3" s="2331" t="s">
        <v>2261</v>
      </c>
      <c r="P3" s="2332"/>
      <c r="Q3" s="2331" t="s">
        <v>2262</v>
      </c>
      <c r="R3" s="2332"/>
      <c r="S3" s="2331" t="s">
        <v>2263</v>
      </c>
      <c r="T3" s="2332"/>
      <c r="U3" s="2331" t="s">
        <v>2264</v>
      </c>
      <c r="V3" s="2332"/>
      <c r="W3" s="2331" t="s">
        <v>2265</v>
      </c>
      <c r="X3" s="2332"/>
      <c r="Y3" s="2331" t="s">
        <v>2266</v>
      </c>
      <c r="Z3" s="2332"/>
      <c r="AA3" s="2343" t="s">
        <v>2267</v>
      </c>
    </row>
    <row r="4" spans="1:27" ht="13.5" thickBot="1">
      <c r="A4" s="2345"/>
      <c r="B4" s="2346"/>
      <c r="C4" s="726" t="s">
        <v>2269</v>
      </c>
      <c r="D4" s="727" t="s">
        <v>2270</v>
      </c>
      <c r="E4" s="726" t="s">
        <v>2269</v>
      </c>
      <c r="F4" s="727" t="s">
        <v>2270</v>
      </c>
      <c r="G4" s="726" t="s">
        <v>2269</v>
      </c>
      <c r="H4" s="727" t="s">
        <v>2270</v>
      </c>
      <c r="I4" s="726" t="s">
        <v>2269</v>
      </c>
      <c r="J4" s="727" t="s">
        <v>2270</v>
      </c>
      <c r="K4" s="726" t="s">
        <v>2269</v>
      </c>
      <c r="L4" s="727" t="s">
        <v>2270</v>
      </c>
      <c r="M4" s="726" t="s">
        <v>2269</v>
      </c>
      <c r="N4" s="727" t="s">
        <v>2270</v>
      </c>
      <c r="O4" s="726" t="s">
        <v>2269</v>
      </c>
      <c r="P4" s="727" t="s">
        <v>2270</v>
      </c>
      <c r="Q4" s="726" t="s">
        <v>2269</v>
      </c>
      <c r="R4" s="727" t="s">
        <v>2270</v>
      </c>
      <c r="S4" s="726" t="s">
        <v>2269</v>
      </c>
      <c r="T4" s="727" t="s">
        <v>2270</v>
      </c>
      <c r="U4" s="726" t="s">
        <v>2269</v>
      </c>
      <c r="V4" s="727" t="s">
        <v>2270</v>
      </c>
      <c r="W4" s="726" t="s">
        <v>2269</v>
      </c>
      <c r="X4" s="727" t="s">
        <v>2270</v>
      </c>
      <c r="Y4" s="726" t="s">
        <v>2269</v>
      </c>
      <c r="Z4" s="727" t="s">
        <v>2270</v>
      </c>
      <c r="AA4" s="2344"/>
    </row>
    <row r="5" spans="1:27" ht="14.25">
      <c r="A5" s="952">
        <v>1</v>
      </c>
      <c r="B5" s="819" t="s">
        <v>3558</v>
      </c>
      <c r="C5" s="784"/>
      <c r="D5" s="731"/>
      <c r="E5" s="732"/>
      <c r="F5" s="731"/>
      <c r="G5" s="732"/>
      <c r="H5" s="731"/>
      <c r="I5" s="732"/>
      <c r="J5" s="731"/>
      <c r="K5" s="732"/>
      <c r="L5" s="731"/>
      <c r="M5" s="732"/>
      <c r="N5" s="731"/>
      <c r="O5" s="732"/>
      <c r="P5" s="731"/>
      <c r="Q5" s="953"/>
      <c r="R5" s="954"/>
      <c r="S5" s="732"/>
      <c r="T5" s="731"/>
      <c r="U5" s="732"/>
      <c r="V5" s="731"/>
      <c r="W5" s="732"/>
      <c r="X5" s="731"/>
      <c r="Y5" s="732"/>
      <c r="Z5" s="731"/>
      <c r="AA5" s="955"/>
    </row>
    <row r="6" spans="1:27" ht="14.25">
      <c r="A6" s="956">
        <v>1.1000000000000001</v>
      </c>
      <c r="B6" s="825" t="s">
        <v>3559</v>
      </c>
      <c r="C6" s="790"/>
      <c r="D6" s="738"/>
      <c r="E6" s="739"/>
      <c r="F6" s="738"/>
      <c r="G6" s="739"/>
      <c r="H6" s="738"/>
      <c r="I6" s="739"/>
      <c r="J6" s="738"/>
      <c r="K6" s="739"/>
      <c r="L6" s="738"/>
      <c r="M6" s="739"/>
      <c r="N6" s="738"/>
      <c r="O6" s="739"/>
      <c r="P6" s="738"/>
      <c r="Q6" s="791">
        <v>20</v>
      </c>
      <c r="R6" s="792">
        <v>8</v>
      </c>
      <c r="S6" s="739"/>
      <c r="T6" s="738"/>
      <c r="U6" s="739"/>
      <c r="V6" s="738"/>
      <c r="W6" s="739"/>
      <c r="X6" s="738"/>
      <c r="Y6" s="739"/>
      <c r="Z6" s="738"/>
      <c r="AA6" s="793"/>
    </row>
    <row r="7" spans="1:27" ht="14.25">
      <c r="A7" s="956">
        <v>1.2</v>
      </c>
      <c r="B7" s="825" t="s">
        <v>3560</v>
      </c>
      <c r="C7" s="790"/>
      <c r="D7" s="738"/>
      <c r="E7" s="739"/>
      <c r="F7" s="738"/>
      <c r="G7" s="739"/>
      <c r="H7" s="738"/>
      <c r="I7" s="739"/>
      <c r="J7" s="738"/>
      <c r="K7" s="739"/>
      <c r="L7" s="738"/>
      <c r="M7" s="739"/>
      <c r="N7" s="738"/>
      <c r="O7" s="739"/>
      <c r="P7" s="738"/>
      <c r="Q7" s="791">
        <v>20</v>
      </c>
      <c r="R7" s="792">
        <v>8</v>
      </c>
      <c r="S7" s="739"/>
      <c r="T7" s="738"/>
      <c r="U7" s="739"/>
      <c r="V7" s="738"/>
      <c r="W7" s="739"/>
      <c r="X7" s="738"/>
      <c r="Y7" s="739"/>
      <c r="Z7" s="738"/>
      <c r="AA7" s="793"/>
    </row>
    <row r="8" spans="1:27" ht="14.25">
      <c r="A8" s="956">
        <v>1.3</v>
      </c>
      <c r="B8" s="825" t="s">
        <v>3561</v>
      </c>
      <c r="C8" s="790"/>
      <c r="D8" s="738"/>
      <c r="E8" s="739"/>
      <c r="F8" s="738"/>
      <c r="G8" s="739"/>
      <c r="H8" s="738"/>
      <c r="I8" s="739"/>
      <c r="J8" s="738"/>
      <c r="K8" s="739"/>
      <c r="L8" s="738"/>
      <c r="M8" s="739"/>
      <c r="N8" s="738"/>
      <c r="O8" s="739"/>
      <c r="P8" s="738"/>
      <c r="Q8" s="791">
        <v>16</v>
      </c>
      <c r="R8" s="792">
        <v>8</v>
      </c>
      <c r="S8" s="739"/>
      <c r="T8" s="738"/>
      <c r="U8" s="739"/>
      <c r="V8" s="738"/>
      <c r="W8" s="739"/>
      <c r="X8" s="738"/>
      <c r="Y8" s="739"/>
      <c r="Z8" s="738"/>
      <c r="AA8" s="793"/>
    </row>
    <row r="9" spans="1:27" ht="14.25">
      <c r="A9" s="956">
        <v>1.4</v>
      </c>
      <c r="B9" s="825" t="s">
        <v>3562</v>
      </c>
      <c r="C9" s="790"/>
      <c r="D9" s="738"/>
      <c r="E9" s="739"/>
      <c r="F9" s="738"/>
      <c r="G9" s="739"/>
      <c r="H9" s="738"/>
      <c r="I9" s="739"/>
      <c r="J9" s="738"/>
      <c r="K9" s="739"/>
      <c r="L9" s="738"/>
      <c r="M9" s="739"/>
      <c r="N9" s="738"/>
      <c r="O9" s="739"/>
      <c r="P9" s="738"/>
      <c r="Q9" s="791">
        <v>16</v>
      </c>
      <c r="R9" s="792">
        <v>8</v>
      </c>
      <c r="S9" s="739"/>
      <c r="T9" s="738"/>
      <c r="U9" s="739"/>
      <c r="V9" s="738"/>
      <c r="W9" s="739"/>
      <c r="X9" s="738"/>
      <c r="Y9" s="739"/>
      <c r="Z9" s="738"/>
      <c r="AA9" s="793"/>
    </row>
    <row r="10" spans="1:27" ht="14.25">
      <c r="A10" s="956">
        <v>1.5</v>
      </c>
      <c r="B10" s="825" t="s">
        <v>3563</v>
      </c>
      <c r="C10" s="790"/>
      <c r="D10" s="738"/>
      <c r="E10" s="739"/>
      <c r="F10" s="738"/>
      <c r="G10" s="739"/>
      <c r="H10" s="738"/>
      <c r="I10" s="739"/>
      <c r="J10" s="738"/>
      <c r="K10" s="739"/>
      <c r="L10" s="738"/>
      <c r="M10" s="739"/>
      <c r="N10" s="738"/>
      <c r="O10" s="739"/>
      <c r="P10" s="738"/>
      <c r="Q10" s="791">
        <v>16</v>
      </c>
      <c r="R10" s="792">
        <v>8</v>
      </c>
      <c r="S10" s="739"/>
      <c r="T10" s="738"/>
      <c r="U10" s="739"/>
      <c r="V10" s="738"/>
      <c r="W10" s="739"/>
      <c r="X10" s="738"/>
      <c r="Y10" s="739"/>
      <c r="Z10" s="738"/>
      <c r="AA10" s="793"/>
    </row>
    <row r="11" spans="1:27" ht="14.25">
      <c r="A11" s="956">
        <v>1.6</v>
      </c>
      <c r="B11" s="825" t="s">
        <v>3564</v>
      </c>
      <c r="C11" s="790">
        <v>4</v>
      </c>
      <c r="D11" s="738">
        <v>2</v>
      </c>
      <c r="E11" s="739"/>
      <c r="F11" s="738"/>
      <c r="G11" s="739"/>
      <c r="H11" s="738"/>
      <c r="I11" s="739">
        <v>2</v>
      </c>
      <c r="J11" s="738">
        <v>1</v>
      </c>
      <c r="K11" s="739">
        <v>4</v>
      </c>
      <c r="L11" s="738">
        <v>2</v>
      </c>
      <c r="M11" s="739"/>
      <c r="N11" s="738"/>
      <c r="O11" s="739"/>
      <c r="P11" s="738"/>
      <c r="Q11" s="791">
        <v>16</v>
      </c>
      <c r="R11" s="792">
        <v>8</v>
      </c>
      <c r="S11" s="739"/>
      <c r="T11" s="738"/>
      <c r="U11" s="739"/>
      <c r="V11" s="738"/>
      <c r="W11" s="739"/>
      <c r="X11" s="738"/>
      <c r="Y11" s="739"/>
      <c r="Z11" s="738"/>
      <c r="AA11" s="793"/>
    </row>
    <row r="12" spans="1:27" ht="14.25">
      <c r="A12" s="956">
        <v>1.7</v>
      </c>
      <c r="B12" s="825" t="s">
        <v>3565</v>
      </c>
      <c r="C12" s="794"/>
      <c r="D12" s="745"/>
      <c r="E12" s="746"/>
      <c r="F12" s="745"/>
      <c r="G12" s="746"/>
      <c r="H12" s="745"/>
      <c r="I12" s="746"/>
      <c r="J12" s="745"/>
      <c r="K12" s="746"/>
      <c r="L12" s="745"/>
      <c r="M12" s="746"/>
      <c r="N12" s="745"/>
      <c r="O12" s="746"/>
      <c r="P12" s="745"/>
      <c r="Q12" s="791">
        <v>16</v>
      </c>
      <c r="R12" s="792">
        <v>8</v>
      </c>
      <c r="S12" s="746"/>
      <c r="T12" s="745"/>
      <c r="U12" s="746"/>
      <c r="V12" s="745"/>
      <c r="W12" s="746"/>
      <c r="X12" s="745"/>
      <c r="Y12" s="746"/>
      <c r="Z12" s="745"/>
      <c r="AA12" s="793"/>
    </row>
    <row r="13" spans="1:27" ht="14.25">
      <c r="A13" s="956">
        <v>1.8</v>
      </c>
      <c r="B13" s="825" t="s">
        <v>3566</v>
      </c>
      <c r="C13" s="790"/>
      <c r="D13" s="738"/>
      <c r="E13" s="739"/>
      <c r="F13" s="738"/>
      <c r="G13" s="739"/>
      <c r="H13" s="738"/>
      <c r="I13" s="739"/>
      <c r="J13" s="738"/>
      <c r="K13" s="739"/>
      <c r="L13" s="738"/>
      <c r="M13" s="739"/>
      <c r="N13" s="738"/>
      <c r="O13" s="739"/>
      <c r="P13" s="738"/>
      <c r="Q13" s="791">
        <v>16</v>
      </c>
      <c r="R13" s="792">
        <v>8</v>
      </c>
      <c r="S13" s="739"/>
      <c r="T13" s="738"/>
      <c r="U13" s="739"/>
      <c r="V13" s="738"/>
      <c r="W13" s="739"/>
      <c r="X13" s="738"/>
      <c r="Y13" s="739"/>
      <c r="Z13" s="738"/>
      <c r="AA13" s="793"/>
    </row>
    <row r="14" spans="1:27" ht="14.25">
      <c r="A14" s="956">
        <v>1.9</v>
      </c>
      <c r="B14" s="825" t="s">
        <v>3567</v>
      </c>
      <c r="C14" s="790"/>
      <c r="D14" s="738"/>
      <c r="E14" s="739"/>
      <c r="F14" s="738"/>
      <c r="G14" s="739"/>
      <c r="H14" s="738"/>
      <c r="I14" s="739"/>
      <c r="J14" s="738"/>
      <c r="K14" s="739"/>
      <c r="L14" s="738"/>
      <c r="M14" s="739"/>
      <c r="N14" s="738"/>
      <c r="O14" s="739"/>
      <c r="P14" s="738"/>
      <c r="Q14" s="791">
        <v>16</v>
      </c>
      <c r="R14" s="792">
        <v>8</v>
      </c>
      <c r="S14" s="739"/>
      <c r="T14" s="738"/>
      <c r="U14" s="739"/>
      <c r="V14" s="738"/>
      <c r="W14" s="739"/>
      <c r="X14" s="738"/>
      <c r="Y14" s="739"/>
      <c r="Z14" s="738"/>
      <c r="AA14" s="793"/>
    </row>
    <row r="15" spans="1:27" ht="14.25">
      <c r="A15" s="957" t="s">
        <v>2321</v>
      </c>
      <c r="B15" s="825" t="s">
        <v>3568</v>
      </c>
      <c r="C15" s="790"/>
      <c r="D15" s="738"/>
      <c r="E15" s="739"/>
      <c r="F15" s="738"/>
      <c r="G15" s="739"/>
      <c r="H15" s="738"/>
      <c r="I15" s="739"/>
      <c r="J15" s="738"/>
      <c r="K15" s="739"/>
      <c r="L15" s="738"/>
      <c r="M15" s="739"/>
      <c r="N15" s="738"/>
      <c r="O15" s="739"/>
      <c r="P15" s="738"/>
      <c r="Q15" s="791">
        <v>16</v>
      </c>
      <c r="R15" s="792">
        <v>8</v>
      </c>
      <c r="S15" s="739"/>
      <c r="T15" s="738"/>
      <c r="U15" s="739"/>
      <c r="V15" s="738"/>
      <c r="W15" s="739"/>
      <c r="X15" s="738"/>
      <c r="Y15" s="739"/>
      <c r="Z15" s="738"/>
      <c r="AA15" s="793"/>
    </row>
    <row r="16" spans="1:27" ht="14.25">
      <c r="A16" s="956">
        <v>1.1100000000000001</v>
      </c>
      <c r="B16" s="825" t="s">
        <v>3569</v>
      </c>
      <c r="C16" s="790"/>
      <c r="D16" s="738"/>
      <c r="E16" s="739"/>
      <c r="F16" s="738"/>
      <c r="G16" s="739"/>
      <c r="H16" s="738"/>
      <c r="I16" s="739"/>
      <c r="J16" s="738"/>
      <c r="K16" s="739"/>
      <c r="L16" s="738"/>
      <c r="M16" s="739"/>
      <c r="N16" s="738"/>
      <c r="O16" s="739"/>
      <c r="P16" s="738"/>
      <c r="Q16" s="791">
        <v>16</v>
      </c>
      <c r="R16" s="792">
        <v>8</v>
      </c>
      <c r="S16" s="739"/>
      <c r="T16" s="738"/>
      <c r="U16" s="739"/>
      <c r="V16" s="738"/>
      <c r="W16" s="739"/>
      <c r="X16" s="738"/>
      <c r="Y16" s="739"/>
      <c r="Z16" s="738"/>
      <c r="AA16" s="793"/>
    </row>
    <row r="17" spans="1:27" ht="14.25">
      <c r="A17" s="956">
        <v>1.1200000000000001</v>
      </c>
      <c r="B17" s="825" t="s">
        <v>3570</v>
      </c>
      <c r="C17" s="790"/>
      <c r="D17" s="738"/>
      <c r="E17" s="739">
        <v>4</v>
      </c>
      <c r="F17" s="738">
        <v>2</v>
      </c>
      <c r="G17" s="739"/>
      <c r="H17" s="738"/>
      <c r="I17" s="739"/>
      <c r="J17" s="738"/>
      <c r="K17" s="739"/>
      <c r="L17" s="738"/>
      <c r="M17" s="739">
        <v>2</v>
      </c>
      <c r="N17" s="738">
        <v>1</v>
      </c>
      <c r="O17" s="739">
        <v>4</v>
      </c>
      <c r="P17" s="738">
        <v>2</v>
      </c>
      <c r="Q17" s="791">
        <v>16</v>
      </c>
      <c r="R17" s="792">
        <v>8</v>
      </c>
      <c r="S17" s="739"/>
      <c r="T17" s="738"/>
      <c r="U17" s="739"/>
      <c r="V17" s="738"/>
      <c r="W17" s="739"/>
      <c r="X17" s="738"/>
      <c r="Y17" s="739"/>
      <c r="Z17" s="738"/>
      <c r="AA17" s="793"/>
    </row>
    <row r="18" spans="1:27" ht="14.25">
      <c r="A18" s="956">
        <v>1.1299999999999999</v>
      </c>
      <c r="B18" s="825" t="s">
        <v>3571</v>
      </c>
      <c r="C18" s="790"/>
      <c r="D18" s="738"/>
      <c r="E18" s="739">
        <v>4</v>
      </c>
      <c r="F18" s="738">
        <v>2</v>
      </c>
      <c r="G18" s="739"/>
      <c r="H18" s="738"/>
      <c r="I18" s="739">
        <v>2</v>
      </c>
      <c r="J18" s="738">
        <v>1</v>
      </c>
      <c r="K18" s="739"/>
      <c r="L18" s="738"/>
      <c r="M18" s="739">
        <v>2</v>
      </c>
      <c r="N18" s="738">
        <v>1</v>
      </c>
      <c r="O18" s="739">
        <v>4</v>
      </c>
      <c r="P18" s="738">
        <v>2</v>
      </c>
      <c r="Q18" s="791">
        <v>16</v>
      </c>
      <c r="R18" s="792">
        <v>8</v>
      </c>
      <c r="S18" s="739"/>
      <c r="T18" s="738"/>
      <c r="U18" s="739"/>
      <c r="V18" s="738"/>
      <c r="W18" s="739"/>
      <c r="X18" s="738"/>
      <c r="Y18" s="739"/>
      <c r="Z18" s="738"/>
      <c r="AA18" s="793"/>
    </row>
    <row r="19" spans="1:27" ht="14.25">
      <c r="A19" s="956">
        <v>1.1399999999999999</v>
      </c>
      <c r="B19" s="825" t="s">
        <v>3572</v>
      </c>
      <c r="C19" s="790"/>
      <c r="D19" s="738"/>
      <c r="E19" s="739"/>
      <c r="F19" s="738"/>
      <c r="G19" s="739"/>
      <c r="H19" s="738"/>
      <c r="I19" s="739"/>
      <c r="J19" s="738"/>
      <c r="K19" s="739"/>
      <c r="L19" s="738"/>
      <c r="M19" s="739"/>
      <c r="N19" s="738"/>
      <c r="O19" s="739"/>
      <c r="P19" s="738"/>
      <c r="Q19" s="791">
        <v>16</v>
      </c>
      <c r="R19" s="792">
        <v>8</v>
      </c>
      <c r="S19" s="739"/>
      <c r="T19" s="738"/>
      <c r="U19" s="739"/>
      <c r="V19" s="738"/>
      <c r="W19" s="739"/>
      <c r="X19" s="738"/>
      <c r="Y19" s="739"/>
      <c r="Z19" s="738"/>
      <c r="AA19" s="793"/>
    </row>
    <row r="20" spans="1:27" ht="14.25">
      <c r="A20" s="956">
        <v>1.1499999999999999</v>
      </c>
      <c r="B20" s="825" t="s">
        <v>3573</v>
      </c>
      <c r="C20" s="790"/>
      <c r="D20" s="738"/>
      <c r="E20" s="739"/>
      <c r="F20" s="738"/>
      <c r="G20" s="739"/>
      <c r="H20" s="738"/>
      <c r="I20" s="739"/>
      <c r="J20" s="738"/>
      <c r="K20" s="739"/>
      <c r="L20" s="738"/>
      <c r="M20" s="739"/>
      <c r="N20" s="738"/>
      <c r="O20" s="739"/>
      <c r="P20" s="738"/>
      <c r="Q20" s="791">
        <v>15</v>
      </c>
      <c r="R20" s="792">
        <v>5</v>
      </c>
      <c r="S20" s="739"/>
      <c r="T20" s="738"/>
      <c r="U20" s="739"/>
      <c r="V20" s="738"/>
      <c r="W20" s="739"/>
      <c r="X20" s="738"/>
      <c r="Y20" s="739"/>
      <c r="Z20" s="738"/>
      <c r="AA20" s="793"/>
    </row>
    <row r="21" spans="1:27" ht="14.25">
      <c r="A21" s="788">
        <v>2</v>
      </c>
      <c r="B21" s="796" t="s">
        <v>3574</v>
      </c>
      <c r="C21" s="794"/>
      <c r="D21" s="745"/>
      <c r="E21" s="746"/>
      <c r="F21" s="745"/>
      <c r="G21" s="746"/>
      <c r="H21" s="745"/>
      <c r="I21" s="746"/>
      <c r="J21" s="745"/>
      <c r="K21" s="746"/>
      <c r="L21" s="745"/>
      <c r="M21" s="746"/>
      <c r="N21" s="745"/>
      <c r="O21" s="746"/>
      <c r="P21" s="745"/>
      <c r="Q21" s="797"/>
      <c r="R21" s="798"/>
      <c r="S21" s="746"/>
      <c r="T21" s="745"/>
      <c r="U21" s="746"/>
      <c r="V21" s="745"/>
      <c r="W21" s="746"/>
      <c r="X21" s="745"/>
      <c r="Y21" s="746"/>
      <c r="Z21" s="745"/>
      <c r="AA21" s="799"/>
    </row>
    <row r="22" spans="1:27" ht="14.25">
      <c r="A22" s="956">
        <v>2.1</v>
      </c>
      <c r="B22" s="825" t="s">
        <v>3575</v>
      </c>
      <c r="C22" s="790"/>
      <c r="D22" s="738"/>
      <c r="E22" s="739"/>
      <c r="F22" s="738"/>
      <c r="G22" s="739"/>
      <c r="H22" s="738"/>
      <c r="I22" s="739"/>
      <c r="J22" s="738"/>
      <c r="K22" s="739"/>
      <c r="L22" s="738"/>
      <c r="M22" s="739"/>
      <c r="N22" s="738"/>
      <c r="O22" s="739"/>
      <c r="P22" s="738"/>
      <c r="Q22" s="791">
        <v>20</v>
      </c>
      <c r="R22" s="792">
        <v>10</v>
      </c>
      <c r="S22" s="739"/>
      <c r="T22" s="738"/>
      <c r="U22" s="739"/>
      <c r="V22" s="738"/>
      <c r="W22" s="739"/>
      <c r="X22" s="738"/>
      <c r="Y22" s="739"/>
      <c r="Z22" s="738"/>
      <c r="AA22" s="793">
        <v>30</v>
      </c>
    </row>
    <row r="23" spans="1:27" ht="14.25">
      <c r="A23" s="956">
        <v>2.2000000000000002</v>
      </c>
      <c r="B23" s="825" t="s">
        <v>3576</v>
      </c>
      <c r="C23" s="790"/>
      <c r="D23" s="738"/>
      <c r="E23" s="739"/>
      <c r="F23" s="738"/>
      <c r="G23" s="739"/>
      <c r="H23" s="738"/>
      <c r="I23" s="739"/>
      <c r="J23" s="738"/>
      <c r="K23" s="739"/>
      <c r="L23" s="738"/>
      <c r="M23" s="739"/>
      <c r="N23" s="738"/>
      <c r="O23" s="739"/>
      <c r="P23" s="738"/>
      <c r="Q23" s="791">
        <v>8</v>
      </c>
      <c r="R23" s="792">
        <v>2</v>
      </c>
      <c r="S23" s="739"/>
      <c r="T23" s="738"/>
      <c r="U23" s="739"/>
      <c r="V23" s="738"/>
      <c r="W23" s="739"/>
      <c r="X23" s="738"/>
      <c r="Y23" s="739"/>
      <c r="Z23" s="738"/>
      <c r="AA23" s="793">
        <v>8</v>
      </c>
    </row>
    <row r="24" spans="1:27" ht="14.25">
      <c r="A24" s="956">
        <v>2.2999999999999998</v>
      </c>
      <c r="B24" s="825" t="s">
        <v>3577</v>
      </c>
      <c r="C24" s="790"/>
      <c r="D24" s="738"/>
      <c r="E24" s="739"/>
      <c r="F24" s="738"/>
      <c r="G24" s="739"/>
      <c r="H24" s="738"/>
      <c r="I24" s="739"/>
      <c r="J24" s="738"/>
      <c r="K24" s="739"/>
      <c r="L24" s="738"/>
      <c r="M24" s="739"/>
      <c r="N24" s="738"/>
      <c r="O24" s="739"/>
      <c r="P24" s="738"/>
      <c r="Q24" s="791">
        <v>8</v>
      </c>
      <c r="R24" s="792">
        <v>2</v>
      </c>
      <c r="S24" s="739"/>
      <c r="T24" s="738"/>
      <c r="U24" s="739"/>
      <c r="V24" s="738"/>
      <c r="W24" s="739"/>
      <c r="X24" s="738"/>
      <c r="Y24" s="739"/>
      <c r="Z24" s="738"/>
      <c r="AA24" s="793">
        <v>8</v>
      </c>
    </row>
    <row r="25" spans="1:27" ht="14.25">
      <c r="A25" s="956">
        <v>2.4</v>
      </c>
      <c r="B25" s="825" t="s">
        <v>3578</v>
      </c>
      <c r="C25" s="790"/>
      <c r="D25" s="738"/>
      <c r="E25" s="739"/>
      <c r="F25" s="738"/>
      <c r="G25" s="739"/>
      <c r="H25" s="738"/>
      <c r="I25" s="739"/>
      <c r="J25" s="738"/>
      <c r="K25" s="739"/>
      <c r="L25" s="738"/>
      <c r="M25" s="739"/>
      <c r="N25" s="738"/>
      <c r="O25" s="739"/>
      <c r="P25" s="738"/>
      <c r="Q25" s="791">
        <v>8</v>
      </c>
      <c r="R25" s="792">
        <v>2</v>
      </c>
      <c r="S25" s="739"/>
      <c r="T25" s="738"/>
      <c r="U25" s="739"/>
      <c r="V25" s="738"/>
      <c r="W25" s="739"/>
      <c r="X25" s="738"/>
      <c r="Y25" s="739"/>
      <c r="Z25" s="738"/>
      <c r="AA25" s="793">
        <v>8</v>
      </c>
    </row>
    <row r="26" spans="1:27" ht="14.25">
      <c r="A26" s="956">
        <v>2.5</v>
      </c>
      <c r="B26" s="825" t="s">
        <v>3579</v>
      </c>
      <c r="C26" s="790"/>
      <c r="D26" s="738"/>
      <c r="E26" s="739"/>
      <c r="F26" s="738"/>
      <c r="G26" s="739"/>
      <c r="H26" s="738"/>
      <c r="I26" s="739"/>
      <c r="J26" s="738"/>
      <c r="K26" s="739"/>
      <c r="L26" s="738"/>
      <c r="M26" s="739"/>
      <c r="N26" s="738"/>
      <c r="O26" s="739"/>
      <c r="P26" s="738"/>
      <c r="Q26" s="791">
        <v>8</v>
      </c>
      <c r="R26" s="792">
        <v>2</v>
      </c>
      <c r="S26" s="739"/>
      <c r="T26" s="738"/>
      <c r="U26" s="739"/>
      <c r="V26" s="738"/>
      <c r="W26" s="739"/>
      <c r="X26" s="738"/>
      <c r="Y26" s="739"/>
      <c r="Z26" s="738"/>
      <c r="AA26" s="793">
        <v>8</v>
      </c>
    </row>
    <row r="27" spans="1:27" ht="14.25">
      <c r="A27" s="956">
        <v>2.6</v>
      </c>
      <c r="B27" s="825" t="s">
        <v>3580</v>
      </c>
      <c r="C27" s="790"/>
      <c r="D27" s="738"/>
      <c r="E27" s="739"/>
      <c r="F27" s="738"/>
      <c r="G27" s="739"/>
      <c r="H27" s="738"/>
      <c r="I27" s="739"/>
      <c r="J27" s="738"/>
      <c r="K27" s="739"/>
      <c r="L27" s="738"/>
      <c r="M27" s="739"/>
      <c r="N27" s="738"/>
      <c r="O27" s="739"/>
      <c r="P27" s="738"/>
      <c r="Q27" s="791">
        <v>8</v>
      </c>
      <c r="R27" s="792">
        <v>2</v>
      </c>
      <c r="S27" s="739"/>
      <c r="T27" s="738"/>
      <c r="U27" s="739"/>
      <c r="V27" s="738"/>
      <c r="W27" s="739"/>
      <c r="X27" s="738"/>
      <c r="Y27" s="739"/>
      <c r="Z27" s="738"/>
      <c r="AA27" s="793">
        <v>8</v>
      </c>
    </row>
    <row r="28" spans="1:27" ht="14.25">
      <c r="A28" s="956">
        <v>2.7</v>
      </c>
      <c r="B28" s="825" t="s">
        <v>3581</v>
      </c>
      <c r="C28" s="790"/>
      <c r="D28" s="738"/>
      <c r="E28" s="739"/>
      <c r="F28" s="738"/>
      <c r="G28" s="739"/>
      <c r="H28" s="738"/>
      <c r="I28" s="739"/>
      <c r="J28" s="738"/>
      <c r="K28" s="739"/>
      <c r="L28" s="738"/>
      <c r="M28" s="739"/>
      <c r="N28" s="738"/>
      <c r="O28" s="739"/>
      <c r="P28" s="738"/>
      <c r="Q28" s="791">
        <v>8</v>
      </c>
      <c r="R28" s="792">
        <v>2</v>
      </c>
      <c r="S28" s="739"/>
      <c r="T28" s="738"/>
      <c r="U28" s="739"/>
      <c r="V28" s="738"/>
      <c r="W28" s="739"/>
      <c r="X28" s="738"/>
      <c r="Y28" s="739"/>
      <c r="Z28" s="738"/>
      <c r="AA28" s="793">
        <v>8</v>
      </c>
    </row>
    <row r="29" spans="1:27" ht="14.25">
      <c r="A29" s="956">
        <v>2.8</v>
      </c>
      <c r="B29" s="825" t="s">
        <v>3582</v>
      </c>
      <c r="C29" s="790"/>
      <c r="D29" s="738"/>
      <c r="E29" s="739"/>
      <c r="F29" s="738"/>
      <c r="G29" s="739"/>
      <c r="H29" s="738"/>
      <c r="I29" s="739"/>
      <c r="J29" s="738"/>
      <c r="K29" s="739"/>
      <c r="L29" s="738"/>
      <c r="M29" s="739"/>
      <c r="N29" s="738"/>
      <c r="O29" s="739"/>
      <c r="P29" s="738"/>
      <c r="Q29" s="791">
        <v>8</v>
      </c>
      <c r="R29" s="792">
        <v>2</v>
      </c>
      <c r="S29" s="739"/>
      <c r="T29" s="738"/>
      <c r="U29" s="739"/>
      <c r="V29" s="738"/>
      <c r="W29" s="739"/>
      <c r="X29" s="738"/>
      <c r="Y29" s="739"/>
      <c r="Z29" s="738"/>
      <c r="AA29" s="793">
        <v>8</v>
      </c>
    </row>
    <row r="30" spans="1:27" ht="14.25">
      <c r="A30" s="956">
        <v>2.9</v>
      </c>
      <c r="B30" s="825" t="s">
        <v>3583</v>
      </c>
      <c r="C30" s="794"/>
      <c r="D30" s="745"/>
      <c r="E30" s="746"/>
      <c r="F30" s="745"/>
      <c r="G30" s="746"/>
      <c r="H30" s="745"/>
      <c r="I30" s="746"/>
      <c r="J30" s="745"/>
      <c r="K30" s="746"/>
      <c r="L30" s="745"/>
      <c r="M30" s="746"/>
      <c r="N30" s="745"/>
      <c r="O30" s="746"/>
      <c r="P30" s="745"/>
      <c r="Q30" s="791">
        <v>8</v>
      </c>
      <c r="R30" s="792">
        <v>2</v>
      </c>
      <c r="S30" s="746"/>
      <c r="T30" s="745"/>
      <c r="U30" s="746"/>
      <c r="V30" s="745"/>
      <c r="W30" s="746"/>
      <c r="X30" s="745"/>
      <c r="Y30" s="746"/>
      <c r="Z30" s="745"/>
      <c r="AA30" s="793">
        <v>8</v>
      </c>
    </row>
    <row r="31" spans="1:27" ht="14.25">
      <c r="A31" s="957" t="s">
        <v>2648</v>
      </c>
      <c r="B31" s="825" t="s">
        <v>3584</v>
      </c>
      <c r="C31" s="790"/>
      <c r="D31" s="738"/>
      <c r="E31" s="739"/>
      <c r="F31" s="738"/>
      <c r="G31" s="739"/>
      <c r="H31" s="738"/>
      <c r="I31" s="739"/>
      <c r="J31" s="738"/>
      <c r="K31" s="739"/>
      <c r="L31" s="738"/>
      <c r="M31" s="739"/>
      <c r="N31" s="738"/>
      <c r="O31" s="739"/>
      <c r="P31" s="738"/>
      <c r="Q31" s="791">
        <v>8</v>
      </c>
      <c r="R31" s="792">
        <v>2</v>
      </c>
      <c r="S31" s="739"/>
      <c r="T31" s="738"/>
      <c r="U31" s="739"/>
      <c r="V31" s="738"/>
      <c r="W31" s="739"/>
      <c r="X31" s="738"/>
      <c r="Y31" s="739"/>
      <c r="Z31" s="738"/>
      <c r="AA31" s="793">
        <v>8</v>
      </c>
    </row>
    <row r="32" spans="1:27" ht="14.25">
      <c r="A32" s="956">
        <v>2.11</v>
      </c>
      <c r="B32" s="825" t="s">
        <v>3585</v>
      </c>
      <c r="C32" s="790"/>
      <c r="D32" s="738"/>
      <c r="E32" s="739"/>
      <c r="F32" s="738"/>
      <c r="G32" s="739"/>
      <c r="H32" s="738"/>
      <c r="I32" s="739"/>
      <c r="J32" s="738"/>
      <c r="K32" s="739"/>
      <c r="L32" s="738"/>
      <c r="M32" s="739"/>
      <c r="N32" s="738"/>
      <c r="O32" s="739"/>
      <c r="P32" s="738"/>
      <c r="Q32" s="791">
        <v>8</v>
      </c>
      <c r="R32" s="792">
        <v>2</v>
      </c>
      <c r="S32" s="739"/>
      <c r="T32" s="738"/>
      <c r="U32" s="739"/>
      <c r="V32" s="738"/>
      <c r="W32" s="739"/>
      <c r="X32" s="738"/>
      <c r="Y32" s="739"/>
      <c r="Z32" s="738"/>
      <c r="AA32" s="793">
        <v>8</v>
      </c>
    </row>
    <row r="33" spans="1:27" ht="14.25">
      <c r="A33" s="956">
        <v>2.12</v>
      </c>
      <c r="B33" s="825" t="s">
        <v>3586</v>
      </c>
      <c r="C33" s="790"/>
      <c r="D33" s="738"/>
      <c r="E33" s="739"/>
      <c r="F33" s="738"/>
      <c r="G33" s="739"/>
      <c r="H33" s="738"/>
      <c r="I33" s="739"/>
      <c r="J33" s="738"/>
      <c r="K33" s="739"/>
      <c r="L33" s="738"/>
      <c r="M33" s="739"/>
      <c r="N33" s="738"/>
      <c r="O33" s="739"/>
      <c r="P33" s="738"/>
      <c r="Q33" s="791">
        <v>8</v>
      </c>
      <c r="R33" s="792">
        <v>2</v>
      </c>
      <c r="S33" s="739"/>
      <c r="T33" s="738"/>
      <c r="U33" s="739"/>
      <c r="V33" s="738"/>
      <c r="W33" s="739"/>
      <c r="X33" s="738"/>
      <c r="Y33" s="739"/>
      <c r="Z33" s="738"/>
      <c r="AA33" s="793">
        <v>8</v>
      </c>
    </row>
    <row r="34" spans="1:27" ht="14.25">
      <c r="A34" s="956">
        <v>2.13</v>
      </c>
      <c r="B34" s="825" t="s">
        <v>3587</v>
      </c>
      <c r="C34" s="790"/>
      <c r="D34" s="738"/>
      <c r="E34" s="739"/>
      <c r="F34" s="738"/>
      <c r="G34" s="739"/>
      <c r="H34" s="738"/>
      <c r="I34" s="739"/>
      <c r="J34" s="738"/>
      <c r="K34" s="739"/>
      <c r="L34" s="738"/>
      <c r="M34" s="739"/>
      <c r="N34" s="738"/>
      <c r="O34" s="739"/>
      <c r="P34" s="738"/>
      <c r="Q34" s="791">
        <v>8</v>
      </c>
      <c r="R34" s="792">
        <v>2</v>
      </c>
      <c r="S34" s="739"/>
      <c r="T34" s="738"/>
      <c r="U34" s="739"/>
      <c r="V34" s="738"/>
      <c r="W34" s="739"/>
      <c r="X34" s="738"/>
      <c r="Y34" s="739"/>
      <c r="Z34" s="738"/>
      <c r="AA34" s="793">
        <v>8</v>
      </c>
    </row>
    <row r="35" spans="1:27" ht="14.25">
      <c r="A35" s="956">
        <v>2.14</v>
      </c>
      <c r="B35" s="825" t="s">
        <v>3588</v>
      </c>
      <c r="C35" s="790"/>
      <c r="D35" s="738"/>
      <c r="E35" s="739"/>
      <c r="F35" s="738"/>
      <c r="G35" s="739"/>
      <c r="H35" s="738"/>
      <c r="I35" s="739"/>
      <c r="J35" s="738"/>
      <c r="K35" s="739"/>
      <c r="L35" s="738"/>
      <c r="M35" s="739"/>
      <c r="N35" s="738"/>
      <c r="O35" s="739"/>
      <c r="P35" s="738"/>
      <c r="Q35" s="791">
        <v>8</v>
      </c>
      <c r="R35" s="792">
        <v>2</v>
      </c>
      <c r="S35" s="739"/>
      <c r="T35" s="738"/>
      <c r="U35" s="739"/>
      <c r="V35" s="738"/>
      <c r="W35" s="739"/>
      <c r="X35" s="738"/>
      <c r="Y35" s="739"/>
      <c r="Z35" s="738"/>
      <c r="AA35" s="793">
        <v>8</v>
      </c>
    </row>
    <row r="36" spans="1:27" ht="14.25">
      <c r="A36" s="956">
        <v>2.15</v>
      </c>
      <c r="B36" s="825" t="s">
        <v>3589</v>
      </c>
      <c r="C36" s="790"/>
      <c r="D36" s="738"/>
      <c r="E36" s="739"/>
      <c r="F36" s="738"/>
      <c r="G36" s="739"/>
      <c r="H36" s="738"/>
      <c r="I36" s="739"/>
      <c r="J36" s="738"/>
      <c r="K36" s="739"/>
      <c r="L36" s="738"/>
      <c r="M36" s="739"/>
      <c r="N36" s="738"/>
      <c r="O36" s="739"/>
      <c r="P36" s="738"/>
      <c r="Q36" s="791">
        <v>8</v>
      </c>
      <c r="R36" s="792">
        <v>2</v>
      </c>
      <c r="S36" s="739"/>
      <c r="T36" s="738"/>
      <c r="U36" s="739"/>
      <c r="V36" s="738"/>
      <c r="W36" s="739"/>
      <c r="X36" s="738"/>
      <c r="Y36" s="739"/>
      <c r="Z36" s="738"/>
      <c r="AA36" s="793">
        <v>8</v>
      </c>
    </row>
    <row r="37" spans="1:27" ht="14.25">
      <c r="A37" s="956">
        <v>2.16</v>
      </c>
      <c r="B37" s="825" t="s">
        <v>3590</v>
      </c>
      <c r="C37" s="790"/>
      <c r="D37" s="738"/>
      <c r="E37" s="739"/>
      <c r="F37" s="738"/>
      <c r="G37" s="739"/>
      <c r="H37" s="738"/>
      <c r="I37" s="739"/>
      <c r="J37" s="738"/>
      <c r="K37" s="739"/>
      <c r="L37" s="738"/>
      <c r="M37" s="739"/>
      <c r="N37" s="738"/>
      <c r="O37" s="739"/>
      <c r="P37" s="738"/>
      <c r="Q37" s="791">
        <v>8</v>
      </c>
      <c r="R37" s="792">
        <v>2</v>
      </c>
      <c r="S37" s="739"/>
      <c r="T37" s="738"/>
      <c r="U37" s="739"/>
      <c r="V37" s="738"/>
      <c r="W37" s="739"/>
      <c r="X37" s="738"/>
      <c r="Y37" s="739"/>
      <c r="Z37" s="738"/>
      <c r="AA37" s="793">
        <v>8</v>
      </c>
    </row>
    <row r="38" spans="1:27" ht="14.25">
      <c r="A38" s="956">
        <v>2.17</v>
      </c>
      <c r="B38" s="825" t="s">
        <v>3591</v>
      </c>
      <c r="C38" s="790"/>
      <c r="D38" s="738"/>
      <c r="E38" s="739"/>
      <c r="F38" s="738"/>
      <c r="G38" s="739"/>
      <c r="H38" s="738"/>
      <c r="I38" s="739"/>
      <c r="J38" s="738"/>
      <c r="K38" s="739"/>
      <c r="L38" s="738"/>
      <c r="M38" s="739"/>
      <c r="N38" s="738"/>
      <c r="O38" s="739"/>
      <c r="P38" s="738"/>
      <c r="Q38" s="791">
        <v>8</v>
      </c>
      <c r="R38" s="792">
        <v>2</v>
      </c>
      <c r="S38" s="739"/>
      <c r="T38" s="738"/>
      <c r="U38" s="739"/>
      <c r="V38" s="738"/>
      <c r="W38" s="739"/>
      <c r="X38" s="738"/>
      <c r="Y38" s="739"/>
      <c r="Z38" s="738"/>
      <c r="AA38" s="793">
        <v>8</v>
      </c>
    </row>
    <row r="39" spans="1:27" ht="14.25">
      <c r="A39" s="956">
        <v>2.1800000000000002</v>
      </c>
      <c r="B39" s="825" t="s">
        <v>3592</v>
      </c>
      <c r="C39" s="790"/>
      <c r="D39" s="738"/>
      <c r="E39" s="739"/>
      <c r="F39" s="738"/>
      <c r="G39" s="739"/>
      <c r="H39" s="738"/>
      <c r="I39" s="739"/>
      <c r="J39" s="738"/>
      <c r="K39" s="739"/>
      <c r="L39" s="738"/>
      <c r="M39" s="739"/>
      <c r="N39" s="738"/>
      <c r="O39" s="739"/>
      <c r="P39" s="738"/>
      <c r="Q39" s="791">
        <v>8</v>
      </c>
      <c r="R39" s="792">
        <v>2</v>
      </c>
      <c r="S39" s="739"/>
      <c r="T39" s="738"/>
      <c r="U39" s="739"/>
      <c r="V39" s="738"/>
      <c r="W39" s="739"/>
      <c r="X39" s="738"/>
      <c r="Y39" s="739"/>
      <c r="Z39" s="738"/>
      <c r="AA39" s="793">
        <v>8</v>
      </c>
    </row>
    <row r="40" spans="1:27" ht="14.25">
      <c r="A40" s="956">
        <v>2.19</v>
      </c>
      <c r="B40" s="825" t="s">
        <v>3593</v>
      </c>
      <c r="C40" s="794"/>
      <c r="D40" s="745"/>
      <c r="E40" s="746"/>
      <c r="F40" s="745"/>
      <c r="G40" s="746"/>
      <c r="H40" s="745"/>
      <c r="I40" s="746"/>
      <c r="J40" s="745"/>
      <c r="K40" s="746"/>
      <c r="L40" s="745"/>
      <c r="M40" s="746"/>
      <c r="N40" s="745"/>
      <c r="O40" s="746"/>
      <c r="P40" s="745"/>
      <c r="Q40" s="791">
        <v>8</v>
      </c>
      <c r="R40" s="792">
        <v>2</v>
      </c>
      <c r="S40" s="746"/>
      <c r="T40" s="745"/>
      <c r="U40" s="746"/>
      <c r="V40" s="745"/>
      <c r="W40" s="746"/>
      <c r="X40" s="745"/>
      <c r="Y40" s="746"/>
      <c r="Z40" s="745"/>
      <c r="AA40" s="793">
        <v>8</v>
      </c>
    </row>
    <row r="41" spans="1:27" ht="14.25">
      <c r="A41" s="957" t="s">
        <v>2942</v>
      </c>
      <c r="B41" s="825" t="s">
        <v>3594</v>
      </c>
      <c r="C41" s="794"/>
      <c r="D41" s="745"/>
      <c r="E41" s="746"/>
      <c r="F41" s="745"/>
      <c r="G41" s="746"/>
      <c r="H41" s="745"/>
      <c r="I41" s="746"/>
      <c r="J41" s="745"/>
      <c r="K41" s="746"/>
      <c r="L41" s="745"/>
      <c r="M41" s="746"/>
      <c r="N41" s="745"/>
      <c r="O41" s="746"/>
      <c r="P41" s="745"/>
      <c r="Q41" s="791">
        <v>20</v>
      </c>
      <c r="R41" s="792">
        <v>4</v>
      </c>
      <c r="S41" s="746"/>
      <c r="T41" s="745"/>
      <c r="U41" s="746"/>
      <c r="V41" s="745"/>
      <c r="W41" s="746"/>
      <c r="X41" s="745"/>
      <c r="Y41" s="746"/>
      <c r="Z41" s="745"/>
      <c r="AA41" s="793"/>
    </row>
    <row r="42" spans="1:27" ht="14.25">
      <c r="A42" s="788">
        <v>3</v>
      </c>
      <c r="B42" s="958" t="s">
        <v>3595</v>
      </c>
      <c r="C42" s="790"/>
      <c r="D42" s="738"/>
      <c r="E42" s="739"/>
      <c r="F42" s="738"/>
      <c r="G42" s="739"/>
      <c r="H42" s="738"/>
      <c r="I42" s="739"/>
      <c r="J42" s="738"/>
      <c r="K42" s="739"/>
      <c r="L42" s="738"/>
      <c r="M42" s="739"/>
      <c r="N42" s="738"/>
      <c r="O42" s="739"/>
      <c r="P42" s="738"/>
      <c r="Q42" s="797"/>
      <c r="R42" s="798"/>
      <c r="S42" s="739"/>
      <c r="T42" s="738"/>
      <c r="U42" s="739"/>
      <c r="V42" s="738"/>
      <c r="W42" s="739"/>
      <c r="X42" s="738"/>
      <c r="Y42" s="739"/>
      <c r="Z42" s="738"/>
      <c r="AA42" s="799"/>
    </row>
    <row r="43" spans="1:27" ht="14.25">
      <c r="A43" s="956">
        <v>3.1</v>
      </c>
      <c r="B43" s="825" t="s">
        <v>3596</v>
      </c>
      <c r="C43" s="790"/>
      <c r="D43" s="738"/>
      <c r="E43" s="739"/>
      <c r="F43" s="738"/>
      <c r="G43" s="739"/>
      <c r="H43" s="738"/>
      <c r="I43" s="739"/>
      <c r="J43" s="738"/>
      <c r="K43" s="739">
        <v>5</v>
      </c>
      <c r="L43" s="738"/>
      <c r="M43" s="739"/>
      <c r="N43" s="738"/>
      <c r="O43" s="739"/>
      <c r="P43" s="738"/>
      <c r="Q43" s="791">
        <v>10</v>
      </c>
      <c r="R43" s="792">
        <v>5</v>
      </c>
      <c r="S43" s="739"/>
      <c r="T43" s="738"/>
      <c r="U43" s="739"/>
      <c r="V43" s="738"/>
      <c r="W43" s="739"/>
      <c r="X43" s="738"/>
      <c r="Y43" s="739"/>
      <c r="Z43" s="738"/>
      <c r="AA43" s="793">
        <v>16</v>
      </c>
    </row>
    <row r="44" spans="1:27" ht="14.25">
      <c r="A44" s="956">
        <v>3.2</v>
      </c>
      <c r="B44" s="825" t="s">
        <v>3597</v>
      </c>
      <c r="C44" s="790"/>
      <c r="D44" s="738"/>
      <c r="E44" s="739"/>
      <c r="F44" s="738"/>
      <c r="G44" s="739"/>
      <c r="H44" s="738"/>
      <c r="I44" s="739"/>
      <c r="J44" s="738"/>
      <c r="K44" s="739">
        <v>5</v>
      </c>
      <c r="L44" s="738"/>
      <c r="M44" s="739"/>
      <c r="N44" s="738"/>
      <c r="O44" s="739"/>
      <c r="P44" s="738"/>
      <c r="Q44" s="791">
        <v>30</v>
      </c>
      <c r="R44" s="792">
        <v>5</v>
      </c>
      <c r="S44" s="739"/>
      <c r="T44" s="738"/>
      <c r="U44" s="739"/>
      <c r="V44" s="738"/>
      <c r="W44" s="739"/>
      <c r="X44" s="738"/>
      <c r="Y44" s="739"/>
      <c r="Z44" s="738"/>
      <c r="AA44" s="793">
        <v>16</v>
      </c>
    </row>
    <row r="45" spans="1:27" ht="14.25">
      <c r="A45" s="956">
        <v>3.3</v>
      </c>
      <c r="B45" s="825" t="s">
        <v>3598</v>
      </c>
      <c r="C45" s="790"/>
      <c r="D45" s="738"/>
      <c r="E45" s="739"/>
      <c r="F45" s="738"/>
      <c r="G45" s="739"/>
      <c r="H45" s="738"/>
      <c r="I45" s="739"/>
      <c r="J45" s="738"/>
      <c r="K45" s="739">
        <v>5</v>
      </c>
      <c r="L45" s="738"/>
      <c r="M45" s="739"/>
      <c r="N45" s="738"/>
      <c r="O45" s="739"/>
      <c r="P45" s="738"/>
      <c r="Q45" s="791">
        <v>30</v>
      </c>
      <c r="R45" s="792">
        <v>5</v>
      </c>
      <c r="S45" s="739"/>
      <c r="T45" s="738"/>
      <c r="U45" s="739"/>
      <c r="V45" s="738"/>
      <c r="W45" s="739"/>
      <c r="X45" s="738"/>
      <c r="Y45" s="739"/>
      <c r="Z45" s="738"/>
      <c r="AA45" s="793">
        <v>16</v>
      </c>
    </row>
    <row r="46" spans="1:27" ht="14.25">
      <c r="A46" s="956">
        <v>3.4</v>
      </c>
      <c r="B46" s="825" t="s">
        <v>3599</v>
      </c>
      <c r="C46" s="790"/>
      <c r="D46" s="738"/>
      <c r="E46" s="739"/>
      <c r="F46" s="738"/>
      <c r="G46" s="739"/>
      <c r="H46" s="738"/>
      <c r="I46" s="739"/>
      <c r="J46" s="738"/>
      <c r="K46" s="739">
        <v>5</v>
      </c>
      <c r="L46" s="738"/>
      <c r="M46" s="739"/>
      <c r="N46" s="738"/>
      <c r="O46" s="739"/>
      <c r="P46" s="738"/>
      <c r="Q46" s="791">
        <v>30</v>
      </c>
      <c r="R46" s="792">
        <v>5</v>
      </c>
      <c r="S46" s="739"/>
      <c r="T46" s="738"/>
      <c r="U46" s="739"/>
      <c r="V46" s="738"/>
      <c r="W46" s="739"/>
      <c r="X46" s="738"/>
      <c r="Y46" s="739"/>
      <c r="Z46" s="738"/>
      <c r="AA46" s="793">
        <v>16</v>
      </c>
    </row>
    <row r="47" spans="1:27" ht="14.25">
      <c r="A47" s="956">
        <v>3.5</v>
      </c>
      <c r="B47" s="825" t="s">
        <v>3600</v>
      </c>
      <c r="C47" s="790"/>
      <c r="D47" s="738"/>
      <c r="E47" s="739"/>
      <c r="F47" s="738"/>
      <c r="G47" s="739"/>
      <c r="H47" s="738"/>
      <c r="I47" s="739"/>
      <c r="J47" s="738"/>
      <c r="K47" s="739">
        <v>5</v>
      </c>
      <c r="L47" s="738"/>
      <c r="M47" s="739"/>
      <c r="N47" s="738"/>
      <c r="O47" s="739"/>
      <c r="P47" s="738"/>
      <c r="Q47" s="791">
        <v>8</v>
      </c>
      <c r="R47" s="792">
        <v>5</v>
      </c>
      <c r="S47" s="739"/>
      <c r="T47" s="738"/>
      <c r="U47" s="739"/>
      <c r="V47" s="738"/>
      <c r="W47" s="739"/>
      <c r="X47" s="738"/>
      <c r="Y47" s="739"/>
      <c r="Z47" s="738"/>
      <c r="AA47" s="793">
        <v>16</v>
      </c>
    </row>
    <row r="48" spans="1:27" ht="14.25">
      <c r="A48" s="956">
        <v>3.6</v>
      </c>
      <c r="B48" s="825" t="s">
        <v>3601</v>
      </c>
      <c r="C48" s="790"/>
      <c r="D48" s="738"/>
      <c r="E48" s="739"/>
      <c r="F48" s="738"/>
      <c r="G48" s="739"/>
      <c r="H48" s="738"/>
      <c r="I48" s="739"/>
      <c r="J48" s="738"/>
      <c r="K48" s="739">
        <v>5</v>
      </c>
      <c r="L48" s="738"/>
      <c r="M48" s="739"/>
      <c r="N48" s="738"/>
      <c r="O48" s="739"/>
      <c r="P48" s="738"/>
      <c r="Q48" s="791">
        <v>30</v>
      </c>
      <c r="R48" s="792">
        <v>5</v>
      </c>
      <c r="S48" s="739"/>
      <c r="T48" s="738"/>
      <c r="U48" s="739"/>
      <c r="V48" s="738"/>
      <c r="W48" s="739"/>
      <c r="X48" s="738"/>
      <c r="Y48" s="739"/>
      <c r="Z48" s="738"/>
      <c r="AA48" s="793">
        <v>16</v>
      </c>
    </row>
    <row r="49" spans="1:27" ht="14.25">
      <c r="A49" s="956">
        <v>3.7</v>
      </c>
      <c r="B49" s="825" t="s">
        <v>3602</v>
      </c>
      <c r="C49" s="790"/>
      <c r="D49" s="738"/>
      <c r="E49" s="739"/>
      <c r="F49" s="738"/>
      <c r="G49" s="739"/>
      <c r="H49" s="738"/>
      <c r="I49" s="739"/>
      <c r="J49" s="738"/>
      <c r="K49" s="739">
        <v>5</v>
      </c>
      <c r="L49" s="738"/>
      <c r="M49" s="739"/>
      <c r="N49" s="738"/>
      <c r="O49" s="791">
        <v>30</v>
      </c>
      <c r="P49" s="792">
        <v>5</v>
      </c>
      <c r="Q49" s="791">
        <v>30</v>
      </c>
      <c r="R49" s="792">
        <v>5</v>
      </c>
      <c r="S49" s="739"/>
      <c r="T49" s="738"/>
      <c r="U49" s="739"/>
      <c r="V49" s="738"/>
      <c r="W49" s="739"/>
      <c r="X49" s="738"/>
      <c r="Y49" s="739"/>
      <c r="Z49" s="738"/>
      <c r="AA49" s="793">
        <v>16</v>
      </c>
    </row>
    <row r="50" spans="1:27" ht="14.25">
      <c r="A50" s="788">
        <v>4</v>
      </c>
      <c r="B50" s="958" t="s">
        <v>3603</v>
      </c>
      <c r="C50" s="790"/>
      <c r="D50" s="738"/>
      <c r="E50" s="739"/>
      <c r="F50" s="738"/>
      <c r="G50" s="739"/>
      <c r="H50" s="738"/>
      <c r="I50" s="739"/>
      <c r="J50" s="738"/>
      <c r="K50" s="739"/>
      <c r="L50" s="738"/>
      <c r="M50" s="739"/>
      <c r="N50" s="738"/>
      <c r="O50" s="739"/>
      <c r="P50" s="738"/>
      <c r="Q50" s="797"/>
      <c r="R50" s="798"/>
      <c r="S50" s="739"/>
      <c r="T50" s="738"/>
      <c r="U50" s="739"/>
      <c r="V50" s="738"/>
      <c r="W50" s="739"/>
      <c r="X50" s="738"/>
      <c r="Y50" s="739"/>
      <c r="Z50" s="738"/>
      <c r="AA50" s="799"/>
    </row>
    <row r="51" spans="1:27" ht="14.25">
      <c r="A51" s="959">
        <v>4.0999999999999996</v>
      </c>
      <c r="B51" s="825" t="s">
        <v>3604</v>
      </c>
      <c r="C51" s="790"/>
      <c r="D51" s="738"/>
      <c r="E51" s="739"/>
      <c r="F51" s="738"/>
      <c r="G51" s="739"/>
      <c r="H51" s="738"/>
      <c r="I51" s="739"/>
      <c r="J51" s="738"/>
      <c r="K51" s="739"/>
      <c r="L51" s="738"/>
      <c r="M51" s="739"/>
      <c r="N51" s="738"/>
      <c r="O51" s="739"/>
      <c r="P51" s="738"/>
      <c r="Q51" s="791">
        <v>30</v>
      </c>
      <c r="R51" s="792">
        <v>5</v>
      </c>
      <c r="S51" s="739"/>
      <c r="T51" s="738"/>
      <c r="U51" s="739"/>
      <c r="V51" s="738"/>
      <c r="W51" s="739"/>
      <c r="X51" s="738"/>
      <c r="Y51" s="739"/>
      <c r="Z51" s="738"/>
      <c r="AA51" s="793">
        <v>16</v>
      </c>
    </row>
    <row r="52" spans="1:27" ht="14.25">
      <c r="A52" s="959">
        <v>4.2</v>
      </c>
      <c r="B52" s="825" t="s">
        <v>3605</v>
      </c>
      <c r="C52" s="790"/>
      <c r="D52" s="738"/>
      <c r="E52" s="739"/>
      <c r="F52" s="738"/>
      <c r="G52" s="739"/>
      <c r="H52" s="738"/>
      <c r="I52" s="739"/>
      <c r="J52" s="738"/>
      <c r="K52" s="739"/>
      <c r="L52" s="738"/>
      <c r="M52" s="739"/>
      <c r="N52" s="738"/>
      <c r="O52" s="739"/>
      <c r="P52" s="738"/>
      <c r="Q52" s="791">
        <v>30</v>
      </c>
      <c r="R52" s="792">
        <v>5</v>
      </c>
      <c r="S52" s="739"/>
      <c r="T52" s="738"/>
      <c r="U52" s="739"/>
      <c r="V52" s="738"/>
      <c r="W52" s="739"/>
      <c r="X52" s="738"/>
      <c r="Y52" s="739"/>
      <c r="Z52" s="738"/>
      <c r="AA52" s="793">
        <v>16</v>
      </c>
    </row>
    <row r="53" spans="1:27" ht="14.25">
      <c r="A53" s="959">
        <v>4.3</v>
      </c>
      <c r="B53" s="825" t="s">
        <v>3606</v>
      </c>
      <c r="C53" s="790"/>
      <c r="D53" s="738"/>
      <c r="E53" s="739"/>
      <c r="F53" s="738"/>
      <c r="G53" s="739"/>
      <c r="H53" s="738"/>
      <c r="I53" s="739"/>
      <c r="J53" s="738"/>
      <c r="K53" s="739"/>
      <c r="L53" s="738"/>
      <c r="M53" s="739"/>
      <c r="N53" s="738"/>
      <c r="O53" s="739"/>
      <c r="P53" s="738"/>
      <c r="Q53" s="791">
        <v>50</v>
      </c>
      <c r="R53" s="792">
        <v>8</v>
      </c>
      <c r="S53" s="739"/>
      <c r="T53" s="738"/>
      <c r="U53" s="739"/>
      <c r="V53" s="738"/>
      <c r="W53" s="739"/>
      <c r="X53" s="738"/>
      <c r="Y53" s="739"/>
      <c r="Z53" s="738"/>
      <c r="AA53" s="793">
        <v>25</v>
      </c>
    </row>
    <row r="54" spans="1:27" ht="14.25">
      <c r="A54" s="959">
        <v>4.4000000000000004</v>
      </c>
      <c r="B54" s="825" t="s">
        <v>3607</v>
      </c>
      <c r="C54" s="790"/>
      <c r="D54" s="738"/>
      <c r="E54" s="739"/>
      <c r="F54" s="738"/>
      <c r="G54" s="739"/>
      <c r="H54" s="738"/>
      <c r="I54" s="739"/>
      <c r="J54" s="738"/>
      <c r="K54" s="739"/>
      <c r="L54" s="738"/>
      <c r="M54" s="739"/>
      <c r="N54" s="738"/>
      <c r="O54" s="739"/>
      <c r="P54" s="738"/>
      <c r="Q54" s="791">
        <v>20</v>
      </c>
      <c r="R54" s="792">
        <v>3</v>
      </c>
      <c r="S54" s="739"/>
      <c r="T54" s="738"/>
      <c r="U54" s="739"/>
      <c r="V54" s="738"/>
      <c r="W54" s="739"/>
      <c r="X54" s="738"/>
      <c r="Y54" s="739"/>
      <c r="Z54" s="738"/>
      <c r="AA54" s="793">
        <v>10</v>
      </c>
    </row>
    <row r="55" spans="1:27" ht="14.25">
      <c r="A55" s="959">
        <v>4.5</v>
      </c>
      <c r="B55" s="825" t="s">
        <v>3608</v>
      </c>
      <c r="C55" s="790"/>
      <c r="D55" s="738"/>
      <c r="E55" s="739"/>
      <c r="F55" s="738"/>
      <c r="G55" s="739"/>
      <c r="H55" s="738"/>
      <c r="I55" s="739"/>
      <c r="J55" s="738"/>
      <c r="K55" s="739"/>
      <c r="L55" s="738"/>
      <c r="M55" s="739"/>
      <c r="N55" s="738"/>
      <c r="O55" s="739"/>
      <c r="P55" s="738"/>
      <c r="Q55" s="791">
        <v>20</v>
      </c>
      <c r="R55" s="792">
        <v>3</v>
      </c>
      <c r="S55" s="739"/>
      <c r="T55" s="738"/>
      <c r="U55" s="739"/>
      <c r="V55" s="738"/>
      <c r="W55" s="739"/>
      <c r="X55" s="738"/>
      <c r="Y55" s="739"/>
      <c r="Z55" s="738"/>
      <c r="AA55" s="793">
        <v>10</v>
      </c>
    </row>
    <row r="56" spans="1:27" ht="14.25">
      <c r="A56" s="959">
        <v>4.5999999999999996</v>
      </c>
      <c r="B56" s="825" t="s">
        <v>3609</v>
      </c>
      <c r="C56" s="790"/>
      <c r="D56" s="738"/>
      <c r="E56" s="739"/>
      <c r="F56" s="738"/>
      <c r="G56" s="739"/>
      <c r="H56" s="738"/>
      <c r="I56" s="739"/>
      <c r="J56" s="738"/>
      <c r="K56" s="739"/>
      <c r="L56" s="738"/>
      <c r="M56" s="739"/>
      <c r="N56" s="738"/>
      <c r="O56" s="739"/>
      <c r="P56" s="738"/>
      <c r="Q56" s="791">
        <v>20</v>
      </c>
      <c r="R56" s="792">
        <v>3</v>
      </c>
      <c r="S56" s="739"/>
      <c r="T56" s="738"/>
      <c r="U56" s="739"/>
      <c r="V56" s="738"/>
      <c r="W56" s="739"/>
      <c r="X56" s="738"/>
      <c r="Y56" s="739"/>
      <c r="Z56" s="738"/>
      <c r="AA56" s="793">
        <v>10</v>
      </c>
    </row>
    <row r="57" spans="1:27" ht="14.25">
      <c r="A57" s="959">
        <v>4.7</v>
      </c>
      <c r="B57" s="825" t="s">
        <v>3610</v>
      </c>
      <c r="C57" s="790"/>
      <c r="D57" s="738"/>
      <c r="E57" s="739"/>
      <c r="F57" s="738"/>
      <c r="G57" s="739"/>
      <c r="H57" s="738"/>
      <c r="I57" s="739"/>
      <c r="J57" s="738"/>
      <c r="K57" s="739"/>
      <c r="L57" s="738"/>
      <c r="M57" s="739"/>
      <c r="N57" s="738"/>
      <c r="O57" s="739"/>
      <c r="P57" s="738"/>
      <c r="Q57" s="791">
        <v>20</v>
      </c>
      <c r="R57" s="792">
        <v>3</v>
      </c>
      <c r="S57" s="739"/>
      <c r="T57" s="738"/>
      <c r="U57" s="739"/>
      <c r="V57" s="738"/>
      <c r="W57" s="739"/>
      <c r="X57" s="738"/>
      <c r="Y57" s="739"/>
      <c r="Z57" s="738"/>
      <c r="AA57" s="793">
        <v>10</v>
      </c>
    </row>
    <row r="58" spans="1:27" ht="14.25">
      <c r="A58" s="959">
        <v>4.8</v>
      </c>
      <c r="B58" s="825" t="s">
        <v>3611</v>
      </c>
      <c r="C58" s="790"/>
      <c r="D58" s="738"/>
      <c r="E58" s="739"/>
      <c r="F58" s="738"/>
      <c r="G58" s="739"/>
      <c r="H58" s="738"/>
      <c r="I58" s="739"/>
      <c r="J58" s="738"/>
      <c r="K58" s="739">
        <v>5</v>
      </c>
      <c r="L58" s="738"/>
      <c r="M58" s="739"/>
      <c r="N58" s="738"/>
      <c r="O58" s="739"/>
      <c r="P58" s="738"/>
      <c r="Q58" s="791">
        <v>75</v>
      </c>
      <c r="R58" s="792">
        <v>5</v>
      </c>
      <c r="S58" s="739"/>
      <c r="T58" s="738"/>
      <c r="U58" s="739"/>
      <c r="V58" s="738"/>
      <c r="W58" s="739"/>
      <c r="X58" s="738"/>
      <c r="Y58" s="739"/>
      <c r="Z58" s="738"/>
      <c r="AA58" s="793">
        <v>50</v>
      </c>
    </row>
    <row r="59" spans="1:27" ht="14.25">
      <c r="A59" s="959">
        <v>4.9000000000000004</v>
      </c>
      <c r="B59" s="825" t="s">
        <v>3612</v>
      </c>
      <c r="C59" s="790"/>
      <c r="D59" s="738"/>
      <c r="E59" s="739"/>
      <c r="F59" s="738"/>
      <c r="G59" s="739"/>
      <c r="H59" s="738"/>
      <c r="I59" s="739"/>
      <c r="J59" s="738"/>
      <c r="K59" s="739"/>
      <c r="L59" s="738"/>
      <c r="M59" s="739"/>
      <c r="N59" s="738"/>
      <c r="O59" s="739"/>
      <c r="P59" s="738"/>
      <c r="Q59" s="791">
        <v>8</v>
      </c>
      <c r="R59" s="792">
        <v>3</v>
      </c>
      <c r="S59" s="739"/>
      <c r="T59" s="738"/>
      <c r="U59" s="739"/>
      <c r="V59" s="738"/>
      <c r="W59" s="739"/>
      <c r="X59" s="738"/>
      <c r="Y59" s="739"/>
      <c r="Z59" s="738"/>
      <c r="AA59" s="793">
        <v>10</v>
      </c>
    </row>
    <row r="60" spans="1:27" ht="14.25">
      <c r="A60" s="960" t="s">
        <v>1346</v>
      </c>
      <c r="B60" s="825" t="s">
        <v>3613</v>
      </c>
      <c r="C60" s="790"/>
      <c r="D60" s="738"/>
      <c r="E60" s="739"/>
      <c r="F60" s="738"/>
      <c r="G60" s="739"/>
      <c r="H60" s="738"/>
      <c r="I60" s="739"/>
      <c r="J60" s="738"/>
      <c r="K60" s="739">
        <v>2</v>
      </c>
      <c r="L60" s="738"/>
      <c r="M60" s="739"/>
      <c r="N60" s="738"/>
      <c r="O60" s="739"/>
      <c r="P60" s="738"/>
      <c r="Q60" s="791">
        <v>8</v>
      </c>
      <c r="R60" s="792">
        <v>3</v>
      </c>
      <c r="S60" s="739"/>
      <c r="T60" s="738"/>
      <c r="U60" s="739"/>
      <c r="V60" s="738"/>
      <c r="W60" s="739"/>
      <c r="X60" s="738"/>
      <c r="Y60" s="739"/>
      <c r="Z60" s="738"/>
      <c r="AA60" s="793">
        <v>10</v>
      </c>
    </row>
    <row r="61" spans="1:27" ht="14.25">
      <c r="A61" s="959">
        <v>4.1100000000000003</v>
      </c>
      <c r="B61" s="825" t="s">
        <v>3614</v>
      </c>
      <c r="C61" s="790"/>
      <c r="D61" s="738"/>
      <c r="E61" s="739"/>
      <c r="F61" s="738"/>
      <c r="G61" s="739"/>
      <c r="H61" s="738"/>
      <c r="I61" s="739"/>
      <c r="J61" s="738"/>
      <c r="K61" s="739">
        <v>2</v>
      </c>
      <c r="L61" s="738"/>
      <c r="M61" s="739"/>
      <c r="N61" s="738"/>
      <c r="O61" s="739"/>
      <c r="P61" s="738"/>
      <c r="Q61" s="791">
        <v>8</v>
      </c>
      <c r="R61" s="792">
        <v>3</v>
      </c>
      <c r="S61" s="739"/>
      <c r="T61" s="738"/>
      <c r="U61" s="739"/>
      <c r="V61" s="738"/>
      <c r="W61" s="739"/>
      <c r="X61" s="738"/>
      <c r="Y61" s="739"/>
      <c r="Z61" s="738"/>
      <c r="AA61" s="793">
        <v>10</v>
      </c>
    </row>
    <row r="62" spans="1:27" ht="14.25">
      <c r="A62" s="959">
        <v>4.12</v>
      </c>
      <c r="B62" s="825" t="s">
        <v>3615</v>
      </c>
      <c r="C62" s="790"/>
      <c r="D62" s="738"/>
      <c r="E62" s="739"/>
      <c r="F62" s="738"/>
      <c r="G62" s="739"/>
      <c r="H62" s="738"/>
      <c r="I62" s="739"/>
      <c r="J62" s="738"/>
      <c r="K62" s="739">
        <v>2</v>
      </c>
      <c r="L62" s="738"/>
      <c r="M62" s="739"/>
      <c r="N62" s="738"/>
      <c r="O62" s="739"/>
      <c r="P62" s="738"/>
      <c r="Q62" s="791">
        <v>20</v>
      </c>
      <c r="R62" s="792">
        <v>3</v>
      </c>
      <c r="S62" s="739"/>
      <c r="T62" s="738"/>
      <c r="U62" s="739"/>
      <c r="V62" s="738"/>
      <c r="W62" s="739"/>
      <c r="X62" s="738"/>
      <c r="Y62" s="739"/>
      <c r="Z62" s="738"/>
      <c r="AA62" s="793">
        <v>10</v>
      </c>
    </row>
    <row r="63" spans="1:27" ht="14.25">
      <c r="A63" s="959">
        <v>4.13</v>
      </c>
      <c r="B63" s="825" t="s">
        <v>3616</v>
      </c>
      <c r="C63" s="790"/>
      <c r="D63" s="738"/>
      <c r="E63" s="739"/>
      <c r="F63" s="738"/>
      <c r="G63" s="739"/>
      <c r="H63" s="738"/>
      <c r="I63" s="739"/>
      <c r="J63" s="738"/>
      <c r="K63" s="739"/>
      <c r="L63" s="738"/>
      <c r="M63" s="739"/>
      <c r="N63" s="738"/>
      <c r="O63" s="739"/>
      <c r="P63" s="738"/>
      <c r="Q63" s="791">
        <v>30</v>
      </c>
      <c r="R63" s="792">
        <v>5</v>
      </c>
      <c r="S63" s="739"/>
      <c r="T63" s="738"/>
      <c r="U63" s="739"/>
      <c r="V63" s="738"/>
      <c r="W63" s="739"/>
      <c r="X63" s="738"/>
      <c r="Y63" s="739"/>
      <c r="Z63" s="738"/>
      <c r="AA63" s="793">
        <v>20</v>
      </c>
    </row>
    <row r="64" spans="1:27" ht="14.25">
      <c r="A64" s="959">
        <v>4.1399999999999997</v>
      </c>
      <c r="B64" s="825" t="s">
        <v>3617</v>
      </c>
      <c r="C64" s="790"/>
      <c r="D64" s="738"/>
      <c r="E64" s="739"/>
      <c r="F64" s="738"/>
      <c r="G64" s="739"/>
      <c r="H64" s="738"/>
      <c r="I64" s="739"/>
      <c r="J64" s="738"/>
      <c r="K64" s="739"/>
      <c r="L64" s="738"/>
      <c r="M64" s="739"/>
      <c r="N64" s="738"/>
      <c r="O64" s="739"/>
      <c r="P64" s="738"/>
      <c r="Q64" s="791">
        <v>30</v>
      </c>
      <c r="R64" s="792">
        <v>2</v>
      </c>
      <c r="S64" s="739"/>
      <c r="T64" s="738"/>
      <c r="U64" s="739"/>
      <c r="V64" s="738"/>
      <c r="W64" s="739"/>
      <c r="X64" s="738"/>
      <c r="Y64" s="739"/>
      <c r="Z64" s="738"/>
      <c r="AA64" s="793">
        <v>20</v>
      </c>
    </row>
    <row r="65" spans="1:27" ht="14.25">
      <c r="A65" s="959">
        <v>4.1500000000000004</v>
      </c>
      <c r="B65" s="825" t="s">
        <v>3618</v>
      </c>
      <c r="C65" s="790"/>
      <c r="D65" s="738"/>
      <c r="E65" s="739"/>
      <c r="F65" s="738"/>
      <c r="G65" s="739"/>
      <c r="H65" s="738"/>
      <c r="I65" s="739"/>
      <c r="J65" s="738"/>
      <c r="K65" s="739"/>
      <c r="L65" s="738"/>
      <c r="M65" s="739"/>
      <c r="N65" s="738"/>
      <c r="O65" s="739"/>
      <c r="P65" s="738"/>
      <c r="Q65" s="791">
        <v>24</v>
      </c>
      <c r="R65" s="792">
        <v>8</v>
      </c>
      <c r="S65" s="739"/>
      <c r="T65" s="738"/>
      <c r="U65" s="739"/>
      <c r="V65" s="738"/>
      <c r="W65" s="739"/>
      <c r="X65" s="738"/>
      <c r="Y65" s="739"/>
      <c r="Z65" s="738"/>
      <c r="AA65" s="793">
        <v>10</v>
      </c>
    </row>
    <row r="66" spans="1:27" ht="14.25">
      <c r="A66" s="959">
        <v>4.16</v>
      </c>
      <c r="B66" s="825" t="s">
        <v>3619</v>
      </c>
      <c r="C66" s="853"/>
      <c r="D66" s="738"/>
      <c r="E66" s="751"/>
      <c r="F66" s="738"/>
      <c r="G66" s="751"/>
      <c r="H66" s="738"/>
      <c r="I66" s="751"/>
      <c r="J66" s="738"/>
      <c r="K66" s="751"/>
      <c r="L66" s="738"/>
      <c r="M66" s="751"/>
      <c r="N66" s="738"/>
      <c r="O66" s="751"/>
      <c r="P66" s="738"/>
      <c r="Q66" s="791">
        <v>24</v>
      </c>
      <c r="R66" s="792">
        <v>8</v>
      </c>
      <c r="S66" s="751"/>
      <c r="T66" s="738"/>
      <c r="U66" s="751"/>
      <c r="V66" s="738"/>
      <c r="W66" s="751"/>
      <c r="X66" s="738"/>
      <c r="Y66" s="751"/>
      <c r="Z66" s="738"/>
      <c r="AA66" s="793">
        <v>10</v>
      </c>
    </row>
    <row r="67" spans="1:27" ht="14.25">
      <c r="A67" s="959">
        <v>4.17</v>
      </c>
      <c r="B67" s="825" t="s">
        <v>3620</v>
      </c>
      <c r="C67" s="855"/>
      <c r="D67" s="754"/>
      <c r="E67" s="755"/>
      <c r="F67" s="754"/>
      <c r="G67" s="755"/>
      <c r="H67" s="754"/>
      <c r="I67" s="755"/>
      <c r="J67" s="754"/>
      <c r="K67" s="755"/>
      <c r="L67" s="754"/>
      <c r="M67" s="755"/>
      <c r="N67" s="754"/>
      <c r="O67" s="755"/>
      <c r="P67" s="754"/>
      <c r="Q67" s="791">
        <v>10</v>
      </c>
      <c r="R67" s="792">
        <v>2</v>
      </c>
      <c r="S67" s="755"/>
      <c r="T67" s="754"/>
      <c r="U67" s="755"/>
      <c r="V67" s="754"/>
      <c r="W67" s="755"/>
      <c r="X67" s="754"/>
      <c r="Y67" s="755"/>
      <c r="Z67" s="754"/>
      <c r="AA67" s="793">
        <v>10</v>
      </c>
    </row>
    <row r="68" spans="1:27" ht="14.25">
      <c r="A68" s="959">
        <v>4.18</v>
      </c>
      <c r="B68" s="825" t="s">
        <v>3621</v>
      </c>
      <c r="C68" s="855"/>
      <c r="D68" s="754"/>
      <c r="E68" s="755"/>
      <c r="F68" s="754"/>
      <c r="G68" s="755"/>
      <c r="H68" s="754"/>
      <c r="I68" s="755"/>
      <c r="J68" s="754"/>
      <c r="K68" s="755"/>
      <c r="L68" s="754"/>
      <c r="M68" s="755"/>
      <c r="N68" s="754"/>
      <c r="O68" s="755"/>
      <c r="P68" s="754"/>
      <c r="Q68" s="791">
        <v>20</v>
      </c>
      <c r="R68" s="792">
        <v>4</v>
      </c>
      <c r="S68" s="755"/>
      <c r="T68" s="754"/>
      <c r="U68" s="755"/>
      <c r="V68" s="754"/>
      <c r="W68" s="755"/>
      <c r="X68" s="754"/>
      <c r="Y68" s="755"/>
      <c r="Z68" s="754"/>
      <c r="AA68" s="793">
        <v>30</v>
      </c>
    </row>
    <row r="69" spans="1:27" ht="14.25">
      <c r="A69" s="959">
        <v>4.1900000000000004</v>
      </c>
      <c r="B69" s="825" t="s">
        <v>3622</v>
      </c>
      <c r="C69" s="790"/>
      <c r="D69" s="738"/>
      <c r="E69" s="739"/>
      <c r="F69" s="738"/>
      <c r="G69" s="739"/>
      <c r="H69" s="738"/>
      <c r="I69" s="739"/>
      <c r="J69" s="738"/>
      <c r="K69" s="739"/>
      <c r="L69" s="738"/>
      <c r="M69" s="739"/>
      <c r="N69" s="738"/>
      <c r="O69" s="739"/>
      <c r="P69" s="738"/>
      <c r="Q69" s="791">
        <v>4</v>
      </c>
      <c r="R69" s="792">
        <v>1</v>
      </c>
      <c r="S69" s="739"/>
      <c r="T69" s="738"/>
      <c r="U69" s="739"/>
      <c r="V69" s="738"/>
      <c r="W69" s="739"/>
      <c r="X69" s="738"/>
      <c r="Y69" s="739"/>
      <c r="Z69" s="738"/>
      <c r="AA69" s="793">
        <v>8</v>
      </c>
    </row>
    <row r="70" spans="1:27" ht="14.25">
      <c r="A70" s="960" t="s">
        <v>3623</v>
      </c>
      <c r="B70" s="825" t="s">
        <v>3624</v>
      </c>
      <c r="C70" s="790"/>
      <c r="D70" s="738"/>
      <c r="E70" s="739"/>
      <c r="F70" s="738"/>
      <c r="G70" s="739"/>
      <c r="H70" s="738"/>
      <c r="I70" s="739"/>
      <c r="J70" s="738"/>
      <c r="K70" s="739"/>
      <c r="L70" s="738"/>
      <c r="M70" s="739"/>
      <c r="N70" s="738"/>
      <c r="O70" s="739"/>
      <c r="P70" s="738"/>
      <c r="Q70" s="791">
        <v>2</v>
      </c>
      <c r="R70" s="792">
        <v>1</v>
      </c>
      <c r="S70" s="739"/>
      <c r="T70" s="738"/>
      <c r="U70" s="739"/>
      <c r="V70" s="738"/>
      <c r="W70" s="739"/>
      <c r="X70" s="738"/>
      <c r="Y70" s="739"/>
      <c r="Z70" s="738"/>
      <c r="AA70" s="793">
        <v>3</v>
      </c>
    </row>
    <row r="71" spans="1:27" ht="14.25">
      <c r="A71" s="959">
        <v>4.21</v>
      </c>
      <c r="B71" s="825" t="s">
        <v>3625</v>
      </c>
      <c r="C71" s="790"/>
      <c r="D71" s="738"/>
      <c r="E71" s="739"/>
      <c r="F71" s="738"/>
      <c r="G71" s="739"/>
      <c r="H71" s="738"/>
      <c r="I71" s="739"/>
      <c r="J71" s="738"/>
      <c r="K71" s="739"/>
      <c r="L71" s="738"/>
      <c r="M71" s="739"/>
      <c r="N71" s="738"/>
      <c r="O71" s="739"/>
      <c r="P71" s="738"/>
      <c r="Q71" s="791">
        <v>2</v>
      </c>
      <c r="R71" s="792">
        <v>1</v>
      </c>
      <c r="S71" s="739"/>
      <c r="T71" s="738"/>
      <c r="U71" s="739"/>
      <c r="V71" s="738"/>
      <c r="W71" s="739"/>
      <c r="X71" s="738"/>
      <c r="Y71" s="739"/>
      <c r="Z71" s="738"/>
      <c r="AA71" s="793">
        <v>3</v>
      </c>
    </row>
    <row r="72" spans="1:27" ht="14.25">
      <c r="A72" s="959">
        <v>4.22</v>
      </c>
      <c r="B72" s="825" t="s">
        <v>3626</v>
      </c>
      <c r="C72" s="790"/>
      <c r="D72" s="738"/>
      <c r="E72" s="739"/>
      <c r="F72" s="738"/>
      <c r="G72" s="739"/>
      <c r="H72" s="738"/>
      <c r="I72" s="739"/>
      <c r="J72" s="738"/>
      <c r="K72" s="739"/>
      <c r="L72" s="738"/>
      <c r="M72" s="739"/>
      <c r="N72" s="738"/>
      <c r="O72" s="739"/>
      <c r="P72" s="738"/>
      <c r="Q72" s="791">
        <v>2</v>
      </c>
      <c r="R72" s="792">
        <v>1</v>
      </c>
      <c r="S72" s="739"/>
      <c r="T72" s="738"/>
      <c r="U72" s="739"/>
      <c r="V72" s="738"/>
      <c r="W72" s="739"/>
      <c r="X72" s="738"/>
      <c r="Y72" s="739"/>
      <c r="Z72" s="738"/>
      <c r="AA72" s="793">
        <v>3</v>
      </c>
    </row>
    <row r="73" spans="1:27" ht="14.25">
      <c r="A73" s="959">
        <v>4.2300000000000004</v>
      </c>
      <c r="B73" s="825" t="s">
        <v>3627</v>
      </c>
      <c r="C73" s="790"/>
      <c r="D73" s="738"/>
      <c r="E73" s="739"/>
      <c r="F73" s="738"/>
      <c r="G73" s="739"/>
      <c r="H73" s="738"/>
      <c r="I73" s="739"/>
      <c r="J73" s="738"/>
      <c r="K73" s="739"/>
      <c r="L73" s="738"/>
      <c r="M73" s="739"/>
      <c r="N73" s="738"/>
      <c r="O73" s="739"/>
      <c r="P73" s="738"/>
      <c r="Q73" s="791">
        <v>4</v>
      </c>
      <c r="R73" s="792">
        <v>1</v>
      </c>
      <c r="S73" s="739"/>
      <c r="T73" s="738"/>
      <c r="U73" s="739"/>
      <c r="V73" s="738"/>
      <c r="W73" s="739"/>
      <c r="X73" s="738"/>
      <c r="Y73" s="739"/>
      <c r="Z73" s="738"/>
      <c r="AA73" s="793">
        <v>5</v>
      </c>
    </row>
    <row r="74" spans="1:27" ht="14.25">
      <c r="A74" s="959">
        <v>4.24</v>
      </c>
      <c r="B74" s="825" t="s">
        <v>3628</v>
      </c>
      <c r="C74" s="790"/>
      <c r="D74" s="738"/>
      <c r="E74" s="739"/>
      <c r="F74" s="738"/>
      <c r="G74" s="739"/>
      <c r="H74" s="738"/>
      <c r="I74" s="739"/>
      <c r="J74" s="738"/>
      <c r="K74" s="739"/>
      <c r="L74" s="738"/>
      <c r="M74" s="739"/>
      <c r="N74" s="738"/>
      <c r="O74" s="739"/>
      <c r="P74" s="738"/>
      <c r="Q74" s="791">
        <v>4</v>
      </c>
      <c r="R74" s="792">
        <v>2</v>
      </c>
      <c r="S74" s="739"/>
      <c r="T74" s="738"/>
      <c r="U74" s="739"/>
      <c r="V74" s="738"/>
      <c r="W74" s="739"/>
      <c r="X74" s="738"/>
      <c r="Y74" s="739"/>
      <c r="Z74" s="738"/>
      <c r="AA74" s="793">
        <v>12</v>
      </c>
    </row>
    <row r="75" spans="1:27" ht="14.25">
      <c r="A75" s="959">
        <v>4.25</v>
      </c>
      <c r="B75" s="825" t="s">
        <v>3629</v>
      </c>
      <c r="C75" s="790"/>
      <c r="D75" s="738"/>
      <c r="E75" s="739"/>
      <c r="F75" s="738"/>
      <c r="G75" s="739"/>
      <c r="H75" s="738"/>
      <c r="I75" s="739"/>
      <c r="J75" s="738"/>
      <c r="K75" s="739"/>
      <c r="L75" s="738"/>
      <c r="M75" s="739"/>
      <c r="N75" s="738"/>
      <c r="O75" s="739"/>
      <c r="P75" s="738"/>
      <c r="Q75" s="791">
        <v>15</v>
      </c>
      <c r="R75" s="792">
        <v>2</v>
      </c>
      <c r="S75" s="739"/>
      <c r="T75" s="738"/>
      <c r="U75" s="739"/>
      <c r="V75" s="738"/>
      <c r="W75" s="739"/>
      <c r="X75" s="738"/>
      <c r="Y75" s="739"/>
      <c r="Z75" s="738"/>
      <c r="AA75" s="793">
        <v>10</v>
      </c>
    </row>
    <row r="76" spans="1:27" ht="14.25">
      <c r="A76" s="959">
        <v>4.26</v>
      </c>
      <c r="B76" s="825" t="s">
        <v>3630</v>
      </c>
      <c r="C76" s="790"/>
      <c r="D76" s="738"/>
      <c r="E76" s="739"/>
      <c r="F76" s="738"/>
      <c r="G76" s="739"/>
      <c r="H76" s="738"/>
      <c r="I76" s="739"/>
      <c r="J76" s="738"/>
      <c r="K76" s="739"/>
      <c r="L76" s="738"/>
      <c r="M76" s="739"/>
      <c r="N76" s="738"/>
      <c r="O76" s="739"/>
      <c r="P76" s="738"/>
      <c r="Q76" s="791">
        <v>15</v>
      </c>
      <c r="R76" s="792">
        <v>2</v>
      </c>
      <c r="S76" s="739"/>
      <c r="T76" s="738"/>
      <c r="U76" s="739"/>
      <c r="V76" s="738"/>
      <c r="W76" s="739"/>
      <c r="X76" s="738"/>
      <c r="Y76" s="739"/>
      <c r="Z76" s="738"/>
      <c r="AA76" s="793">
        <v>10</v>
      </c>
    </row>
    <row r="77" spans="1:27" ht="14.25">
      <c r="A77" s="959">
        <v>4.2699999999999996</v>
      </c>
      <c r="B77" s="825" t="s">
        <v>3631</v>
      </c>
      <c r="C77" s="790"/>
      <c r="D77" s="738"/>
      <c r="E77" s="739"/>
      <c r="F77" s="738"/>
      <c r="G77" s="739"/>
      <c r="H77" s="738"/>
      <c r="I77" s="739"/>
      <c r="J77" s="738"/>
      <c r="K77" s="739"/>
      <c r="L77" s="738"/>
      <c r="M77" s="739"/>
      <c r="N77" s="738"/>
      <c r="O77" s="739"/>
      <c r="P77" s="738"/>
      <c r="Q77" s="791">
        <v>15</v>
      </c>
      <c r="R77" s="792">
        <v>2</v>
      </c>
      <c r="S77" s="739"/>
      <c r="T77" s="738"/>
      <c r="U77" s="739"/>
      <c r="V77" s="738"/>
      <c r="W77" s="739"/>
      <c r="X77" s="738"/>
      <c r="Y77" s="739"/>
      <c r="Z77" s="738"/>
      <c r="AA77" s="793">
        <v>10</v>
      </c>
    </row>
    <row r="78" spans="1:27" ht="14.25">
      <c r="A78" s="959">
        <v>4.28</v>
      </c>
      <c r="B78" s="825" t="s">
        <v>3632</v>
      </c>
      <c r="C78" s="790"/>
      <c r="D78" s="738"/>
      <c r="E78" s="739"/>
      <c r="F78" s="738"/>
      <c r="G78" s="739"/>
      <c r="H78" s="738"/>
      <c r="I78" s="739"/>
      <c r="J78" s="738"/>
      <c r="K78" s="739"/>
      <c r="L78" s="738"/>
      <c r="M78" s="739"/>
      <c r="N78" s="738"/>
      <c r="O78" s="739"/>
      <c r="P78" s="738"/>
      <c r="Q78" s="791">
        <v>15</v>
      </c>
      <c r="R78" s="792">
        <v>2</v>
      </c>
      <c r="S78" s="739"/>
      <c r="T78" s="738"/>
      <c r="U78" s="739"/>
      <c r="V78" s="738"/>
      <c r="W78" s="739"/>
      <c r="X78" s="738"/>
      <c r="Y78" s="739"/>
      <c r="Z78" s="738"/>
      <c r="AA78" s="793">
        <v>10</v>
      </c>
    </row>
    <row r="79" spans="1:27" ht="14.25">
      <c r="A79" s="959">
        <v>4.29</v>
      </c>
      <c r="B79" s="825" t="s">
        <v>3633</v>
      </c>
      <c r="C79" s="790"/>
      <c r="D79" s="738"/>
      <c r="E79" s="739"/>
      <c r="F79" s="738"/>
      <c r="G79" s="739"/>
      <c r="H79" s="738"/>
      <c r="I79" s="739"/>
      <c r="J79" s="738"/>
      <c r="K79" s="739"/>
      <c r="L79" s="738"/>
      <c r="M79" s="739"/>
      <c r="N79" s="738"/>
      <c r="O79" s="739"/>
      <c r="P79" s="738"/>
      <c r="Q79" s="791">
        <v>15</v>
      </c>
      <c r="R79" s="792">
        <v>2</v>
      </c>
      <c r="S79" s="739"/>
      <c r="T79" s="738"/>
      <c r="U79" s="739"/>
      <c r="V79" s="738"/>
      <c r="W79" s="739"/>
      <c r="X79" s="738"/>
      <c r="Y79" s="739"/>
      <c r="Z79" s="738"/>
      <c r="AA79" s="793">
        <v>10</v>
      </c>
    </row>
    <row r="80" spans="1:27" ht="14.25">
      <c r="A80" s="960" t="s">
        <v>3634</v>
      </c>
      <c r="B80" s="825" t="s">
        <v>3635</v>
      </c>
      <c r="C80" s="790"/>
      <c r="D80" s="738"/>
      <c r="E80" s="739"/>
      <c r="F80" s="738"/>
      <c r="G80" s="739"/>
      <c r="H80" s="738"/>
      <c r="I80" s="739"/>
      <c r="J80" s="738"/>
      <c r="K80" s="739"/>
      <c r="L80" s="738"/>
      <c r="M80" s="739"/>
      <c r="N80" s="738"/>
      <c r="O80" s="739"/>
      <c r="P80" s="738"/>
      <c r="Q80" s="791">
        <v>15</v>
      </c>
      <c r="R80" s="792">
        <v>2</v>
      </c>
      <c r="S80" s="739"/>
      <c r="T80" s="738"/>
      <c r="U80" s="739"/>
      <c r="V80" s="738"/>
      <c r="W80" s="739"/>
      <c r="X80" s="738"/>
      <c r="Y80" s="739"/>
      <c r="Z80" s="738"/>
      <c r="AA80" s="793">
        <v>10</v>
      </c>
    </row>
    <row r="81" spans="1:27" ht="14.25">
      <c r="A81" s="959">
        <v>4.3099999999999996</v>
      </c>
      <c r="B81" s="825" t="s">
        <v>3636</v>
      </c>
      <c r="C81" s="790"/>
      <c r="D81" s="738"/>
      <c r="E81" s="739"/>
      <c r="F81" s="738"/>
      <c r="G81" s="739"/>
      <c r="H81" s="738"/>
      <c r="I81" s="739"/>
      <c r="J81" s="738"/>
      <c r="K81" s="739"/>
      <c r="L81" s="738"/>
      <c r="M81" s="739"/>
      <c r="N81" s="738"/>
      <c r="O81" s="739"/>
      <c r="P81" s="738"/>
      <c r="Q81" s="791">
        <v>20</v>
      </c>
      <c r="R81" s="792">
        <v>2</v>
      </c>
      <c r="S81" s="739"/>
      <c r="T81" s="738"/>
      <c r="U81" s="739"/>
      <c r="V81" s="738"/>
      <c r="W81" s="739"/>
      <c r="X81" s="738"/>
      <c r="Y81" s="739"/>
      <c r="Z81" s="738"/>
      <c r="AA81" s="793">
        <v>10</v>
      </c>
    </row>
    <row r="82" spans="1:27" ht="14.25">
      <c r="A82" s="959">
        <v>4.32</v>
      </c>
      <c r="B82" s="825" t="s">
        <v>3637</v>
      </c>
      <c r="C82" s="790"/>
      <c r="D82" s="738"/>
      <c r="E82" s="739"/>
      <c r="F82" s="738"/>
      <c r="G82" s="739"/>
      <c r="H82" s="738"/>
      <c r="I82" s="739"/>
      <c r="J82" s="738"/>
      <c r="K82" s="739"/>
      <c r="L82" s="738"/>
      <c r="M82" s="739"/>
      <c r="N82" s="738"/>
      <c r="O82" s="739"/>
      <c r="P82" s="738"/>
      <c r="Q82" s="791">
        <v>50</v>
      </c>
      <c r="R82" s="792">
        <v>3</v>
      </c>
      <c r="S82" s="739"/>
      <c r="T82" s="738"/>
      <c r="U82" s="739"/>
      <c r="V82" s="738"/>
      <c r="W82" s="739"/>
      <c r="X82" s="738"/>
      <c r="Y82" s="739"/>
      <c r="Z82" s="738"/>
      <c r="AA82" s="793">
        <v>30</v>
      </c>
    </row>
    <row r="83" spans="1:27" ht="14.25">
      <c r="A83" s="959">
        <v>4.33</v>
      </c>
      <c r="B83" s="825" t="s">
        <v>3638</v>
      </c>
      <c r="C83" s="790"/>
      <c r="D83" s="738"/>
      <c r="E83" s="739"/>
      <c r="F83" s="738"/>
      <c r="G83" s="739"/>
      <c r="H83" s="738"/>
      <c r="I83" s="739"/>
      <c r="J83" s="738"/>
      <c r="K83" s="739"/>
      <c r="L83" s="738"/>
      <c r="M83" s="739"/>
      <c r="N83" s="738"/>
      <c r="O83" s="739"/>
      <c r="P83" s="738"/>
      <c r="Q83" s="791">
        <v>30</v>
      </c>
      <c r="R83" s="792">
        <v>3</v>
      </c>
      <c r="S83" s="739"/>
      <c r="T83" s="738"/>
      <c r="U83" s="739"/>
      <c r="V83" s="738"/>
      <c r="W83" s="739"/>
      <c r="X83" s="738"/>
      <c r="Y83" s="739"/>
      <c r="Z83" s="738"/>
      <c r="AA83" s="793">
        <v>10</v>
      </c>
    </row>
    <row r="84" spans="1:27" ht="14.25">
      <c r="A84" s="959">
        <v>4.34</v>
      </c>
      <c r="B84" s="825" t="s">
        <v>3639</v>
      </c>
      <c r="C84" s="790"/>
      <c r="D84" s="738"/>
      <c r="E84" s="739"/>
      <c r="F84" s="738"/>
      <c r="G84" s="739"/>
      <c r="H84" s="738"/>
      <c r="I84" s="739"/>
      <c r="J84" s="738"/>
      <c r="K84" s="739"/>
      <c r="L84" s="738"/>
      <c r="M84" s="739"/>
      <c r="N84" s="738"/>
      <c r="O84" s="739"/>
      <c r="P84" s="738"/>
      <c r="Q84" s="791">
        <v>30</v>
      </c>
      <c r="R84" s="792">
        <v>3</v>
      </c>
      <c r="S84" s="739"/>
      <c r="T84" s="738"/>
      <c r="U84" s="739"/>
      <c r="V84" s="738"/>
      <c r="W84" s="739"/>
      <c r="X84" s="738"/>
      <c r="Y84" s="739"/>
      <c r="Z84" s="738"/>
      <c r="AA84" s="793">
        <v>10</v>
      </c>
    </row>
    <row r="85" spans="1:27" ht="14.25">
      <c r="A85" s="959">
        <v>4.3499999999999996</v>
      </c>
      <c r="B85" s="825" t="s">
        <v>3640</v>
      </c>
      <c r="C85" s="790"/>
      <c r="D85" s="738"/>
      <c r="E85" s="739"/>
      <c r="F85" s="738"/>
      <c r="G85" s="739"/>
      <c r="H85" s="738"/>
      <c r="I85" s="739"/>
      <c r="J85" s="738"/>
      <c r="K85" s="739"/>
      <c r="L85" s="738"/>
      <c r="M85" s="739"/>
      <c r="N85" s="738"/>
      <c r="O85" s="739"/>
      <c r="P85" s="738"/>
      <c r="Q85" s="791">
        <v>30</v>
      </c>
      <c r="R85" s="792">
        <v>3</v>
      </c>
      <c r="S85" s="739"/>
      <c r="T85" s="738"/>
      <c r="U85" s="739"/>
      <c r="V85" s="738"/>
      <c r="W85" s="739"/>
      <c r="X85" s="738"/>
      <c r="Y85" s="739"/>
      <c r="Z85" s="738"/>
      <c r="AA85" s="793">
        <v>10</v>
      </c>
    </row>
    <row r="86" spans="1:27" ht="14.25">
      <c r="A86" s="959">
        <v>4.3599999999999897</v>
      </c>
      <c r="B86" s="825" t="s">
        <v>3641</v>
      </c>
      <c r="C86" s="790"/>
      <c r="D86" s="738"/>
      <c r="E86" s="739"/>
      <c r="F86" s="738"/>
      <c r="G86" s="739"/>
      <c r="H86" s="738"/>
      <c r="I86" s="739"/>
      <c r="J86" s="738"/>
      <c r="K86" s="739"/>
      <c r="L86" s="738"/>
      <c r="M86" s="739"/>
      <c r="N86" s="738"/>
      <c r="O86" s="739"/>
      <c r="P86" s="738"/>
      <c r="Q86" s="791">
        <v>30</v>
      </c>
      <c r="R86" s="792">
        <v>3</v>
      </c>
      <c r="S86" s="739"/>
      <c r="T86" s="738"/>
      <c r="U86" s="739"/>
      <c r="V86" s="738"/>
      <c r="W86" s="739"/>
      <c r="X86" s="738"/>
      <c r="Y86" s="739"/>
      <c r="Z86" s="738"/>
      <c r="AA86" s="793">
        <v>10</v>
      </c>
    </row>
    <row r="87" spans="1:27" ht="14.25">
      <c r="A87" s="959">
        <v>4.3699999999999903</v>
      </c>
      <c r="B87" s="825" t="s">
        <v>3642</v>
      </c>
      <c r="C87" s="790"/>
      <c r="D87" s="738"/>
      <c r="E87" s="739"/>
      <c r="F87" s="738"/>
      <c r="G87" s="739"/>
      <c r="H87" s="738"/>
      <c r="I87" s="739"/>
      <c r="J87" s="738"/>
      <c r="K87" s="739"/>
      <c r="L87" s="738"/>
      <c r="M87" s="739"/>
      <c r="N87" s="738"/>
      <c r="O87" s="739"/>
      <c r="P87" s="738"/>
      <c r="Q87" s="791">
        <v>30</v>
      </c>
      <c r="R87" s="792">
        <v>3</v>
      </c>
      <c r="S87" s="739"/>
      <c r="T87" s="738"/>
      <c r="U87" s="739"/>
      <c r="V87" s="738"/>
      <c r="W87" s="739"/>
      <c r="X87" s="738"/>
      <c r="Y87" s="739"/>
      <c r="Z87" s="738"/>
      <c r="AA87" s="793">
        <v>10</v>
      </c>
    </row>
    <row r="88" spans="1:27" ht="14.25">
      <c r="A88" s="959">
        <v>4.3799999999999901</v>
      </c>
      <c r="B88" s="825" t="s">
        <v>3643</v>
      </c>
      <c r="C88" s="790"/>
      <c r="D88" s="738"/>
      <c r="E88" s="739"/>
      <c r="F88" s="738"/>
      <c r="G88" s="739"/>
      <c r="H88" s="738"/>
      <c r="I88" s="739"/>
      <c r="J88" s="738"/>
      <c r="K88" s="739"/>
      <c r="L88" s="738"/>
      <c r="M88" s="739"/>
      <c r="N88" s="738"/>
      <c r="O88" s="739"/>
      <c r="P88" s="738"/>
      <c r="Q88" s="791">
        <v>30</v>
      </c>
      <c r="R88" s="792">
        <v>3</v>
      </c>
      <c r="S88" s="739"/>
      <c r="T88" s="738"/>
      <c r="U88" s="739"/>
      <c r="V88" s="738"/>
      <c r="W88" s="739"/>
      <c r="X88" s="738"/>
      <c r="Y88" s="739"/>
      <c r="Z88" s="738"/>
      <c r="AA88" s="793">
        <v>10</v>
      </c>
    </row>
    <row r="89" spans="1:27" ht="14.25">
      <c r="A89" s="959">
        <v>4.3899999999999899</v>
      </c>
      <c r="B89" s="825" t="s">
        <v>3644</v>
      </c>
      <c r="C89" s="790"/>
      <c r="D89" s="738"/>
      <c r="E89" s="739"/>
      <c r="F89" s="738"/>
      <c r="G89" s="739"/>
      <c r="H89" s="738"/>
      <c r="I89" s="739"/>
      <c r="J89" s="738"/>
      <c r="K89" s="739"/>
      <c r="L89" s="738"/>
      <c r="M89" s="739"/>
      <c r="N89" s="738"/>
      <c r="O89" s="739"/>
      <c r="P89" s="738"/>
      <c r="Q89" s="791">
        <v>15</v>
      </c>
      <c r="R89" s="792">
        <v>2</v>
      </c>
      <c r="S89" s="739"/>
      <c r="T89" s="738"/>
      <c r="U89" s="739"/>
      <c r="V89" s="738"/>
      <c r="W89" s="739"/>
      <c r="X89" s="738"/>
      <c r="Y89" s="739"/>
      <c r="Z89" s="738"/>
      <c r="AA89" s="793">
        <v>10</v>
      </c>
    </row>
    <row r="90" spans="1:27" ht="14.25">
      <c r="A90" s="961" t="s">
        <v>3645</v>
      </c>
      <c r="B90" s="825" t="s">
        <v>3646</v>
      </c>
      <c r="C90" s="790"/>
      <c r="D90" s="738"/>
      <c r="E90" s="739"/>
      <c r="F90" s="738"/>
      <c r="G90" s="739"/>
      <c r="H90" s="738"/>
      <c r="I90" s="739"/>
      <c r="J90" s="738"/>
      <c r="K90" s="739">
        <v>10</v>
      </c>
      <c r="L90" s="738">
        <v>5</v>
      </c>
      <c r="M90" s="739">
        <v>10</v>
      </c>
      <c r="N90" s="738">
        <v>5</v>
      </c>
      <c r="O90" s="739">
        <v>10</v>
      </c>
      <c r="P90" s="738">
        <v>5</v>
      </c>
      <c r="Q90" s="791">
        <v>70</v>
      </c>
      <c r="R90" s="792">
        <v>5</v>
      </c>
      <c r="S90" s="739"/>
      <c r="T90" s="738"/>
      <c r="U90" s="739"/>
      <c r="V90" s="738"/>
      <c r="W90" s="739"/>
      <c r="X90" s="738"/>
      <c r="Y90" s="739"/>
      <c r="Z90" s="738"/>
      <c r="AA90" s="793">
        <v>50</v>
      </c>
    </row>
    <row r="91" spans="1:27" ht="14.25">
      <c r="A91" s="959">
        <v>4.4099999999999904</v>
      </c>
      <c r="B91" s="825" t="s">
        <v>3647</v>
      </c>
      <c r="C91" s="790"/>
      <c r="D91" s="738"/>
      <c r="E91" s="739"/>
      <c r="F91" s="738"/>
      <c r="G91" s="739"/>
      <c r="H91" s="738"/>
      <c r="I91" s="739"/>
      <c r="J91" s="738"/>
      <c r="K91" s="739"/>
      <c r="L91" s="738"/>
      <c r="M91" s="739"/>
      <c r="N91" s="738"/>
      <c r="O91" s="739"/>
      <c r="P91" s="738"/>
      <c r="Q91" s="791">
        <v>15</v>
      </c>
      <c r="R91" s="792">
        <v>2</v>
      </c>
      <c r="S91" s="739"/>
      <c r="T91" s="738"/>
      <c r="U91" s="739"/>
      <c r="V91" s="738"/>
      <c r="W91" s="739"/>
      <c r="X91" s="738"/>
      <c r="Y91" s="739"/>
      <c r="Z91" s="738"/>
      <c r="AA91" s="793">
        <v>8</v>
      </c>
    </row>
    <row r="92" spans="1:27" ht="14.25">
      <c r="A92" s="959">
        <v>4.4199999999999902</v>
      </c>
      <c r="B92" s="825" t="s">
        <v>3648</v>
      </c>
      <c r="C92" s="790"/>
      <c r="D92" s="738"/>
      <c r="E92" s="739"/>
      <c r="F92" s="738"/>
      <c r="G92" s="739"/>
      <c r="H92" s="738"/>
      <c r="I92" s="739"/>
      <c r="J92" s="738"/>
      <c r="K92" s="739"/>
      <c r="L92" s="738"/>
      <c r="M92" s="739"/>
      <c r="N92" s="738"/>
      <c r="O92" s="739"/>
      <c r="P92" s="738"/>
      <c r="Q92" s="791">
        <v>50</v>
      </c>
      <c r="R92" s="792">
        <v>5</v>
      </c>
      <c r="S92" s="739"/>
      <c r="T92" s="738"/>
      <c r="U92" s="739"/>
      <c r="V92" s="738"/>
      <c r="W92" s="739"/>
      <c r="X92" s="738"/>
      <c r="Y92" s="739"/>
      <c r="Z92" s="738"/>
      <c r="AA92" s="793">
        <v>25</v>
      </c>
    </row>
    <row r="93" spans="1:27" ht="14.25">
      <c r="A93" s="959">
        <v>4.4299999999999899</v>
      </c>
      <c r="B93" s="825" t="s">
        <v>3649</v>
      </c>
      <c r="C93" s="790"/>
      <c r="D93" s="738"/>
      <c r="E93" s="739"/>
      <c r="F93" s="738"/>
      <c r="G93" s="739"/>
      <c r="H93" s="738"/>
      <c r="I93" s="739"/>
      <c r="J93" s="738"/>
      <c r="K93" s="739"/>
      <c r="L93" s="738"/>
      <c r="M93" s="739"/>
      <c r="N93" s="738"/>
      <c r="O93" s="739"/>
      <c r="P93" s="738"/>
      <c r="Q93" s="791">
        <v>10</v>
      </c>
      <c r="R93" s="792">
        <v>2</v>
      </c>
      <c r="S93" s="739"/>
      <c r="T93" s="738"/>
      <c r="U93" s="739"/>
      <c r="V93" s="738"/>
      <c r="W93" s="739"/>
      <c r="X93" s="738"/>
      <c r="Y93" s="739"/>
      <c r="Z93" s="738"/>
      <c r="AA93" s="793">
        <v>8</v>
      </c>
    </row>
    <row r="94" spans="1:27" ht="14.25">
      <c r="A94" s="959">
        <v>4.4399999999999897</v>
      </c>
      <c r="B94" s="825" t="s">
        <v>3650</v>
      </c>
      <c r="C94" s="790"/>
      <c r="D94" s="738"/>
      <c r="E94" s="739"/>
      <c r="F94" s="738"/>
      <c r="G94" s="739"/>
      <c r="H94" s="738"/>
      <c r="I94" s="739"/>
      <c r="J94" s="738"/>
      <c r="K94" s="739"/>
      <c r="L94" s="738"/>
      <c r="M94" s="739"/>
      <c r="N94" s="738"/>
      <c r="O94" s="739"/>
      <c r="P94" s="738"/>
      <c r="Q94" s="791">
        <v>16</v>
      </c>
      <c r="R94" s="792">
        <v>4</v>
      </c>
      <c r="S94" s="739"/>
      <c r="T94" s="738"/>
      <c r="U94" s="739"/>
      <c r="V94" s="738"/>
      <c r="W94" s="739"/>
      <c r="X94" s="738"/>
      <c r="Y94" s="739"/>
      <c r="Z94" s="738"/>
      <c r="AA94" s="793">
        <v>16</v>
      </c>
    </row>
    <row r="95" spans="1:27" ht="14.25">
      <c r="A95" s="959">
        <v>4.4499999999999904</v>
      </c>
      <c r="B95" s="825" t="s">
        <v>3651</v>
      </c>
      <c r="C95" s="790"/>
      <c r="D95" s="738"/>
      <c r="E95" s="739"/>
      <c r="F95" s="738"/>
      <c r="G95" s="739"/>
      <c r="H95" s="738"/>
      <c r="I95" s="739"/>
      <c r="J95" s="738"/>
      <c r="K95" s="739"/>
      <c r="L95" s="738"/>
      <c r="M95" s="739"/>
      <c r="N95" s="738"/>
      <c r="O95" s="739"/>
      <c r="P95" s="738"/>
      <c r="Q95" s="791">
        <v>25</v>
      </c>
      <c r="R95" s="792">
        <v>5</v>
      </c>
      <c r="S95" s="739"/>
      <c r="T95" s="738"/>
      <c r="U95" s="739"/>
      <c r="V95" s="738"/>
      <c r="W95" s="739"/>
      <c r="X95" s="738"/>
      <c r="Y95" s="739"/>
      <c r="Z95" s="738"/>
      <c r="AA95" s="793">
        <v>25</v>
      </c>
    </row>
    <row r="96" spans="1:27" ht="14.25">
      <c r="A96" s="959">
        <v>4.4599999999999902</v>
      </c>
      <c r="B96" s="825" t="s">
        <v>3652</v>
      </c>
      <c r="C96" s="790">
        <v>2</v>
      </c>
      <c r="D96" s="738">
        <v>1</v>
      </c>
      <c r="E96" s="739"/>
      <c r="F96" s="738"/>
      <c r="G96" s="739"/>
      <c r="H96" s="738"/>
      <c r="I96" s="739"/>
      <c r="J96" s="738"/>
      <c r="K96" s="739">
        <v>2</v>
      </c>
      <c r="L96" s="738">
        <v>1</v>
      </c>
      <c r="M96" s="739"/>
      <c r="N96" s="738"/>
      <c r="O96" s="739"/>
      <c r="P96" s="738"/>
      <c r="Q96" s="791">
        <v>10</v>
      </c>
      <c r="R96" s="792">
        <v>3</v>
      </c>
      <c r="S96" s="739"/>
      <c r="T96" s="738"/>
      <c r="U96" s="739"/>
      <c r="V96" s="738"/>
      <c r="W96" s="739"/>
      <c r="X96" s="738"/>
      <c r="Y96" s="739"/>
      <c r="Z96" s="738"/>
      <c r="AA96" s="793">
        <v>8</v>
      </c>
    </row>
    <row r="97" spans="1:27" ht="14.25">
      <c r="A97" s="959">
        <v>4.46999999999999</v>
      </c>
      <c r="B97" s="825" t="s">
        <v>3653</v>
      </c>
      <c r="C97" s="790"/>
      <c r="D97" s="738"/>
      <c r="E97" s="739"/>
      <c r="F97" s="738"/>
      <c r="G97" s="739"/>
      <c r="H97" s="738"/>
      <c r="I97" s="739"/>
      <c r="J97" s="738"/>
      <c r="K97" s="739">
        <v>1</v>
      </c>
      <c r="L97" s="738"/>
      <c r="M97" s="739"/>
      <c r="N97" s="738"/>
      <c r="O97" s="739"/>
      <c r="P97" s="738"/>
      <c r="Q97" s="791">
        <v>16</v>
      </c>
      <c r="R97" s="792">
        <v>4</v>
      </c>
      <c r="S97" s="739"/>
      <c r="T97" s="738"/>
      <c r="U97" s="739"/>
      <c r="V97" s="738"/>
      <c r="W97" s="739"/>
      <c r="X97" s="738"/>
      <c r="Y97" s="739"/>
      <c r="Z97" s="738"/>
      <c r="AA97" s="793">
        <v>16</v>
      </c>
    </row>
    <row r="98" spans="1:27" ht="14.25">
      <c r="A98" s="959">
        <v>4.4799999999999898</v>
      </c>
      <c r="B98" s="825" t="s">
        <v>3654</v>
      </c>
      <c r="C98" s="790"/>
      <c r="D98" s="738"/>
      <c r="E98" s="739"/>
      <c r="F98" s="738"/>
      <c r="G98" s="739"/>
      <c r="H98" s="738"/>
      <c r="I98" s="739"/>
      <c r="J98" s="738"/>
      <c r="K98" s="739"/>
      <c r="L98" s="738"/>
      <c r="M98" s="739"/>
      <c r="N98" s="738"/>
      <c r="O98" s="739"/>
      <c r="P98" s="738"/>
      <c r="Q98" s="791">
        <v>10</v>
      </c>
      <c r="R98" s="792">
        <v>3</v>
      </c>
      <c r="S98" s="739"/>
      <c r="T98" s="738"/>
      <c r="U98" s="739"/>
      <c r="V98" s="738"/>
      <c r="W98" s="739"/>
      <c r="X98" s="738"/>
      <c r="Y98" s="739"/>
      <c r="Z98" s="738"/>
      <c r="AA98" s="793">
        <v>8</v>
      </c>
    </row>
    <row r="99" spans="1:27" ht="14.25">
      <c r="A99" s="959">
        <v>4.4899999999999904</v>
      </c>
      <c r="B99" s="825" t="s">
        <v>3655</v>
      </c>
      <c r="C99" s="790"/>
      <c r="D99" s="738"/>
      <c r="E99" s="739"/>
      <c r="F99" s="738"/>
      <c r="G99" s="739"/>
      <c r="H99" s="738"/>
      <c r="I99" s="739"/>
      <c r="J99" s="738"/>
      <c r="K99" s="739"/>
      <c r="L99" s="738"/>
      <c r="M99" s="739"/>
      <c r="N99" s="738"/>
      <c r="O99" s="739"/>
      <c r="P99" s="738"/>
      <c r="Q99" s="791">
        <v>20</v>
      </c>
      <c r="R99" s="792">
        <v>3</v>
      </c>
      <c r="S99" s="739"/>
      <c r="T99" s="738"/>
      <c r="U99" s="739"/>
      <c r="V99" s="738"/>
      <c r="W99" s="739"/>
      <c r="X99" s="738"/>
      <c r="Y99" s="739"/>
      <c r="Z99" s="738"/>
      <c r="AA99" s="793">
        <v>10</v>
      </c>
    </row>
    <row r="100" spans="1:27" ht="14.25">
      <c r="A100" s="960" t="s">
        <v>3656</v>
      </c>
      <c r="B100" s="825" t="s">
        <v>3657</v>
      </c>
      <c r="C100" s="790"/>
      <c r="D100" s="738"/>
      <c r="E100" s="739"/>
      <c r="F100" s="738"/>
      <c r="G100" s="739"/>
      <c r="H100" s="738"/>
      <c r="I100" s="739"/>
      <c r="J100" s="738"/>
      <c r="K100" s="739"/>
      <c r="L100" s="738"/>
      <c r="M100" s="739"/>
      <c r="N100" s="738"/>
      <c r="O100" s="739"/>
      <c r="P100" s="738"/>
      <c r="Q100" s="791">
        <v>10</v>
      </c>
      <c r="R100" s="792">
        <v>2</v>
      </c>
      <c r="S100" s="739"/>
      <c r="T100" s="738"/>
      <c r="U100" s="739"/>
      <c r="V100" s="738"/>
      <c r="W100" s="739"/>
      <c r="X100" s="738"/>
      <c r="Y100" s="739"/>
      <c r="Z100" s="738"/>
      <c r="AA100" s="793">
        <v>5</v>
      </c>
    </row>
    <row r="101" spans="1:27" ht="14.25">
      <c r="A101" s="959">
        <v>4.50999999999999</v>
      </c>
      <c r="B101" s="825" t="s">
        <v>3658</v>
      </c>
      <c r="C101" s="790"/>
      <c r="D101" s="738"/>
      <c r="E101" s="739"/>
      <c r="F101" s="738"/>
      <c r="G101" s="739"/>
      <c r="H101" s="738"/>
      <c r="I101" s="739"/>
      <c r="J101" s="738"/>
      <c r="K101" s="739"/>
      <c r="L101" s="738"/>
      <c r="M101" s="739"/>
      <c r="N101" s="738"/>
      <c r="O101" s="739"/>
      <c r="P101" s="738"/>
      <c r="Q101" s="791">
        <v>10</v>
      </c>
      <c r="R101" s="792">
        <v>2</v>
      </c>
      <c r="S101" s="739"/>
      <c r="T101" s="738"/>
      <c r="U101" s="739"/>
      <c r="V101" s="738"/>
      <c r="W101" s="739"/>
      <c r="X101" s="738"/>
      <c r="Y101" s="739"/>
      <c r="Z101" s="738"/>
      <c r="AA101" s="793">
        <v>5</v>
      </c>
    </row>
    <row r="102" spans="1:27" ht="14.25">
      <c r="A102" s="959">
        <v>4.5199999999999898</v>
      </c>
      <c r="B102" s="825" t="s">
        <v>3659</v>
      </c>
      <c r="C102" s="790"/>
      <c r="D102" s="738"/>
      <c r="E102" s="739"/>
      <c r="F102" s="738"/>
      <c r="G102" s="739"/>
      <c r="H102" s="738"/>
      <c r="I102" s="739"/>
      <c r="J102" s="738"/>
      <c r="K102" s="739"/>
      <c r="L102" s="738"/>
      <c r="M102" s="739"/>
      <c r="N102" s="738"/>
      <c r="O102" s="739"/>
      <c r="P102" s="738"/>
      <c r="Q102" s="791">
        <v>80</v>
      </c>
      <c r="R102" s="792">
        <v>20</v>
      </c>
      <c r="S102" s="739"/>
      <c r="T102" s="738"/>
      <c r="U102" s="739"/>
      <c r="V102" s="738"/>
      <c r="W102" s="739"/>
      <c r="X102" s="738"/>
      <c r="Y102" s="739"/>
      <c r="Z102" s="738"/>
      <c r="AA102" s="793">
        <v>5</v>
      </c>
    </row>
    <row r="103" spans="1:27" ht="14.25">
      <c r="A103" s="959">
        <v>4.5299999999999896</v>
      </c>
      <c r="B103" s="825" t="s">
        <v>3660</v>
      </c>
      <c r="C103" s="790"/>
      <c r="D103" s="738"/>
      <c r="E103" s="739"/>
      <c r="F103" s="738"/>
      <c r="G103" s="739"/>
      <c r="H103" s="738"/>
      <c r="I103" s="739"/>
      <c r="J103" s="738"/>
      <c r="K103" s="739"/>
      <c r="L103" s="738"/>
      <c r="M103" s="739"/>
      <c r="N103" s="738"/>
      <c r="O103" s="739"/>
      <c r="P103" s="738"/>
      <c r="Q103" s="791">
        <v>15</v>
      </c>
      <c r="R103" s="792">
        <v>8</v>
      </c>
      <c r="S103" s="739"/>
      <c r="T103" s="738"/>
      <c r="U103" s="739"/>
      <c r="V103" s="738"/>
      <c r="W103" s="739"/>
      <c r="X103" s="738"/>
      <c r="Y103" s="739"/>
      <c r="Z103" s="738"/>
      <c r="AA103" s="793">
        <v>25</v>
      </c>
    </row>
    <row r="104" spans="1:27" ht="14.25">
      <c r="A104" s="959">
        <v>4.5399999999999903</v>
      </c>
      <c r="B104" s="825" t="s">
        <v>3661</v>
      </c>
      <c r="C104" s="790"/>
      <c r="D104" s="738"/>
      <c r="E104" s="739"/>
      <c r="F104" s="738"/>
      <c r="G104" s="739"/>
      <c r="H104" s="738"/>
      <c r="I104" s="739"/>
      <c r="J104" s="738"/>
      <c r="K104" s="739"/>
      <c r="L104" s="738"/>
      <c r="M104" s="739"/>
      <c r="N104" s="738"/>
      <c r="O104" s="739"/>
      <c r="P104" s="738"/>
      <c r="Q104" s="791">
        <v>30</v>
      </c>
      <c r="R104" s="792">
        <v>8</v>
      </c>
      <c r="S104" s="739"/>
      <c r="T104" s="738"/>
      <c r="U104" s="739"/>
      <c r="V104" s="738"/>
      <c r="W104" s="739"/>
      <c r="X104" s="738"/>
      <c r="Y104" s="739"/>
      <c r="Z104" s="738"/>
      <c r="AA104" s="793">
        <v>80</v>
      </c>
    </row>
    <row r="105" spans="1:27" ht="14.25">
      <c r="A105" s="959">
        <v>4.5499999999999901</v>
      </c>
      <c r="B105" s="825" t="s">
        <v>3662</v>
      </c>
      <c r="C105" s="790"/>
      <c r="D105" s="738"/>
      <c r="E105" s="739"/>
      <c r="F105" s="738"/>
      <c r="G105" s="739"/>
      <c r="H105" s="738"/>
      <c r="I105" s="739"/>
      <c r="J105" s="738"/>
      <c r="K105" s="739"/>
      <c r="L105" s="738"/>
      <c r="M105" s="739"/>
      <c r="N105" s="738"/>
      <c r="O105" s="739"/>
      <c r="P105" s="738"/>
      <c r="Q105" s="791">
        <v>15</v>
      </c>
      <c r="R105" s="792">
        <v>8</v>
      </c>
      <c r="S105" s="739"/>
      <c r="T105" s="738"/>
      <c r="U105" s="739"/>
      <c r="V105" s="738"/>
      <c r="W105" s="739"/>
      <c r="X105" s="738"/>
      <c r="Y105" s="739"/>
      <c r="Z105" s="738"/>
      <c r="AA105" s="793">
        <v>40</v>
      </c>
    </row>
    <row r="106" spans="1:27" ht="14.25">
      <c r="A106" s="959">
        <v>4.5599999999999898</v>
      </c>
      <c r="B106" s="825" t="s">
        <v>3663</v>
      </c>
      <c r="C106" s="790"/>
      <c r="D106" s="738"/>
      <c r="E106" s="739"/>
      <c r="F106" s="738"/>
      <c r="G106" s="739"/>
      <c r="H106" s="738"/>
      <c r="I106" s="739"/>
      <c r="J106" s="738"/>
      <c r="K106" s="739"/>
      <c r="L106" s="738"/>
      <c r="M106" s="739"/>
      <c r="N106" s="738"/>
      <c r="O106" s="739"/>
      <c r="P106" s="738"/>
      <c r="Q106" s="791">
        <v>25</v>
      </c>
      <c r="R106" s="792">
        <v>10</v>
      </c>
      <c r="S106" s="739"/>
      <c r="T106" s="738"/>
      <c r="U106" s="739"/>
      <c r="V106" s="738"/>
      <c r="W106" s="739"/>
      <c r="X106" s="738"/>
      <c r="Y106" s="739"/>
      <c r="Z106" s="738"/>
      <c r="AA106" s="793">
        <v>60</v>
      </c>
    </row>
    <row r="107" spans="1:27" ht="14.25">
      <c r="A107" s="788">
        <v>5</v>
      </c>
      <c r="B107" s="958" t="s">
        <v>3664</v>
      </c>
      <c r="C107" s="790"/>
      <c r="D107" s="738"/>
      <c r="E107" s="739"/>
      <c r="F107" s="738"/>
      <c r="G107" s="739"/>
      <c r="H107" s="738"/>
      <c r="I107" s="739"/>
      <c r="J107" s="738"/>
      <c r="K107" s="739"/>
      <c r="L107" s="738"/>
      <c r="M107" s="739"/>
      <c r="N107" s="738"/>
      <c r="O107" s="739"/>
      <c r="P107" s="738"/>
      <c r="Q107" s="797"/>
      <c r="R107" s="798"/>
      <c r="S107" s="739"/>
      <c r="T107" s="738"/>
      <c r="U107" s="739"/>
      <c r="V107" s="738"/>
      <c r="W107" s="739"/>
      <c r="X107" s="738"/>
      <c r="Y107" s="739"/>
      <c r="Z107" s="738"/>
      <c r="AA107" s="799"/>
    </row>
    <row r="108" spans="1:27" ht="14.25">
      <c r="A108" s="956">
        <v>5.0999999999999996</v>
      </c>
      <c r="B108" s="825" t="s">
        <v>3665</v>
      </c>
      <c r="C108" s="790"/>
      <c r="D108" s="738"/>
      <c r="E108" s="739"/>
      <c r="F108" s="738"/>
      <c r="G108" s="739"/>
      <c r="H108" s="738"/>
      <c r="I108" s="739"/>
      <c r="J108" s="738"/>
      <c r="K108" s="739"/>
      <c r="L108" s="738"/>
      <c r="M108" s="739"/>
      <c r="N108" s="738"/>
      <c r="O108" s="739"/>
      <c r="P108" s="738"/>
      <c r="Q108" s="791">
        <v>8</v>
      </c>
      <c r="R108" s="792">
        <v>2</v>
      </c>
      <c r="S108" s="739"/>
      <c r="T108" s="738"/>
      <c r="U108" s="739"/>
      <c r="V108" s="738"/>
      <c r="W108" s="739"/>
      <c r="X108" s="738"/>
      <c r="Y108" s="739"/>
      <c r="Z108" s="738"/>
      <c r="AA108" s="793">
        <v>10</v>
      </c>
    </row>
    <row r="109" spans="1:27" ht="14.25">
      <c r="A109" s="956">
        <v>5.2</v>
      </c>
      <c r="B109" s="825" t="s">
        <v>3666</v>
      </c>
      <c r="C109" s="790"/>
      <c r="D109" s="738"/>
      <c r="E109" s="739"/>
      <c r="F109" s="738"/>
      <c r="G109" s="739"/>
      <c r="H109" s="738"/>
      <c r="I109" s="739"/>
      <c r="J109" s="738"/>
      <c r="K109" s="739"/>
      <c r="L109" s="738"/>
      <c r="M109" s="739"/>
      <c r="N109" s="738"/>
      <c r="O109" s="739"/>
      <c r="P109" s="738"/>
      <c r="Q109" s="791">
        <v>8</v>
      </c>
      <c r="R109" s="792">
        <v>2</v>
      </c>
      <c r="S109" s="739"/>
      <c r="T109" s="738"/>
      <c r="U109" s="739"/>
      <c r="V109" s="738"/>
      <c r="W109" s="739"/>
      <c r="X109" s="738"/>
      <c r="Y109" s="739"/>
      <c r="Z109" s="738"/>
      <c r="AA109" s="793">
        <v>10</v>
      </c>
    </row>
    <row r="110" spans="1:27" ht="14.25">
      <c r="A110" s="956">
        <v>5.3</v>
      </c>
      <c r="B110" s="825" t="s">
        <v>3667</v>
      </c>
      <c r="C110" s="790"/>
      <c r="D110" s="738"/>
      <c r="E110" s="739"/>
      <c r="F110" s="738"/>
      <c r="G110" s="739"/>
      <c r="H110" s="738"/>
      <c r="I110" s="739"/>
      <c r="J110" s="738"/>
      <c r="K110" s="739"/>
      <c r="L110" s="738"/>
      <c r="M110" s="739"/>
      <c r="N110" s="738"/>
      <c r="O110" s="739"/>
      <c r="P110" s="738"/>
      <c r="Q110" s="791">
        <v>20</v>
      </c>
      <c r="R110" s="792">
        <v>2</v>
      </c>
      <c r="S110" s="739"/>
      <c r="T110" s="738"/>
      <c r="U110" s="739"/>
      <c r="V110" s="738"/>
      <c r="W110" s="739"/>
      <c r="X110" s="738"/>
      <c r="Y110" s="739"/>
      <c r="Z110" s="738"/>
      <c r="AA110" s="793">
        <v>20</v>
      </c>
    </row>
    <row r="111" spans="1:27" ht="14.25">
      <c r="A111" s="956">
        <v>5.4</v>
      </c>
      <c r="B111" s="825" t="s">
        <v>3668</v>
      </c>
      <c r="C111" s="790"/>
      <c r="D111" s="738"/>
      <c r="E111" s="739"/>
      <c r="F111" s="738"/>
      <c r="G111" s="739"/>
      <c r="H111" s="738"/>
      <c r="I111" s="739"/>
      <c r="J111" s="738"/>
      <c r="K111" s="739">
        <v>4</v>
      </c>
      <c r="L111" s="738"/>
      <c r="M111" s="739"/>
      <c r="N111" s="738"/>
      <c r="O111" s="739"/>
      <c r="P111" s="738"/>
      <c r="Q111" s="791">
        <v>20</v>
      </c>
      <c r="R111" s="792">
        <v>2</v>
      </c>
      <c r="S111" s="739"/>
      <c r="T111" s="738"/>
      <c r="U111" s="739"/>
      <c r="V111" s="738"/>
      <c r="W111" s="739"/>
      <c r="X111" s="738"/>
      <c r="Y111" s="739"/>
      <c r="Z111" s="738"/>
      <c r="AA111" s="793">
        <v>20</v>
      </c>
    </row>
    <row r="112" spans="1:27" ht="14.25">
      <c r="A112" s="956">
        <v>5.5</v>
      </c>
      <c r="B112" s="825" t="s">
        <v>3669</v>
      </c>
      <c r="C112" s="790"/>
      <c r="D112" s="738"/>
      <c r="E112" s="739"/>
      <c r="F112" s="738"/>
      <c r="G112" s="739"/>
      <c r="H112" s="738"/>
      <c r="I112" s="739"/>
      <c r="J112" s="738"/>
      <c r="K112" s="739"/>
      <c r="L112" s="738"/>
      <c r="M112" s="739"/>
      <c r="N112" s="738"/>
      <c r="O112" s="739"/>
      <c r="P112" s="738"/>
      <c r="Q112" s="791">
        <v>30</v>
      </c>
      <c r="R112" s="792">
        <v>2</v>
      </c>
      <c r="S112" s="739"/>
      <c r="T112" s="738"/>
      <c r="U112" s="739"/>
      <c r="V112" s="738"/>
      <c r="W112" s="739"/>
      <c r="X112" s="738"/>
      <c r="Y112" s="739"/>
      <c r="Z112" s="738"/>
      <c r="AA112" s="793">
        <v>10</v>
      </c>
    </row>
    <row r="113" spans="1:27" ht="14.25">
      <c r="A113" s="956">
        <v>5.6</v>
      </c>
      <c r="B113" s="825" t="s">
        <v>3670</v>
      </c>
      <c r="C113" s="790"/>
      <c r="D113" s="738"/>
      <c r="E113" s="739"/>
      <c r="F113" s="738"/>
      <c r="G113" s="739"/>
      <c r="H113" s="738"/>
      <c r="I113" s="739"/>
      <c r="J113" s="738"/>
      <c r="K113" s="739"/>
      <c r="L113" s="738"/>
      <c r="M113" s="739"/>
      <c r="N113" s="738"/>
      <c r="O113" s="739"/>
      <c r="P113" s="738"/>
      <c r="Q113" s="791">
        <v>10</v>
      </c>
      <c r="R113" s="792">
        <v>2</v>
      </c>
      <c r="S113" s="739"/>
      <c r="T113" s="738"/>
      <c r="U113" s="739"/>
      <c r="V113" s="738"/>
      <c r="W113" s="739"/>
      <c r="X113" s="738"/>
      <c r="Y113" s="739"/>
      <c r="Z113" s="738"/>
      <c r="AA113" s="793">
        <v>10</v>
      </c>
    </row>
    <row r="114" spans="1:27" ht="14.25">
      <c r="A114" s="956">
        <v>5.7</v>
      </c>
      <c r="B114" s="825" t="s">
        <v>3671</v>
      </c>
      <c r="C114" s="790"/>
      <c r="D114" s="738"/>
      <c r="E114" s="739"/>
      <c r="F114" s="738"/>
      <c r="G114" s="739"/>
      <c r="H114" s="738"/>
      <c r="I114" s="739"/>
      <c r="J114" s="738"/>
      <c r="K114" s="739"/>
      <c r="L114" s="738"/>
      <c r="M114" s="739"/>
      <c r="N114" s="738"/>
      <c r="O114" s="739"/>
      <c r="P114" s="738"/>
      <c r="Q114" s="791">
        <v>15</v>
      </c>
      <c r="R114" s="792">
        <v>2</v>
      </c>
      <c r="S114" s="739"/>
      <c r="T114" s="738"/>
      <c r="U114" s="739"/>
      <c r="V114" s="738"/>
      <c r="W114" s="739"/>
      <c r="X114" s="738"/>
      <c r="Y114" s="739"/>
      <c r="Z114" s="738"/>
      <c r="AA114" s="793">
        <v>10</v>
      </c>
    </row>
    <row r="115" spans="1:27" ht="14.25">
      <c r="A115" s="956">
        <v>5.8</v>
      </c>
      <c r="B115" s="825" t="s">
        <v>3672</v>
      </c>
      <c r="C115" s="790"/>
      <c r="D115" s="738"/>
      <c r="E115" s="739"/>
      <c r="F115" s="738"/>
      <c r="G115" s="739"/>
      <c r="H115" s="738"/>
      <c r="I115" s="739"/>
      <c r="J115" s="738"/>
      <c r="K115" s="739"/>
      <c r="L115" s="738"/>
      <c r="M115" s="739"/>
      <c r="N115" s="738"/>
      <c r="O115" s="739"/>
      <c r="P115" s="738"/>
      <c r="Q115" s="791">
        <v>15</v>
      </c>
      <c r="R115" s="792">
        <v>2</v>
      </c>
      <c r="S115" s="739"/>
      <c r="T115" s="738"/>
      <c r="U115" s="739"/>
      <c r="V115" s="738"/>
      <c r="W115" s="739"/>
      <c r="X115" s="738"/>
      <c r="Y115" s="739"/>
      <c r="Z115" s="738"/>
      <c r="AA115" s="793">
        <v>10</v>
      </c>
    </row>
    <row r="116" spans="1:27" ht="14.25">
      <c r="A116" s="956">
        <v>5.9</v>
      </c>
      <c r="B116" s="825" t="s">
        <v>3673</v>
      </c>
      <c r="C116" s="790"/>
      <c r="D116" s="738"/>
      <c r="E116" s="739"/>
      <c r="F116" s="738"/>
      <c r="G116" s="739"/>
      <c r="H116" s="738"/>
      <c r="I116" s="739"/>
      <c r="J116" s="738"/>
      <c r="K116" s="739"/>
      <c r="L116" s="738"/>
      <c r="M116" s="739"/>
      <c r="N116" s="738"/>
      <c r="O116" s="739"/>
      <c r="P116" s="738"/>
      <c r="Q116" s="791">
        <v>30</v>
      </c>
      <c r="R116" s="792">
        <v>2</v>
      </c>
      <c r="S116" s="739"/>
      <c r="T116" s="738"/>
      <c r="U116" s="739"/>
      <c r="V116" s="738"/>
      <c r="W116" s="739"/>
      <c r="X116" s="738"/>
      <c r="Y116" s="739"/>
      <c r="Z116" s="738"/>
      <c r="AA116" s="793">
        <v>10</v>
      </c>
    </row>
    <row r="117" spans="1:27" ht="14.25">
      <c r="A117" s="957" t="s">
        <v>615</v>
      </c>
      <c r="B117" s="825" t="s">
        <v>3674</v>
      </c>
      <c r="C117" s="790"/>
      <c r="D117" s="738"/>
      <c r="E117" s="739"/>
      <c r="F117" s="738"/>
      <c r="G117" s="739"/>
      <c r="H117" s="738"/>
      <c r="I117" s="739"/>
      <c r="J117" s="738"/>
      <c r="K117" s="739">
        <v>5</v>
      </c>
      <c r="L117" s="738">
        <v>2</v>
      </c>
      <c r="M117" s="739">
        <v>5</v>
      </c>
      <c r="N117" s="738">
        <v>2</v>
      </c>
      <c r="O117" s="739">
        <v>5</v>
      </c>
      <c r="P117" s="738">
        <v>2</v>
      </c>
      <c r="Q117" s="791">
        <v>35</v>
      </c>
      <c r="R117" s="792">
        <v>2</v>
      </c>
      <c r="S117" s="739"/>
      <c r="T117" s="738"/>
      <c r="U117" s="739"/>
      <c r="V117" s="738"/>
      <c r="W117" s="739"/>
      <c r="X117" s="738"/>
      <c r="Y117" s="739"/>
      <c r="Z117" s="738"/>
      <c r="AA117" s="793">
        <v>40</v>
      </c>
    </row>
    <row r="118" spans="1:27" ht="14.25">
      <c r="A118" s="956">
        <v>5.1100000000000003</v>
      </c>
      <c r="B118" s="825" t="s">
        <v>3675</v>
      </c>
      <c r="C118" s="790"/>
      <c r="D118" s="738"/>
      <c r="E118" s="739"/>
      <c r="F118" s="738"/>
      <c r="G118" s="739"/>
      <c r="H118" s="738"/>
      <c r="I118" s="739"/>
      <c r="J118" s="738"/>
      <c r="K118" s="739"/>
      <c r="L118" s="738"/>
      <c r="M118" s="739"/>
      <c r="N118" s="738"/>
      <c r="O118" s="739"/>
      <c r="P118" s="738"/>
      <c r="Q118" s="791">
        <v>20</v>
      </c>
      <c r="R118" s="792">
        <v>2</v>
      </c>
      <c r="S118" s="739"/>
      <c r="T118" s="738"/>
      <c r="U118" s="739"/>
      <c r="V118" s="738"/>
      <c r="W118" s="739"/>
      <c r="X118" s="738"/>
      <c r="Y118" s="739"/>
      <c r="Z118" s="738"/>
      <c r="AA118" s="793">
        <v>8</v>
      </c>
    </row>
    <row r="119" spans="1:27" ht="14.25">
      <c r="A119" s="956">
        <v>5.12</v>
      </c>
      <c r="B119" s="825" t="s">
        <v>3676</v>
      </c>
      <c r="C119" s="790"/>
      <c r="D119" s="738"/>
      <c r="E119" s="739"/>
      <c r="F119" s="738"/>
      <c r="G119" s="739"/>
      <c r="H119" s="738"/>
      <c r="I119" s="739"/>
      <c r="J119" s="738"/>
      <c r="K119" s="739"/>
      <c r="L119" s="738"/>
      <c r="M119" s="739"/>
      <c r="N119" s="738"/>
      <c r="O119" s="739"/>
      <c r="P119" s="738"/>
      <c r="Q119" s="791">
        <v>10</v>
      </c>
      <c r="R119" s="792">
        <v>5</v>
      </c>
      <c r="S119" s="739"/>
      <c r="T119" s="738"/>
      <c r="U119" s="739"/>
      <c r="V119" s="738"/>
      <c r="W119" s="739"/>
      <c r="X119" s="738"/>
      <c r="Y119" s="739"/>
      <c r="Z119" s="738"/>
      <c r="AA119" s="793">
        <v>20</v>
      </c>
    </row>
    <row r="120" spans="1:27" ht="14.25">
      <c r="A120" s="956">
        <v>5.13</v>
      </c>
      <c r="B120" s="825" t="s">
        <v>3677</v>
      </c>
      <c r="C120" s="790"/>
      <c r="D120" s="738"/>
      <c r="E120" s="739"/>
      <c r="F120" s="738"/>
      <c r="G120" s="739"/>
      <c r="H120" s="738"/>
      <c r="I120" s="739"/>
      <c r="J120" s="738"/>
      <c r="K120" s="739"/>
      <c r="L120" s="738"/>
      <c r="M120" s="739"/>
      <c r="N120" s="738"/>
      <c r="O120" s="739"/>
      <c r="P120" s="738"/>
      <c r="Q120" s="791">
        <v>20</v>
      </c>
      <c r="R120" s="792">
        <v>5</v>
      </c>
      <c r="S120" s="739"/>
      <c r="T120" s="738"/>
      <c r="U120" s="739"/>
      <c r="V120" s="738"/>
      <c r="W120" s="739"/>
      <c r="X120" s="738"/>
      <c r="Y120" s="739"/>
      <c r="Z120" s="738"/>
      <c r="AA120" s="793">
        <v>30</v>
      </c>
    </row>
    <row r="121" spans="1:27" ht="14.25">
      <c r="A121" s="788">
        <v>6</v>
      </c>
      <c r="B121" s="825" t="s">
        <v>2340</v>
      </c>
      <c r="C121" s="790"/>
      <c r="D121" s="738"/>
      <c r="E121" s="739"/>
      <c r="F121" s="738"/>
      <c r="G121" s="739"/>
      <c r="H121" s="738"/>
      <c r="I121" s="739"/>
      <c r="J121" s="738"/>
      <c r="K121" s="739"/>
      <c r="L121" s="738"/>
      <c r="M121" s="739"/>
      <c r="N121" s="738"/>
      <c r="O121" s="739"/>
      <c r="P121" s="738"/>
      <c r="Q121" s="791"/>
      <c r="R121" s="792"/>
      <c r="S121" s="739"/>
      <c r="T121" s="738"/>
      <c r="U121" s="739"/>
      <c r="V121" s="738"/>
      <c r="W121" s="739"/>
      <c r="X121" s="738"/>
      <c r="Y121" s="739"/>
      <c r="Z121" s="738"/>
      <c r="AA121" s="793"/>
    </row>
    <row r="122" spans="1:27" ht="14.25">
      <c r="A122" s="956">
        <v>6.1</v>
      </c>
      <c r="B122" s="825" t="s">
        <v>3678</v>
      </c>
      <c r="C122" s="790"/>
      <c r="D122" s="738"/>
      <c r="E122" s="739"/>
      <c r="F122" s="738"/>
      <c r="G122" s="739"/>
      <c r="H122" s="738"/>
      <c r="I122" s="739"/>
      <c r="J122" s="738"/>
      <c r="K122" s="739"/>
      <c r="L122" s="738"/>
      <c r="M122" s="739"/>
      <c r="N122" s="738"/>
      <c r="O122" s="739"/>
      <c r="P122" s="738"/>
      <c r="Q122" s="791">
        <v>60</v>
      </c>
      <c r="R122" s="792">
        <v>20</v>
      </c>
      <c r="S122" s="739"/>
      <c r="T122" s="738"/>
      <c r="U122" s="739"/>
      <c r="V122" s="738"/>
      <c r="W122" s="739"/>
      <c r="X122" s="738"/>
      <c r="Y122" s="739"/>
      <c r="Z122" s="738"/>
      <c r="AA122" s="793"/>
    </row>
    <row r="123" spans="1:27" ht="14.25">
      <c r="A123" s="956">
        <v>6.2</v>
      </c>
      <c r="B123" s="825" t="s">
        <v>3679</v>
      </c>
      <c r="C123" s="790"/>
      <c r="D123" s="738"/>
      <c r="E123" s="739"/>
      <c r="F123" s="738"/>
      <c r="G123" s="739"/>
      <c r="H123" s="738"/>
      <c r="I123" s="739"/>
      <c r="J123" s="738"/>
      <c r="K123" s="739"/>
      <c r="L123" s="738"/>
      <c r="M123" s="739"/>
      <c r="N123" s="738"/>
      <c r="O123" s="739"/>
      <c r="P123" s="738"/>
      <c r="Q123" s="791">
        <v>30</v>
      </c>
      <c r="R123" s="792">
        <v>10</v>
      </c>
      <c r="S123" s="739"/>
      <c r="T123" s="738"/>
      <c r="U123" s="739"/>
      <c r="V123" s="738"/>
      <c r="W123" s="739"/>
      <c r="X123" s="738"/>
      <c r="Y123" s="739"/>
      <c r="Z123" s="738"/>
      <c r="AA123" s="793"/>
    </row>
    <row r="124" spans="1:27" ht="14.25">
      <c r="A124" s="956">
        <v>6.3</v>
      </c>
      <c r="B124" s="825" t="s">
        <v>3680</v>
      </c>
      <c r="C124" s="790"/>
      <c r="D124" s="738"/>
      <c r="E124" s="739"/>
      <c r="F124" s="738"/>
      <c r="G124" s="739"/>
      <c r="H124" s="738"/>
      <c r="I124" s="739"/>
      <c r="J124" s="738"/>
      <c r="K124" s="739"/>
      <c r="L124" s="738"/>
      <c r="M124" s="739"/>
      <c r="N124" s="738"/>
      <c r="O124" s="739"/>
      <c r="P124" s="738"/>
      <c r="Q124" s="791">
        <v>25</v>
      </c>
      <c r="R124" s="792">
        <v>5</v>
      </c>
      <c r="S124" s="739"/>
      <c r="T124" s="738"/>
      <c r="U124" s="739"/>
      <c r="V124" s="738"/>
      <c r="W124" s="739"/>
      <c r="X124" s="738"/>
      <c r="Y124" s="739"/>
      <c r="Z124" s="738"/>
      <c r="AA124" s="793"/>
    </row>
    <row r="125" spans="1:27" ht="14.25">
      <c r="A125" s="956">
        <v>6.4</v>
      </c>
      <c r="B125" s="825" t="s">
        <v>3681</v>
      </c>
      <c r="C125" s="790"/>
      <c r="D125" s="738"/>
      <c r="E125" s="739"/>
      <c r="F125" s="738"/>
      <c r="G125" s="739"/>
      <c r="H125" s="738"/>
      <c r="I125" s="739"/>
      <c r="J125" s="738"/>
      <c r="K125" s="739"/>
      <c r="L125" s="738"/>
      <c r="M125" s="739"/>
      <c r="N125" s="738"/>
      <c r="O125" s="739"/>
      <c r="P125" s="738"/>
      <c r="Q125" s="791">
        <v>30</v>
      </c>
      <c r="R125" s="792">
        <v>5</v>
      </c>
      <c r="S125" s="739"/>
      <c r="T125" s="738"/>
      <c r="U125" s="739"/>
      <c r="V125" s="738"/>
      <c r="W125" s="739"/>
      <c r="X125" s="738"/>
      <c r="Y125" s="739"/>
      <c r="Z125" s="738"/>
      <c r="AA125" s="793"/>
    </row>
    <row r="126" spans="1:27" ht="14.25">
      <c r="A126" s="956">
        <v>6.5</v>
      </c>
      <c r="B126" s="825" t="s">
        <v>3682</v>
      </c>
      <c r="C126" s="790"/>
      <c r="D126" s="738"/>
      <c r="E126" s="739"/>
      <c r="F126" s="738"/>
      <c r="G126" s="739"/>
      <c r="H126" s="738"/>
      <c r="I126" s="739"/>
      <c r="J126" s="738"/>
      <c r="K126" s="739"/>
      <c r="L126" s="738"/>
      <c r="M126" s="739"/>
      <c r="N126" s="738"/>
      <c r="O126" s="739"/>
      <c r="P126" s="738"/>
      <c r="Q126" s="791">
        <v>60</v>
      </c>
      <c r="R126" s="792">
        <v>20</v>
      </c>
      <c r="S126" s="739"/>
      <c r="T126" s="738"/>
      <c r="U126" s="739"/>
      <c r="V126" s="738"/>
      <c r="W126" s="739"/>
      <c r="X126" s="738"/>
      <c r="Y126" s="739"/>
      <c r="Z126" s="738"/>
      <c r="AA126" s="793"/>
    </row>
    <row r="127" spans="1:27" ht="14.25">
      <c r="A127" s="788">
        <v>7</v>
      </c>
      <c r="B127" s="958" t="s">
        <v>3683</v>
      </c>
      <c r="C127" s="790"/>
      <c r="D127" s="738"/>
      <c r="E127" s="739"/>
      <c r="F127" s="738"/>
      <c r="G127" s="739"/>
      <c r="H127" s="738"/>
      <c r="I127" s="739"/>
      <c r="J127" s="738"/>
      <c r="K127" s="739"/>
      <c r="L127" s="738"/>
      <c r="M127" s="739"/>
      <c r="N127" s="738"/>
      <c r="O127" s="739"/>
      <c r="P127" s="738"/>
      <c r="Q127" s="797"/>
      <c r="R127" s="798"/>
      <c r="S127" s="739"/>
      <c r="T127" s="738"/>
      <c r="U127" s="739"/>
      <c r="V127" s="738"/>
      <c r="W127" s="739"/>
      <c r="X127" s="738"/>
      <c r="Y127" s="739"/>
      <c r="Z127" s="738"/>
      <c r="AA127" s="799"/>
    </row>
    <row r="128" spans="1:27" ht="14.25">
      <c r="A128" s="956">
        <v>7.1</v>
      </c>
      <c r="B128" s="825" t="s">
        <v>3684</v>
      </c>
      <c r="C128" s="790"/>
      <c r="D128" s="738"/>
      <c r="E128" s="739"/>
      <c r="F128" s="738"/>
      <c r="G128" s="739"/>
      <c r="H128" s="738"/>
      <c r="I128" s="739"/>
      <c r="J128" s="738"/>
      <c r="K128" s="739"/>
      <c r="L128" s="738"/>
      <c r="M128" s="739"/>
      <c r="N128" s="738"/>
      <c r="O128" s="739"/>
      <c r="P128" s="738"/>
      <c r="Q128" s="791">
        <v>30</v>
      </c>
      <c r="R128" s="792">
        <v>8</v>
      </c>
      <c r="S128" s="739"/>
      <c r="T128" s="738"/>
      <c r="U128" s="739"/>
      <c r="V128" s="738"/>
      <c r="W128" s="739"/>
      <c r="X128" s="738"/>
      <c r="Y128" s="739"/>
      <c r="Z128" s="738"/>
      <c r="AA128" s="793">
        <v>10</v>
      </c>
    </row>
    <row r="129" spans="1:27" ht="14.25">
      <c r="A129" s="956">
        <v>7.2</v>
      </c>
      <c r="B129" s="825" t="s">
        <v>3685</v>
      </c>
      <c r="C129" s="790"/>
      <c r="D129" s="738"/>
      <c r="E129" s="739"/>
      <c r="F129" s="738"/>
      <c r="G129" s="739"/>
      <c r="H129" s="738"/>
      <c r="I129" s="739"/>
      <c r="J129" s="738"/>
      <c r="K129" s="739"/>
      <c r="L129" s="738"/>
      <c r="M129" s="739"/>
      <c r="N129" s="738"/>
      <c r="O129" s="739"/>
      <c r="P129" s="738"/>
      <c r="Q129" s="791">
        <v>30</v>
      </c>
      <c r="R129" s="792">
        <v>8</v>
      </c>
      <c r="S129" s="739"/>
      <c r="T129" s="738"/>
      <c r="U129" s="739"/>
      <c r="V129" s="738"/>
      <c r="W129" s="739"/>
      <c r="X129" s="738"/>
      <c r="Y129" s="739"/>
      <c r="Z129" s="738"/>
      <c r="AA129" s="793">
        <v>10</v>
      </c>
    </row>
    <row r="130" spans="1:27" ht="14.25">
      <c r="A130" s="956">
        <v>7.3</v>
      </c>
      <c r="B130" s="825" t="s">
        <v>3686</v>
      </c>
      <c r="C130" s="794"/>
      <c r="D130" s="745"/>
      <c r="E130" s="746"/>
      <c r="F130" s="745"/>
      <c r="G130" s="746"/>
      <c r="H130" s="745"/>
      <c r="I130" s="746"/>
      <c r="J130" s="745"/>
      <c r="K130" s="746"/>
      <c r="L130" s="745"/>
      <c r="M130" s="746"/>
      <c r="N130" s="745"/>
      <c r="O130" s="746"/>
      <c r="P130" s="745"/>
      <c r="Q130" s="791">
        <v>30</v>
      </c>
      <c r="R130" s="792">
        <v>8</v>
      </c>
      <c r="S130" s="746"/>
      <c r="T130" s="745"/>
      <c r="U130" s="746"/>
      <c r="V130" s="745"/>
      <c r="W130" s="746"/>
      <c r="X130" s="745"/>
      <c r="Y130" s="746"/>
      <c r="Z130" s="745"/>
      <c r="AA130" s="793">
        <v>10</v>
      </c>
    </row>
    <row r="131" spans="1:27" ht="14.25">
      <c r="A131" s="956">
        <v>7.4</v>
      </c>
      <c r="B131" s="825" t="s">
        <v>3687</v>
      </c>
      <c r="C131" s="790"/>
      <c r="D131" s="738"/>
      <c r="E131" s="739"/>
      <c r="F131" s="738"/>
      <c r="G131" s="739"/>
      <c r="H131" s="738"/>
      <c r="I131" s="739"/>
      <c r="J131" s="738"/>
      <c r="K131" s="739"/>
      <c r="L131" s="738"/>
      <c r="M131" s="739"/>
      <c r="N131" s="738"/>
      <c r="O131" s="739"/>
      <c r="P131" s="738"/>
      <c r="Q131" s="791">
        <v>10</v>
      </c>
      <c r="R131" s="792">
        <v>2</v>
      </c>
      <c r="S131" s="739"/>
      <c r="T131" s="738"/>
      <c r="U131" s="739"/>
      <c r="V131" s="738"/>
      <c r="W131" s="739"/>
      <c r="X131" s="738"/>
      <c r="Y131" s="739"/>
      <c r="Z131" s="738"/>
      <c r="AA131" s="793">
        <v>10</v>
      </c>
    </row>
    <row r="132" spans="1:27" ht="14.25">
      <c r="A132" s="956">
        <v>7.5</v>
      </c>
      <c r="B132" s="825" t="s">
        <v>3688</v>
      </c>
      <c r="C132" s="790"/>
      <c r="D132" s="738"/>
      <c r="E132" s="739"/>
      <c r="F132" s="738"/>
      <c r="G132" s="739"/>
      <c r="H132" s="738"/>
      <c r="I132" s="739"/>
      <c r="J132" s="738"/>
      <c r="K132" s="739"/>
      <c r="L132" s="738"/>
      <c r="M132" s="739"/>
      <c r="N132" s="738"/>
      <c r="O132" s="739"/>
      <c r="P132" s="738"/>
      <c r="Q132" s="791">
        <v>15</v>
      </c>
      <c r="R132" s="792">
        <v>2</v>
      </c>
      <c r="S132" s="739"/>
      <c r="T132" s="738"/>
      <c r="U132" s="739"/>
      <c r="V132" s="738"/>
      <c r="W132" s="739"/>
      <c r="X132" s="738"/>
      <c r="Y132" s="739"/>
      <c r="Z132" s="738"/>
      <c r="AA132" s="793">
        <v>10</v>
      </c>
    </row>
    <row r="133" spans="1:27" ht="14.25">
      <c r="A133" s="956">
        <v>7.6</v>
      </c>
      <c r="B133" s="825" t="s">
        <v>3689</v>
      </c>
      <c r="C133" s="790"/>
      <c r="D133" s="738"/>
      <c r="E133" s="739"/>
      <c r="F133" s="738"/>
      <c r="G133" s="739"/>
      <c r="H133" s="738"/>
      <c r="I133" s="739"/>
      <c r="J133" s="738"/>
      <c r="K133" s="739"/>
      <c r="L133" s="738"/>
      <c r="M133" s="739"/>
      <c r="N133" s="738"/>
      <c r="O133" s="739"/>
      <c r="P133" s="738"/>
      <c r="Q133" s="791">
        <v>15</v>
      </c>
      <c r="R133" s="792">
        <v>2</v>
      </c>
      <c r="S133" s="739"/>
      <c r="T133" s="738"/>
      <c r="U133" s="739"/>
      <c r="V133" s="738"/>
      <c r="W133" s="739"/>
      <c r="X133" s="738"/>
      <c r="Y133" s="739"/>
      <c r="Z133" s="738"/>
      <c r="AA133" s="793">
        <v>10</v>
      </c>
    </row>
    <row r="134" spans="1:27" ht="14.25">
      <c r="A134" s="956">
        <v>7.7</v>
      </c>
      <c r="B134" s="825" t="s">
        <v>3690</v>
      </c>
      <c r="C134" s="790"/>
      <c r="D134" s="738"/>
      <c r="E134" s="739"/>
      <c r="F134" s="738"/>
      <c r="G134" s="739"/>
      <c r="H134" s="738"/>
      <c r="I134" s="739"/>
      <c r="J134" s="738"/>
      <c r="K134" s="739"/>
      <c r="L134" s="738"/>
      <c r="M134" s="739"/>
      <c r="N134" s="738"/>
      <c r="O134" s="739"/>
      <c r="P134" s="738"/>
      <c r="Q134" s="791">
        <v>30</v>
      </c>
      <c r="R134" s="792">
        <v>2</v>
      </c>
      <c r="S134" s="739"/>
      <c r="T134" s="738"/>
      <c r="U134" s="739"/>
      <c r="V134" s="738"/>
      <c r="W134" s="739"/>
      <c r="X134" s="738"/>
      <c r="Y134" s="739"/>
      <c r="Z134" s="738"/>
      <c r="AA134" s="793">
        <v>10</v>
      </c>
    </row>
    <row r="135" spans="1:27" ht="14.25">
      <c r="A135" s="956">
        <v>7.8</v>
      </c>
      <c r="B135" s="825" t="s">
        <v>3691</v>
      </c>
      <c r="C135" s="790"/>
      <c r="D135" s="738"/>
      <c r="E135" s="739"/>
      <c r="F135" s="738"/>
      <c r="G135" s="739"/>
      <c r="H135" s="738"/>
      <c r="I135" s="739"/>
      <c r="J135" s="738"/>
      <c r="K135" s="739"/>
      <c r="L135" s="738"/>
      <c r="M135" s="739"/>
      <c r="N135" s="738"/>
      <c r="O135" s="739"/>
      <c r="P135" s="738"/>
      <c r="Q135" s="791">
        <v>10</v>
      </c>
      <c r="R135" s="792">
        <v>5</v>
      </c>
      <c r="S135" s="739"/>
      <c r="T135" s="738"/>
      <c r="U135" s="739"/>
      <c r="V135" s="738"/>
      <c r="W135" s="739"/>
      <c r="X135" s="738"/>
      <c r="Y135" s="739"/>
      <c r="Z135" s="738"/>
      <c r="AA135" s="793">
        <v>20</v>
      </c>
    </row>
    <row r="136" spans="1:27" ht="14.25">
      <c r="A136" s="788">
        <v>8</v>
      </c>
      <c r="B136" s="958" t="s">
        <v>3692</v>
      </c>
      <c r="C136" s="790"/>
      <c r="D136" s="738"/>
      <c r="E136" s="739"/>
      <c r="F136" s="738"/>
      <c r="G136" s="739"/>
      <c r="H136" s="738"/>
      <c r="I136" s="739"/>
      <c r="J136" s="738"/>
      <c r="K136" s="739"/>
      <c r="L136" s="738"/>
      <c r="M136" s="739"/>
      <c r="N136" s="738"/>
      <c r="O136" s="739"/>
      <c r="P136" s="738"/>
      <c r="Q136" s="797"/>
      <c r="R136" s="798"/>
      <c r="S136" s="739"/>
      <c r="T136" s="738"/>
      <c r="U136" s="739"/>
      <c r="V136" s="738"/>
      <c r="W136" s="739"/>
      <c r="X136" s="738"/>
      <c r="Y136" s="739"/>
      <c r="Z136" s="738"/>
      <c r="AA136" s="793">
        <f>SUM(AA137:AA145)</f>
        <v>100</v>
      </c>
    </row>
    <row r="137" spans="1:27" ht="14.25">
      <c r="A137" s="956">
        <v>8.1</v>
      </c>
      <c r="B137" s="825" t="s">
        <v>3693</v>
      </c>
      <c r="C137" s="790"/>
      <c r="D137" s="738"/>
      <c r="E137" s="739"/>
      <c r="F137" s="738"/>
      <c r="G137" s="739"/>
      <c r="H137" s="738"/>
      <c r="I137" s="739"/>
      <c r="J137" s="738"/>
      <c r="K137" s="739"/>
      <c r="L137" s="738"/>
      <c r="M137" s="739"/>
      <c r="N137" s="738"/>
      <c r="O137" s="739"/>
      <c r="P137" s="738"/>
      <c r="Q137" s="791">
        <v>20</v>
      </c>
      <c r="R137" s="792">
        <v>8</v>
      </c>
      <c r="S137" s="739"/>
      <c r="T137" s="738"/>
      <c r="U137" s="739"/>
      <c r="V137" s="738"/>
      <c r="W137" s="739"/>
      <c r="X137" s="738"/>
      <c r="Y137" s="739"/>
      <c r="Z137" s="738"/>
      <c r="AA137" s="793">
        <v>10</v>
      </c>
    </row>
    <row r="138" spans="1:27" ht="14.25">
      <c r="A138" s="956">
        <v>8.1999999999999993</v>
      </c>
      <c r="B138" s="825" t="s">
        <v>3694</v>
      </c>
      <c r="C138" s="790"/>
      <c r="D138" s="738"/>
      <c r="E138" s="739"/>
      <c r="F138" s="738"/>
      <c r="G138" s="739"/>
      <c r="H138" s="738"/>
      <c r="I138" s="739"/>
      <c r="J138" s="738"/>
      <c r="K138" s="739"/>
      <c r="L138" s="738"/>
      <c r="M138" s="739"/>
      <c r="N138" s="738"/>
      <c r="O138" s="739"/>
      <c r="P138" s="738"/>
      <c r="Q138" s="791">
        <v>30</v>
      </c>
      <c r="R138" s="792">
        <v>8</v>
      </c>
      <c r="S138" s="739"/>
      <c r="T138" s="738"/>
      <c r="U138" s="739"/>
      <c r="V138" s="738"/>
      <c r="W138" s="739"/>
      <c r="X138" s="738"/>
      <c r="Y138" s="739"/>
      <c r="Z138" s="738"/>
      <c r="AA138" s="793">
        <v>10</v>
      </c>
    </row>
    <row r="139" spans="1:27" ht="14.25">
      <c r="A139" s="956">
        <v>8.3000000000000007</v>
      </c>
      <c r="B139" s="825" t="s">
        <v>3695</v>
      </c>
      <c r="C139" s="790"/>
      <c r="D139" s="738"/>
      <c r="E139" s="739"/>
      <c r="F139" s="738"/>
      <c r="G139" s="739"/>
      <c r="H139" s="738"/>
      <c r="I139" s="739"/>
      <c r="J139" s="738"/>
      <c r="K139" s="739"/>
      <c r="L139" s="738"/>
      <c r="M139" s="739"/>
      <c r="N139" s="738"/>
      <c r="O139" s="739"/>
      <c r="P139" s="738"/>
      <c r="Q139" s="791">
        <v>30</v>
      </c>
      <c r="R139" s="792">
        <v>8</v>
      </c>
      <c r="S139" s="739"/>
      <c r="T139" s="738"/>
      <c r="U139" s="739"/>
      <c r="V139" s="738"/>
      <c r="W139" s="739"/>
      <c r="X139" s="738"/>
      <c r="Y139" s="739"/>
      <c r="Z139" s="738"/>
      <c r="AA139" s="793">
        <v>10</v>
      </c>
    </row>
    <row r="140" spans="1:27" ht="14.25">
      <c r="A140" s="956">
        <v>8.4</v>
      </c>
      <c r="B140" s="825" t="s">
        <v>3696</v>
      </c>
      <c r="C140" s="790"/>
      <c r="D140" s="738"/>
      <c r="E140" s="739"/>
      <c r="F140" s="738"/>
      <c r="G140" s="739"/>
      <c r="H140" s="738"/>
      <c r="I140" s="739"/>
      <c r="J140" s="738"/>
      <c r="K140" s="739"/>
      <c r="L140" s="738"/>
      <c r="M140" s="739"/>
      <c r="N140" s="738"/>
      <c r="O140" s="739"/>
      <c r="P140" s="738"/>
      <c r="Q140" s="791">
        <v>30</v>
      </c>
      <c r="R140" s="792">
        <v>2</v>
      </c>
      <c r="S140" s="739"/>
      <c r="T140" s="738"/>
      <c r="U140" s="739"/>
      <c r="V140" s="738"/>
      <c r="W140" s="739"/>
      <c r="X140" s="738"/>
      <c r="Y140" s="739"/>
      <c r="Z140" s="738"/>
      <c r="AA140" s="793">
        <v>10</v>
      </c>
    </row>
    <row r="141" spans="1:27" ht="14.25">
      <c r="A141" s="956">
        <v>8.5</v>
      </c>
      <c r="B141" s="825" t="s">
        <v>3697</v>
      </c>
      <c r="C141" s="790"/>
      <c r="D141" s="738"/>
      <c r="E141" s="739"/>
      <c r="F141" s="738"/>
      <c r="G141" s="739"/>
      <c r="H141" s="738"/>
      <c r="I141" s="739"/>
      <c r="J141" s="738"/>
      <c r="K141" s="739"/>
      <c r="L141" s="738"/>
      <c r="M141" s="739"/>
      <c r="N141" s="738"/>
      <c r="O141" s="739"/>
      <c r="P141" s="738"/>
      <c r="Q141" s="791">
        <v>10</v>
      </c>
      <c r="R141" s="792">
        <v>2</v>
      </c>
      <c r="S141" s="739"/>
      <c r="T141" s="738"/>
      <c r="U141" s="739"/>
      <c r="V141" s="738"/>
      <c r="W141" s="739"/>
      <c r="X141" s="738"/>
      <c r="Y141" s="739"/>
      <c r="Z141" s="738"/>
      <c r="AA141" s="793">
        <v>10</v>
      </c>
    </row>
    <row r="142" spans="1:27" ht="14.25">
      <c r="A142" s="956">
        <v>8.6</v>
      </c>
      <c r="B142" s="825" t="s">
        <v>3698</v>
      </c>
      <c r="C142" s="790"/>
      <c r="D142" s="738"/>
      <c r="E142" s="739"/>
      <c r="F142" s="738"/>
      <c r="G142" s="739"/>
      <c r="H142" s="738"/>
      <c r="I142" s="739"/>
      <c r="J142" s="738"/>
      <c r="K142" s="739"/>
      <c r="L142" s="738"/>
      <c r="M142" s="739"/>
      <c r="N142" s="738"/>
      <c r="O142" s="739"/>
      <c r="P142" s="738"/>
      <c r="Q142" s="791">
        <v>15</v>
      </c>
      <c r="R142" s="792">
        <v>2</v>
      </c>
      <c r="S142" s="739"/>
      <c r="T142" s="738"/>
      <c r="U142" s="739"/>
      <c r="V142" s="738"/>
      <c r="W142" s="739"/>
      <c r="X142" s="738"/>
      <c r="Y142" s="739"/>
      <c r="Z142" s="738"/>
      <c r="AA142" s="793">
        <v>10</v>
      </c>
    </row>
    <row r="143" spans="1:27" ht="14.25">
      <c r="A143" s="956">
        <v>8.6999999999999993</v>
      </c>
      <c r="B143" s="825" t="s">
        <v>3699</v>
      </c>
      <c r="C143" s="790"/>
      <c r="D143" s="738"/>
      <c r="E143" s="739"/>
      <c r="F143" s="738"/>
      <c r="G143" s="739"/>
      <c r="H143" s="738"/>
      <c r="I143" s="739"/>
      <c r="J143" s="738"/>
      <c r="K143" s="739"/>
      <c r="L143" s="738"/>
      <c r="M143" s="739"/>
      <c r="N143" s="738"/>
      <c r="O143" s="739"/>
      <c r="P143" s="738"/>
      <c r="Q143" s="791">
        <v>15</v>
      </c>
      <c r="R143" s="792">
        <v>2</v>
      </c>
      <c r="S143" s="739"/>
      <c r="T143" s="738"/>
      <c r="U143" s="739"/>
      <c r="V143" s="738"/>
      <c r="W143" s="739"/>
      <c r="X143" s="738"/>
      <c r="Y143" s="739"/>
      <c r="Z143" s="738"/>
      <c r="AA143" s="793">
        <v>10</v>
      </c>
    </row>
    <row r="144" spans="1:27" ht="14.25">
      <c r="A144" s="962">
        <v>8.8000000000000007</v>
      </c>
      <c r="B144" s="963" t="s">
        <v>3700</v>
      </c>
      <c r="C144" s="809"/>
      <c r="D144" s="763"/>
      <c r="E144" s="766"/>
      <c r="F144" s="763"/>
      <c r="G144" s="766"/>
      <c r="H144" s="763"/>
      <c r="I144" s="766"/>
      <c r="J144" s="763"/>
      <c r="K144" s="766"/>
      <c r="L144" s="763"/>
      <c r="M144" s="766"/>
      <c r="N144" s="763"/>
      <c r="O144" s="766"/>
      <c r="P144" s="763"/>
      <c r="Q144" s="764">
        <v>30</v>
      </c>
      <c r="R144" s="765">
        <v>2</v>
      </c>
      <c r="S144" s="766"/>
      <c r="T144" s="763"/>
      <c r="U144" s="766"/>
      <c r="V144" s="763"/>
      <c r="W144" s="766"/>
      <c r="X144" s="763"/>
      <c r="Y144" s="766"/>
      <c r="Z144" s="763"/>
      <c r="AA144" s="767">
        <v>10</v>
      </c>
    </row>
    <row r="145" spans="1:38" ht="14.25">
      <c r="A145" s="962">
        <v>8.9</v>
      </c>
      <c r="B145" s="963" t="s">
        <v>3701</v>
      </c>
      <c r="C145" s="809"/>
      <c r="D145" s="763"/>
      <c r="E145" s="766"/>
      <c r="F145" s="763"/>
      <c r="G145" s="766"/>
      <c r="H145" s="763"/>
      <c r="I145" s="766"/>
      <c r="J145" s="763"/>
      <c r="K145" s="766"/>
      <c r="L145" s="763"/>
      <c r="M145" s="766"/>
      <c r="N145" s="763"/>
      <c r="O145" s="766"/>
      <c r="P145" s="763"/>
      <c r="Q145" s="791">
        <v>10</v>
      </c>
      <c r="R145" s="792">
        <v>5</v>
      </c>
      <c r="S145" s="739"/>
      <c r="T145" s="738"/>
      <c r="U145" s="739"/>
      <c r="V145" s="738"/>
      <c r="W145" s="739"/>
      <c r="X145" s="738"/>
      <c r="Y145" s="739"/>
      <c r="Z145" s="738"/>
      <c r="AA145" s="793">
        <v>20</v>
      </c>
    </row>
    <row r="146" spans="1:38" ht="14.25">
      <c r="A146" s="760">
        <v>9</v>
      </c>
      <c r="B146" s="808" t="s">
        <v>2626</v>
      </c>
      <c r="C146" s="809"/>
      <c r="D146" s="763"/>
      <c r="E146" s="764"/>
      <c r="F146" s="765"/>
      <c r="G146" s="766"/>
      <c r="H146" s="763"/>
      <c r="I146" s="766"/>
      <c r="J146" s="763"/>
      <c r="K146" s="766"/>
      <c r="L146" s="763"/>
      <c r="M146" s="766"/>
      <c r="N146" s="763"/>
      <c r="O146" s="766"/>
      <c r="P146" s="763"/>
      <c r="Q146" s="766"/>
      <c r="R146" s="763"/>
      <c r="S146" s="766"/>
      <c r="T146" s="763"/>
      <c r="U146" s="766"/>
      <c r="V146" s="763"/>
      <c r="W146" s="766"/>
      <c r="X146" s="763"/>
      <c r="Y146" s="766"/>
      <c r="Z146" s="763"/>
      <c r="AA146" s="767"/>
    </row>
    <row r="147" spans="1:38" ht="14.25">
      <c r="A147" s="806">
        <v>9.1</v>
      </c>
      <c r="B147" s="810" t="s">
        <v>2627</v>
      </c>
      <c r="C147" s="809"/>
      <c r="D147" s="763"/>
      <c r="E147" s="764"/>
      <c r="F147" s="765"/>
      <c r="G147" s="766"/>
      <c r="H147" s="763"/>
      <c r="I147" s="766"/>
      <c r="J147" s="763"/>
      <c r="K147" s="766"/>
      <c r="L147" s="763"/>
      <c r="M147" s="766"/>
      <c r="N147" s="763"/>
      <c r="O147" s="766"/>
      <c r="P147" s="763"/>
      <c r="Q147" s="766">
        <f>0.1*Q154</f>
        <v>265.2</v>
      </c>
      <c r="R147" s="763">
        <f>0.1*R154</f>
        <v>58.400000000000006</v>
      </c>
      <c r="S147" s="766"/>
      <c r="T147" s="763"/>
      <c r="U147" s="766"/>
      <c r="V147" s="763"/>
      <c r="W147" s="766"/>
      <c r="X147" s="763"/>
      <c r="Y147" s="766"/>
      <c r="Z147" s="763"/>
      <c r="AA147" s="767">
        <f>0.1*AA154</f>
        <v>166.9</v>
      </c>
    </row>
    <row r="148" spans="1:38" ht="14.25">
      <c r="A148" s="806">
        <v>9.1999999999999993</v>
      </c>
      <c r="B148" s="810" t="s">
        <v>2472</v>
      </c>
      <c r="C148" s="809"/>
      <c r="D148" s="763"/>
      <c r="E148" s="764"/>
      <c r="F148" s="765"/>
      <c r="G148" s="766"/>
      <c r="H148" s="763"/>
      <c r="I148" s="766"/>
      <c r="J148" s="763"/>
      <c r="K148" s="766"/>
      <c r="L148" s="763"/>
      <c r="M148" s="766"/>
      <c r="N148" s="763"/>
      <c r="O148" s="766"/>
      <c r="P148" s="763"/>
      <c r="Q148" s="766">
        <f>0.05*Q154</f>
        <v>132.6</v>
      </c>
      <c r="R148" s="763"/>
      <c r="S148" s="766"/>
      <c r="T148" s="763"/>
      <c r="U148" s="766"/>
      <c r="V148" s="763"/>
      <c r="W148" s="766"/>
      <c r="X148" s="763"/>
      <c r="Y148" s="766"/>
      <c r="Z148" s="763"/>
      <c r="AA148" s="767">
        <f>0.05*AA154</f>
        <v>83.45</v>
      </c>
    </row>
    <row r="149" spans="1:38" ht="14.25">
      <c r="A149" s="806">
        <v>9.3000000000000007</v>
      </c>
      <c r="B149" s="810" t="s">
        <v>2628</v>
      </c>
      <c r="C149" s="809"/>
      <c r="D149" s="763"/>
      <c r="E149" s="764"/>
      <c r="F149" s="765"/>
      <c r="G149" s="766"/>
      <c r="H149" s="763"/>
      <c r="I149" s="766"/>
      <c r="J149" s="763"/>
      <c r="K149" s="766"/>
      <c r="L149" s="763"/>
      <c r="M149" s="766"/>
      <c r="N149" s="763"/>
      <c r="O149" s="766"/>
      <c r="P149" s="763"/>
      <c r="Q149" s="766">
        <v>120</v>
      </c>
      <c r="R149" s="763"/>
      <c r="S149" s="766"/>
      <c r="T149" s="763"/>
      <c r="U149" s="766"/>
      <c r="V149" s="763"/>
      <c r="W149" s="766"/>
      <c r="X149" s="763"/>
      <c r="Y149" s="766"/>
      <c r="Z149" s="763"/>
      <c r="AA149" s="767"/>
    </row>
    <row r="150" spans="1:38" ht="14.25">
      <c r="A150" s="806">
        <v>9.4</v>
      </c>
      <c r="B150" s="810" t="s">
        <v>2629</v>
      </c>
      <c r="C150" s="809"/>
      <c r="D150" s="763"/>
      <c r="E150" s="764"/>
      <c r="F150" s="765"/>
      <c r="G150" s="766"/>
      <c r="H150" s="763"/>
      <c r="I150" s="766"/>
      <c r="J150" s="763"/>
      <c r="K150" s="766"/>
      <c r="L150" s="763"/>
      <c r="M150" s="766"/>
      <c r="N150" s="763"/>
      <c r="O150" s="766"/>
      <c r="P150" s="763"/>
      <c r="Q150" s="766">
        <v>100</v>
      </c>
      <c r="R150" s="763"/>
      <c r="S150" s="766"/>
      <c r="T150" s="763"/>
      <c r="U150" s="766"/>
      <c r="V150" s="763"/>
      <c r="W150" s="766"/>
      <c r="X150" s="763"/>
      <c r="Y150" s="766"/>
      <c r="Z150" s="763"/>
      <c r="AA150" s="767"/>
    </row>
    <row r="151" spans="1:38" ht="15" thickBot="1">
      <c r="A151" s="806">
        <v>9.5</v>
      </c>
      <c r="B151" s="810" t="s">
        <v>2630</v>
      </c>
      <c r="C151" s="809"/>
      <c r="D151" s="763"/>
      <c r="E151" s="764"/>
      <c r="F151" s="765"/>
      <c r="G151" s="766"/>
      <c r="H151" s="763"/>
      <c r="I151" s="766"/>
      <c r="J151" s="763"/>
      <c r="K151" s="766"/>
      <c r="L151" s="763"/>
      <c r="M151" s="766"/>
      <c r="N151" s="763"/>
      <c r="O151" s="766"/>
      <c r="P151" s="763"/>
      <c r="Q151" s="766">
        <v>100</v>
      </c>
      <c r="R151" s="763">
        <v>8</v>
      </c>
      <c r="S151" s="766"/>
      <c r="T151" s="763"/>
      <c r="U151" s="766"/>
      <c r="V151" s="763"/>
      <c r="W151" s="766"/>
      <c r="X151" s="763"/>
      <c r="Y151" s="766"/>
      <c r="Z151" s="763"/>
      <c r="AA151" s="767"/>
    </row>
    <row r="152" spans="1:38" ht="15.75" thickBot="1">
      <c r="A152" s="964"/>
      <c r="B152" s="917" t="s">
        <v>2325</v>
      </c>
      <c r="C152" s="838">
        <f>SUM(C5:C151)</f>
        <v>6</v>
      </c>
      <c r="D152" s="814">
        <f>SUM(D5:D151)</f>
        <v>3</v>
      </c>
      <c r="E152" s="838">
        <f t="shared" ref="E152:Z152" si="0">SUM(E5:E151)</f>
        <v>8</v>
      </c>
      <c r="F152" s="814">
        <f t="shared" si="0"/>
        <v>4</v>
      </c>
      <c r="G152" s="838">
        <f t="shared" si="0"/>
        <v>0</v>
      </c>
      <c r="H152" s="814">
        <f t="shared" si="0"/>
        <v>0</v>
      </c>
      <c r="I152" s="838">
        <f t="shared" si="0"/>
        <v>4</v>
      </c>
      <c r="J152" s="814">
        <f t="shared" si="0"/>
        <v>2</v>
      </c>
      <c r="K152" s="838">
        <f t="shared" si="0"/>
        <v>72</v>
      </c>
      <c r="L152" s="814">
        <f t="shared" si="0"/>
        <v>10</v>
      </c>
      <c r="M152" s="838">
        <f t="shared" si="0"/>
        <v>19</v>
      </c>
      <c r="N152" s="814">
        <f t="shared" si="0"/>
        <v>9</v>
      </c>
      <c r="O152" s="838">
        <f t="shared" si="0"/>
        <v>53</v>
      </c>
      <c r="P152" s="814">
        <f t="shared" si="0"/>
        <v>16</v>
      </c>
      <c r="Q152" s="838">
        <f t="shared" si="0"/>
        <v>3369.7999999999997</v>
      </c>
      <c r="R152" s="814">
        <f t="shared" si="0"/>
        <v>650.4</v>
      </c>
      <c r="S152" s="838">
        <f t="shared" si="0"/>
        <v>0</v>
      </c>
      <c r="T152" s="814">
        <f t="shared" si="0"/>
        <v>0</v>
      </c>
      <c r="U152" s="838">
        <f t="shared" si="0"/>
        <v>0</v>
      </c>
      <c r="V152" s="814">
        <f t="shared" si="0"/>
        <v>0</v>
      </c>
      <c r="W152" s="838">
        <f t="shared" si="0"/>
        <v>0</v>
      </c>
      <c r="X152" s="814">
        <f t="shared" si="0"/>
        <v>0</v>
      </c>
      <c r="Y152" s="838">
        <f t="shared" si="0"/>
        <v>0</v>
      </c>
      <c r="Z152" s="814">
        <f t="shared" si="0"/>
        <v>0</v>
      </c>
      <c r="AA152" s="815">
        <f>SUM(AA5:AA151)</f>
        <v>1919.3500000000001</v>
      </c>
    </row>
    <row r="153" spans="1:38" ht="15" thickBot="1">
      <c r="A153" s="839"/>
      <c r="B153" s="840"/>
      <c r="C153" s="781"/>
      <c r="D153" s="781"/>
      <c r="E153" s="781"/>
      <c r="F153" s="781"/>
      <c r="G153" s="781"/>
      <c r="H153" s="781"/>
      <c r="I153" s="781"/>
      <c r="J153" s="781"/>
      <c r="K153" s="781"/>
      <c r="L153" s="781"/>
      <c r="M153" s="781"/>
      <c r="N153" s="781"/>
      <c r="O153" s="781"/>
      <c r="P153" s="781"/>
      <c r="Q153" s="781"/>
      <c r="R153" s="781"/>
      <c r="S153" s="781"/>
      <c r="T153" s="781"/>
      <c r="U153" s="781"/>
      <c r="V153" s="781"/>
      <c r="W153" s="781"/>
      <c r="X153" s="781"/>
      <c r="Y153" s="781"/>
      <c r="Z153" s="781"/>
      <c r="AA153" s="781"/>
      <c r="AB153" s="724"/>
      <c r="AC153" s="724"/>
      <c r="AD153" s="724"/>
      <c r="AE153" s="724"/>
      <c r="AF153" s="724"/>
      <c r="AG153" s="724"/>
      <c r="AH153" s="724"/>
      <c r="AI153" s="724"/>
      <c r="AJ153" s="724"/>
      <c r="AK153" s="724"/>
      <c r="AL153" s="724"/>
    </row>
    <row r="154" spans="1:38" ht="15" thickBot="1">
      <c r="A154" s="839"/>
      <c r="B154" s="724"/>
      <c r="C154" s="815">
        <f>SUM(C5:C145)</f>
        <v>6</v>
      </c>
      <c r="D154" s="815">
        <f t="shared" ref="D154:AA154" si="1">SUM(D5:D145)</f>
        <v>3</v>
      </c>
      <c r="E154" s="815">
        <f t="shared" si="1"/>
        <v>8</v>
      </c>
      <c r="F154" s="815">
        <f t="shared" si="1"/>
        <v>4</v>
      </c>
      <c r="G154" s="815">
        <f t="shared" si="1"/>
        <v>0</v>
      </c>
      <c r="H154" s="815">
        <f t="shared" si="1"/>
        <v>0</v>
      </c>
      <c r="I154" s="815">
        <f t="shared" si="1"/>
        <v>4</v>
      </c>
      <c r="J154" s="815">
        <f t="shared" si="1"/>
        <v>2</v>
      </c>
      <c r="K154" s="815">
        <f t="shared" si="1"/>
        <v>72</v>
      </c>
      <c r="L154" s="815">
        <f t="shared" si="1"/>
        <v>10</v>
      </c>
      <c r="M154" s="815">
        <f t="shared" si="1"/>
        <v>19</v>
      </c>
      <c r="N154" s="815">
        <f t="shared" si="1"/>
        <v>9</v>
      </c>
      <c r="O154" s="815">
        <f t="shared" si="1"/>
        <v>53</v>
      </c>
      <c r="P154" s="815">
        <f t="shared" si="1"/>
        <v>16</v>
      </c>
      <c r="Q154" s="815">
        <f t="shared" si="1"/>
        <v>2652</v>
      </c>
      <c r="R154" s="815">
        <f t="shared" si="1"/>
        <v>584</v>
      </c>
      <c r="S154" s="815">
        <f t="shared" si="1"/>
        <v>0</v>
      </c>
      <c r="T154" s="815">
        <f t="shared" si="1"/>
        <v>0</v>
      </c>
      <c r="U154" s="815">
        <f t="shared" si="1"/>
        <v>0</v>
      </c>
      <c r="V154" s="815">
        <f t="shared" si="1"/>
        <v>0</v>
      </c>
      <c r="W154" s="815">
        <f t="shared" si="1"/>
        <v>0</v>
      </c>
      <c r="X154" s="815">
        <f t="shared" si="1"/>
        <v>0</v>
      </c>
      <c r="Y154" s="815">
        <f t="shared" si="1"/>
        <v>0</v>
      </c>
      <c r="Z154" s="815">
        <f t="shared" si="1"/>
        <v>0</v>
      </c>
      <c r="AA154" s="815">
        <f t="shared" si="1"/>
        <v>1669</v>
      </c>
      <c r="AB154" s="724"/>
      <c r="AC154" s="724"/>
      <c r="AD154" s="724"/>
      <c r="AE154" s="724"/>
      <c r="AF154" s="724"/>
      <c r="AG154" s="724"/>
      <c r="AH154" s="724"/>
      <c r="AI154" s="724"/>
      <c r="AJ154" s="724"/>
      <c r="AK154" s="724"/>
      <c r="AL154" s="724"/>
    </row>
    <row r="155" spans="1:38" ht="15">
      <c r="A155" s="839"/>
      <c r="B155" s="965" t="s">
        <v>3678</v>
      </c>
      <c r="C155" s="781"/>
      <c r="D155" s="781"/>
      <c r="E155" s="781"/>
      <c r="F155" s="781"/>
      <c r="G155" s="781"/>
      <c r="H155" s="781"/>
      <c r="I155" s="781"/>
      <c r="J155" s="781"/>
      <c r="K155" s="781"/>
      <c r="L155" s="781"/>
      <c r="M155" s="781"/>
      <c r="N155" s="781"/>
      <c r="O155" s="781"/>
      <c r="P155" s="781"/>
      <c r="Q155" s="781"/>
      <c r="R155" s="781"/>
      <c r="S155" s="781"/>
      <c r="T155" s="781"/>
      <c r="U155" s="781"/>
      <c r="V155" s="781"/>
      <c r="W155" s="781"/>
      <c r="X155" s="781"/>
      <c r="Y155" s="781"/>
      <c r="Z155" s="781"/>
      <c r="AA155" s="781"/>
      <c r="AB155" s="724"/>
      <c r="AC155" s="724"/>
      <c r="AD155" s="724"/>
      <c r="AE155" s="724"/>
      <c r="AF155" s="724"/>
      <c r="AG155" s="724"/>
      <c r="AH155" s="724"/>
      <c r="AI155" s="724"/>
      <c r="AJ155" s="724"/>
      <c r="AK155" s="724"/>
      <c r="AL155" s="724"/>
    </row>
    <row r="156" spans="1:38" ht="14.25">
      <c r="A156" s="839"/>
      <c r="B156" s="966" t="s">
        <v>3679</v>
      </c>
      <c r="C156" s="781"/>
      <c r="D156" s="781"/>
      <c r="E156" s="781"/>
      <c r="F156" s="781"/>
      <c r="G156" s="781"/>
      <c r="H156" s="781"/>
      <c r="I156" s="781"/>
      <c r="J156" s="781"/>
      <c r="K156" s="781"/>
      <c r="L156" s="781"/>
      <c r="M156" s="781"/>
      <c r="N156" s="781"/>
      <c r="O156" s="781"/>
      <c r="P156" s="781"/>
      <c r="Q156" s="781"/>
      <c r="R156" s="781"/>
      <c r="S156" s="781"/>
      <c r="T156" s="781"/>
      <c r="U156" s="781"/>
      <c r="V156" s="781"/>
      <c r="W156" s="781"/>
      <c r="X156" s="781"/>
      <c r="Y156" s="781"/>
      <c r="Z156" s="781"/>
      <c r="AA156" s="781"/>
      <c r="AB156" s="724"/>
      <c r="AC156" s="724"/>
      <c r="AD156" s="724"/>
      <c r="AE156" s="724"/>
      <c r="AF156" s="724"/>
      <c r="AG156" s="724"/>
      <c r="AH156" s="724"/>
      <c r="AI156" s="724"/>
      <c r="AJ156" s="724"/>
      <c r="AK156" s="724"/>
      <c r="AL156" s="724"/>
    </row>
    <row r="157" spans="1:38" ht="14.25">
      <c r="A157" s="839"/>
      <c r="B157" s="966" t="s">
        <v>3680</v>
      </c>
      <c r="C157" s="781"/>
      <c r="D157" s="781"/>
      <c r="E157" s="781"/>
      <c r="F157" s="781"/>
      <c r="G157" s="781"/>
      <c r="H157" s="781"/>
      <c r="I157" s="781"/>
      <c r="J157" s="781"/>
      <c r="K157" s="781"/>
      <c r="L157" s="781"/>
      <c r="M157" s="781"/>
      <c r="N157" s="781"/>
      <c r="O157" s="781"/>
      <c r="P157" s="781"/>
      <c r="Q157" s="781"/>
      <c r="R157" s="781"/>
      <c r="S157" s="781"/>
      <c r="T157" s="781"/>
      <c r="U157" s="781"/>
      <c r="V157" s="781"/>
      <c r="W157" s="781"/>
      <c r="X157" s="781"/>
      <c r="Y157" s="781"/>
      <c r="Z157" s="781"/>
      <c r="AA157" s="781"/>
      <c r="AB157" s="724"/>
      <c r="AC157" s="724"/>
      <c r="AD157" s="724"/>
      <c r="AE157" s="724"/>
      <c r="AF157" s="724"/>
      <c r="AG157" s="724"/>
      <c r="AH157" s="724"/>
      <c r="AI157" s="724"/>
      <c r="AJ157" s="724"/>
      <c r="AK157" s="724"/>
      <c r="AL157" s="724"/>
    </row>
    <row r="158" spans="1:38" ht="14.25">
      <c r="A158" s="839"/>
      <c r="B158" s="966" t="s">
        <v>3681</v>
      </c>
      <c r="C158" s="781"/>
      <c r="D158" s="781"/>
      <c r="E158" s="781"/>
      <c r="F158" s="781"/>
      <c r="G158" s="781"/>
      <c r="H158" s="781"/>
      <c r="I158" s="781"/>
      <c r="J158" s="781"/>
      <c r="K158" s="781"/>
      <c r="L158" s="781"/>
      <c r="M158" s="781"/>
      <c r="N158" s="781"/>
      <c r="O158" s="781"/>
      <c r="P158" s="781"/>
      <c r="Q158" s="781"/>
      <c r="R158" s="781"/>
      <c r="S158" s="781"/>
      <c r="T158" s="781"/>
      <c r="U158" s="781"/>
      <c r="V158" s="781"/>
      <c r="W158" s="781"/>
      <c r="X158" s="781"/>
      <c r="Y158" s="781"/>
      <c r="Z158" s="781"/>
      <c r="AA158" s="781"/>
      <c r="AB158" s="724"/>
      <c r="AC158" s="724"/>
      <c r="AD158" s="724"/>
      <c r="AE158" s="724"/>
      <c r="AF158" s="724"/>
      <c r="AG158" s="724"/>
      <c r="AH158" s="724"/>
      <c r="AI158" s="724"/>
      <c r="AJ158" s="724"/>
      <c r="AK158" s="724"/>
      <c r="AL158" s="724"/>
    </row>
    <row r="159" spans="1:38" ht="14.25">
      <c r="A159" s="839"/>
      <c r="B159" s="840" t="s">
        <v>3573</v>
      </c>
      <c r="C159" s="781"/>
      <c r="D159" s="781"/>
      <c r="E159" s="781"/>
      <c r="F159" s="781"/>
      <c r="G159" s="781"/>
      <c r="H159" s="781"/>
      <c r="I159" s="781"/>
      <c r="J159" s="781"/>
      <c r="K159" s="781"/>
      <c r="L159" s="781"/>
      <c r="M159" s="781"/>
      <c r="N159" s="781"/>
      <c r="O159" s="781"/>
      <c r="P159" s="781"/>
      <c r="Q159" s="781"/>
      <c r="R159" s="781"/>
      <c r="S159" s="781"/>
      <c r="T159" s="781"/>
      <c r="U159" s="781"/>
      <c r="V159" s="781"/>
      <c r="W159" s="781"/>
      <c r="X159" s="781"/>
      <c r="Y159" s="781"/>
      <c r="Z159" s="781"/>
      <c r="AA159" s="781"/>
      <c r="AB159" s="724"/>
      <c r="AC159" s="724"/>
      <c r="AD159" s="724"/>
      <c r="AE159" s="724"/>
      <c r="AF159" s="724"/>
      <c r="AG159" s="724"/>
      <c r="AH159" s="724"/>
      <c r="AI159" s="724"/>
      <c r="AJ159" s="724"/>
      <c r="AK159" s="724"/>
      <c r="AL159" s="724"/>
    </row>
    <row r="160" spans="1:38" ht="14.25">
      <c r="A160" s="839"/>
      <c r="B160" s="966"/>
      <c r="C160" s="781"/>
      <c r="D160" s="781"/>
      <c r="E160" s="781"/>
      <c r="F160" s="781"/>
      <c r="G160" s="781"/>
      <c r="H160" s="781"/>
      <c r="I160" s="781"/>
      <c r="J160" s="781"/>
      <c r="K160" s="781"/>
      <c r="L160" s="781"/>
      <c r="M160" s="781"/>
      <c r="N160" s="781"/>
      <c r="O160" s="781"/>
      <c r="P160" s="781"/>
      <c r="Q160" s="781"/>
      <c r="R160" s="781"/>
      <c r="S160" s="781"/>
      <c r="T160" s="781"/>
      <c r="U160" s="781"/>
      <c r="V160" s="781"/>
      <c r="W160" s="781"/>
      <c r="X160" s="781"/>
      <c r="Y160" s="781"/>
      <c r="Z160" s="781"/>
      <c r="AA160" s="781"/>
      <c r="AB160" s="724"/>
      <c r="AC160" s="724"/>
      <c r="AD160" s="724"/>
      <c r="AE160" s="724"/>
      <c r="AF160" s="724"/>
      <c r="AG160" s="724"/>
      <c r="AH160" s="724"/>
      <c r="AI160" s="724"/>
      <c r="AJ160" s="724"/>
      <c r="AK160" s="724"/>
      <c r="AL160" s="724"/>
    </row>
  </sheetData>
  <mergeCells count="18">
    <mergeCell ref="S3:T3"/>
    <mergeCell ref="U3:V3"/>
    <mergeCell ref="W3:X3"/>
    <mergeCell ref="B1:X1"/>
    <mergeCell ref="Y1:AA1"/>
    <mergeCell ref="A2:AA2"/>
    <mergeCell ref="A3:A4"/>
    <mergeCell ref="B3:B4"/>
    <mergeCell ref="C3:D3"/>
    <mergeCell ref="E3:F3"/>
    <mergeCell ref="G3:H3"/>
    <mergeCell ref="I3:J3"/>
    <mergeCell ref="K3:L3"/>
    <mergeCell ref="Y3:Z3"/>
    <mergeCell ref="AA3:AA4"/>
    <mergeCell ref="M3:N3"/>
    <mergeCell ref="O3:P3"/>
    <mergeCell ref="Q3:R3"/>
  </mergeCells>
  <conditionalFormatting sqref="B6:B18">
    <cfRule type="expression" dxfId="236" priority="190" stopIfTrue="1">
      <formula>IF(AND(AH1048561&lt;&gt;"",AH1048561&gt;15),1,0)</formula>
    </cfRule>
    <cfRule type="expression" dxfId="235" priority="191" stopIfTrue="1">
      <formula>IF(AND(O1048562&lt;&gt;"",O1048562&gt;15),1,0)</formula>
    </cfRule>
  </conditionalFormatting>
  <conditionalFormatting sqref="B6:B20">
    <cfRule type="expression" dxfId="234" priority="176" stopIfTrue="1">
      <formula>IF(AND(O1048561&lt;&gt;"",O1048561&gt;15),1,0)</formula>
    </cfRule>
    <cfRule type="expression" dxfId="233" priority="111" stopIfTrue="1">
      <formula>IF(AND(AH1048560&lt;&gt;"",AH1048560&gt;15),1,0)</formula>
    </cfRule>
  </conditionalFormatting>
  <conditionalFormatting sqref="B15:B16">
    <cfRule type="expression" dxfId="232" priority="3" stopIfTrue="1">
      <formula>IF(AND(O19&lt;&gt;"",O19&gt;15),1,0)</formula>
    </cfRule>
    <cfRule type="expression" dxfId="231" priority="4" stopIfTrue="1">
      <formula>IF(AND(AH19&lt;&gt;"",AH19&gt;15),1,0)</formula>
    </cfRule>
  </conditionalFormatting>
  <conditionalFormatting sqref="B18">
    <cfRule type="expression" dxfId="230" priority="77" stopIfTrue="1">
      <formula>IF(AND(AH23&lt;&gt;"",AH23&gt;15),1,0)</formula>
    </cfRule>
    <cfRule type="expression" dxfId="229" priority="76" stopIfTrue="1">
      <formula>IF(AND(AH1048571&lt;&gt;"",AH1048571&gt;15),1,0)</formula>
    </cfRule>
  </conditionalFormatting>
  <conditionalFormatting sqref="B18:B20">
    <cfRule type="expression" dxfId="228" priority="219" stopIfTrue="1">
      <formula>IF(AND(O1&lt;&gt;"",O1&gt;15),1,0)</formula>
    </cfRule>
    <cfRule type="expression" dxfId="227" priority="74" stopIfTrue="1">
      <formula>IF(AND(O1048572&lt;&gt;"",O1048572&gt;15),1,0)</formula>
    </cfRule>
    <cfRule type="expression" dxfId="226" priority="75" stopIfTrue="1">
      <formula>IF(AND(O23&lt;&gt;"",O23&gt;15),1,0)</formula>
    </cfRule>
  </conditionalFormatting>
  <conditionalFormatting sqref="B19:B20">
    <cfRule type="expression" dxfId="225" priority="112" stopIfTrue="1">
      <formula>IF(AND(AH1048572&lt;&gt;"",AH1048572&gt;15),1,0)</formula>
    </cfRule>
  </conditionalFormatting>
  <conditionalFormatting sqref="B20">
    <cfRule type="expression" dxfId="224" priority="28" stopIfTrue="1">
      <formula>IF(AND(AH1048573&lt;&gt;"",AH1048573&gt;15),1,0)</formula>
    </cfRule>
    <cfRule type="expression" dxfId="223" priority="29" stopIfTrue="1">
      <formula>IF(AND(O1048570&lt;&gt;"",O1048570&gt;15),1,0)</formula>
    </cfRule>
    <cfRule type="expression" dxfId="222" priority="30" stopIfTrue="1">
      <formula>IF(AND(O1048572&lt;&gt;"",O1048572&gt;15),1,0)</formula>
    </cfRule>
    <cfRule type="expression" dxfId="221" priority="31" stopIfTrue="1">
      <formula>IF(AND(O1048571&lt;&gt;"",O1048571&gt;15),1,0)</formula>
    </cfRule>
    <cfRule type="expression" dxfId="220" priority="32" stopIfTrue="1">
      <formula>IF(AND(AH1048570&lt;&gt;"",AH1048570&gt;15),1,0)</formula>
    </cfRule>
    <cfRule type="expression" dxfId="219" priority="33" stopIfTrue="1">
      <formula>IF(AND(AH1048571&lt;&gt;"",AH1048571&gt;15),1,0)</formula>
    </cfRule>
    <cfRule type="expression" dxfId="218" priority="26" stopIfTrue="1">
      <formula>IF(AND(AH9&lt;&gt;"",AH9&gt;15),1,0)</formula>
    </cfRule>
    <cfRule type="expression" dxfId="217" priority="21" stopIfTrue="1">
      <formula>IF(AND(O7&lt;&gt;"",O7&gt;15),1,0)</formula>
    </cfRule>
    <cfRule type="expression" dxfId="216" priority="22" stopIfTrue="1">
      <formula>IF(AND(AH7&lt;&gt;"",AH7&gt;15),1,0)</formula>
    </cfRule>
    <cfRule type="expression" dxfId="215" priority="23" stopIfTrue="1">
      <formula>IF(AND(O8&lt;&gt;"",O8&gt;15),1,0)</formula>
    </cfRule>
    <cfRule type="expression" dxfId="214" priority="24" stopIfTrue="1">
      <formula>IF(AND(AH8&lt;&gt;"",AH8&gt;15),1,0)</formula>
    </cfRule>
    <cfRule type="expression" dxfId="213" priority="25" stopIfTrue="1">
      <formula>IF(AND(O9&lt;&gt;"",O9&gt;15),1,0)</formula>
    </cfRule>
    <cfRule type="expression" dxfId="212" priority="34" stopIfTrue="1">
      <formula>IF(AND(AH1048572&lt;&gt;"",AH1048572&gt;15),1,0)</formula>
    </cfRule>
    <cfRule type="expression" dxfId="211" priority="27" stopIfTrue="1">
      <formula>IF(AND(O1048573&lt;&gt;"",O1048573&gt;15),1,0)</formula>
    </cfRule>
  </conditionalFormatting>
  <conditionalFormatting sqref="B22:B29 B48:B49 B51 B120:B126 B6:B18">
    <cfRule type="expression" dxfId="210" priority="199" stopIfTrue="1">
      <formula>IF(AND(O1048570&lt;&gt;"",O1048570&gt;15),1,0)</formula>
    </cfRule>
  </conditionalFormatting>
  <conditionalFormatting sqref="B22:B40">
    <cfRule type="expression" dxfId="209" priority="218" stopIfTrue="1">
      <formula>IF(AND(O1048560&lt;&gt;"",O1048560&gt;15),1,0)</formula>
    </cfRule>
  </conditionalFormatting>
  <conditionalFormatting sqref="B30 B43:B47 B52:B57">
    <cfRule type="expression" dxfId="208" priority="80" stopIfTrue="1">
      <formula>IF(AND(O19&lt;&gt;"",O19&gt;15),1,0)</formula>
    </cfRule>
  </conditionalFormatting>
  <conditionalFormatting sqref="B40:B41">
    <cfRule type="expression" dxfId="207" priority="216" stopIfTrue="1">
      <formula>IF(AND(#REF!&lt;&gt;"",#REF!&gt;15),1,0)</formula>
    </cfRule>
    <cfRule type="expression" dxfId="206" priority="38" stopIfTrue="1">
      <formula>IF(AND(AH44&lt;&gt;"",AH44&gt;15),1,0)</formula>
    </cfRule>
    <cfRule type="expression" dxfId="205" priority="35" stopIfTrue="1">
      <formula>IF(AND(O29&lt;&gt;"",O29&gt;15),1,0)</formula>
    </cfRule>
    <cfRule type="expression" dxfId="204" priority="37" stopIfTrue="1">
      <formula>IF(AND(AH29&lt;&gt;"",AH29&gt;15),1,0)</formula>
    </cfRule>
    <cfRule type="expression" dxfId="203" priority="36" stopIfTrue="1">
      <formula>IF(AND(O44&lt;&gt;"",O44&gt;15),1,0)</formula>
    </cfRule>
  </conditionalFormatting>
  <conditionalFormatting sqref="B43:B47 B52 B54:B63">
    <cfRule type="expression" dxfId="202" priority="81" stopIfTrue="1">
      <formula>IF(AND(O10&lt;&gt;"",O10&gt;15),1,0)</formula>
    </cfRule>
  </conditionalFormatting>
  <conditionalFormatting sqref="B43:B47 B52:B57 B30">
    <cfRule type="expression" dxfId="201" priority="115" stopIfTrue="1">
      <formula>IF(AND(AH19&lt;&gt;"",AH19&gt;15),1,0)</formula>
    </cfRule>
  </conditionalFormatting>
  <conditionalFormatting sqref="B43:B47 B54:B63 B52 B128:B129">
    <cfRule type="expression" dxfId="200" priority="114" stopIfTrue="1">
      <formula>IF(AND(AH10&lt;&gt;"",AH10&gt;15),1,0)</formula>
    </cfRule>
  </conditionalFormatting>
  <conditionalFormatting sqref="B43:B49 B51 B53">
    <cfRule type="expression" dxfId="199" priority="208" stopIfTrue="1">
      <formula>IF(AND(O9&lt;&gt;"",O9&gt;15),1,0)</formula>
    </cfRule>
  </conditionalFormatting>
  <conditionalFormatting sqref="B43:B49 B53 B51">
    <cfRule type="expression" dxfId="198" priority="186" stopIfTrue="1">
      <formula>IF(AND(AH9&lt;&gt;"",AH9&gt;15),1,0)</formula>
    </cfRule>
  </conditionalFormatting>
  <conditionalFormatting sqref="B48:B49 B51 B120:B126 B22:B29">
    <cfRule type="expression" dxfId="197" priority="198" stopIfTrue="1">
      <formula>IF(AND(AH10&lt;&gt;"",AH10&gt;15),1,0)</formula>
    </cfRule>
  </conditionalFormatting>
  <conditionalFormatting sqref="B48:B49 B97">
    <cfRule type="expression" dxfId="196" priority="183" stopIfTrue="1">
      <formula>IF(AND(O13&lt;&gt;"",O13&gt;15),1,0)</formula>
    </cfRule>
  </conditionalFormatting>
  <conditionalFormatting sqref="B51:B52">
    <cfRule type="expression" dxfId="195" priority="85" stopIfTrue="1">
      <formula>IF(AND(O55&lt;&gt;"",O55&gt;15),1,0)</formula>
    </cfRule>
    <cfRule type="expression" dxfId="194" priority="122" stopIfTrue="1">
      <formula>IF(AND(AH55&lt;&gt;"",AH55&gt;15),1,0)</formula>
    </cfRule>
    <cfRule type="expression" dxfId="193" priority="215" stopIfTrue="1">
      <formula>IF(AND(O16&lt;&gt;"",O16&gt;15),1,0)</formula>
    </cfRule>
    <cfRule type="expression" dxfId="192" priority="214" stopIfTrue="1">
      <formula>IF(AND(AH16&lt;&gt;"",AH16&gt;15),1,0)</formula>
    </cfRule>
  </conditionalFormatting>
  <conditionalFormatting sqref="B53">
    <cfRule type="expression" dxfId="191" priority="129" stopIfTrue="1">
      <formula>IF(AND(AH56&lt;&gt;"",AH56&gt;15),1,0)</formula>
    </cfRule>
    <cfRule type="expression" dxfId="190" priority="92" stopIfTrue="1">
      <formula>IF(AND(O56&lt;&gt;"",O56&gt;15),1,0)</formula>
    </cfRule>
  </conditionalFormatting>
  <conditionalFormatting sqref="B53:B63">
    <cfRule type="expression" dxfId="189" priority="116" stopIfTrue="1">
      <formula>IF(AND(AH21&lt;&gt;"",AH21&gt;15),1,0)</formula>
    </cfRule>
  </conditionalFormatting>
  <conditionalFormatting sqref="B54:B57 B15:B18">
    <cfRule type="expression" dxfId="188" priority="88" stopIfTrue="1">
      <formula>IF(AND(O21&lt;&gt;"",O21&gt;15),1,0)</formula>
    </cfRule>
    <cfRule type="expression" dxfId="187" priority="125" stopIfTrue="1">
      <formula>IF(AND(AH21&lt;&gt;"",AH21&gt;15),1,0)</formula>
    </cfRule>
  </conditionalFormatting>
  <conditionalFormatting sqref="B59:B62 B64 B102:B103">
    <cfRule type="expression" dxfId="186" priority="126" stopIfTrue="1">
      <formula>IF(AND(AH53&lt;&gt;"",AH53&gt;15),1,0)</formula>
    </cfRule>
    <cfRule type="expression" dxfId="185" priority="89" stopIfTrue="1">
      <formula>IF(AND(O53&lt;&gt;"",O53&gt;15),1,0)</formula>
    </cfRule>
  </conditionalFormatting>
  <conditionalFormatting sqref="B63 B147:B151">
    <cfRule type="expression" dxfId="184" priority="90" stopIfTrue="1">
      <formula>IF(AND(#REF!&lt;&gt;"",#REF!&gt;15),1,0)</formula>
    </cfRule>
  </conditionalFormatting>
  <conditionalFormatting sqref="B63">
    <cfRule type="expression" dxfId="183" priority="127" stopIfTrue="1">
      <formula>IF(AND(#REF!&lt;&gt;"",#REF!&gt;15),1,0)</formula>
    </cfRule>
  </conditionalFormatting>
  <conditionalFormatting sqref="B64 B93 B98:B99 B106 B122:B126">
    <cfRule type="expression" dxfId="182" priority="164" stopIfTrue="1">
      <formula>IF(AND(O35&lt;&gt;"",O35&gt;15),1,0)</formula>
    </cfRule>
  </conditionalFormatting>
  <conditionalFormatting sqref="B64">
    <cfRule type="expression" dxfId="181" priority="110" stopIfTrue="1">
      <formula>IF(AND(O63&lt;&gt;"",O63&gt;15),1,0)</formula>
    </cfRule>
    <cfRule type="expression" dxfId="180" priority="147" stopIfTrue="1">
      <formula>IF(AND(AH63&lt;&gt;"",AH63&gt;15),1,0)</formula>
    </cfRule>
  </conditionalFormatting>
  <conditionalFormatting sqref="B65:B66 B69:B73 B89:B90 B102:B105">
    <cfRule type="expression" dxfId="179" priority="154" stopIfTrue="1">
      <formula>IF(AND(AH38&lt;&gt;"",AH38&gt;15),1,0)</formula>
    </cfRule>
  </conditionalFormatting>
  <conditionalFormatting sqref="B65:B66">
    <cfRule type="expression" dxfId="178" priority="159" stopIfTrue="1">
      <formula>IF(AND(#REF!&lt;&gt;"",#REF!&gt;15),1,0)</formula>
    </cfRule>
    <cfRule type="expression" dxfId="177" priority="152" stopIfTrue="1">
      <formula>IF(AND(#REF!&lt;&gt;"",#REF!&gt;15),1,0)</formula>
    </cfRule>
  </conditionalFormatting>
  <conditionalFormatting sqref="B65:B68 B110:B112">
    <cfRule type="expression" dxfId="176" priority="160" stopIfTrue="1">
      <formula>IF(AND(AH61&lt;&gt;"",AH61&gt;15),1,0)</formula>
    </cfRule>
    <cfRule type="expression" dxfId="175" priority="163" stopIfTrue="1">
      <formula>IF(AND(O61&lt;&gt;"",O61&gt;15),1,0)</formula>
    </cfRule>
  </conditionalFormatting>
  <conditionalFormatting sqref="B66:B68 B73:B88 B100:B105">
    <cfRule type="expression" dxfId="174" priority="168" stopIfTrue="1">
      <formula>IF(AND(O41&lt;&gt;"",O41&gt;15),1,0)</formula>
    </cfRule>
  </conditionalFormatting>
  <conditionalFormatting sqref="B67:B69">
    <cfRule type="expression" dxfId="173" priority="104" stopIfTrue="1">
      <formula>IF(AND(O65&lt;&gt;"",O65&gt;15),1,0)</formula>
    </cfRule>
    <cfRule type="expression" dxfId="172" priority="141" stopIfTrue="1">
      <formula>IF(AND(AH65&lt;&gt;"",AH65&gt;15),1,0)</formula>
    </cfRule>
  </conditionalFormatting>
  <conditionalFormatting sqref="B70:B74">
    <cfRule type="expression" dxfId="171" priority="103" stopIfTrue="1">
      <formula>IF(AND(O72&lt;&gt;"",O72&gt;15),1,0)</formula>
    </cfRule>
    <cfRule type="expression" dxfId="170" priority="140" stopIfTrue="1">
      <formula>IF(AND(AH72&lt;&gt;"",AH72&gt;15),1,0)</formula>
    </cfRule>
  </conditionalFormatting>
  <conditionalFormatting sqref="B73">
    <cfRule type="expression" dxfId="169" priority="162" stopIfTrue="1">
      <formula>IF(AND(AH64&lt;&gt;"",AH64&gt;15),1,0)</formula>
    </cfRule>
    <cfRule type="expression" dxfId="168" priority="165" stopIfTrue="1">
      <formula>IF(AND(O64&lt;&gt;"",O64&gt;15),1,0)</formula>
    </cfRule>
  </conditionalFormatting>
  <conditionalFormatting sqref="B74:B75 B69:B72 B113:B114">
    <cfRule type="expression" dxfId="167" priority="149" stopIfTrue="1">
      <formula>IF(AND(#REF!&lt;&gt;"",#REF!&gt;15),1,0)</formula>
    </cfRule>
  </conditionalFormatting>
  <conditionalFormatting sqref="B74:B89 B102:B105 B65 B67:B72">
    <cfRule type="expression" dxfId="166" priority="102" stopIfTrue="1">
      <formula>IF(AND(O39&lt;&gt;"",O39&gt;15),1,0)</formula>
    </cfRule>
  </conditionalFormatting>
  <conditionalFormatting sqref="B74:B89 B102:B105 B67:B72 B65">
    <cfRule type="expression" dxfId="165" priority="139" stopIfTrue="1">
      <formula>IF(AND(AH39&lt;&gt;"",AH39&gt;15),1,0)</formula>
    </cfRule>
  </conditionalFormatting>
  <conditionalFormatting sqref="B75:B77">
    <cfRule type="expression" dxfId="164" priority="107" stopIfTrue="1">
      <formula>IF(AND(O78&lt;&gt;"",O78&gt;15),1,0)</formula>
    </cfRule>
    <cfRule type="expression" dxfId="163" priority="144" stopIfTrue="1">
      <formula>IF(AND(AH78&lt;&gt;"",AH78&gt;15),1,0)</formula>
    </cfRule>
  </conditionalFormatting>
  <conditionalFormatting sqref="B76:B78 B122:B126">
    <cfRule type="expression" dxfId="162" priority="173" stopIfTrue="1">
      <formula>IF(AND(O65&lt;&gt;"",O65&gt;15),1,0)</formula>
    </cfRule>
    <cfRule type="expression" dxfId="161" priority="171" stopIfTrue="1">
      <formula>IF(AND(AH65&lt;&gt;"",AH65&gt;15),1,0)</formula>
    </cfRule>
  </conditionalFormatting>
  <conditionalFormatting sqref="B78:B79 B22:B35 B6:B13 B48:B49">
    <cfRule type="expression" dxfId="160" priority="106" stopIfTrue="1">
      <formula>IF(AND(O10&lt;&gt;"",O10&gt;15),1,0)</formula>
    </cfRule>
    <cfRule type="expression" dxfId="159" priority="143" stopIfTrue="1">
      <formula>IF(AND(AH10&lt;&gt;"",AH10&gt;15),1,0)</formula>
    </cfRule>
  </conditionalFormatting>
  <conditionalFormatting sqref="B80 B36:B40 B43:B47 B14">
    <cfRule type="expression" dxfId="158" priority="105" stopIfTrue="1">
      <formula>IF(AND(O19&lt;&gt;"",O19&gt;15),1,0)</formula>
    </cfRule>
  </conditionalFormatting>
  <conditionalFormatting sqref="B80 B36:B40 B43:B47 B19:B20 B14">
    <cfRule type="expression" dxfId="157" priority="142" stopIfTrue="1">
      <formula>IF(AND(AH19&lt;&gt;"",AH19&gt;15),1,0)</formula>
    </cfRule>
  </conditionalFormatting>
  <conditionalFormatting sqref="B81">
    <cfRule type="expression" dxfId="156" priority="109" stopIfTrue="1">
      <formula>IF(AND(O88&lt;&gt;"",O88&gt;15),1,0)</formula>
    </cfRule>
    <cfRule type="expression" dxfId="155" priority="146" stopIfTrue="1">
      <formula>IF(AND(AH88&lt;&gt;"",AH88&gt;15),1,0)</formula>
    </cfRule>
  </conditionalFormatting>
  <conditionalFormatting sqref="B82:B84">
    <cfRule type="expression" dxfId="154" priority="137" stopIfTrue="1">
      <formula>IF(AND(AH85&lt;&gt;"",AH85&gt;15),1,0)</formula>
    </cfRule>
    <cfRule type="expression" dxfId="153" priority="100" stopIfTrue="1">
      <formula>IF(AND(O85&lt;&gt;"",O85&gt;15),1,0)</formula>
    </cfRule>
  </conditionalFormatting>
  <conditionalFormatting sqref="B85:B86">
    <cfRule type="expression" dxfId="152" priority="136" stopIfTrue="1">
      <formula>IF(AND(AH89&lt;&gt;"",AH89&gt;15),1,0)</formula>
    </cfRule>
    <cfRule type="expression" dxfId="151" priority="99" stopIfTrue="1">
      <formula>IF(AND(O89&lt;&gt;"",O89&gt;15),1,0)</formula>
    </cfRule>
  </conditionalFormatting>
  <conditionalFormatting sqref="B87">
    <cfRule type="expression" dxfId="150" priority="135" stopIfTrue="1">
      <formula>IF(AND(AH92&lt;&gt;"",AH92&gt;15),1,0)</formula>
    </cfRule>
    <cfRule type="expression" dxfId="149" priority="98" stopIfTrue="1">
      <formula>IF(AND(O92&lt;&gt;"",O92&gt;15),1,0)</formula>
    </cfRule>
  </conditionalFormatting>
  <conditionalFormatting sqref="B88">
    <cfRule type="expression" dxfId="148" priority="138" stopIfTrue="1">
      <formula>IF(AND(AH95&lt;&gt;"",AH95&gt;15),1,0)</formula>
    </cfRule>
    <cfRule type="expression" dxfId="147" priority="101" stopIfTrue="1">
      <formula>IF(AND(O95&lt;&gt;"",O95&gt;15),1,0)</formula>
    </cfRule>
  </conditionalFormatting>
  <conditionalFormatting sqref="B89:B90 B65:B66 B69:B73 B102:B105">
    <cfRule type="expression" dxfId="146" priority="156" stopIfTrue="1">
      <formula>IF(AND(O38&lt;&gt;"",O38&gt;15),1,0)</formula>
    </cfRule>
  </conditionalFormatting>
  <conditionalFormatting sqref="B89:B96 B137:B140">
    <cfRule type="expression" dxfId="145" priority="148" stopIfTrue="1">
      <formula>IF(AND(#REF!&lt;&gt;"",#REF!&gt;15),1,0)</formula>
    </cfRule>
  </conditionalFormatting>
  <conditionalFormatting sqref="B90:B93">
    <cfRule type="expression" dxfId="144" priority="155" stopIfTrue="1">
      <formula>IF(AND(#REF!&lt;&gt;"",#REF!&gt;15),1,0)</formula>
    </cfRule>
  </conditionalFormatting>
  <conditionalFormatting sqref="B90:B96">
    <cfRule type="expression" dxfId="143" priority="157" stopIfTrue="1">
      <formula>IF(AND(#REF!&lt;&gt;"",#REF!&gt;15),1,0)</formula>
    </cfRule>
  </conditionalFormatting>
  <conditionalFormatting sqref="B91">
    <cfRule type="expression" dxfId="142" priority="19" stopIfTrue="1">
      <formula>IF(AND(O65&lt;&gt;"",O65&gt;15),1,0)</formula>
    </cfRule>
    <cfRule type="expression" dxfId="141" priority="18" stopIfTrue="1">
      <formula>IF(AND(AH64&lt;&gt;"",AH64&gt;15),1,0)</formula>
    </cfRule>
    <cfRule type="expression" dxfId="140" priority="17" stopIfTrue="1">
      <formula>IF(AND(O64&lt;&gt;"",O64&gt;15),1,0)</formula>
    </cfRule>
    <cfRule type="expression" dxfId="139" priority="20" stopIfTrue="1">
      <formula>IF(AND(AH65&lt;&gt;"",AH65&gt;15),1,0)</formula>
    </cfRule>
  </conditionalFormatting>
  <conditionalFormatting sqref="B91:B92">
    <cfRule type="expression" dxfId="138" priority="96" stopIfTrue="1">
      <formula>IF(AND(Q92&lt;&gt;"",Q92&gt;15),1,0)</formula>
    </cfRule>
    <cfRule type="expression" dxfId="137" priority="133" stopIfTrue="1">
      <formula>IF(AND(AJ92&lt;&gt;"",AJ92&gt;15),1,0)</formula>
    </cfRule>
  </conditionalFormatting>
  <conditionalFormatting sqref="B93 B64 B98:B99 B106 B122:B126">
    <cfRule type="expression" dxfId="136" priority="161" stopIfTrue="1">
      <formula>IF(AND(AH35&lt;&gt;"",AH35&gt;15),1,0)</formula>
    </cfRule>
  </conditionalFormatting>
  <conditionalFormatting sqref="B93">
    <cfRule type="expression" dxfId="135" priority="94" stopIfTrue="1">
      <formula>IF(AND(O53&lt;&gt;"",O53&gt;15),1,0)</formula>
    </cfRule>
    <cfRule type="expression" dxfId="134" priority="131" stopIfTrue="1">
      <formula>IF(AND(AH53&lt;&gt;"",AH53&gt;15),1,0)</formula>
    </cfRule>
  </conditionalFormatting>
  <conditionalFormatting sqref="B94 B120:B126 B97 B99">
    <cfRule type="expression" dxfId="133" priority="121" stopIfTrue="1">
      <formula>IF(AND(AH64&lt;&gt;"",AH64&gt;15),1,0)</formula>
    </cfRule>
    <cfRule type="expression" dxfId="132" priority="84" stopIfTrue="1">
      <formula>IF(AND(O64&lt;&gt;"",O64&gt;15),1,0)</formula>
    </cfRule>
  </conditionalFormatting>
  <conditionalFormatting sqref="B94:B96">
    <cfRule type="expression" dxfId="131" priority="95" stopIfTrue="1">
      <formula>IF(AND(O58&lt;&gt;"",O58&gt;15),1,0)</formula>
    </cfRule>
    <cfRule type="expression" dxfId="130" priority="132" stopIfTrue="1">
      <formula>IF(AND(AH58&lt;&gt;"",AH58&gt;15),1,0)</formula>
    </cfRule>
  </conditionalFormatting>
  <conditionalFormatting sqref="B95:B98 B120:B126">
    <cfRule type="expression" dxfId="129" priority="117" stopIfTrue="1">
      <formula>IF(AND(AH64&lt;&gt;"",AH64&gt;15),1,0)</formula>
    </cfRule>
    <cfRule type="expression" dxfId="128" priority="113" stopIfTrue="1">
      <formula>IF(AND(O64&lt;&gt;"",O64&gt;15),1,0)</formula>
    </cfRule>
  </conditionalFormatting>
  <conditionalFormatting sqref="B97 B48:B49">
    <cfRule type="expression" dxfId="127" priority="182" stopIfTrue="1">
      <formula>IF(AND(AH13&lt;&gt;"",AH13&gt;15),1,0)</formula>
    </cfRule>
  </conditionalFormatting>
  <conditionalFormatting sqref="B97:B99 B53:B63">
    <cfRule type="expression" dxfId="126" priority="172" stopIfTrue="1">
      <formula>IF(AND(O21&lt;&gt;"",O21&gt;15),1,0)</formula>
    </cfRule>
  </conditionalFormatting>
  <conditionalFormatting sqref="B97:B99 B58 B106">
    <cfRule type="expression" dxfId="125" priority="91" stopIfTrue="1">
      <formula>IF(AND(O49&lt;&gt;"",O49&gt;15),1,0)</formula>
    </cfRule>
    <cfRule type="expression" dxfId="124" priority="128" stopIfTrue="1">
      <formula>IF(AND(AH49&lt;&gt;"",AH49&gt;15),1,0)</formula>
    </cfRule>
  </conditionalFormatting>
  <conditionalFormatting sqref="B97:B99">
    <cfRule type="expression" dxfId="123" priority="170" stopIfTrue="1">
      <formula>IF(AND(AH65&lt;&gt;"",AH65&gt;15),1,0)</formula>
    </cfRule>
  </conditionalFormatting>
  <conditionalFormatting sqref="B98">
    <cfRule type="expression" dxfId="122" priority="93" stopIfTrue="1">
      <formula>IF(AND(O57&lt;&gt;"",O57&gt;15),1,0)</formula>
    </cfRule>
    <cfRule type="expression" dxfId="121" priority="130" stopIfTrue="1">
      <formula>IF(AND(AH57&lt;&gt;"",AH57&gt;15),1,0)</formula>
    </cfRule>
  </conditionalFormatting>
  <conditionalFormatting sqref="B99">
    <cfRule type="expression" dxfId="120" priority="124" stopIfTrue="1">
      <formula>IF(AND(AH63&lt;&gt;"",AH63&gt;15),1,0)</formula>
    </cfRule>
    <cfRule type="expression" dxfId="119" priority="87" stopIfTrue="1">
      <formula>IF(AND(O63&lt;&gt;"",O63&gt;15),1,0)</formula>
    </cfRule>
  </conditionalFormatting>
  <conditionalFormatting sqref="B100:B101">
    <cfRule type="expression" dxfId="118" priority="120" stopIfTrue="1">
      <formula>IF(AND(AH77&lt;&gt;"",AH77&gt;15),1,0)</formula>
    </cfRule>
    <cfRule type="expression" dxfId="117" priority="188" stopIfTrue="1">
      <formula>IF(AND(O77&lt;&gt;"",O77&gt;15),1,0)</formula>
    </cfRule>
  </conditionalFormatting>
  <conditionalFormatting sqref="B100:B103">
    <cfRule type="expression" dxfId="116" priority="166" stopIfTrue="1">
      <formula>IF(AND(AH76&lt;&gt;"",AH76&gt;15),1,0)</formula>
    </cfRule>
    <cfRule type="expression" dxfId="115" priority="169" stopIfTrue="1">
      <formula>IF(AND(O76&lt;&gt;"",O76&gt;15),1,0)</formula>
    </cfRule>
  </conditionalFormatting>
  <conditionalFormatting sqref="B100:B105 B73:B88 B66:B68">
    <cfRule type="expression" dxfId="114" priority="167" stopIfTrue="1">
      <formula>IF(AND(AH41&lt;&gt;"",AH41&gt;15),1,0)</formula>
    </cfRule>
  </conditionalFormatting>
  <conditionalFormatting sqref="B100:B105">
    <cfRule type="expression" dxfId="113" priority="184" stopIfTrue="1">
      <formula>IF(AND(#REF!&lt;&gt;"",#REF!&gt;15),1,0)</formula>
    </cfRule>
  </conditionalFormatting>
  <conditionalFormatting sqref="B101">
    <cfRule type="expression" dxfId="112" priority="67" stopIfTrue="1">
      <formula>IF(AND(AH74&lt;&gt;"",AH74&gt;15),1,0)</formula>
    </cfRule>
    <cfRule type="expression" dxfId="111" priority="68" stopIfTrue="1">
      <formula>IF(AND(O75&lt;&gt;"",O75&gt;15),1,0)</formula>
    </cfRule>
    <cfRule type="expression" dxfId="110" priority="66" stopIfTrue="1">
      <formula>IF(AND(O74&lt;&gt;"",O74&gt;15),1,0)</formula>
    </cfRule>
    <cfRule type="expression" dxfId="109" priority="65" stopIfTrue="1">
      <formula>IF(AND(AH95&lt;&gt;"",AH95&gt;15),1,0)</formula>
    </cfRule>
    <cfRule type="expression" dxfId="108" priority="69" stopIfTrue="1">
      <formula>IF(AND(AH75&lt;&gt;"",AH75&gt;15),1,0)</formula>
    </cfRule>
    <cfRule type="expression" dxfId="107" priority="64" stopIfTrue="1">
      <formula>IF(AND(O95&lt;&gt;"",O95&gt;15),1,0)</formula>
    </cfRule>
  </conditionalFormatting>
  <conditionalFormatting sqref="B103">
    <cfRule type="expression" dxfId="106" priority="55" stopIfTrue="1">
      <formula>IF(AND(AH96&lt;&gt;"",AH96&gt;15),1,0)</formula>
    </cfRule>
    <cfRule type="expression" dxfId="105" priority="54" stopIfTrue="1">
      <formula>IF(AND(O96&lt;&gt;"",O96&gt;15),1,0)</formula>
    </cfRule>
  </conditionalFormatting>
  <conditionalFormatting sqref="B104:B105 B134">
    <cfRule type="expression" dxfId="104" priority="177" stopIfTrue="1">
      <formula>IF(AND(O97&lt;&gt;"",O97&gt;15),1,0)</formula>
    </cfRule>
    <cfRule type="expression" dxfId="103" priority="175" stopIfTrue="1">
      <formula>IF(AND(AH97&lt;&gt;"",AH97&gt;15),1,0)</formula>
    </cfRule>
  </conditionalFormatting>
  <conditionalFormatting sqref="B104:B105">
    <cfRule type="expression" dxfId="102" priority="53" stopIfTrue="1">
      <formula>IF(AND(AH96&lt;&gt;"",AH96&gt;15),1,0)</formula>
    </cfRule>
    <cfRule type="expression" dxfId="101" priority="52" stopIfTrue="1">
      <formula>IF(AND(O96&lt;&gt;"",O96&gt;15),1,0)</formula>
    </cfRule>
    <cfRule type="expression" dxfId="100" priority="50" stopIfTrue="1">
      <formula>IF(AND(O75&lt;&gt;"",O75&gt;15),1,0)</formula>
    </cfRule>
    <cfRule type="expression" dxfId="99" priority="51" stopIfTrue="1">
      <formula>IF(AND(AH75&lt;&gt;"",AH75&gt;15),1,0)</formula>
    </cfRule>
  </conditionalFormatting>
  <conditionalFormatting sqref="B105">
    <cfRule type="expression" dxfId="98" priority="41" stopIfTrue="1">
      <formula>IF(AND(O76&lt;&gt;"",O76&gt;15),1,0)</formula>
    </cfRule>
    <cfRule type="expression" dxfId="97" priority="40" stopIfTrue="1">
      <formula>IF(AND(AH75&lt;&gt;"",AH75&gt;15),1,0)</formula>
    </cfRule>
    <cfRule type="expression" dxfId="96" priority="39" stopIfTrue="1">
      <formula>IF(AND(O75&lt;&gt;"",O75&gt;15),1,0)</formula>
    </cfRule>
    <cfRule type="expression" dxfId="95" priority="44" stopIfTrue="1">
      <formula>IF(AND(AH96&lt;&gt;"",AH96&gt;15),1,0)</formula>
    </cfRule>
    <cfRule type="expression" dxfId="94" priority="42" stopIfTrue="1">
      <formula>IF(AND(AH76&lt;&gt;"",AH76&gt;15),1,0)</formula>
    </cfRule>
    <cfRule type="expression" dxfId="93" priority="43" stopIfTrue="1">
      <formula>IF(AND(O96&lt;&gt;"",O96&gt;15),1,0)</formula>
    </cfRule>
  </conditionalFormatting>
  <conditionalFormatting sqref="B106">
    <cfRule type="expression" dxfId="92" priority="196" stopIfTrue="1">
      <formula>IF(AND(AH76&lt;&gt;"",AH76&gt;15),1,0)</formula>
    </cfRule>
    <cfRule type="expression" dxfId="91" priority="197" stopIfTrue="1">
      <formula>IF(AND(O76&lt;&gt;"",O76&gt;15),1,0)</formula>
    </cfRule>
  </conditionalFormatting>
  <conditionalFormatting sqref="B108:B109">
    <cfRule type="expression" dxfId="90" priority="194" stopIfTrue="1">
      <formula>IF(AND(AH99&lt;&gt;"",AH99&gt;15),1,0)</formula>
    </cfRule>
    <cfRule type="expression" dxfId="89" priority="195" stopIfTrue="1">
      <formula>IF(AND(O99&lt;&gt;"",O99&gt;15),1,0)</formula>
    </cfRule>
  </conditionalFormatting>
  <conditionalFormatting sqref="B108:B119 B103:B106 B122:B126 B64">
    <cfRule type="expression" dxfId="88" priority="82" stopIfTrue="1">
      <formula>IF(AND(O36&lt;&gt;"",O36&gt;15),1,0)</formula>
    </cfRule>
  </conditionalFormatting>
  <conditionalFormatting sqref="B108:B119">
    <cfRule type="expression" dxfId="87" priority="63" stopIfTrue="1">
      <formula>IF(AND(AH79&lt;&gt;"",AH79&gt;15),1,0)</formula>
    </cfRule>
    <cfRule type="expression" dxfId="86" priority="62" stopIfTrue="1">
      <formula>IF(AND(O79&lt;&gt;"",O79&gt;15),1,0)</formula>
    </cfRule>
  </conditionalFormatting>
  <conditionalFormatting sqref="B115">
    <cfRule type="expression" dxfId="85" priority="200" stopIfTrue="1">
      <formula>IF(AND(AH100&lt;&gt;"",AH100&gt;15),1,0)</formula>
    </cfRule>
    <cfRule type="expression" dxfId="84" priority="201" stopIfTrue="1">
      <formula>IF(AND(O100&lt;&gt;"",O100&gt;15),1,0)</formula>
    </cfRule>
  </conditionalFormatting>
  <conditionalFormatting sqref="B116:B119 B122:B126 B58:B63 B31:B40 B79:B96">
    <cfRule type="expression" dxfId="83" priority="83" stopIfTrue="1">
      <formula>IF(AND(O21&lt;&gt;"",O21&gt;15),1,0)</formula>
    </cfRule>
  </conditionalFormatting>
  <conditionalFormatting sqref="B116:B119 B122:B126 B79:B96 B58:B63 B31:B40">
    <cfRule type="expression" dxfId="82" priority="119" stopIfTrue="1">
      <formula>IF(AND(AH21&lt;&gt;"",AH21&gt;15),1,0)</formula>
    </cfRule>
  </conditionalFormatting>
  <conditionalFormatting sqref="B118:B119">
    <cfRule type="expression" dxfId="81" priority="73" stopIfTrue="1">
      <formula>IF(AND(AH88&lt;&gt;"",AH88&gt;15),1,0)</formula>
    </cfRule>
    <cfRule type="expression" dxfId="80" priority="70" stopIfTrue="1">
      <formula>IF(AND(O107&lt;&gt;"",O107&gt;15),1,0)</formula>
    </cfRule>
    <cfRule type="expression" dxfId="79" priority="71" stopIfTrue="1">
      <formula>IF(AND(AH107&lt;&gt;"",AH107&gt;15),1,0)</formula>
    </cfRule>
    <cfRule type="expression" dxfId="78" priority="72" stopIfTrue="1">
      <formula>IF(AND(O88&lt;&gt;"",O88&gt;15),1,0)</formula>
    </cfRule>
  </conditionalFormatting>
  <conditionalFormatting sqref="B122:B126 B64 B103:B106 B108:B119">
    <cfRule type="expression" dxfId="77" priority="118" stopIfTrue="1">
      <formula>IF(AND(AH36&lt;&gt;"",AH36&gt;15),1,0)</formula>
    </cfRule>
  </conditionalFormatting>
  <conditionalFormatting sqref="B123:B124">
    <cfRule type="expression" dxfId="76" priority="174" stopIfTrue="1">
      <formula>IF(AND(#REF!&lt;&gt;"",#REF!&gt;15),1,0)</formula>
    </cfRule>
  </conditionalFormatting>
  <conditionalFormatting sqref="B125:B126">
    <cfRule type="expression" dxfId="75" priority="49" stopIfTrue="1">
      <formula>IF(AND(AH99&lt;&gt;"",AH99&gt;15),1,0)</formula>
    </cfRule>
  </conditionalFormatting>
  <conditionalFormatting sqref="B126">
    <cfRule type="expression" dxfId="74" priority="46" stopIfTrue="1">
      <formula>IF(AND(AH113&lt;&gt;"",AH113&gt;15),1,0)</formula>
    </cfRule>
    <cfRule type="expression" dxfId="73" priority="45" stopIfTrue="1">
      <formula>IF(AND(O113&lt;&gt;"",O113&gt;15),1,0)</formula>
    </cfRule>
    <cfRule type="expression" dxfId="72" priority="48" stopIfTrue="1">
      <formula>IF(AND(AH94&lt;&gt;"",AH94&gt;15),1,0)</formula>
    </cfRule>
    <cfRule type="expression" dxfId="71" priority="47" stopIfTrue="1">
      <formula>IF(AND(O94&lt;&gt;"",O94&gt;15),1,0)</formula>
    </cfRule>
  </conditionalFormatting>
  <conditionalFormatting sqref="B128:B129">
    <cfRule type="expression" dxfId="70" priority="79" stopIfTrue="1">
      <formula>IF(AND(O95&lt;&gt;"",O95&gt;15),1,0)</formula>
    </cfRule>
  </conditionalFormatting>
  <conditionalFormatting sqref="B128:B132">
    <cfRule type="expression" dxfId="69" priority="209" stopIfTrue="1">
      <formula>IF(AND(AH113&lt;&gt;"",AH113&gt;15),1,0)</formula>
    </cfRule>
    <cfRule type="expression" dxfId="68" priority="204" stopIfTrue="1">
      <formula>IF(AND(O113&lt;&gt;"",O113&gt;15),1,0)</formula>
    </cfRule>
  </conditionalFormatting>
  <conditionalFormatting sqref="B130">
    <cfRule type="expression" dxfId="67" priority="187" stopIfTrue="1">
      <formula>IF(AND(#REF!&lt;&gt;"",#REF!&gt;15),1,0)</formula>
    </cfRule>
  </conditionalFormatting>
  <conditionalFormatting sqref="B131:B134">
    <cfRule type="expression" dxfId="66" priority="213" stopIfTrue="1">
      <formula>IF(AND(AH97&lt;&gt;"",AH97&gt;15),1,0)</formula>
    </cfRule>
    <cfRule type="expression" dxfId="65" priority="212" stopIfTrue="1">
      <formula>IF(AND(O97&lt;&gt;"",O97&gt;15),1,0)</formula>
    </cfRule>
  </conditionalFormatting>
  <conditionalFormatting sqref="B133">
    <cfRule type="expression" dxfId="64" priority="206" stopIfTrue="1">
      <formula>IF(AND(AH120&lt;&gt;"",AH120&gt;15),1,0)</formula>
    </cfRule>
    <cfRule type="expression" dxfId="63" priority="207" stopIfTrue="1">
      <formula>IF(AND(O120&lt;&gt;"",O120&gt;15),1,0)</formula>
    </cfRule>
  </conditionalFormatting>
  <conditionalFormatting sqref="B134">
    <cfRule type="expression" dxfId="62" priority="61" stopIfTrue="1">
      <formula>IF(AND(AH120&lt;&gt;"",AH120&gt;15),1,0)</formula>
    </cfRule>
    <cfRule type="expression" dxfId="61" priority="60" stopIfTrue="1">
      <formula>IF(AND(O120&lt;&gt;"",O120&gt;15),1,0)</formula>
    </cfRule>
  </conditionalFormatting>
  <conditionalFormatting sqref="B134:B135">
    <cfRule type="expression" dxfId="60" priority="210" stopIfTrue="1">
      <formula>IF(AND(AH99&lt;&gt;"",AH99&gt;15),1,0)</formula>
    </cfRule>
    <cfRule type="expression" dxfId="59" priority="211" stopIfTrue="1">
      <formula>IF(AND(O99&lt;&gt;"",O99&gt;15),1,0)</formula>
    </cfRule>
  </conditionalFormatting>
  <conditionalFormatting sqref="B135">
    <cfRule type="expression" dxfId="58" priority="202" stopIfTrue="1">
      <formula>IF(AND(AH127&lt;&gt;"",AH127&gt;15),1,0)</formula>
    </cfRule>
    <cfRule type="expression" dxfId="57" priority="203" stopIfTrue="1">
      <formula>IF(AND(O127&lt;&gt;"",O127&gt;15),1,0)</formula>
    </cfRule>
  </conditionalFormatting>
  <conditionalFormatting sqref="B141">
    <cfRule type="expression" dxfId="56" priority="192" stopIfTrue="1">
      <formula>IF(AND(AH100&lt;&gt;"",AH100&gt;15),1,0)</formula>
    </cfRule>
    <cfRule type="expression" dxfId="55" priority="193" stopIfTrue="1">
      <formula>IF(AND(O100&lt;&gt;"",O100&gt;15),1,0)</formula>
    </cfRule>
  </conditionalFormatting>
  <conditionalFormatting sqref="B142:B144">
    <cfRule type="expression" dxfId="54" priority="78" stopIfTrue="1">
      <formula>IF(AND(O106&lt;&gt;"",O106&gt;15),1,0)</formula>
    </cfRule>
    <cfRule type="expression" dxfId="53" priority="205" stopIfTrue="1">
      <formula>IF(AND(AH106&lt;&gt;"",AH106&gt;15),1,0)</formula>
    </cfRule>
  </conditionalFormatting>
  <conditionalFormatting sqref="B144">
    <cfRule type="expression" dxfId="52" priority="56" stopIfTrue="1">
      <formula>IF(AND(#REF!&lt;&gt;"",#REF!&gt;15),1,0)</formula>
    </cfRule>
  </conditionalFormatting>
  <conditionalFormatting sqref="B144:B145 B147:B151">
    <cfRule type="expression" dxfId="51" priority="58" stopIfTrue="1">
      <formula>IF(AND(AH107&lt;&gt;"",AH107&gt;15),1,0)</formula>
    </cfRule>
    <cfRule type="expression" dxfId="50" priority="57" stopIfTrue="1">
      <formula>IF(AND(O107&lt;&gt;"",O107&gt;15),1,0)</formula>
    </cfRule>
  </conditionalFormatting>
  <conditionalFormatting sqref="B144:B145">
    <cfRule type="expression" dxfId="49" priority="59" stopIfTrue="1">
      <formula>IF(AND(#REF!&lt;&gt;"",#REF!&gt;15),1,0)</formula>
    </cfRule>
  </conditionalFormatting>
  <conditionalFormatting sqref="B147:B151">
    <cfRule type="expression" dxfId="48" priority="13" stopIfTrue="1">
      <formula>IF(AND(AJ161&lt;&gt;"",AJ161&gt;15),1,0)</formula>
    </cfRule>
    <cfRule type="expression" dxfId="47" priority="15" stopIfTrue="1">
      <formula>IF(AND(AJ145&lt;&gt;"",AJ145&gt;15),1,0)</formula>
    </cfRule>
    <cfRule type="expression" dxfId="46" priority="5" stopIfTrue="1">
      <formula>IF(AND(#REF!&lt;&gt;"",#REF!&gt;15),1,0)</formula>
    </cfRule>
    <cfRule type="expression" dxfId="45" priority="6" stopIfTrue="1">
      <formula>IF(AND(#REF!&lt;&gt;"",#REF!&gt;15),1,0)</formula>
    </cfRule>
  </conditionalFormatting>
  <conditionalFormatting sqref="B156:B157">
    <cfRule type="expression" dxfId="44" priority="2" stopIfTrue="1">
      <formula>IF(AND(#REF!&lt;&gt;"",#REF!&gt;15),1,0)</formula>
    </cfRule>
  </conditionalFormatting>
  <conditionalFormatting sqref="B158 B160">
    <cfRule type="expression" dxfId="43" priority="1" stopIfTrue="1">
      <formula>IF(AND(AH127&lt;&gt;"",AH127&gt;15),1,0)</formula>
    </cfRule>
  </conditionalFormatting>
  <conditionalFormatting sqref="M146:N151 AA146:AA151">
    <cfRule type="expression" dxfId="42" priority="12" stopIfTrue="1">
      <formula>IF(AND(AY143&lt;&gt;"",AY143&gt;15),1,0)</formula>
    </cfRule>
    <cfRule type="expression" dxfId="41" priority="11" stopIfTrue="1">
      <formula>IF(AND(AY142&lt;&gt;"",AY142&gt;15),1,0)</formula>
    </cfRule>
    <cfRule type="expression" dxfId="40" priority="14" stopIfTrue="1">
      <formula>IF(AND(#REF!&lt;&gt;"",#REF!&gt;15),1,0)</formula>
    </cfRule>
    <cfRule type="expression" dxfId="39" priority="7" stopIfTrue="1">
      <formula>IF(AND(#REF!&lt;&gt;"",#REF!&gt;15),1,0)</formula>
    </cfRule>
  </conditionalFormatting>
  <conditionalFormatting sqref="M146:N151">
    <cfRule type="expression" dxfId="38" priority="10" stopIfTrue="1">
      <formula>IF(AND(AY144&lt;&gt;"",AY144&gt;15),1,0)</formula>
    </cfRule>
    <cfRule type="expression" dxfId="37" priority="9" stopIfTrue="1">
      <formula>IF(AND(AY160&lt;&gt;"",AY160&gt;15),1,0)</formula>
    </cfRule>
  </conditionalFormatting>
  <conditionalFormatting sqref="AA146:AA151">
    <cfRule type="expression" dxfId="36" priority="8" stopIfTrue="1">
      <formula>IF(AND(BM144&lt;&gt;"",BM144&gt;15),1,0)</formula>
    </cfRule>
    <cfRule type="expression" dxfId="35" priority="16" stopIfTrue="1">
      <formula>IF(AND(BM160&lt;&gt;"",BM160&gt;15),1,0)</formula>
    </cfRule>
  </conditionalFormatting>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6"/>
  <dimension ref="A1:AN734"/>
  <sheetViews>
    <sheetView rightToLeft="1" topLeftCell="A79" workbookViewId="0">
      <selection activeCell="F12" sqref="F12"/>
    </sheetView>
  </sheetViews>
  <sheetFormatPr defaultColWidth="5.140625" defaultRowHeight="14.25" outlineLevelRow="2"/>
  <cols>
    <col min="1" max="1" width="8.7109375" style="993" customWidth="1"/>
    <col min="2" max="2" width="79" style="990" customWidth="1"/>
    <col min="3" max="3" width="5.42578125" style="940" customWidth="1"/>
    <col min="4" max="4" width="5.28515625" style="940" customWidth="1"/>
    <col min="5" max="5" width="5.42578125" style="940" customWidth="1"/>
    <col min="6" max="6" width="5.28515625" style="940" customWidth="1"/>
    <col min="7" max="7" width="5.42578125" style="940" customWidth="1"/>
    <col min="8" max="8" width="5.28515625" style="940" customWidth="1"/>
    <col min="9" max="9" width="5.42578125" style="940" customWidth="1"/>
    <col min="10" max="10" width="5.28515625" style="940" customWidth="1"/>
    <col min="11" max="11" width="5.42578125" style="940" customWidth="1"/>
    <col min="12" max="12" width="5.28515625" style="940" customWidth="1"/>
    <col min="13" max="13" width="5.42578125" style="940" customWidth="1"/>
    <col min="14" max="14" width="5.28515625" style="940" customWidth="1"/>
    <col min="15" max="15" width="5.42578125" style="940" customWidth="1"/>
    <col min="16" max="16" width="5.28515625" style="940" customWidth="1"/>
    <col min="17" max="17" width="5.42578125" style="940" customWidth="1"/>
    <col min="18" max="18" width="5.28515625" style="940" customWidth="1"/>
    <col min="19" max="19" width="6.42578125" style="940" customWidth="1"/>
    <col min="20" max="20" width="5.28515625" style="940" customWidth="1"/>
    <col min="21" max="21" width="5.42578125" style="940" customWidth="1"/>
    <col min="22" max="22" width="5.28515625" style="940" customWidth="1"/>
    <col min="23" max="23" width="5.42578125" style="940" customWidth="1"/>
    <col min="24" max="24" width="5.28515625" style="940" customWidth="1"/>
    <col min="25" max="25" width="5.42578125" style="940" customWidth="1"/>
    <col min="26" max="26" width="5.28515625" style="940" customWidth="1"/>
    <col min="27" max="27" width="10.28515625" style="940" customWidth="1"/>
    <col min="28" max="136" width="9" style="968" customWidth="1"/>
    <col min="137" max="16384" width="5.140625" style="968"/>
  </cols>
  <sheetData>
    <row r="1" spans="1:40" s="724" customFormat="1" ht="77.25" customHeight="1" thickBot="1">
      <c r="A1" s="723"/>
      <c r="B1" s="2333"/>
      <c r="C1" s="2333"/>
      <c r="D1" s="2333"/>
      <c r="E1" s="2333"/>
      <c r="F1" s="2333"/>
      <c r="G1" s="2333"/>
      <c r="H1" s="2333"/>
      <c r="I1" s="2333"/>
      <c r="J1" s="2333"/>
      <c r="K1" s="2333"/>
      <c r="L1" s="2333"/>
      <c r="M1" s="2333"/>
      <c r="N1" s="2333"/>
      <c r="O1" s="2333"/>
      <c r="P1" s="2333"/>
      <c r="Q1" s="2333"/>
      <c r="R1" s="2333"/>
      <c r="S1" s="2333"/>
      <c r="T1" s="2333"/>
      <c r="U1" s="2333"/>
      <c r="V1" s="2333"/>
      <c r="W1" s="2333"/>
      <c r="X1" s="2333"/>
      <c r="Y1" s="2334"/>
      <c r="Z1" s="2334"/>
      <c r="AA1" s="2335"/>
    </row>
    <row r="2" spans="1:40" s="967" customFormat="1" ht="31.5" customHeight="1" thickBot="1">
      <c r="A2" s="2336" t="s">
        <v>2316</v>
      </c>
      <c r="B2" s="2337"/>
      <c r="C2" s="2337"/>
      <c r="D2" s="2337"/>
      <c r="E2" s="2337"/>
      <c r="F2" s="2337"/>
      <c r="G2" s="2337"/>
      <c r="H2" s="2337"/>
      <c r="I2" s="2337"/>
      <c r="J2" s="2337"/>
      <c r="K2" s="2337"/>
      <c r="L2" s="2337"/>
      <c r="M2" s="2337"/>
      <c r="N2" s="2337"/>
      <c r="O2" s="2337"/>
      <c r="P2" s="2337"/>
      <c r="Q2" s="2337"/>
      <c r="R2" s="2337"/>
      <c r="S2" s="2337"/>
      <c r="T2" s="2337"/>
      <c r="U2" s="2337"/>
      <c r="V2" s="2337"/>
      <c r="W2" s="2337"/>
      <c r="X2" s="2337"/>
      <c r="Y2" s="2337"/>
      <c r="Z2" s="2337"/>
      <c r="AA2" s="2338"/>
      <c r="AB2" s="725"/>
      <c r="AC2" s="725"/>
      <c r="AD2" s="725"/>
      <c r="AE2" s="725"/>
      <c r="AF2" s="725"/>
      <c r="AG2" s="725"/>
      <c r="AH2" s="725"/>
      <c r="AI2" s="725"/>
      <c r="AJ2" s="725"/>
      <c r="AK2" s="725"/>
      <c r="AL2" s="725"/>
      <c r="AM2" s="725"/>
      <c r="AN2" s="725"/>
    </row>
    <row r="3" spans="1:40" s="969" customFormat="1" ht="16.5" customHeight="1">
      <c r="A3" s="2349" t="s">
        <v>2306</v>
      </c>
      <c r="B3" s="2351" t="s">
        <v>2307</v>
      </c>
      <c r="C3" s="2331" t="s">
        <v>2255</v>
      </c>
      <c r="D3" s="2332"/>
      <c r="E3" s="2331" t="s">
        <v>2256</v>
      </c>
      <c r="F3" s="2332"/>
      <c r="G3" s="2331" t="s">
        <v>2257</v>
      </c>
      <c r="H3" s="2332"/>
      <c r="I3" s="2331" t="s">
        <v>2258</v>
      </c>
      <c r="J3" s="2332"/>
      <c r="K3" s="2331" t="s">
        <v>2259</v>
      </c>
      <c r="L3" s="2332"/>
      <c r="M3" s="2331" t="s">
        <v>2260</v>
      </c>
      <c r="N3" s="2332"/>
      <c r="O3" s="2331" t="s">
        <v>2261</v>
      </c>
      <c r="P3" s="2332"/>
      <c r="Q3" s="2331" t="s">
        <v>2262</v>
      </c>
      <c r="R3" s="2332"/>
      <c r="S3" s="2331" t="s">
        <v>2263</v>
      </c>
      <c r="T3" s="2332"/>
      <c r="U3" s="2331" t="s">
        <v>2264</v>
      </c>
      <c r="V3" s="2332"/>
      <c r="W3" s="2331" t="s">
        <v>2265</v>
      </c>
      <c r="X3" s="2332"/>
      <c r="Y3" s="2331" t="s">
        <v>2266</v>
      </c>
      <c r="Z3" s="2332"/>
      <c r="AA3" s="2353" t="s">
        <v>2267</v>
      </c>
      <c r="AB3" s="968"/>
      <c r="AC3" s="968"/>
      <c r="AD3" s="968"/>
      <c r="AE3" s="968"/>
      <c r="AF3" s="968"/>
      <c r="AG3" s="968"/>
      <c r="AH3" s="968"/>
      <c r="AI3" s="968"/>
      <c r="AJ3" s="968"/>
      <c r="AK3" s="968"/>
      <c r="AL3" s="968"/>
      <c r="AM3" s="968"/>
      <c r="AN3" s="968"/>
    </row>
    <row r="4" spans="1:40" ht="34.5" customHeight="1" thickBot="1">
      <c r="A4" s="2350"/>
      <c r="B4" s="2352"/>
      <c r="C4" s="866" t="s">
        <v>2269</v>
      </c>
      <c r="D4" s="867" t="s">
        <v>2270</v>
      </c>
      <c r="E4" s="866" t="s">
        <v>2269</v>
      </c>
      <c r="F4" s="867" t="s">
        <v>2270</v>
      </c>
      <c r="G4" s="866" t="s">
        <v>2269</v>
      </c>
      <c r="H4" s="867" t="s">
        <v>2270</v>
      </c>
      <c r="I4" s="866" t="s">
        <v>2269</v>
      </c>
      <c r="J4" s="867" t="s">
        <v>2270</v>
      </c>
      <c r="K4" s="866" t="s">
        <v>2269</v>
      </c>
      <c r="L4" s="867" t="s">
        <v>2270</v>
      </c>
      <c r="M4" s="866" t="s">
        <v>2269</v>
      </c>
      <c r="N4" s="867" t="s">
        <v>2270</v>
      </c>
      <c r="O4" s="866" t="s">
        <v>2269</v>
      </c>
      <c r="P4" s="867" t="s">
        <v>2270</v>
      </c>
      <c r="Q4" s="866" t="s">
        <v>2269</v>
      </c>
      <c r="R4" s="867" t="s">
        <v>2270</v>
      </c>
      <c r="S4" s="866" t="s">
        <v>2269</v>
      </c>
      <c r="T4" s="867" t="s">
        <v>2270</v>
      </c>
      <c r="U4" s="866" t="s">
        <v>2269</v>
      </c>
      <c r="V4" s="867" t="s">
        <v>2270</v>
      </c>
      <c r="W4" s="866" t="s">
        <v>2269</v>
      </c>
      <c r="X4" s="867" t="s">
        <v>2270</v>
      </c>
      <c r="Y4" s="866" t="s">
        <v>2269</v>
      </c>
      <c r="Z4" s="867" t="s">
        <v>2270</v>
      </c>
      <c r="AA4" s="2354"/>
    </row>
    <row r="5" spans="1:40" s="974" customFormat="1" ht="20.100000000000001" customHeight="1">
      <c r="A5" s="970">
        <v>1</v>
      </c>
      <c r="B5" s="869" t="s">
        <v>3702</v>
      </c>
      <c r="C5" s="870"/>
      <c r="D5" s="871"/>
      <c r="E5" s="872"/>
      <c r="F5" s="871"/>
      <c r="G5" s="872"/>
      <c r="H5" s="871"/>
      <c r="I5" s="872"/>
      <c r="J5" s="871"/>
      <c r="K5" s="872"/>
      <c r="L5" s="871"/>
      <c r="M5" s="872"/>
      <c r="N5" s="871"/>
      <c r="O5" s="872"/>
      <c r="P5" s="871"/>
      <c r="Q5" s="872"/>
      <c r="R5" s="871"/>
      <c r="S5" s="971">
        <v>16</v>
      </c>
      <c r="T5" s="972">
        <v>3</v>
      </c>
      <c r="U5" s="872"/>
      <c r="V5" s="871"/>
      <c r="W5" s="872"/>
      <c r="X5" s="871"/>
      <c r="Y5" s="872"/>
      <c r="Z5" s="871"/>
      <c r="AA5" s="973"/>
      <c r="AB5" s="968"/>
      <c r="AC5" s="968"/>
      <c r="AD5" s="968"/>
      <c r="AE5" s="968"/>
      <c r="AF5" s="968"/>
      <c r="AG5" s="968"/>
      <c r="AH5" s="968"/>
      <c r="AI5" s="968"/>
      <c r="AJ5" s="968"/>
      <c r="AK5" s="968"/>
      <c r="AL5" s="968"/>
      <c r="AM5" s="968"/>
      <c r="AN5" s="968"/>
    </row>
    <row r="6" spans="1:40" s="974" customFormat="1" ht="20.100000000000001" customHeight="1">
      <c r="A6" s="909">
        <v>2</v>
      </c>
      <c r="B6" s="975" t="s">
        <v>3703</v>
      </c>
      <c r="C6" s="803"/>
      <c r="D6" s="804"/>
      <c r="E6" s="805"/>
      <c r="F6" s="804"/>
      <c r="G6" s="805"/>
      <c r="H6" s="804"/>
      <c r="I6" s="805"/>
      <c r="J6" s="804"/>
      <c r="K6" s="805"/>
      <c r="L6" s="804"/>
      <c r="M6" s="805"/>
      <c r="N6" s="804"/>
      <c r="O6" s="805"/>
      <c r="P6" s="804"/>
      <c r="Q6" s="805"/>
      <c r="R6" s="804"/>
      <c r="S6" s="976">
        <v>10</v>
      </c>
      <c r="T6" s="977">
        <v>3</v>
      </c>
      <c r="U6" s="805"/>
      <c r="V6" s="804"/>
      <c r="W6" s="805"/>
      <c r="X6" s="804"/>
      <c r="Y6" s="805"/>
      <c r="Z6" s="804"/>
      <c r="AA6" s="978">
        <v>40</v>
      </c>
      <c r="AB6" s="968"/>
      <c r="AC6" s="968"/>
      <c r="AD6" s="968"/>
      <c r="AE6" s="968"/>
      <c r="AF6" s="968"/>
      <c r="AG6" s="968"/>
      <c r="AH6" s="968"/>
      <c r="AI6" s="968"/>
      <c r="AJ6" s="968"/>
      <c r="AK6" s="968"/>
      <c r="AL6" s="968"/>
      <c r="AM6" s="968"/>
      <c r="AN6" s="968"/>
    </row>
    <row r="7" spans="1:40" s="974" customFormat="1" ht="20.100000000000001" customHeight="1">
      <c r="A7" s="909">
        <v>3</v>
      </c>
      <c r="B7" s="975" t="s">
        <v>3704</v>
      </c>
      <c r="C7" s="803"/>
      <c r="D7" s="804"/>
      <c r="E7" s="805"/>
      <c r="F7" s="804"/>
      <c r="G7" s="805"/>
      <c r="H7" s="804"/>
      <c r="I7" s="805"/>
      <c r="J7" s="804"/>
      <c r="K7" s="805"/>
      <c r="L7" s="804"/>
      <c r="M7" s="805"/>
      <c r="N7" s="804"/>
      <c r="O7" s="805"/>
      <c r="P7" s="804"/>
      <c r="Q7" s="805"/>
      <c r="R7" s="804"/>
      <c r="S7" s="976"/>
      <c r="T7" s="977"/>
      <c r="U7" s="805"/>
      <c r="V7" s="804"/>
      <c r="W7" s="805"/>
      <c r="X7" s="804"/>
      <c r="Y7" s="805"/>
      <c r="Z7" s="804"/>
      <c r="AA7" s="978"/>
      <c r="AB7" s="968"/>
      <c r="AC7" s="968"/>
      <c r="AD7" s="968"/>
      <c r="AE7" s="968"/>
      <c r="AF7" s="968"/>
      <c r="AG7" s="968"/>
      <c r="AH7" s="968"/>
      <c r="AI7" s="968"/>
      <c r="AJ7" s="968"/>
      <c r="AK7" s="968"/>
      <c r="AL7" s="968"/>
      <c r="AM7" s="968"/>
      <c r="AN7" s="968"/>
    </row>
    <row r="8" spans="1:40" s="974" customFormat="1" ht="20.100000000000001" customHeight="1" outlineLevel="1">
      <c r="A8" s="979">
        <v>3.1</v>
      </c>
      <c r="B8" s="980" t="s">
        <v>3705</v>
      </c>
      <c r="C8" s="803"/>
      <c r="D8" s="804"/>
      <c r="E8" s="805"/>
      <c r="F8" s="804"/>
      <c r="G8" s="805"/>
      <c r="H8" s="804"/>
      <c r="I8" s="805"/>
      <c r="J8" s="804"/>
      <c r="K8" s="805"/>
      <c r="L8" s="804"/>
      <c r="M8" s="805"/>
      <c r="N8" s="804"/>
      <c r="O8" s="805"/>
      <c r="P8" s="804"/>
      <c r="Q8" s="805"/>
      <c r="R8" s="804"/>
      <c r="S8" s="976"/>
      <c r="T8" s="977"/>
      <c r="U8" s="805"/>
      <c r="V8" s="804"/>
      <c r="W8" s="805"/>
      <c r="X8" s="804"/>
      <c r="Y8" s="805"/>
      <c r="Z8" s="804"/>
      <c r="AA8" s="978"/>
      <c r="AB8" s="968"/>
      <c r="AC8" s="968"/>
      <c r="AD8" s="968"/>
      <c r="AE8" s="968"/>
      <c r="AF8" s="968"/>
      <c r="AG8" s="968"/>
      <c r="AH8" s="968"/>
      <c r="AI8" s="968"/>
      <c r="AJ8" s="968"/>
      <c r="AK8" s="968"/>
      <c r="AL8" s="968"/>
      <c r="AM8" s="968"/>
      <c r="AN8" s="968"/>
    </row>
    <row r="9" spans="1:40" s="974" customFormat="1" ht="33" customHeight="1" outlineLevel="2">
      <c r="A9" s="981" t="s">
        <v>3706</v>
      </c>
      <c r="B9" s="982" t="s">
        <v>3707</v>
      </c>
      <c r="C9" s="803"/>
      <c r="D9" s="804"/>
      <c r="E9" s="805"/>
      <c r="F9" s="804"/>
      <c r="G9" s="805"/>
      <c r="H9" s="804"/>
      <c r="I9" s="805"/>
      <c r="J9" s="804"/>
      <c r="K9" s="805"/>
      <c r="L9" s="804"/>
      <c r="M9" s="805"/>
      <c r="N9" s="804"/>
      <c r="O9" s="805"/>
      <c r="P9" s="804"/>
      <c r="Q9" s="805"/>
      <c r="R9" s="804"/>
      <c r="S9" s="976">
        <v>5</v>
      </c>
      <c r="T9" s="977">
        <v>2</v>
      </c>
      <c r="U9" s="805"/>
      <c r="V9" s="804"/>
      <c r="W9" s="805"/>
      <c r="X9" s="804"/>
      <c r="Y9" s="805"/>
      <c r="Z9" s="804"/>
      <c r="AA9" s="978">
        <v>10</v>
      </c>
      <c r="AB9" s="968"/>
      <c r="AC9" s="968"/>
      <c r="AD9" s="968"/>
      <c r="AE9" s="968"/>
      <c r="AF9" s="968"/>
      <c r="AG9" s="968"/>
      <c r="AH9" s="968"/>
      <c r="AI9" s="968"/>
      <c r="AJ9" s="968"/>
      <c r="AK9" s="968"/>
      <c r="AL9" s="968"/>
      <c r="AM9" s="968"/>
      <c r="AN9" s="968"/>
    </row>
    <row r="10" spans="1:40" s="974" customFormat="1" ht="20.100000000000001" customHeight="1" outlineLevel="2">
      <c r="A10" s="981" t="s">
        <v>3708</v>
      </c>
      <c r="B10" s="982" t="s">
        <v>3709</v>
      </c>
      <c r="C10" s="803"/>
      <c r="D10" s="804"/>
      <c r="E10" s="805"/>
      <c r="F10" s="804"/>
      <c r="G10" s="805"/>
      <c r="H10" s="804">
        <v>2</v>
      </c>
      <c r="I10" s="805"/>
      <c r="J10" s="804">
        <v>2</v>
      </c>
      <c r="K10" s="805"/>
      <c r="L10" s="804"/>
      <c r="M10" s="805"/>
      <c r="N10" s="804">
        <v>2</v>
      </c>
      <c r="O10" s="805"/>
      <c r="P10" s="804">
        <v>2</v>
      </c>
      <c r="Q10" s="805"/>
      <c r="R10" s="804"/>
      <c r="S10" s="976">
        <v>5</v>
      </c>
      <c r="T10" s="977">
        <v>2</v>
      </c>
      <c r="U10" s="805"/>
      <c r="V10" s="804"/>
      <c r="W10" s="805"/>
      <c r="X10" s="804"/>
      <c r="Y10" s="805"/>
      <c r="Z10" s="804"/>
      <c r="AA10" s="978">
        <v>16</v>
      </c>
      <c r="AB10" s="968"/>
      <c r="AC10" s="968"/>
      <c r="AD10" s="968"/>
      <c r="AE10" s="968"/>
      <c r="AF10" s="968"/>
      <c r="AG10" s="968"/>
      <c r="AH10" s="968"/>
      <c r="AI10" s="968"/>
      <c r="AJ10" s="968"/>
      <c r="AK10" s="968"/>
      <c r="AL10" s="968"/>
      <c r="AM10" s="968"/>
      <c r="AN10" s="968"/>
    </row>
    <row r="11" spans="1:40" s="974" customFormat="1" ht="20.100000000000001" customHeight="1" outlineLevel="2">
      <c r="A11" s="981" t="s">
        <v>3710</v>
      </c>
      <c r="B11" s="982" t="s">
        <v>3711</v>
      </c>
      <c r="C11" s="803"/>
      <c r="D11" s="804"/>
      <c r="E11" s="805"/>
      <c r="F11" s="804"/>
      <c r="G11" s="805"/>
      <c r="H11" s="804"/>
      <c r="I11" s="805"/>
      <c r="J11" s="804"/>
      <c r="K11" s="805"/>
      <c r="L11" s="804"/>
      <c r="M11" s="805"/>
      <c r="N11" s="804">
        <v>1</v>
      </c>
      <c r="O11" s="805"/>
      <c r="P11" s="804"/>
      <c r="Q11" s="805"/>
      <c r="R11" s="804"/>
      <c r="S11" s="976">
        <v>5</v>
      </c>
      <c r="T11" s="977">
        <v>2</v>
      </c>
      <c r="U11" s="805"/>
      <c r="V11" s="804"/>
      <c r="W11" s="805"/>
      <c r="X11" s="804"/>
      <c r="Y11" s="805"/>
      <c r="Z11" s="804"/>
      <c r="AA11" s="978">
        <v>10</v>
      </c>
      <c r="AB11" s="968"/>
      <c r="AC11" s="968"/>
      <c r="AD11" s="968"/>
      <c r="AE11" s="968"/>
      <c r="AF11" s="968"/>
      <c r="AG11" s="968"/>
      <c r="AH11" s="968"/>
      <c r="AI11" s="968"/>
      <c r="AJ11" s="968"/>
      <c r="AK11" s="968"/>
      <c r="AL11" s="968"/>
      <c r="AM11" s="968"/>
      <c r="AN11" s="968"/>
    </row>
    <row r="12" spans="1:40" s="974" customFormat="1" ht="20.100000000000001" customHeight="1" outlineLevel="2">
      <c r="A12" s="981" t="s">
        <v>3712</v>
      </c>
      <c r="B12" s="982" t="s">
        <v>3713</v>
      </c>
      <c r="C12" s="803"/>
      <c r="D12" s="804"/>
      <c r="E12" s="805"/>
      <c r="F12" s="804"/>
      <c r="G12" s="805"/>
      <c r="H12" s="804">
        <v>2</v>
      </c>
      <c r="I12" s="805"/>
      <c r="J12" s="804">
        <v>2</v>
      </c>
      <c r="K12" s="805"/>
      <c r="L12" s="804"/>
      <c r="M12" s="805"/>
      <c r="N12" s="804"/>
      <c r="O12" s="805"/>
      <c r="P12" s="804">
        <v>2</v>
      </c>
      <c r="Q12" s="805"/>
      <c r="R12" s="804"/>
      <c r="S12" s="976">
        <v>5</v>
      </c>
      <c r="T12" s="977">
        <v>2</v>
      </c>
      <c r="U12" s="805"/>
      <c r="V12" s="804"/>
      <c r="W12" s="805"/>
      <c r="X12" s="804"/>
      <c r="Y12" s="805"/>
      <c r="Z12" s="804"/>
      <c r="AA12" s="978">
        <v>16</v>
      </c>
      <c r="AB12" s="968"/>
      <c r="AC12" s="968"/>
      <c r="AD12" s="968"/>
      <c r="AE12" s="968"/>
      <c r="AF12" s="968"/>
      <c r="AG12" s="968"/>
      <c r="AH12" s="968"/>
      <c r="AI12" s="968"/>
      <c r="AJ12" s="968"/>
      <c r="AK12" s="968"/>
      <c r="AL12" s="968"/>
      <c r="AM12" s="968"/>
      <c r="AN12" s="968"/>
    </row>
    <row r="13" spans="1:40" s="974" customFormat="1" ht="20.100000000000001" customHeight="1" outlineLevel="2">
      <c r="A13" s="981" t="s">
        <v>3714</v>
      </c>
      <c r="B13" s="982" t="s">
        <v>3715</v>
      </c>
      <c r="C13" s="803"/>
      <c r="D13" s="804"/>
      <c r="E13" s="805"/>
      <c r="F13" s="804"/>
      <c r="G13" s="805"/>
      <c r="H13" s="804"/>
      <c r="I13" s="805"/>
      <c r="J13" s="804"/>
      <c r="K13" s="805"/>
      <c r="L13" s="804"/>
      <c r="M13" s="805"/>
      <c r="N13" s="804"/>
      <c r="O13" s="805"/>
      <c r="P13" s="804"/>
      <c r="Q13" s="805"/>
      <c r="R13" s="804"/>
      <c r="S13" s="976">
        <v>5</v>
      </c>
      <c r="T13" s="977">
        <v>2</v>
      </c>
      <c r="U13" s="805"/>
      <c r="V13" s="804"/>
      <c r="W13" s="805"/>
      <c r="X13" s="804"/>
      <c r="Y13" s="805"/>
      <c r="Z13" s="804"/>
      <c r="AA13" s="978">
        <v>10</v>
      </c>
      <c r="AB13" s="968"/>
      <c r="AC13" s="968"/>
      <c r="AD13" s="968"/>
      <c r="AE13" s="968"/>
      <c r="AF13" s="968"/>
      <c r="AG13" s="968"/>
      <c r="AH13" s="968"/>
      <c r="AI13" s="968"/>
      <c r="AJ13" s="968"/>
      <c r="AK13" s="968"/>
      <c r="AL13" s="968"/>
      <c r="AM13" s="968"/>
      <c r="AN13" s="968"/>
    </row>
    <row r="14" spans="1:40" s="974" customFormat="1" ht="20.100000000000001" customHeight="1" outlineLevel="2">
      <c r="A14" s="981" t="s">
        <v>3716</v>
      </c>
      <c r="B14" s="982" t="s">
        <v>3717</v>
      </c>
      <c r="C14" s="803"/>
      <c r="D14" s="804"/>
      <c r="E14" s="805"/>
      <c r="F14" s="804"/>
      <c r="G14" s="805"/>
      <c r="H14" s="804"/>
      <c r="I14" s="805"/>
      <c r="J14" s="804"/>
      <c r="K14" s="805"/>
      <c r="L14" s="804"/>
      <c r="M14" s="805"/>
      <c r="N14" s="804"/>
      <c r="O14" s="805"/>
      <c r="P14" s="804"/>
      <c r="Q14" s="805"/>
      <c r="R14" s="804"/>
      <c r="S14" s="976">
        <v>5</v>
      </c>
      <c r="T14" s="977">
        <v>2</v>
      </c>
      <c r="U14" s="805"/>
      <c r="V14" s="804"/>
      <c r="W14" s="805"/>
      <c r="X14" s="804"/>
      <c r="Y14" s="805"/>
      <c r="Z14" s="804"/>
      <c r="AA14" s="978">
        <v>10</v>
      </c>
      <c r="AB14" s="968"/>
      <c r="AC14" s="968"/>
      <c r="AD14" s="968"/>
      <c r="AE14" s="968"/>
      <c r="AF14" s="968"/>
      <c r="AG14" s="968"/>
      <c r="AH14" s="968"/>
      <c r="AI14" s="968"/>
      <c r="AJ14" s="968"/>
      <c r="AK14" s="968"/>
      <c r="AL14" s="968"/>
      <c r="AM14" s="968"/>
      <c r="AN14" s="968"/>
    </row>
    <row r="15" spans="1:40" s="974" customFormat="1" ht="20.100000000000001" customHeight="1" outlineLevel="2">
      <c r="A15" s="981" t="s">
        <v>3718</v>
      </c>
      <c r="B15" s="982" t="s">
        <v>3719</v>
      </c>
      <c r="C15" s="803"/>
      <c r="D15" s="804"/>
      <c r="E15" s="805"/>
      <c r="F15" s="804"/>
      <c r="G15" s="805"/>
      <c r="H15" s="804"/>
      <c r="I15" s="805"/>
      <c r="J15" s="804"/>
      <c r="K15" s="805"/>
      <c r="L15" s="804"/>
      <c r="M15" s="805"/>
      <c r="N15" s="804"/>
      <c r="O15" s="805"/>
      <c r="P15" s="804"/>
      <c r="Q15" s="805"/>
      <c r="R15" s="804"/>
      <c r="S15" s="976">
        <v>5</v>
      </c>
      <c r="T15" s="977">
        <v>2</v>
      </c>
      <c r="U15" s="805"/>
      <c r="V15" s="804"/>
      <c r="W15" s="805"/>
      <c r="X15" s="804"/>
      <c r="Y15" s="805"/>
      <c r="Z15" s="804"/>
      <c r="AA15" s="978">
        <v>10</v>
      </c>
      <c r="AB15" s="968"/>
      <c r="AC15" s="968"/>
      <c r="AD15" s="968"/>
      <c r="AE15" s="968"/>
      <c r="AF15" s="968"/>
      <c r="AG15" s="968"/>
      <c r="AH15" s="968"/>
      <c r="AI15" s="968"/>
      <c r="AJ15" s="968"/>
      <c r="AK15" s="968"/>
      <c r="AL15" s="968"/>
      <c r="AM15" s="968"/>
      <c r="AN15" s="968"/>
    </row>
    <row r="16" spans="1:40" s="974" customFormat="1" ht="20.100000000000001" customHeight="1" outlineLevel="2">
      <c r="A16" s="981" t="s">
        <v>3720</v>
      </c>
      <c r="B16" s="982" t="s">
        <v>3721</v>
      </c>
      <c r="C16" s="803"/>
      <c r="D16" s="804"/>
      <c r="E16" s="805"/>
      <c r="F16" s="804"/>
      <c r="G16" s="805"/>
      <c r="H16" s="804"/>
      <c r="I16" s="805"/>
      <c r="J16" s="804"/>
      <c r="K16" s="805"/>
      <c r="L16" s="804"/>
      <c r="M16" s="805"/>
      <c r="N16" s="804"/>
      <c r="O16" s="805"/>
      <c r="P16" s="804"/>
      <c r="Q16" s="805"/>
      <c r="R16" s="804"/>
      <c r="S16" s="976">
        <v>5</v>
      </c>
      <c r="T16" s="977">
        <v>2</v>
      </c>
      <c r="U16" s="805"/>
      <c r="V16" s="804"/>
      <c r="W16" s="805"/>
      <c r="X16" s="804"/>
      <c r="Y16" s="805"/>
      <c r="Z16" s="804"/>
      <c r="AA16" s="978">
        <v>10</v>
      </c>
      <c r="AB16" s="968"/>
      <c r="AC16" s="968"/>
      <c r="AD16" s="968"/>
      <c r="AE16" s="968"/>
      <c r="AF16" s="968"/>
      <c r="AG16" s="968"/>
      <c r="AH16" s="968"/>
      <c r="AI16" s="968"/>
      <c r="AJ16" s="968"/>
      <c r="AK16" s="968"/>
      <c r="AL16" s="968"/>
      <c r="AM16" s="968"/>
      <c r="AN16" s="968"/>
    </row>
    <row r="17" spans="1:40" s="974" customFormat="1" ht="20.100000000000001" customHeight="1" outlineLevel="2">
      <c r="A17" s="981" t="s">
        <v>3722</v>
      </c>
      <c r="B17" s="982" t="s">
        <v>3723</v>
      </c>
      <c r="C17" s="803"/>
      <c r="D17" s="804"/>
      <c r="E17" s="805"/>
      <c r="F17" s="804"/>
      <c r="G17" s="805"/>
      <c r="H17" s="804"/>
      <c r="I17" s="805"/>
      <c r="J17" s="804"/>
      <c r="K17" s="805"/>
      <c r="L17" s="804"/>
      <c r="M17" s="805"/>
      <c r="N17" s="804"/>
      <c r="O17" s="805"/>
      <c r="P17" s="804"/>
      <c r="Q17" s="805"/>
      <c r="R17" s="804"/>
      <c r="S17" s="976">
        <v>5</v>
      </c>
      <c r="T17" s="977">
        <v>2</v>
      </c>
      <c r="U17" s="805"/>
      <c r="V17" s="804"/>
      <c r="W17" s="805"/>
      <c r="X17" s="804"/>
      <c r="Y17" s="805"/>
      <c r="Z17" s="804"/>
      <c r="AA17" s="978">
        <v>10</v>
      </c>
      <c r="AB17" s="968"/>
      <c r="AC17" s="968"/>
      <c r="AD17" s="968"/>
      <c r="AE17" s="968"/>
      <c r="AF17" s="968"/>
      <c r="AG17" s="968"/>
      <c r="AH17" s="968"/>
      <c r="AI17" s="968"/>
      <c r="AJ17" s="968"/>
      <c r="AK17" s="968"/>
      <c r="AL17" s="968"/>
      <c r="AM17" s="968"/>
      <c r="AN17" s="968"/>
    </row>
    <row r="18" spans="1:40" s="974" customFormat="1" ht="20.100000000000001" customHeight="1" outlineLevel="2">
      <c r="A18" s="981" t="s">
        <v>3724</v>
      </c>
      <c r="B18" s="982" t="s">
        <v>3725</v>
      </c>
      <c r="C18" s="803"/>
      <c r="D18" s="804"/>
      <c r="E18" s="805"/>
      <c r="F18" s="804"/>
      <c r="G18" s="805"/>
      <c r="H18" s="804"/>
      <c r="I18" s="805"/>
      <c r="J18" s="804"/>
      <c r="K18" s="805"/>
      <c r="L18" s="804"/>
      <c r="M18" s="805"/>
      <c r="N18" s="804"/>
      <c r="O18" s="805"/>
      <c r="P18" s="804"/>
      <c r="Q18" s="805"/>
      <c r="R18" s="804"/>
      <c r="S18" s="976">
        <v>5</v>
      </c>
      <c r="T18" s="977">
        <v>2</v>
      </c>
      <c r="U18" s="805"/>
      <c r="V18" s="804"/>
      <c r="W18" s="805"/>
      <c r="X18" s="804"/>
      <c r="Y18" s="805"/>
      <c r="Z18" s="804"/>
      <c r="AA18" s="978">
        <v>10</v>
      </c>
      <c r="AB18" s="968"/>
      <c r="AC18" s="968"/>
      <c r="AD18" s="968"/>
      <c r="AE18" s="968"/>
      <c r="AF18" s="968"/>
      <c r="AG18" s="968"/>
      <c r="AH18" s="968"/>
      <c r="AI18" s="968"/>
      <c r="AJ18" s="968"/>
      <c r="AK18" s="968"/>
      <c r="AL18" s="968"/>
      <c r="AM18" s="968"/>
      <c r="AN18" s="968"/>
    </row>
    <row r="19" spans="1:40" s="974" customFormat="1" ht="20.100000000000001" customHeight="1" outlineLevel="2">
      <c r="A19" s="981" t="s">
        <v>3726</v>
      </c>
      <c r="B19" s="982" t="s">
        <v>3727</v>
      </c>
      <c r="C19" s="803"/>
      <c r="D19" s="804"/>
      <c r="E19" s="805"/>
      <c r="F19" s="804"/>
      <c r="G19" s="805"/>
      <c r="H19" s="804"/>
      <c r="I19" s="805"/>
      <c r="J19" s="804"/>
      <c r="K19" s="805"/>
      <c r="L19" s="804"/>
      <c r="M19" s="805"/>
      <c r="N19" s="804"/>
      <c r="O19" s="805"/>
      <c r="P19" s="804"/>
      <c r="Q19" s="805"/>
      <c r="R19" s="804"/>
      <c r="S19" s="976">
        <v>5</v>
      </c>
      <c r="T19" s="977">
        <v>2</v>
      </c>
      <c r="U19" s="805"/>
      <c r="V19" s="804"/>
      <c r="W19" s="805"/>
      <c r="X19" s="804"/>
      <c r="Y19" s="805"/>
      <c r="Z19" s="804"/>
      <c r="AA19" s="978">
        <v>10</v>
      </c>
      <c r="AB19" s="968"/>
      <c r="AC19" s="968"/>
      <c r="AD19" s="968"/>
      <c r="AE19" s="968"/>
      <c r="AF19" s="968"/>
      <c r="AG19" s="968"/>
      <c r="AH19" s="968"/>
      <c r="AI19" s="968"/>
      <c r="AJ19" s="968"/>
      <c r="AK19" s="968"/>
      <c r="AL19" s="968"/>
      <c r="AM19" s="968"/>
      <c r="AN19" s="968"/>
    </row>
    <row r="20" spans="1:40" s="974" customFormat="1" ht="20.100000000000001" customHeight="1" outlineLevel="2">
      <c r="A20" s="981" t="s">
        <v>3728</v>
      </c>
      <c r="B20" s="982" t="s">
        <v>3729</v>
      </c>
      <c r="C20" s="803"/>
      <c r="D20" s="804"/>
      <c r="E20" s="805"/>
      <c r="F20" s="804"/>
      <c r="G20" s="805"/>
      <c r="H20" s="804"/>
      <c r="I20" s="805"/>
      <c r="J20" s="804"/>
      <c r="K20" s="805"/>
      <c r="L20" s="804"/>
      <c r="M20" s="805"/>
      <c r="N20" s="804"/>
      <c r="O20" s="805"/>
      <c r="P20" s="804"/>
      <c r="Q20" s="805"/>
      <c r="R20" s="804"/>
      <c r="S20" s="976">
        <v>5</v>
      </c>
      <c r="T20" s="977">
        <v>2</v>
      </c>
      <c r="U20" s="805"/>
      <c r="V20" s="804"/>
      <c r="W20" s="805"/>
      <c r="X20" s="804"/>
      <c r="Y20" s="805"/>
      <c r="Z20" s="804"/>
      <c r="AA20" s="978">
        <v>10</v>
      </c>
      <c r="AB20" s="968"/>
      <c r="AC20" s="968"/>
      <c r="AD20" s="968"/>
      <c r="AE20" s="968"/>
      <c r="AF20" s="968"/>
      <c r="AG20" s="968"/>
      <c r="AH20" s="968"/>
      <c r="AI20" s="968"/>
      <c r="AJ20" s="968"/>
      <c r="AK20" s="968"/>
      <c r="AL20" s="968"/>
      <c r="AM20" s="968"/>
      <c r="AN20" s="968"/>
    </row>
    <row r="21" spans="1:40" s="974" customFormat="1" ht="20.100000000000001" customHeight="1" outlineLevel="2">
      <c r="A21" s="981" t="s">
        <v>3730</v>
      </c>
      <c r="B21" s="982" t="s">
        <v>3731</v>
      </c>
      <c r="C21" s="803"/>
      <c r="D21" s="804"/>
      <c r="E21" s="805"/>
      <c r="F21" s="804"/>
      <c r="G21" s="805"/>
      <c r="H21" s="804"/>
      <c r="I21" s="805"/>
      <c r="J21" s="804"/>
      <c r="K21" s="805"/>
      <c r="L21" s="804"/>
      <c r="M21" s="805"/>
      <c r="N21" s="804"/>
      <c r="O21" s="805"/>
      <c r="P21" s="804"/>
      <c r="Q21" s="805"/>
      <c r="R21" s="804"/>
      <c r="S21" s="976">
        <v>5</v>
      </c>
      <c r="T21" s="977">
        <v>2</v>
      </c>
      <c r="U21" s="805"/>
      <c r="V21" s="804"/>
      <c r="W21" s="805"/>
      <c r="X21" s="804"/>
      <c r="Y21" s="805"/>
      <c r="Z21" s="804"/>
      <c r="AA21" s="978">
        <v>10</v>
      </c>
      <c r="AB21" s="968"/>
      <c r="AC21" s="968"/>
      <c r="AD21" s="968"/>
      <c r="AE21" s="968"/>
      <c r="AF21" s="968"/>
      <c r="AG21" s="968"/>
      <c r="AH21" s="968"/>
      <c r="AI21" s="968"/>
      <c r="AJ21" s="968"/>
      <c r="AK21" s="968"/>
      <c r="AL21" s="968"/>
      <c r="AM21" s="968"/>
      <c r="AN21" s="968"/>
    </row>
    <row r="22" spans="1:40" s="974" customFormat="1" ht="20.100000000000001" customHeight="1" outlineLevel="2">
      <c r="A22" s="981" t="s">
        <v>3732</v>
      </c>
      <c r="B22" s="982" t="s">
        <v>3733</v>
      </c>
      <c r="C22" s="803"/>
      <c r="D22" s="804"/>
      <c r="E22" s="805"/>
      <c r="F22" s="804"/>
      <c r="G22" s="805"/>
      <c r="H22" s="804"/>
      <c r="I22" s="805"/>
      <c r="J22" s="804"/>
      <c r="K22" s="805"/>
      <c r="L22" s="804"/>
      <c r="M22" s="805"/>
      <c r="N22" s="804"/>
      <c r="O22" s="805"/>
      <c r="P22" s="804"/>
      <c r="Q22" s="805"/>
      <c r="R22" s="804"/>
      <c r="S22" s="976">
        <v>5</v>
      </c>
      <c r="T22" s="977">
        <v>2</v>
      </c>
      <c r="U22" s="805"/>
      <c r="V22" s="804"/>
      <c r="W22" s="805"/>
      <c r="X22" s="804"/>
      <c r="Y22" s="805"/>
      <c r="Z22" s="804"/>
      <c r="AA22" s="978">
        <v>10</v>
      </c>
      <c r="AB22" s="968"/>
      <c r="AC22" s="968"/>
      <c r="AD22" s="968"/>
      <c r="AE22" s="968"/>
      <c r="AF22" s="968"/>
      <c r="AG22" s="968"/>
      <c r="AH22" s="968"/>
      <c r="AI22" s="968"/>
      <c r="AJ22" s="968"/>
      <c r="AK22" s="968"/>
      <c r="AL22" s="968"/>
      <c r="AM22" s="968"/>
      <c r="AN22" s="968"/>
    </row>
    <row r="23" spans="1:40" s="974" customFormat="1" ht="20.100000000000001" customHeight="1" outlineLevel="2">
      <c r="A23" s="981" t="s">
        <v>3734</v>
      </c>
      <c r="B23" s="982" t="s">
        <v>3735</v>
      </c>
      <c r="C23" s="803"/>
      <c r="D23" s="804"/>
      <c r="E23" s="805"/>
      <c r="F23" s="804"/>
      <c r="G23" s="805"/>
      <c r="H23" s="804"/>
      <c r="I23" s="805"/>
      <c r="J23" s="804"/>
      <c r="K23" s="805"/>
      <c r="L23" s="804"/>
      <c r="M23" s="805"/>
      <c r="N23" s="804"/>
      <c r="O23" s="805"/>
      <c r="P23" s="804"/>
      <c r="Q23" s="805"/>
      <c r="R23" s="804"/>
      <c r="S23" s="976">
        <v>5</v>
      </c>
      <c r="T23" s="977">
        <v>2</v>
      </c>
      <c r="U23" s="805"/>
      <c r="V23" s="804"/>
      <c r="W23" s="805"/>
      <c r="X23" s="804"/>
      <c r="Y23" s="805"/>
      <c r="Z23" s="804"/>
      <c r="AA23" s="978">
        <v>10</v>
      </c>
      <c r="AB23" s="968"/>
      <c r="AC23" s="968"/>
      <c r="AD23" s="968"/>
      <c r="AE23" s="968"/>
      <c r="AF23" s="968"/>
      <c r="AG23" s="968"/>
      <c r="AH23" s="968"/>
      <c r="AI23" s="968"/>
      <c r="AJ23" s="968"/>
      <c r="AK23" s="968"/>
      <c r="AL23" s="968"/>
      <c r="AM23" s="968"/>
      <c r="AN23" s="968"/>
    </row>
    <row r="24" spans="1:40" s="974" customFormat="1" ht="20.100000000000001" customHeight="1" outlineLevel="2">
      <c r="A24" s="981" t="s">
        <v>3736</v>
      </c>
      <c r="B24" s="982" t="s">
        <v>3737</v>
      </c>
      <c r="C24" s="803"/>
      <c r="D24" s="804"/>
      <c r="E24" s="805"/>
      <c r="F24" s="804"/>
      <c r="G24" s="805"/>
      <c r="H24" s="804"/>
      <c r="I24" s="805"/>
      <c r="J24" s="804"/>
      <c r="K24" s="805"/>
      <c r="L24" s="804"/>
      <c r="M24" s="805"/>
      <c r="N24" s="804"/>
      <c r="O24" s="805"/>
      <c r="P24" s="804"/>
      <c r="Q24" s="805"/>
      <c r="R24" s="804"/>
      <c r="S24" s="976">
        <v>5</v>
      </c>
      <c r="T24" s="977">
        <v>2</v>
      </c>
      <c r="U24" s="805"/>
      <c r="V24" s="804"/>
      <c r="W24" s="805"/>
      <c r="X24" s="804"/>
      <c r="Y24" s="805"/>
      <c r="Z24" s="804"/>
      <c r="AA24" s="978"/>
      <c r="AB24" s="968"/>
      <c r="AC24" s="968"/>
      <c r="AD24" s="968"/>
      <c r="AE24" s="968"/>
      <c r="AF24" s="968"/>
      <c r="AG24" s="968"/>
      <c r="AH24" s="968"/>
      <c r="AI24" s="968"/>
      <c r="AJ24" s="968"/>
      <c r="AK24" s="968"/>
      <c r="AL24" s="968"/>
      <c r="AM24" s="968"/>
      <c r="AN24" s="968"/>
    </row>
    <row r="25" spans="1:40" s="974" customFormat="1" ht="20.100000000000001" customHeight="1" outlineLevel="2">
      <c r="A25" s="981" t="s">
        <v>3738</v>
      </c>
      <c r="B25" s="982" t="s">
        <v>3739</v>
      </c>
      <c r="C25" s="803"/>
      <c r="D25" s="804"/>
      <c r="E25" s="805"/>
      <c r="F25" s="804"/>
      <c r="G25" s="805"/>
      <c r="H25" s="804"/>
      <c r="I25" s="805"/>
      <c r="J25" s="804"/>
      <c r="K25" s="805"/>
      <c r="L25" s="804"/>
      <c r="M25" s="805"/>
      <c r="N25" s="804"/>
      <c r="O25" s="805"/>
      <c r="P25" s="804"/>
      <c r="Q25" s="805"/>
      <c r="R25" s="804"/>
      <c r="S25" s="976">
        <v>5</v>
      </c>
      <c r="T25" s="977">
        <v>2</v>
      </c>
      <c r="U25" s="805"/>
      <c r="V25" s="804"/>
      <c r="W25" s="805"/>
      <c r="X25" s="804"/>
      <c r="Y25" s="805"/>
      <c r="Z25" s="804"/>
      <c r="AA25" s="978"/>
      <c r="AB25" s="968"/>
      <c r="AC25" s="968"/>
      <c r="AD25" s="968"/>
      <c r="AE25" s="968"/>
      <c r="AF25" s="968"/>
      <c r="AG25" s="968"/>
      <c r="AH25" s="968"/>
      <c r="AI25" s="968"/>
      <c r="AJ25" s="968"/>
      <c r="AK25" s="968"/>
      <c r="AL25" s="968"/>
      <c r="AM25" s="968"/>
      <c r="AN25" s="968"/>
    </row>
    <row r="26" spans="1:40" s="974" customFormat="1" ht="20.100000000000001" customHeight="1" outlineLevel="1">
      <c r="A26" s="979">
        <v>3.2</v>
      </c>
      <c r="B26" s="980" t="s">
        <v>3740</v>
      </c>
      <c r="C26" s="803"/>
      <c r="D26" s="804"/>
      <c r="E26" s="805"/>
      <c r="F26" s="804"/>
      <c r="G26" s="805"/>
      <c r="H26" s="804"/>
      <c r="I26" s="805"/>
      <c r="J26" s="804"/>
      <c r="K26" s="805"/>
      <c r="L26" s="804"/>
      <c r="M26" s="805"/>
      <c r="N26" s="804"/>
      <c r="O26" s="805"/>
      <c r="P26" s="804"/>
      <c r="Q26" s="805"/>
      <c r="R26" s="804"/>
      <c r="S26" s="976"/>
      <c r="T26" s="977"/>
      <c r="U26" s="805"/>
      <c r="V26" s="804"/>
      <c r="W26" s="805"/>
      <c r="X26" s="804"/>
      <c r="Y26" s="805"/>
      <c r="Z26" s="804"/>
      <c r="AA26" s="978"/>
      <c r="AB26" s="968"/>
      <c r="AC26" s="968"/>
      <c r="AD26" s="968"/>
      <c r="AE26" s="968"/>
      <c r="AF26" s="968"/>
      <c r="AG26" s="968"/>
      <c r="AH26" s="968"/>
      <c r="AI26" s="968"/>
      <c r="AJ26" s="968"/>
      <c r="AK26" s="968"/>
      <c r="AL26" s="968"/>
      <c r="AM26" s="968"/>
      <c r="AN26" s="968"/>
    </row>
    <row r="27" spans="1:40" s="974" customFormat="1" ht="32.25" customHeight="1" outlineLevel="2">
      <c r="A27" s="981" t="s">
        <v>3741</v>
      </c>
      <c r="B27" s="982" t="s">
        <v>3742</v>
      </c>
      <c r="C27" s="803"/>
      <c r="D27" s="804"/>
      <c r="E27" s="805">
        <v>1</v>
      </c>
      <c r="F27" s="804"/>
      <c r="G27" s="805"/>
      <c r="H27" s="804"/>
      <c r="I27" s="805"/>
      <c r="J27" s="804"/>
      <c r="K27" s="805">
        <v>1</v>
      </c>
      <c r="L27" s="804"/>
      <c r="M27" s="805"/>
      <c r="N27" s="804"/>
      <c r="O27" s="805">
        <v>1</v>
      </c>
      <c r="P27" s="804"/>
      <c r="Q27" s="805"/>
      <c r="R27" s="804"/>
      <c r="S27" s="976">
        <v>25</v>
      </c>
      <c r="T27" s="977">
        <v>5</v>
      </c>
      <c r="U27" s="805"/>
      <c r="V27" s="804"/>
      <c r="W27" s="805"/>
      <c r="X27" s="804"/>
      <c r="Y27" s="805"/>
      <c r="Z27" s="804"/>
      <c r="AA27" s="978">
        <v>80</v>
      </c>
      <c r="AB27" s="968"/>
      <c r="AC27" s="976"/>
      <c r="AD27" s="968"/>
      <c r="AE27" s="968"/>
      <c r="AF27" s="968"/>
      <c r="AG27" s="968"/>
      <c r="AH27" s="968"/>
      <c r="AI27" s="968"/>
      <c r="AJ27" s="968"/>
      <c r="AK27" s="968"/>
      <c r="AL27" s="968"/>
      <c r="AM27" s="968"/>
      <c r="AN27" s="968"/>
    </row>
    <row r="28" spans="1:40" s="974" customFormat="1" ht="20.100000000000001" customHeight="1" outlineLevel="2">
      <c r="A28" s="981" t="s">
        <v>3743</v>
      </c>
      <c r="B28" s="982" t="s">
        <v>3744</v>
      </c>
      <c r="C28" s="803"/>
      <c r="D28" s="804"/>
      <c r="E28" s="805"/>
      <c r="F28" s="804"/>
      <c r="G28" s="805">
        <v>1</v>
      </c>
      <c r="H28" s="804"/>
      <c r="I28" s="805"/>
      <c r="J28" s="804">
        <v>1</v>
      </c>
      <c r="K28" s="805"/>
      <c r="L28" s="804"/>
      <c r="M28" s="805">
        <v>1</v>
      </c>
      <c r="N28" s="804"/>
      <c r="O28" s="805">
        <v>1</v>
      </c>
      <c r="P28" s="804"/>
      <c r="Q28" s="805"/>
      <c r="R28" s="804"/>
      <c r="S28" s="976">
        <v>120</v>
      </c>
      <c r="T28" s="977">
        <v>10</v>
      </c>
      <c r="U28" s="805"/>
      <c r="V28" s="804"/>
      <c r="W28" s="805"/>
      <c r="X28" s="804"/>
      <c r="Y28" s="805"/>
      <c r="Z28" s="804"/>
      <c r="AA28" s="978">
        <v>200</v>
      </c>
      <c r="AB28" s="968"/>
      <c r="AC28" s="976"/>
      <c r="AD28" s="968"/>
      <c r="AE28" s="968"/>
      <c r="AF28" s="968"/>
      <c r="AG28" s="968"/>
      <c r="AH28" s="968"/>
      <c r="AI28" s="968"/>
      <c r="AJ28" s="968"/>
      <c r="AK28" s="968"/>
      <c r="AL28" s="968"/>
      <c r="AM28" s="968"/>
      <c r="AN28" s="968"/>
    </row>
    <row r="29" spans="1:40" s="974" customFormat="1" ht="20.100000000000001" customHeight="1" outlineLevel="2">
      <c r="A29" s="981" t="s">
        <v>3745</v>
      </c>
      <c r="B29" s="982" t="s">
        <v>3746</v>
      </c>
      <c r="C29" s="803"/>
      <c r="D29" s="804"/>
      <c r="E29" s="805"/>
      <c r="F29" s="804"/>
      <c r="G29" s="805"/>
      <c r="H29" s="804"/>
      <c r="I29" s="805"/>
      <c r="J29" s="804"/>
      <c r="K29" s="805"/>
      <c r="L29" s="804"/>
      <c r="M29" s="805"/>
      <c r="N29" s="804"/>
      <c r="O29" s="805"/>
      <c r="P29" s="804"/>
      <c r="Q29" s="805"/>
      <c r="R29" s="804"/>
      <c r="S29" s="976">
        <v>20</v>
      </c>
      <c r="T29" s="977">
        <v>5</v>
      </c>
      <c r="U29" s="805"/>
      <c r="V29" s="804"/>
      <c r="W29" s="805"/>
      <c r="X29" s="804"/>
      <c r="Y29" s="805"/>
      <c r="Z29" s="804"/>
      <c r="AA29" s="978">
        <v>50</v>
      </c>
      <c r="AB29" s="968"/>
      <c r="AC29" s="976"/>
      <c r="AD29" s="968"/>
      <c r="AE29" s="968"/>
      <c r="AF29" s="968"/>
      <c r="AG29" s="968"/>
      <c r="AH29" s="968"/>
      <c r="AI29" s="968"/>
      <c r="AJ29" s="968"/>
      <c r="AK29" s="968"/>
      <c r="AL29" s="968"/>
      <c r="AM29" s="968"/>
      <c r="AN29" s="968"/>
    </row>
    <row r="30" spans="1:40" s="974" customFormat="1" ht="20.100000000000001" customHeight="1" outlineLevel="2">
      <c r="A30" s="981" t="s">
        <v>3747</v>
      </c>
      <c r="B30" s="982" t="s">
        <v>3748</v>
      </c>
      <c r="C30" s="803"/>
      <c r="D30" s="804"/>
      <c r="E30" s="805"/>
      <c r="F30" s="804"/>
      <c r="G30" s="805">
        <v>1</v>
      </c>
      <c r="H30" s="804"/>
      <c r="I30" s="805"/>
      <c r="J30" s="804">
        <v>1</v>
      </c>
      <c r="K30" s="805"/>
      <c r="L30" s="804"/>
      <c r="M30" s="805"/>
      <c r="N30" s="804"/>
      <c r="O30" s="805">
        <v>1</v>
      </c>
      <c r="P30" s="804"/>
      <c r="Q30" s="805"/>
      <c r="R30" s="804"/>
      <c r="S30" s="976">
        <v>100</v>
      </c>
      <c r="T30" s="977">
        <v>10</v>
      </c>
      <c r="U30" s="805"/>
      <c r="V30" s="804"/>
      <c r="W30" s="805"/>
      <c r="X30" s="804"/>
      <c r="Y30" s="805"/>
      <c r="Z30" s="804"/>
      <c r="AA30" s="978">
        <v>180</v>
      </c>
      <c r="AB30" s="968"/>
      <c r="AC30" s="976"/>
      <c r="AD30" s="968"/>
      <c r="AE30" s="968"/>
      <c r="AF30" s="968"/>
      <c r="AG30" s="968"/>
      <c r="AH30" s="968"/>
      <c r="AI30" s="968"/>
      <c r="AJ30" s="968"/>
      <c r="AK30" s="968"/>
      <c r="AL30" s="968"/>
      <c r="AM30" s="968"/>
      <c r="AN30" s="968"/>
    </row>
    <row r="31" spans="1:40" s="974" customFormat="1" ht="20.100000000000001" customHeight="1" outlineLevel="2">
      <c r="A31" s="981" t="s">
        <v>3749</v>
      </c>
      <c r="B31" s="982" t="s">
        <v>3750</v>
      </c>
      <c r="C31" s="803"/>
      <c r="D31" s="804"/>
      <c r="E31" s="805"/>
      <c r="F31" s="804"/>
      <c r="G31" s="805"/>
      <c r="H31" s="804"/>
      <c r="I31" s="805"/>
      <c r="J31" s="804"/>
      <c r="K31" s="805"/>
      <c r="L31" s="804"/>
      <c r="M31" s="805"/>
      <c r="N31" s="804"/>
      <c r="O31" s="805"/>
      <c r="P31" s="804"/>
      <c r="Q31" s="805"/>
      <c r="R31" s="804"/>
      <c r="S31" s="976">
        <v>15</v>
      </c>
      <c r="T31" s="977">
        <v>5</v>
      </c>
      <c r="U31" s="805"/>
      <c r="V31" s="804"/>
      <c r="W31" s="805"/>
      <c r="X31" s="804"/>
      <c r="Y31" s="805"/>
      <c r="Z31" s="804"/>
      <c r="AA31" s="978">
        <v>40</v>
      </c>
      <c r="AB31" s="968"/>
      <c r="AC31" s="976"/>
      <c r="AD31" s="968"/>
      <c r="AE31" s="968"/>
      <c r="AF31" s="968"/>
      <c r="AG31" s="968"/>
      <c r="AH31" s="968"/>
      <c r="AI31" s="968"/>
      <c r="AJ31" s="968"/>
      <c r="AK31" s="968"/>
      <c r="AL31" s="968"/>
      <c r="AM31" s="968"/>
      <c r="AN31" s="968"/>
    </row>
    <row r="32" spans="1:40" s="974" customFormat="1" ht="20.100000000000001" customHeight="1" outlineLevel="2">
      <c r="A32" s="981" t="s">
        <v>3751</v>
      </c>
      <c r="B32" s="982" t="s">
        <v>3752</v>
      </c>
      <c r="C32" s="803"/>
      <c r="D32" s="804"/>
      <c r="E32" s="805">
        <v>1</v>
      </c>
      <c r="F32" s="804"/>
      <c r="G32" s="805"/>
      <c r="H32" s="804"/>
      <c r="I32" s="805"/>
      <c r="J32" s="804"/>
      <c r="K32" s="805">
        <v>1</v>
      </c>
      <c r="L32" s="804"/>
      <c r="M32" s="805">
        <v>1</v>
      </c>
      <c r="N32" s="804"/>
      <c r="O32" s="805">
        <v>1</v>
      </c>
      <c r="P32" s="804"/>
      <c r="Q32" s="805"/>
      <c r="R32" s="804"/>
      <c r="S32" s="976">
        <v>20</v>
      </c>
      <c r="T32" s="977">
        <v>5</v>
      </c>
      <c r="U32" s="805"/>
      <c r="V32" s="804"/>
      <c r="W32" s="805"/>
      <c r="X32" s="804"/>
      <c r="Y32" s="805"/>
      <c r="Z32" s="804"/>
      <c r="AA32" s="978">
        <v>40</v>
      </c>
      <c r="AB32" s="968"/>
      <c r="AC32" s="976"/>
      <c r="AD32" s="968"/>
      <c r="AE32" s="968"/>
      <c r="AF32" s="968"/>
      <c r="AG32" s="968"/>
      <c r="AH32" s="968"/>
      <c r="AI32" s="968"/>
      <c r="AJ32" s="968"/>
      <c r="AK32" s="968"/>
      <c r="AL32" s="968"/>
      <c r="AM32" s="968"/>
      <c r="AN32" s="968"/>
    </row>
    <row r="33" spans="1:40" s="974" customFormat="1" ht="20.100000000000001" customHeight="1" outlineLevel="2">
      <c r="A33" s="981" t="s">
        <v>3753</v>
      </c>
      <c r="B33" s="982" t="s">
        <v>3754</v>
      </c>
      <c r="C33" s="803"/>
      <c r="D33" s="804"/>
      <c r="E33" s="805">
        <v>1</v>
      </c>
      <c r="F33" s="804"/>
      <c r="G33" s="805"/>
      <c r="H33" s="804"/>
      <c r="I33" s="805"/>
      <c r="J33" s="804"/>
      <c r="K33" s="805">
        <v>1</v>
      </c>
      <c r="L33" s="804"/>
      <c r="M33" s="805">
        <v>1</v>
      </c>
      <c r="N33" s="804"/>
      <c r="O33" s="805">
        <v>1</v>
      </c>
      <c r="P33" s="804"/>
      <c r="Q33" s="805"/>
      <c r="R33" s="804"/>
      <c r="S33" s="976">
        <v>20</v>
      </c>
      <c r="T33" s="977">
        <v>5</v>
      </c>
      <c r="U33" s="805"/>
      <c r="V33" s="804"/>
      <c r="W33" s="805"/>
      <c r="X33" s="804"/>
      <c r="Y33" s="805"/>
      <c r="Z33" s="804"/>
      <c r="AA33" s="978">
        <v>40</v>
      </c>
      <c r="AB33" s="968"/>
      <c r="AC33" s="976"/>
      <c r="AD33" s="968"/>
      <c r="AE33" s="968"/>
      <c r="AF33" s="968"/>
      <c r="AG33" s="968"/>
      <c r="AH33" s="968"/>
      <c r="AI33" s="968"/>
      <c r="AJ33" s="968"/>
      <c r="AK33" s="968"/>
      <c r="AL33" s="968"/>
      <c r="AM33" s="968"/>
      <c r="AN33" s="968"/>
    </row>
    <row r="34" spans="1:40" s="974" customFormat="1" ht="20.100000000000001" customHeight="1" outlineLevel="2">
      <c r="A34" s="981" t="s">
        <v>3755</v>
      </c>
      <c r="B34" s="982" t="s">
        <v>3756</v>
      </c>
      <c r="C34" s="803"/>
      <c r="D34" s="804"/>
      <c r="E34" s="805">
        <v>1</v>
      </c>
      <c r="F34" s="804"/>
      <c r="G34" s="805"/>
      <c r="H34" s="804"/>
      <c r="I34" s="805"/>
      <c r="J34" s="804"/>
      <c r="K34" s="805">
        <v>1</v>
      </c>
      <c r="L34" s="804"/>
      <c r="M34" s="805">
        <v>1</v>
      </c>
      <c r="N34" s="804"/>
      <c r="O34" s="805">
        <v>1</v>
      </c>
      <c r="P34" s="804"/>
      <c r="Q34" s="805"/>
      <c r="R34" s="804"/>
      <c r="S34" s="976">
        <v>20</v>
      </c>
      <c r="T34" s="977">
        <v>5</v>
      </c>
      <c r="U34" s="805"/>
      <c r="V34" s="804"/>
      <c r="W34" s="805"/>
      <c r="X34" s="804"/>
      <c r="Y34" s="805"/>
      <c r="Z34" s="804"/>
      <c r="AA34" s="978">
        <v>40</v>
      </c>
      <c r="AB34" s="968"/>
      <c r="AC34" s="976"/>
      <c r="AD34" s="968"/>
      <c r="AE34" s="968"/>
      <c r="AF34" s="968"/>
      <c r="AG34" s="968"/>
      <c r="AH34" s="968"/>
      <c r="AI34" s="968"/>
      <c r="AJ34" s="968"/>
      <c r="AK34" s="968"/>
      <c r="AL34" s="968"/>
      <c r="AM34" s="968"/>
      <c r="AN34" s="968"/>
    </row>
    <row r="35" spans="1:40" s="974" customFormat="1" ht="20.100000000000001" customHeight="1" outlineLevel="2">
      <c r="A35" s="981" t="s">
        <v>3757</v>
      </c>
      <c r="B35" s="982" t="s">
        <v>3758</v>
      </c>
      <c r="C35" s="803"/>
      <c r="D35" s="804"/>
      <c r="E35" s="805">
        <v>1</v>
      </c>
      <c r="F35" s="804"/>
      <c r="G35" s="805"/>
      <c r="H35" s="804"/>
      <c r="I35" s="805"/>
      <c r="J35" s="804"/>
      <c r="K35" s="805">
        <v>1</v>
      </c>
      <c r="L35" s="804"/>
      <c r="M35" s="805">
        <v>1</v>
      </c>
      <c r="N35" s="804"/>
      <c r="O35" s="805">
        <v>1</v>
      </c>
      <c r="P35" s="804"/>
      <c r="Q35" s="805"/>
      <c r="R35" s="804"/>
      <c r="S35" s="976">
        <v>20</v>
      </c>
      <c r="T35" s="977">
        <v>5</v>
      </c>
      <c r="U35" s="805"/>
      <c r="V35" s="804"/>
      <c r="W35" s="805"/>
      <c r="X35" s="804"/>
      <c r="Y35" s="805"/>
      <c r="Z35" s="804"/>
      <c r="AA35" s="978">
        <v>40</v>
      </c>
      <c r="AB35" s="968"/>
      <c r="AC35" s="976"/>
      <c r="AD35" s="968"/>
      <c r="AE35" s="968"/>
      <c r="AF35" s="968"/>
      <c r="AG35" s="968"/>
      <c r="AH35" s="968"/>
      <c r="AI35" s="968"/>
      <c r="AJ35" s="968"/>
      <c r="AK35" s="968"/>
      <c r="AL35" s="968"/>
      <c r="AM35" s="968"/>
      <c r="AN35" s="968"/>
    </row>
    <row r="36" spans="1:40" s="974" customFormat="1" ht="20.100000000000001" customHeight="1" outlineLevel="2">
      <c r="A36" s="981" t="s">
        <v>3759</v>
      </c>
      <c r="B36" s="982" t="s">
        <v>3760</v>
      </c>
      <c r="C36" s="803"/>
      <c r="D36" s="804"/>
      <c r="E36" s="805">
        <v>1</v>
      </c>
      <c r="F36" s="804"/>
      <c r="G36" s="805"/>
      <c r="H36" s="804"/>
      <c r="I36" s="805"/>
      <c r="J36" s="804"/>
      <c r="K36" s="805">
        <v>1</v>
      </c>
      <c r="L36" s="804"/>
      <c r="M36" s="805">
        <v>1</v>
      </c>
      <c r="N36" s="804"/>
      <c r="O36" s="805">
        <v>1</v>
      </c>
      <c r="P36" s="804"/>
      <c r="Q36" s="805"/>
      <c r="R36" s="804"/>
      <c r="S36" s="976">
        <v>30</v>
      </c>
      <c r="T36" s="977">
        <v>5</v>
      </c>
      <c r="U36" s="805"/>
      <c r="V36" s="804"/>
      <c r="W36" s="805"/>
      <c r="X36" s="804"/>
      <c r="Y36" s="805"/>
      <c r="Z36" s="804"/>
      <c r="AA36" s="978">
        <v>100</v>
      </c>
      <c r="AB36" s="968"/>
      <c r="AC36" s="976"/>
      <c r="AD36" s="968"/>
      <c r="AE36" s="968"/>
      <c r="AF36" s="968"/>
      <c r="AG36" s="968"/>
      <c r="AH36" s="968"/>
      <c r="AI36" s="968"/>
      <c r="AJ36" s="968"/>
      <c r="AK36" s="968"/>
      <c r="AL36" s="968"/>
      <c r="AM36" s="968"/>
      <c r="AN36" s="968"/>
    </row>
    <row r="37" spans="1:40" s="974" customFormat="1" ht="20.100000000000001" customHeight="1" outlineLevel="2">
      <c r="A37" s="981" t="s">
        <v>3761</v>
      </c>
      <c r="B37" s="982" t="s">
        <v>3762</v>
      </c>
      <c r="C37" s="803"/>
      <c r="D37" s="804"/>
      <c r="E37" s="805">
        <v>1</v>
      </c>
      <c r="F37" s="804"/>
      <c r="G37" s="805"/>
      <c r="H37" s="804"/>
      <c r="I37" s="805"/>
      <c r="J37" s="804"/>
      <c r="K37" s="805">
        <v>1</v>
      </c>
      <c r="L37" s="804"/>
      <c r="M37" s="805">
        <v>1</v>
      </c>
      <c r="N37" s="804"/>
      <c r="O37" s="805">
        <v>1</v>
      </c>
      <c r="P37" s="804"/>
      <c r="Q37" s="805"/>
      <c r="R37" s="804"/>
      <c r="S37" s="976">
        <v>30</v>
      </c>
      <c r="T37" s="977">
        <v>5</v>
      </c>
      <c r="U37" s="805"/>
      <c r="V37" s="804"/>
      <c r="W37" s="805"/>
      <c r="X37" s="804"/>
      <c r="Y37" s="805"/>
      <c r="Z37" s="804"/>
      <c r="AA37" s="978">
        <v>50</v>
      </c>
      <c r="AB37" s="968"/>
      <c r="AC37" s="976"/>
      <c r="AD37" s="968"/>
      <c r="AE37" s="968"/>
      <c r="AF37" s="968"/>
      <c r="AG37" s="968"/>
      <c r="AH37" s="968"/>
      <c r="AI37" s="968"/>
      <c r="AJ37" s="968"/>
      <c r="AK37" s="968"/>
      <c r="AL37" s="968"/>
      <c r="AM37" s="968"/>
      <c r="AN37" s="968"/>
    </row>
    <row r="38" spans="1:40" s="974" customFormat="1" ht="20.100000000000001" customHeight="1" outlineLevel="2">
      <c r="A38" s="981" t="s">
        <v>3763</v>
      </c>
      <c r="B38" s="982" t="s">
        <v>3764</v>
      </c>
      <c r="C38" s="803"/>
      <c r="D38" s="804"/>
      <c r="E38" s="805">
        <v>1</v>
      </c>
      <c r="F38" s="804"/>
      <c r="G38" s="805"/>
      <c r="H38" s="804"/>
      <c r="I38" s="805"/>
      <c r="J38" s="804"/>
      <c r="K38" s="805">
        <v>1</v>
      </c>
      <c r="L38" s="804"/>
      <c r="M38" s="805">
        <v>1</v>
      </c>
      <c r="N38" s="804"/>
      <c r="O38" s="805">
        <v>1</v>
      </c>
      <c r="P38" s="804"/>
      <c r="Q38" s="805"/>
      <c r="R38" s="804"/>
      <c r="S38" s="976">
        <v>30</v>
      </c>
      <c r="T38" s="977">
        <v>5</v>
      </c>
      <c r="U38" s="805"/>
      <c r="V38" s="804"/>
      <c r="W38" s="805"/>
      <c r="X38" s="804"/>
      <c r="Y38" s="805"/>
      <c r="Z38" s="804"/>
      <c r="AA38" s="978">
        <v>50</v>
      </c>
      <c r="AB38" s="968"/>
      <c r="AC38" s="976"/>
      <c r="AD38" s="968"/>
      <c r="AE38" s="968"/>
      <c r="AF38" s="968"/>
      <c r="AG38" s="968"/>
      <c r="AH38" s="968"/>
      <c r="AI38" s="968"/>
      <c r="AJ38" s="968"/>
      <c r="AK38" s="968"/>
      <c r="AL38" s="968"/>
      <c r="AM38" s="968"/>
      <c r="AN38" s="968"/>
    </row>
    <row r="39" spans="1:40" s="974" customFormat="1" ht="20.100000000000001" customHeight="1" outlineLevel="2">
      <c r="A39" s="981" t="s">
        <v>3765</v>
      </c>
      <c r="B39" s="982" t="s">
        <v>3766</v>
      </c>
      <c r="C39" s="803"/>
      <c r="D39" s="804"/>
      <c r="E39" s="805">
        <v>1</v>
      </c>
      <c r="F39" s="804"/>
      <c r="G39" s="805"/>
      <c r="H39" s="804"/>
      <c r="I39" s="805"/>
      <c r="J39" s="804"/>
      <c r="K39" s="805">
        <v>1</v>
      </c>
      <c r="L39" s="804"/>
      <c r="M39" s="805">
        <v>1</v>
      </c>
      <c r="N39" s="804"/>
      <c r="O39" s="805">
        <v>1</v>
      </c>
      <c r="P39" s="804"/>
      <c r="Q39" s="805"/>
      <c r="R39" s="804"/>
      <c r="S39" s="976">
        <v>30</v>
      </c>
      <c r="T39" s="977">
        <v>5</v>
      </c>
      <c r="U39" s="805"/>
      <c r="V39" s="804"/>
      <c r="W39" s="805"/>
      <c r="X39" s="804"/>
      <c r="Y39" s="805"/>
      <c r="Z39" s="804"/>
      <c r="AA39" s="978">
        <v>50</v>
      </c>
      <c r="AB39" s="968"/>
      <c r="AC39" s="976"/>
      <c r="AD39" s="968"/>
      <c r="AE39" s="968"/>
      <c r="AF39" s="968"/>
      <c r="AG39" s="968"/>
      <c r="AH39" s="968"/>
      <c r="AI39" s="968"/>
      <c r="AJ39" s="968"/>
      <c r="AK39" s="968"/>
      <c r="AL39" s="968"/>
      <c r="AM39" s="968"/>
      <c r="AN39" s="968"/>
    </row>
    <row r="40" spans="1:40" s="974" customFormat="1" ht="20.100000000000001" customHeight="1" outlineLevel="2">
      <c r="A40" s="981" t="s">
        <v>3767</v>
      </c>
      <c r="B40" s="982" t="s">
        <v>3768</v>
      </c>
      <c r="C40" s="803"/>
      <c r="D40" s="804"/>
      <c r="E40" s="805"/>
      <c r="F40" s="804"/>
      <c r="G40" s="805"/>
      <c r="H40" s="804"/>
      <c r="I40" s="805">
        <v>1</v>
      </c>
      <c r="J40" s="804"/>
      <c r="K40" s="805">
        <v>1</v>
      </c>
      <c r="L40" s="804"/>
      <c r="M40" s="805">
        <v>1</v>
      </c>
      <c r="N40" s="804"/>
      <c r="O40" s="805">
        <v>1</v>
      </c>
      <c r="P40" s="804"/>
      <c r="Q40" s="805"/>
      <c r="R40" s="804"/>
      <c r="S40" s="976">
        <v>30</v>
      </c>
      <c r="T40" s="977">
        <v>5</v>
      </c>
      <c r="U40" s="805"/>
      <c r="V40" s="804"/>
      <c r="W40" s="805"/>
      <c r="X40" s="804"/>
      <c r="Y40" s="805"/>
      <c r="Z40" s="804"/>
      <c r="AA40" s="978">
        <v>80</v>
      </c>
      <c r="AB40" s="968"/>
      <c r="AC40" s="976"/>
      <c r="AD40" s="968"/>
      <c r="AE40" s="968"/>
      <c r="AF40" s="968"/>
      <c r="AG40" s="968"/>
      <c r="AH40" s="968"/>
      <c r="AI40" s="968"/>
      <c r="AJ40" s="968"/>
      <c r="AK40" s="968"/>
      <c r="AL40" s="968"/>
      <c r="AM40" s="968"/>
      <c r="AN40" s="968"/>
    </row>
    <row r="41" spans="1:40" s="974" customFormat="1" ht="20.100000000000001" customHeight="1" outlineLevel="2">
      <c r="A41" s="981" t="s">
        <v>3769</v>
      </c>
      <c r="B41" s="982" t="s">
        <v>3770</v>
      </c>
      <c r="C41" s="803"/>
      <c r="D41" s="804"/>
      <c r="E41" s="805"/>
      <c r="F41" s="804"/>
      <c r="G41" s="805"/>
      <c r="H41" s="804"/>
      <c r="I41" s="805">
        <v>1</v>
      </c>
      <c r="J41" s="804"/>
      <c r="K41" s="805"/>
      <c r="L41" s="804"/>
      <c r="M41" s="805"/>
      <c r="N41" s="804"/>
      <c r="O41" s="805"/>
      <c r="P41" s="804"/>
      <c r="Q41" s="805"/>
      <c r="R41" s="804"/>
      <c r="S41" s="976">
        <v>8</v>
      </c>
      <c r="T41" s="977">
        <v>5</v>
      </c>
      <c r="U41" s="805"/>
      <c r="V41" s="804"/>
      <c r="W41" s="805"/>
      <c r="X41" s="804"/>
      <c r="Y41" s="805"/>
      <c r="Z41" s="804"/>
      <c r="AA41" s="978">
        <v>20</v>
      </c>
      <c r="AB41" s="968"/>
      <c r="AC41" s="976"/>
      <c r="AD41" s="968"/>
      <c r="AE41" s="968"/>
      <c r="AF41" s="968"/>
      <c r="AG41" s="968"/>
      <c r="AH41" s="968"/>
      <c r="AI41" s="968"/>
      <c r="AJ41" s="968"/>
      <c r="AK41" s="968"/>
      <c r="AL41" s="968"/>
      <c r="AM41" s="968"/>
      <c r="AN41" s="968"/>
    </row>
    <row r="42" spans="1:40" s="974" customFormat="1" ht="20.100000000000001" customHeight="1" outlineLevel="2">
      <c r="A42" s="981" t="s">
        <v>3736</v>
      </c>
      <c r="B42" s="982" t="s">
        <v>3771</v>
      </c>
      <c r="C42" s="803"/>
      <c r="D42" s="804"/>
      <c r="E42" s="805"/>
      <c r="F42" s="804"/>
      <c r="G42" s="805"/>
      <c r="H42" s="804"/>
      <c r="I42" s="805">
        <v>1</v>
      </c>
      <c r="J42" s="804"/>
      <c r="K42" s="805"/>
      <c r="L42" s="804"/>
      <c r="M42" s="805"/>
      <c r="N42" s="804"/>
      <c r="O42" s="805"/>
      <c r="P42" s="804"/>
      <c r="Q42" s="805"/>
      <c r="R42" s="804"/>
      <c r="S42" s="976">
        <v>20</v>
      </c>
      <c r="T42" s="977">
        <v>5</v>
      </c>
      <c r="U42" s="805"/>
      <c r="V42" s="804"/>
      <c r="W42" s="805"/>
      <c r="X42" s="804"/>
      <c r="Y42" s="805"/>
      <c r="Z42" s="804"/>
      <c r="AA42" s="978">
        <v>30</v>
      </c>
      <c r="AB42" s="968"/>
      <c r="AC42" s="968"/>
      <c r="AD42" s="968"/>
      <c r="AE42" s="968"/>
      <c r="AF42" s="968"/>
      <c r="AG42" s="968"/>
      <c r="AH42" s="968"/>
      <c r="AI42" s="968"/>
      <c r="AJ42" s="968"/>
      <c r="AK42" s="968"/>
      <c r="AL42" s="968"/>
      <c r="AM42" s="968"/>
      <c r="AN42" s="968"/>
    </row>
    <row r="43" spans="1:40" s="974" customFormat="1" ht="20.100000000000001" customHeight="1" outlineLevel="2">
      <c r="A43" s="981" t="s">
        <v>3738</v>
      </c>
      <c r="B43" s="982" t="s">
        <v>3772</v>
      </c>
      <c r="C43" s="803"/>
      <c r="D43" s="804"/>
      <c r="E43" s="805"/>
      <c r="F43" s="804"/>
      <c r="G43" s="805"/>
      <c r="H43" s="804"/>
      <c r="I43" s="805"/>
      <c r="J43" s="804"/>
      <c r="K43" s="805"/>
      <c r="L43" s="804"/>
      <c r="M43" s="805"/>
      <c r="N43" s="804"/>
      <c r="O43" s="805"/>
      <c r="P43" s="804"/>
      <c r="Q43" s="805"/>
      <c r="R43" s="804"/>
      <c r="S43" s="976">
        <v>20</v>
      </c>
      <c r="T43" s="977">
        <v>5</v>
      </c>
      <c r="U43" s="805"/>
      <c r="V43" s="804"/>
      <c r="W43" s="805"/>
      <c r="X43" s="804"/>
      <c r="Y43" s="805"/>
      <c r="Z43" s="804"/>
      <c r="AA43" s="978">
        <v>30</v>
      </c>
      <c r="AB43" s="968"/>
      <c r="AC43" s="968"/>
      <c r="AD43" s="968"/>
      <c r="AE43" s="968"/>
      <c r="AF43" s="968"/>
      <c r="AG43" s="968"/>
      <c r="AH43" s="968"/>
      <c r="AI43" s="968"/>
      <c r="AJ43" s="968"/>
      <c r="AK43" s="968"/>
      <c r="AL43" s="968"/>
      <c r="AM43" s="968"/>
      <c r="AN43" s="968"/>
    </row>
    <row r="44" spans="1:40" s="974" customFormat="1" ht="20.100000000000001" customHeight="1">
      <c r="A44" s="909">
        <v>4</v>
      </c>
      <c r="B44" s="975" t="s">
        <v>3773</v>
      </c>
      <c r="C44" s="803"/>
      <c r="D44" s="804"/>
      <c r="E44" s="805"/>
      <c r="F44" s="804"/>
      <c r="G44" s="805"/>
      <c r="H44" s="804"/>
      <c r="I44" s="805"/>
      <c r="J44" s="804"/>
      <c r="K44" s="805"/>
      <c r="L44" s="804"/>
      <c r="M44" s="805"/>
      <c r="N44" s="804"/>
      <c r="O44" s="805"/>
      <c r="P44" s="804"/>
      <c r="Q44" s="805"/>
      <c r="R44" s="804"/>
      <c r="S44" s="976"/>
      <c r="T44" s="977"/>
      <c r="U44" s="805"/>
      <c r="V44" s="804"/>
      <c r="W44" s="805"/>
      <c r="X44" s="804"/>
      <c r="Y44" s="805"/>
      <c r="Z44" s="804"/>
      <c r="AA44" s="978"/>
      <c r="AB44" s="968"/>
      <c r="AC44" s="968"/>
      <c r="AD44" s="968"/>
      <c r="AE44" s="968"/>
      <c r="AF44" s="968"/>
      <c r="AG44" s="968"/>
      <c r="AH44" s="968"/>
      <c r="AI44" s="968"/>
      <c r="AJ44" s="968"/>
      <c r="AK44" s="968"/>
      <c r="AL44" s="968"/>
      <c r="AM44" s="968"/>
      <c r="AN44" s="968"/>
    </row>
    <row r="45" spans="1:40" s="974" customFormat="1" ht="20.100000000000001" customHeight="1" outlineLevel="1">
      <c r="A45" s="979">
        <v>4.0999999999999996</v>
      </c>
      <c r="B45" s="980" t="s">
        <v>3705</v>
      </c>
      <c r="C45" s="803"/>
      <c r="D45" s="804"/>
      <c r="E45" s="805"/>
      <c r="F45" s="804"/>
      <c r="G45" s="805"/>
      <c r="H45" s="804"/>
      <c r="I45" s="805"/>
      <c r="J45" s="804"/>
      <c r="K45" s="805"/>
      <c r="L45" s="804"/>
      <c r="M45" s="805"/>
      <c r="N45" s="804"/>
      <c r="O45" s="805"/>
      <c r="P45" s="804"/>
      <c r="Q45" s="805"/>
      <c r="R45" s="804"/>
      <c r="S45" s="976"/>
      <c r="T45" s="977"/>
      <c r="U45" s="805"/>
      <c r="V45" s="804"/>
      <c r="W45" s="805"/>
      <c r="X45" s="804"/>
      <c r="Y45" s="805"/>
      <c r="Z45" s="804"/>
      <c r="AA45" s="978"/>
      <c r="AB45" s="968"/>
      <c r="AC45" s="968"/>
      <c r="AD45" s="968"/>
      <c r="AE45" s="968"/>
      <c r="AF45" s="968"/>
      <c r="AG45" s="968"/>
      <c r="AH45" s="968"/>
      <c r="AI45" s="968"/>
      <c r="AJ45" s="968"/>
      <c r="AK45" s="968"/>
      <c r="AL45" s="968"/>
      <c r="AM45" s="968"/>
      <c r="AN45" s="968"/>
    </row>
    <row r="46" spans="1:40" s="974" customFormat="1" ht="20.100000000000001" customHeight="1" outlineLevel="2">
      <c r="A46" s="981" t="s">
        <v>2797</v>
      </c>
      <c r="B46" s="980" t="s">
        <v>3774</v>
      </c>
      <c r="C46" s="803"/>
      <c r="D46" s="804"/>
      <c r="E46" s="805"/>
      <c r="F46" s="804"/>
      <c r="G46" s="805"/>
      <c r="H46" s="804"/>
      <c r="I46" s="805"/>
      <c r="J46" s="804"/>
      <c r="K46" s="805"/>
      <c r="L46" s="804"/>
      <c r="M46" s="805"/>
      <c r="N46" s="804"/>
      <c r="O46" s="805"/>
      <c r="P46" s="804">
        <v>1</v>
      </c>
      <c r="Q46" s="805"/>
      <c r="R46" s="804"/>
      <c r="S46" s="976">
        <v>5</v>
      </c>
      <c r="T46" s="977">
        <v>2</v>
      </c>
      <c r="U46" s="805"/>
      <c r="V46" s="804"/>
      <c r="W46" s="805"/>
      <c r="X46" s="804"/>
      <c r="Y46" s="805"/>
      <c r="Z46" s="804"/>
      <c r="AA46" s="978">
        <v>8</v>
      </c>
      <c r="AB46" s="968"/>
      <c r="AC46" s="968"/>
      <c r="AD46" s="968"/>
      <c r="AE46" s="968"/>
      <c r="AF46" s="968"/>
      <c r="AG46" s="968"/>
      <c r="AH46" s="968"/>
      <c r="AI46" s="968"/>
      <c r="AJ46" s="968"/>
      <c r="AK46" s="968"/>
      <c r="AL46" s="968"/>
      <c r="AM46" s="968"/>
      <c r="AN46" s="968"/>
    </row>
    <row r="47" spans="1:40" s="974" customFormat="1" ht="20.100000000000001" customHeight="1" outlineLevel="2">
      <c r="A47" s="981" t="s">
        <v>582</v>
      </c>
      <c r="B47" s="980" t="s">
        <v>3775</v>
      </c>
      <c r="C47" s="803"/>
      <c r="D47" s="804"/>
      <c r="E47" s="805"/>
      <c r="F47" s="804"/>
      <c r="G47" s="805"/>
      <c r="H47" s="804"/>
      <c r="I47" s="805"/>
      <c r="J47" s="804"/>
      <c r="K47" s="805"/>
      <c r="L47" s="804"/>
      <c r="M47" s="805"/>
      <c r="N47" s="804">
        <v>1</v>
      </c>
      <c r="O47" s="805"/>
      <c r="P47" s="804">
        <v>1</v>
      </c>
      <c r="Q47" s="805"/>
      <c r="R47" s="804"/>
      <c r="S47" s="976">
        <v>5</v>
      </c>
      <c r="T47" s="977">
        <v>2</v>
      </c>
      <c r="U47" s="805"/>
      <c r="V47" s="804"/>
      <c r="W47" s="805"/>
      <c r="X47" s="804"/>
      <c r="Y47" s="805"/>
      <c r="Z47" s="804"/>
      <c r="AA47" s="978">
        <v>10</v>
      </c>
      <c r="AB47" s="968"/>
      <c r="AC47" s="968"/>
      <c r="AD47" s="968"/>
      <c r="AE47" s="968"/>
      <c r="AF47" s="968"/>
      <c r="AG47" s="968"/>
      <c r="AH47" s="968"/>
      <c r="AI47" s="968"/>
      <c r="AJ47" s="968"/>
      <c r="AK47" s="968"/>
      <c r="AL47" s="968"/>
      <c r="AM47" s="968"/>
      <c r="AN47" s="968"/>
    </row>
    <row r="48" spans="1:40" s="974" customFormat="1" ht="20.100000000000001" customHeight="1" outlineLevel="2">
      <c r="A48" s="981" t="s">
        <v>2800</v>
      </c>
      <c r="B48" s="980" t="s">
        <v>3776</v>
      </c>
      <c r="C48" s="803"/>
      <c r="D48" s="804"/>
      <c r="E48" s="805"/>
      <c r="F48" s="804"/>
      <c r="G48" s="805"/>
      <c r="H48" s="804"/>
      <c r="I48" s="805"/>
      <c r="J48" s="804"/>
      <c r="K48" s="805"/>
      <c r="L48" s="804"/>
      <c r="M48" s="805"/>
      <c r="N48" s="804"/>
      <c r="O48" s="805"/>
      <c r="P48" s="804"/>
      <c r="Q48" s="805"/>
      <c r="R48" s="804"/>
      <c r="S48" s="976">
        <v>5</v>
      </c>
      <c r="T48" s="977">
        <v>2</v>
      </c>
      <c r="U48" s="805"/>
      <c r="V48" s="804"/>
      <c r="W48" s="805"/>
      <c r="X48" s="804"/>
      <c r="Y48" s="805"/>
      <c r="Z48" s="804"/>
      <c r="AA48" s="978">
        <v>10</v>
      </c>
      <c r="AB48" s="968"/>
      <c r="AC48" s="968"/>
      <c r="AD48" s="968"/>
      <c r="AE48" s="968"/>
      <c r="AF48" s="968"/>
      <c r="AG48" s="968"/>
      <c r="AH48" s="968"/>
      <c r="AI48" s="968"/>
      <c r="AJ48" s="968"/>
      <c r="AK48" s="968"/>
      <c r="AL48" s="968"/>
      <c r="AM48" s="968"/>
      <c r="AN48" s="968"/>
    </row>
    <row r="49" spans="1:40" s="974" customFormat="1" ht="20.100000000000001" customHeight="1" outlineLevel="2">
      <c r="A49" s="981" t="s">
        <v>2802</v>
      </c>
      <c r="B49" s="980" t="s">
        <v>3777</v>
      </c>
      <c r="C49" s="803"/>
      <c r="D49" s="804"/>
      <c r="E49" s="805"/>
      <c r="F49" s="804"/>
      <c r="G49" s="805"/>
      <c r="H49" s="804"/>
      <c r="I49" s="805"/>
      <c r="J49" s="804"/>
      <c r="K49" s="805"/>
      <c r="L49" s="804"/>
      <c r="M49" s="805"/>
      <c r="N49" s="804"/>
      <c r="O49" s="805"/>
      <c r="P49" s="804"/>
      <c r="Q49" s="805"/>
      <c r="R49" s="804"/>
      <c r="S49" s="976">
        <v>5</v>
      </c>
      <c r="T49" s="977">
        <v>2</v>
      </c>
      <c r="U49" s="805"/>
      <c r="V49" s="804"/>
      <c r="W49" s="805"/>
      <c r="X49" s="804"/>
      <c r="Y49" s="805"/>
      <c r="Z49" s="804"/>
      <c r="AA49" s="978">
        <v>10</v>
      </c>
      <c r="AB49" s="968"/>
      <c r="AC49" s="968"/>
      <c r="AD49" s="968"/>
      <c r="AE49" s="968"/>
      <c r="AF49" s="968"/>
      <c r="AG49" s="968"/>
      <c r="AH49" s="968"/>
      <c r="AI49" s="968"/>
      <c r="AJ49" s="968"/>
      <c r="AK49" s="968"/>
      <c r="AL49" s="968"/>
      <c r="AM49" s="968"/>
      <c r="AN49" s="968"/>
    </row>
    <row r="50" spans="1:40" s="974" customFormat="1" ht="20.100000000000001" customHeight="1" outlineLevel="2">
      <c r="A50" s="981" t="s">
        <v>2804</v>
      </c>
      <c r="B50" s="980" t="s">
        <v>3778</v>
      </c>
      <c r="C50" s="803"/>
      <c r="D50" s="804"/>
      <c r="E50" s="805"/>
      <c r="F50" s="804"/>
      <c r="G50" s="805"/>
      <c r="H50" s="804"/>
      <c r="I50" s="805"/>
      <c r="J50" s="804"/>
      <c r="K50" s="805"/>
      <c r="L50" s="804"/>
      <c r="M50" s="805"/>
      <c r="N50" s="804"/>
      <c r="O50" s="805"/>
      <c r="P50" s="804"/>
      <c r="Q50" s="805"/>
      <c r="R50" s="804"/>
      <c r="S50" s="976">
        <v>5</v>
      </c>
      <c r="T50" s="977">
        <v>2</v>
      </c>
      <c r="U50" s="805"/>
      <c r="V50" s="804"/>
      <c r="W50" s="805"/>
      <c r="X50" s="804"/>
      <c r="Y50" s="805"/>
      <c r="Z50" s="804"/>
      <c r="AA50" s="978">
        <v>10</v>
      </c>
      <c r="AB50" s="968"/>
      <c r="AC50" s="968"/>
      <c r="AD50" s="968"/>
      <c r="AE50" s="968"/>
      <c r="AF50" s="968"/>
      <c r="AG50" s="968"/>
      <c r="AH50" s="968"/>
      <c r="AI50" s="968"/>
      <c r="AJ50" s="968"/>
      <c r="AK50" s="968"/>
      <c r="AL50" s="968"/>
      <c r="AM50" s="968"/>
      <c r="AN50" s="968"/>
    </row>
    <row r="51" spans="1:40" s="974" customFormat="1" ht="20.100000000000001" customHeight="1" outlineLevel="2">
      <c r="A51" s="981" t="s">
        <v>2806</v>
      </c>
      <c r="B51" s="980" t="s">
        <v>3779</v>
      </c>
      <c r="C51" s="803"/>
      <c r="D51" s="804"/>
      <c r="E51" s="805"/>
      <c r="F51" s="804"/>
      <c r="G51" s="805"/>
      <c r="H51" s="804"/>
      <c r="I51" s="805"/>
      <c r="J51" s="804"/>
      <c r="K51" s="805"/>
      <c r="L51" s="804"/>
      <c r="M51" s="805"/>
      <c r="N51" s="804"/>
      <c r="O51" s="805"/>
      <c r="P51" s="804"/>
      <c r="Q51" s="805"/>
      <c r="R51" s="804"/>
      <c r="S51" s="976">
        <v>5</v>
      </c>
      <c r="T51" s="977">
        <v>2</v>
      </c>
      <c r="U51" s="805"/>
      <c r="V51" s="804"/>
      <c r="W51" s="805"/>
      <c r="X51" s="804"/>
      <c r="Y51" s="805"/>
      <c r="Z51" s="804"/>
      <c r="AA51" s="978">
        <v>10</v>
      </c>
      <c r="AB51" s="968"/>
      <c r="AC51" s="968"/>
      <c r="AD51" s="968"/>
      <c r="AE51" s="968"/>
      <c r="AF51" s="968"/>
      <c r="AG51" s="968"/>
      <c r="AH51" s="968"/>
      <c r="AI51" s="968"/>
      <c r="AJ51" s="968"/>
      <c r="AK51" s="968"/>
      <c r="AL51" s="968"/>
      <c r="AM51" s="968"/>
      <c r="AN51" s="968"/>
    </row>
    <row r="52" spans="1:40" s="974" customFormat="1" ht="20.100000000000001" customHeight="1" outlineLevel="2">
      <c r="A52" s="981" t="s">
        <v>2808</v>
      </c>
      <c r="B52" s="980" t="s">
        <v>3780</v>
      </c>
      <c r="C52" s="803"/>
      <c r="D52" s="804"/>
      <c r="E52" s="805"/>
      <c r="F52" s="804"/>
      <c r="G52" s="805"/>
      <c r="H52" s="804"/>
      <c r="I52" s="805"/>
      <c r="J52" s="804"/>
      <c r="K52" s="805"/>
      <c r="L52" s="804"/>
      <c r="M52" s="805"/>
      <c r="N52" s="804"/>
      <c r="O52" s="805"/>
      <c r="P52" s="804"/>
      <c r="Q52" s="805"/>
      <c r="R52" s="804"/>
      <c r="S52" s="976">
        <v>5</v>
      </c>
      <c r="T52" s="977">
        <v>2</v>
      </c>
      <c r="U52" s="805"/>
      <c r="V52" s="804"/>
      <c r="W52" s="805"/>
      <c r="X52" s="804"/>
      <c r="Y52" s="805"/>
      <c r="Z52" s="804"/>
      <c r="AA52" s="978">
        <v>10</v>
      </c>
      <c r="AB52" s="968"/>
      <c r="AC52" s="968"/>
      <c r="AD52" s="968"/>
      <c r="AE52" s="968"/>
      <c r="AF52" s="968"/>
      <c r="AG52" s="968"/>
      <c r="AH52" s="968"/>
      <c r="AI52" s="968"/>
      <c r="AJ52" s="968"/>
      <c r="AK52" s="968"/>
      <c r="AL52" s="968"/>
      <c r="AM52" s="968"/>
      <c r="AN52" s="968"/>
    </row>
    <row r="53" spans="1:40" s="974" customFormat="1" ht="20.100000000000001" customHeight="1" outlineLevel="1">
      <c r="A53" s="979">
        <v>4.2</v>
      </c>
      <c r="B53" s="980" t="s">
        <v>3781</v>
      </c>
      <c r="C53" s="803"/>
      <c r="D53" s="804"/>
      <c r="E53" s="805"/>
      <c r="F53" s="804"/>
      <c r="G53" s="805"/>
      <c r="H53" s="804"/>
      <c r="I53" s="805"/>
      <c r="J53" s="804"/>
      <c r="K53" s="805"/>
      <c r="L53" s="804"/>
      <c r="M53" s="805"/>
      <c r="N53" s="804"/>
      <c r="O53" s="805"/>
      <c r="P53" s="804"/>
      <c r="Q53" s="805"/>
      <c r="R53" s="804"/>
      <c r="S53" s="976"/>
      <c r="T53" s="977"/>
      <c r="U53" s="805"/>
      <c r="V53" s="804"/>
      <c r="W53" s="805"/>
      <c r="X53" s="804"/>
      <c r="Y53" s="805"/>
      <c r="Z53" s="804"/>
      <c r="AA53" s="978"/>
      <c r="AB53" s="968"/>
      <c r="AC53" s="968"/>
      <c r="AD53" s="968"/>
      <c r="AE53" s="968"/>
      <c r="AF53" s="968"/>
      <c r="AG53" s="968"/>
      <c r="AH53" s="968"/>
      <c r="AI53" s="968"/>
      <c r="AJ53" s="968"/>
      <c r="AK53" s="968"/>
      <c r="AL53" s="968"/>
      <c r="AM53" s="968"/>
      <c r="AN53" s="968"/>
    </row>
    <row r="54" spans="1:40" s="974" customFormat="1" ht="20.100000000000001" customHeight="1" outlineLevel="2">
      <c r="A54" s="981" t="s">
        <v>585</v>
      </c>
      <c r="B54" s="982" t="s">
        <v>3782</v>
      </c>
      <c r="C54" s="803"/>
      <c r="D54" s="804"/>
      <c r="E54" s="805"/>
      <c r="F54" s="804"/>
      <c r="G54" s="805">
        <v>1</v>
      </c>
      <c r="H54" s="804"/>
      <c r="I54" s="805"/>
      <c r="J54" s="804">
        <v>1</v>
      </c>
      <c r="K54" s="805"/>
      <c r="L54" s="804"/>
      <c r="M54" s="805"/>
      <c r="N54" s="804"/>
      <c r="O54" s="805">
        <v>1</v>
      </c>
      <c r="P54" s="804"/>
      <c r="Q54" s="805"/>
      <c r="R54" s="804"/>
      <c r="S54" s="976">
        <v>40</v>
      </c>
      <c r="T54" s="977">
        <v>10</v>
      </c>
      <c r="U54" s="805"/>
      <c r="V54" s="804"/>
      <c r="W54" s="805"/>
      <c r="X54" s="804"/>
      <c r="Y54" s="805"/>
      <c r="Z54" s="804"/>
      <c r="AA54" s="978">
        <v>120</v>
      </c>
      <c r="AB54" s="968"/>
      <c r="AC54" s="968"/>
      <c r="AD54" s="968"/>
      <c r="AE54" s="968"/>
      <c r="AF54" s="968"/>
      <c r="AG54" s="968"/>
      <c r="AH54" s="968"/>
      <c r="AI54" s="968"/>
      <c r="AJ54" s="968"/>
      <c r="AK54" s="968"/>
      <c r="AL54" s="968"/>
      <c r="AM54" s="968"/>
      <c r="AN54" s="968"/>
    </row>
    <row r="55" spans="1:40" s="974" customFormat="1" ht="20.100000000000001" customHeight="1" outlineLevel="2">
      <c r="A55" s="981" t="s">
        <v>587</v>
      </c>
      <c r="B55" s="982" t="s">
        <v>3783</v>
      </c>
      <c r="C55" s="803"/>
      <c r="D55" s="804"/>
      <c r="E55" s="805"/>
      <c r="F55" s="804"/>
      <c r="G55" s="805">
        <v>1</v>
      </c>
      <c r="H55" s="804"/>
      <c r="I55" s="805"/>
      <c r="J55" s="804">
        <v>1</v>
      </c>
      <c r="K55" s="805"/>
      <c r="L55" s="804"/>
      <c r="M55" s="805">
        <v>1</v>
      </c>
      <c r="N55" s="804"/>
      <c r="O55" s="805">
        <v>1</v>
      </c>
      <c r="P55" s="804"/>
      <c r="Q55" s="805"/>
      <c r="R55" s="804"/>
      <c r="S55" s="976">
        <v>40</v>
      </c>
      <c r="T55" s="977">
        <v>10</v>
      </c>
      <c r="U55" s="805"/>
      <c r="V55" s="804"/>
      <c r="W55" s="805"/>
      <c r="X55" s="804"/>
      <c r="Y55" s="805"/>
      <c r="Z55" s="804"/>
      <c r="AA55" s="978">
        <v>80</v>
      </c>
      <c r="AB55" s="968"/>
      <c r="AC55" s="968"/>
      <c r="AD55" s="968"/>
      <c r="AE55" s="968"/>
      <c r="AF55" s="968"/>
      <c r="AG55" s="968"/>
      <c r="AH55" s="968"/>
      <c r="AI55" s="968"/>
      <c r="AJ55" s="968"/>
      <c r="AK55" s="968"/>
      <c r="AL55" s="968"/>
      <c r="AM55" s="968"/>
      <c r="AN55" s="968"/>
    </row>
    <row r="56" spans="1:40" s="974" customFormat="1" ht="20.100000000000001" customHeight="1" outlineLevel="2">
      <c r="A56" s="981" t="s">
        <v>2819</v>
      </c>
      <c r="B56" s="982" t="s">
        <v>3784</v>
      </c>
      <c r="C56" s="803"/>
      <c r="D56" s="804"/>
      <c r="E56" s="805">
        <v>1</v>
      </c>
      <c r="F56" s="804"/>
      <c r="G56" s="805"/>
      <c r="H56" s="804"/>
      <c r="I56" s="805"/>
      <c r="J56" s="804"/>
      <c r="K56" s="805">
        <v>1</v>
      </c>
      <c r="L56" s="804"/>
      <c r="M56" s="805">
        <v>1</v>
      </c>
      <c r="N56" s="804"/>
      <c r="O56" s="805">
        <v>1</v>
      </c>
      <c r="P56" s="804"/>
      <c r="Q56" s="805"/>
      <c r="R56" s="804"/>
      <c r="S56" s="976">
        <v>30</v>
      </c>
      <c r="T56" s="977">
        <v>5</v>
      </c>
      <c r="U56" s="805"/>
      <c r="V56" s="804"/>
      <c r="W56" s="805"/>
      <c r="X56" s="804"/>
      <c r="Y56" s="805"/>
      <c r="Z56" s="804"/>
      <c r="AA56" s="978">
        <v>80</v>
      </c>
      <c r="AB56" s="968"/>
      <c r="AC56" s="968"/>
      <c r="AD56" s="968"/>
      <c r="AE56" s="968"/>
      <c r="AF56" s="968"/>
      <c r="AG56" s="968"/>
      <c r="AH56" s="968"/>
      <c r="AI56" s="968"/>
      <c r="AJ56" s="968"/>
      <c r="AK56" s="968"/>
      <c r="AL56" s="968"/>
      <c r="AM56" s="968"/>
      <c r="AN56" s="968"/>
    </row>
    <row r="57" spans="1:40" s="974" customFormat="1" ht="20.100000000000001" customHeight="1" outlineLevel="2">
      <c r="A57" s="981" t="s">
        <v>2821</v>
      </c>
      <c r="B57" s="982" t="s">
        <v>3785</v>
      </c>
      <c r="C57" s="803"/>
      <c r="D57" s="804"/>
      <c r="E57" s="805">
        <v>1</v>
      </c>
      <c r="F57" s="804"/>
      <c r="G57" s="805"/>
      <c r="H57" s="804"/>
      <c r="I57" s="805"/>
      <c r="J57" s="804"/>
      <c r="K57" s="805">
        <v>1</v>
      </c>
      <c r="L57" s="804"/>
      <c r="M57" s="805">
        <v>1</v>
      </c>
      <c r="N57" s="804"/>
      <c r="O57" s="805">
        <v>1</v>
      </c>
      <c r="P57" s="804"/>
      <c r="Q57" s="805"/>
      <c r="R57" s="804"/>
      <c r="S57" s="976">
        <v>20</v>
      </c>
      <c r="T57" s="977">
        <v>5</v>
      </c>
      <c r="U57" s="805"/>
      <c r="V57" s="804"/>
      <c r="W57" s="805"/>
      <c r="X57" s="804"/>
      <c r="Y57" s="805"/>
      <c r="Z57" s="804"/>
      <c r="AA57" s="978">
        <v>40</v>
      </c>
      <c r="AB57" s="968"/>
      <c r="AC57" s="968"/>
      <c r="AD57" s="968"/>
      <c r="AE57" s="968"/>
      <c r="AF57" s="968"/>
      <c r="AG57" s="968"/>
      <c r="AH57" s="968"/>
      <c r="AI57" s="968"/>
      <c r="AJ57" s="968"/>
      <c r="AK57" s="968"/>
      <c r="AL57" s="968"/>
      <c r="AM57" s="968"/>
      <c r="AN57" s="968"/>
    </row>
    <row r="58" spans="1:40" s="974" customFormat="1" ht="20.100000000000001" customHeight="1" outlineLevel="2">
      <c r="A58" s="981" t="s">
        <v>2823</v>
      </c>
      <c r="B58" s="982" t="s">
        <v>3786</v>
      </c>
      <c r="C58" s="803"/>
      <c r="D58" s="804"/>
      <c r="E58" s="805">
        <v>1</v>
      </c>
      <c r="F58" s="804"/>
      <c r="G58" s="805"/>
      <c r="H58" s="804"/>
      <c r="I58" s="805"/>
      <c r="J58" s="804"/>
      <c r="K58" s="805">
        <v>1</v>
      </c>
      <c r="L58" s="804"/>
      <c r="M58" s="805">
        <v>1</v>
      </c>
      <c r="N58" s="804"/>
      <c r="O58" s="805">
        <v>1</v>
      </c>
      <c r="P58" s="804"/>
      <c r="Q58" s="805"/>
      <c r="R58" s="804"/>
      <c r="S58" s="976">
        <v>20</v>
      </c>
      <c r="T58" s="977">
        <v>5</v>
      </c>
      <c r="U58" s="805"/>
      <c r="V58" s="804"/>
      <c r="W58" s="805"/>
      <c r="X58" s="804"/>
      <c r="Y58" s="805"/>
      <c r="Z58" s="804"/>
      <c r="AA58" s="978">
        <v>40</v>
      </c>
      <c r="AB58" s="968"/>
      <c r="AC58" s="968"/>
      <c r="AD58" s="968"/>
      <c r="AE58" s="968"/>
      <c r="AF58" s="968"/>
      <c r="AG58" s="968"/>
      <c r="AH58" s="968"/>
      <c r="AI58" s="968"/>
      <c r="AJ58" s="968"/>
      <c r="AK58" s="968"/>
      <c r="AL58" s="968"/>
      <c r="AM58" s="968"/>
      <c r="AN58" s="968"/>
    </row>
    <row r="59" spans="1:40" s="974" customFormat="1" ht="20.100000000000001" customHeight="1" outlineLevel="2">
      <c r="A59" s="981" t="s">
        <v>2825</v>
      </c>
      <c r="B59" s="982" t="s">
        <v>3787</v>
      </c>
      <c r="C59" s="803"/>
      <c r="D59" s="804"/>
      <c r="E59" s="805"/>
      <c r="F59" s="804"/>
      <c r="G59" s="805">
        <v>1</v>
      </c>
      <c r="H59" s="804"/>
      <c r="I59" s="805"/>
      <c r="J59" s="804">
        <v>1</v>
      </c>
      <c r="K59" s="805"/>
      <c r="L59" s="804"/>
      <c r="M59" s="805"/>
      <c r="N59" s="804"/>
      <c r="O59" s="805"/>
      <c r="P59" s="804"/>
      <c r="Q59" s="805"/>
      <c r="R59" s="804"/>
      <c r="S59" s="976">
        <v>25</v>
      </c>
      <c r="T59" s="977">
        <v>5</v>
      </c>
      <c r="U59" s="805"/>
      <c r="V59" s="804"/>
      <c r="W59" s="805"/>
      <c r="X59" s="804"/>
      <c r="Y59" s="805"/>
      <c r="Z59" s="804"/>
      <c r="AA59" s="978">
        <v>120</v>
      </c>
      <c r="AB59" s="968"/>
      <c r="AC59" s="968"/>
      <c r="AD59" s="968"/>
      <c r="AE59" s="968"/>
      <c r="AF59" s="968"/>
      <c r="AG59" s="968"/>
      <c r="AH59" s="968"/>
      <c r="AI59" s="968"/>
      <c r="AJ59" s="968"/>
      <c r="AK59" s="968"/>
      <c r="AL59" s="968"/>
      <c r="AM59" s="968"/>
      <c r="AN59" s="968"/>
    </row>
    <row r="60" spans="1:40" s="974" customFormat="1" ht="20.100000000000001" customHeight="1" outlineLevel="2">
      <c r="A60" s="981" t="s">
        <v>2826</v>
      </c>
      <c r="B60" s="982" t="s">
        <v>3788</v>
      </c>
      <c r="C60" s="803"/>
      <c r="D60" s="804"/>
      <c r="E60" s="805">
        <v>1</v>
      </c>
      <c r="F60" s="804"/>
      <c r="G60" s="805"/>
      <c r="H60" s="804"/>
      <c r="I60" s="805"/>
      <c r="J60" s="804"/>
      <c r="K60" s="805">
        <v>1</v>
      </c>
      <c r="L60" s="804"/>
      <c r="M60" s="805"/>
      <c r="N60" s="804"/>
      <c r="O60" s="805"/>
      <c r="P60" s="804"/>
      <c r="Q60" s="805"/>
      <c r="R60" s="804"/>
      <c r="S60" s="976">
        <v>20</v>
      </c>
      <c r="T60" s="977">
        <v>5</v>
      </c>
      <c r="U60" s="805"/>
      <c r="V60" s="804"/>
      <c r="W60" s="805"/>
      <c r="X60" s="804"/>
      <c r="Y60" s="805"/>
      <c r="Z60" s="804"/>
      <c r="AA60" s="978">
        <v>60</v>
      </c>
      <c r="AB60" s="968"/>
      <c r="AC60" s="968"/>
      <c r="AD60" s="968"/>
      <c r="AE60" s="968"/>
      <c r="AF60" s="968"/>
      <c r="AG60" s="968"/>
      <c r="AH60" s="968"/>
      <c r="AI60" s="968"/>
      <c r="AJ60" s="968"/>
      <c r="AK60" s="968"/>
      <c r="AL60" s="968"/>
      <c r="AM60" s="968"/>
      <c r="AN60" s="968"/>
    </row>
    <row r="61" spans="1:40" s="974" customFormat="1" ht="20.100000000000001" customHeight="1">
      <c r="A61" s="909">
        <v>5</v>
      </c>
      <c r="B61" s="975" t="s">
        <v>3789</v>
      </c>
      <c r="C61" s="803"/>
      <c r="D61" s="804"/>
      <c r="E61" s="805"/>
      <c r="F61" s="804"/>
      <c r="G61" s="805"/>
      <c r="H61" s="804"/>
      <c r="I61" s="805"/>
      <c r="J61" s="804"/>
      <c r="K61" s="805"/>
      <c r="L61" s="804"/>
      <c r="M61" s="805"/>
      <c r="N61" s="804"/>
      <c r="O61" s="805"/>
      <c r="P61" s="804"/>
      <c r="Q61" s="805"/>
      <c r="R61" s="804"/>
      <c r="S61" s="976"/>
      <c r="T61" s="977"/>
      <c r="U61" s="805"/>
      <c r="V61" s="804"/>
      <c r="W61" s="805"/>
      <c r="X61" s="804"/>
      <c r="Y61" s="805"/>
      <c r="Z61" s="804"/>
      <c r="AA61" s="978"/>
      <c r="AB61" s="968"/>
      <c r="AC61" s="968"/>
      <c r="AD61" s="968"/>
      <c r="AE61" s="968"/>
      <c r="AF61" s="968"/>
      <c r="AG61" s="968"/>
      <c r="AH61" s="968"/>
      <c r="AI61" s="968"/>
      <c r="AJ61" s="968"/>
      <c r="AK61" s="968"/>
      <c r="AL61" s="968"/>
      <c r="AM61" s="968"/>
      <c r="AN61" s="968"/>
    </row>
    <row r="62" spans="1:40" s="974" customFormat="1" ht="20.100000000000001" customHeight="1" outlineLevel="1">
      <c r="A62" s="979">
        <v>5.0999999999999996</v>
      </c>
      <c r="B62" s="980" t="s">
        <v>3705</v>
      </c>
      <c r="C62" s="803"/>
      <c r="D62" s="804"/>
      <c r="E62" s="805"/>
      <c r="F62" s="804"/>
      <c r="G62" s="805"/>
      <c r="H62" s="804"/>
      <c r="I62" s="805"/>
      <c r="J62" s="804"/>
      <c r="K62" s="805"/>
      <c r="L62" s="804"/>
      <c r="M62" s="805"/>
      <c r="N62" s="804"/>
      <c r="O62" s="805"/>
      <c r="P62" s="804"/>
      <c r="Q62" s="805"/>
      <c r="R62" s="804"/>
      <c r="S62" s="976"/>
      <c r="T62" s="977"/>
      <c r="U62" s="805"/>
      <c r="V62" s="804"/>
      <c r="W62" s="805"/>
      <c r="X62" s="804"/>
      <c r="Y62" s="805"/>
      <c r="Z62" s="804"/>
      <c r="AA62" s="978"/>
      <c r="AB62" s="968"/>
      <c r="AC62" s="968"/>
      <c r="AD62" s="968"/>
      <c r="AE62" s="968"/>
      <c r="AF62" s="968"/>
      <c r="AG62" s="968"/>
      <c r="AH62" s="968"/>
      <c r="AI62" s="968"/>
      <c r="AJ62" s="968"/>
      <c r="AK62" s="968"/>
      <c r="AL62" s="968"/>
      <c r="AM62" s="968"/>
      <c r="AN62" s="968"/>
    </row>
    <row r="63" spans="1:40" s="974" customFormat="1" ht="20.100000000000001" customHeight="1" outlineLevel="2">
      <c r="A63" s="981" t="s">
        <v>3790</v>
      </c>
      <c r="B63" s="982" t="s">
        <v>3791</v>
      </c>
      <c r="C63" s="803"/>
      <c r="D63" s="804">
        <v>1</v>
      </c>
      <c r="E63" s="805"/>
      <c r="F63" s="804"/>
      <c r="G63" s="805"/>
      <c r="H63" s="804"/>
      <c r="I63" s="805"/>
      <c r="J63" s="804"/>
      <c r="K63" s="805"/>
      <c r="L63" s="804"/>
      <c r="M63" s="805"/>
      <c r="N63" s="804"/>
      <c r="O63" s="805"/>
      <c r="P63" s="804"/>
      <c r="Q63" s="805"/>
      <c r="R63" s="804"/>
      <c r="S63" s="976">
        <v>5</v>
      </c>
      <c r="T63" s="977">
        <v>2</v>
      </c>
      <c r="U63" s="805"/>
      <c r="V63" s="804"/>
      <c r="W63" s="805"/>
      <c r="X63" s="804"/>
      <c r="Y63" s="805"/>
      <c r="Z63" s="804"/>
      <c r="AA63" s="978">
        <v>10</v>
      </c>
      <c r="AB63" s="968"/>
      <c r="AC63" s="968"/>
      <c r="AD63" s="968"/>
      <c r="AE63" s="968"/>
      <c r="AF63" s="968"/>
      <c r="AG63" s="968"/>
      <c r="AH63" s="968"/>
      <c r="AI63" s="968"/>
      <c r="AJ63" s="968"/>
      <c r="AK63" s="968"/>
      <c r="AL63" s="968"/>
      <c r="AM63" s="968"/>
      <c r="AN63" s="968"/>
    </row>
    <row r="64" spans="1:40" s="974" customFormat="1" ht="20.100000000000001" customHeight="1" outlineLevel="2">
      <c r="A64" s="981" t="s">
        <v>3792</v>
      </c>
      <c r="B64" s="982" t="s">
        <v>3793</v>
      </c>
      <c r="C64" s="803"/>
      <c r="D64" s="804"/>
      <c r="E64" s="805"/>
      <c r="F64" s="804">
        <v>1</v>
      </c>
      <c r="G64" s="805"/>
      <c r="H64" s="804"/>
      <c r="I64" s="805"/>
      <c r="J64" s="804"/>
      <c r="K64" s="805"/>
      <c r="L64" s="804"/>
      <c r="M64" s="805"/>
      <c r="N64" s="804">
        <v>1</v>
      </c>
      <c r="O64" s="805"/>
      <c r="P64" s="804">
        <v>1</v>
      </c>
      <c r="Q64" s="805"/>
      <c r="R64" s="804"/>
      <c r="S64" s="976">
        <v>5</v>
      </c>
      <c r="T64" s="977">
        <v>2</v>
      </c>
      <c r="U64" s="805"/>
      <c r="V64" s="804"/>
      <c r="W64" s="805"/>
      <c r="X64" s="804"/>
      <c r="Y64" s="805"/>
      <c r="Z64" s="804"/>
      <c r="AA64" s="978">
        <v>10</v>
      </c>
      <c r="AB64" s="968"/>
      <c r="AC64" s="968"/>
      <c r="AD64" s="968"/>
      <c r="AE64" s="968"/>
      <c r="AF64" s="968"/>
      <c r="AG64" s="968"/>
      <c r="AH64" s="968"/>
      <c r="AI64" s="968"/>
      <c r="AJ64" s="968"/>
      <c r="AK64" s="968"/>
      <c r="AL64" s="968"/>
      <c r="AM64" s="968"/>
      <c r="AN64" s="968"/>
    </row>
    <row r="65" spans="1:40" s="974" customFormat="1" ht="28.5" outlineLevel="2">
      <c r="A65" s="981" t="s">
        <v>3794</v>
      </c>
      <c r="B65" s="982" t="s">
        <v>3795</v>
      </c>
      <c r="C65" s="803"/>
      <c r="D65" s="804"/>
      <c r="E65" s="805"/>
      <c r="F65" s="804"/>
      <c r="G65" s="805"/>
      <c r="H65" s="804"/>
      <c r="I65" s="805"/>
      <c r="J65" s="804"/>
      <c r="K65" s="805"/>
      <c r="L65" s="804"/>
      <c r="M65" s="805"/>
      <c r="N65" s="804"/>
      <c r="O65" s="805"/>
      <c r="P65" s="804">
        <v>1</v>
      </c>
      <c r="Q65" s="805"/>
      <c r="R65" s="804"/>
      <c r="S65" s="976">
        <v>5</v>
      </c>
      <c r="T65" s="977">
        <v>2</v>
      </c>
      <c r="U65" s="805"/>
      <c r="V65" s="804"/>
      <c r="W65" s="805"/>
      <c r="X65" s="804"/>
      <c r="Y65" s="805"/>
      <c r="Z65" s="804"/>
      <c r="AA65" s="978">
        <v>10</v>
      </c>
      <c r="AB65" s="968"/>
      <c r="AC65" s="968"/>
      <c r="AD65" s="968"/>
      <c r="AE65" s="968"/>
      <c r="AF65" s="968"/>
      <c r="AG65" s="968"/>
      <c r="AH65" s="968"/>
      <c r="AI65" s="968"/>
      <c r="AJ65" s="968"/>
      <c r="AK65" s="968"/>
      <c r="AL65" s="968"/>
      <c r="AM65" s="968"/>
      <c r="AN65" s="968"/>
    </row>
    <row r="66" spans="1:40" s="974" customFormat="1" ht="28.5" outlineLevel="2">
      <c r="A66" s="981" t="s">
        <v>3796</v>
      </c>
      <c r="B66" s="982" t="s">
        <v>3797</v>
      </c>
      <c r="C66" s="803"/>
      <c r="D66" s="804"/>
      <c r="E66" s="805"/>
      <c r="F66" s="804"/>
      <c r="G66" s="805"/>
      <c r="H66" s="804"/>
      <c r="I66" s="805"/>
      <c r="J66" s="804"/>
      <c r="K66" s="805"/>
      <c r="L66" s="804"/>
      <c r="M66" s="805"/>
      <c r="N66" s="804"/>
      <c r="O66" s="805"/>
      <c r="P66" s="804"/>
      <c r="Q66" s="805"/>
      <c r="R66" s="804"/>
      <c r="S66" s="976">
        <v>5</v>
      </c>
      <c r="T66" s="977">
        <v>2</v>
      </c>
      <c r="U66" s="805"/>
      <c r="V66" s="804"/>
      <c r="W66" s="805"/>
      <c r="X66" s="804"/>
      <c r="Y66" s="805"/>
      <c r="Z66" s="804"/>
      <c r="AA66" s="978">
        <v>10</v>
      </c>
      <c r="AB66" s="968"/>
      <c r="AC66" s="968"/>
      <c r="AD66" s="968"/>
      <c r="AE66" s="968"/>
      <c r="AF66" s="968"/>
      <c r="AG66" s="968"/>
      <c r="AH66" s="968"/>
      <c r="AI66" s="968"/>
      <c r="AJ66" s="968"/>
      <c r="AK66" s="968"/>
      <c r="AL66" s="968"/>
      <c r="AM66" s="968"/>
      <c r="AN66" s="968"/>
    </row>
    <row r="67" spans="1:40" s="974" customFormat="1" ht="20.100000000000001" customHeight="1" outlineLevel="2">
      <c r="A67" s="981" t="s">
        <v>3798</v>
      </c>
      <c r="B67" s="982" t="s">
        <v>3799</v>
      </c>
      <c r="C67" s="803"/>
      <c r="D67" s="804"/>
      <c r="E67" s="805"/>
      <c r="F67" s="804"/>
      <c r="G67" s="805"/>
      <c r="H67" s="804"/>
      <c r="I67" s="805"/>
      <c r="J67" s="804"/>
      <c r="K67" s="805"/>
      <c r="L67" s="804"/>
      <c r="M67" s="805"/>
      <c r="N67" s="804"/>
      <c r="O67" s="805"/>
      <c r="P67" s="804"/>
      <c r="Q67" s="805"/>
      <c r="R67" s="804"/>
      <c r="S67" s="976">
        <v>5</v>
      </c>
      <c r="T67" s="977">
        <v>2</v>
      </c>
      <c r="U67" s="805"/>
      <c r="V67" s="804"/>
      <c r="W67" s="805"/>
      <c r="X67" s="804"/>
      <c r="Y67" s="805"/>
      <c r="Z67" s="804"/>
      <c r="AA67" s="978">
        <v>10</v>
      </c>
      <c r="AB67" s="968"/>
      <c r="AC67" s="968"/>
      <c r="AD67" s="968"/>
      <c r="AE67" s="968"/>
      <c r="AF67" s="968"/>
      <c r="AG67" s="968"/>
      <c r="AH67" s="968"/>
      <c r="AI67" s="968"/>
      <c r="AJ67" s="968"/>
      <c r="AK67" s="968"/>
      <c r="AL67" s="968"/>
      <c r="AM67" s="968"/>
      <c r="AN67" s="968"/>
    </row>
    <row r="68" spans="1:40" s="974" customFormat="1" ht="20.100000000000001" customHeight="1" outlineLevel="2">
      <c r="A68" s="981" t="s">
        <v>3800</v>
      </c>
      <c r="B68" s="982" t="s">
        <v>3801</v>
      </c>
      <c r="C68" s="803"/>
      <c r="D68" s="804"/>
      <c r="E68" s="805"/>
      <c r="F68" s="804"/>
      <c r="G68" s="805"/>
      <c r="H68" s="804"/>
      <c r="I68" s="805"/>
      <c r="J68" s="804"/>
      <c r="K68" s="805"/>
      <c r="L68" s="804"/>
      <c r="M68" s="805"/>
      <c r="N68" s="804"/>
      <c r="O68" s="805"/>
      <c r="P68" s="804"/>
      <c r="Q68" s="805"/>
      <c r="R68" s="804"/>
      <c r="S68" s="976">
        <v>5</v>
      </c>
      <c r="T68" s="977">
        <v>2</v>
      </c>
      <c r="U68" s="805"/>
      <c r="V68" s="804"/>
      <c r="W68" s="805"/>
      <c r="X68" s="804"/>
      <c r="Y68" s="805"/>
      <c r="Z68" s="804"/>
      <c r="AA68" s="978">
        <v>10</v>
      </c>
      <c r="AB68" s="968"/>
      <c r="AC68" s="968"/>
      <c r="AD68" s="968"/>
      <c r="AE68" s="968"/>
      <c r="AF68" s="968"/>
      <c r="AG68" s="968"/>
      <c r="AH68" s="968"/>
      <c r="AI68" s="968"/>
      <c r="AJ68" s="968"/>
      <c r="AK68" s="968"/>
      <c r="AL68" s="968"/>
      <c r="AM68" s="968"/>
      <c r="AN68" s="968"/>
    </row>
    <row r="69" spans="1:40" s="974" customFormat="1" ht="20.100000000000001" customHeight="1" outlineLevel="1">
      <c r="A69" s="979">
        <v>5.2</v>
      </c>
      <c r="B69" s="980" t="s">
        <v>3781</v>
      </c>
      <c r="C69" s="803"/>
      <c r="D69" s="804"/>
      <c r="E69" s="805"/>
      <c r="F69" s="804"/>
      <c r="G69" s="805"/>
      <c r="H69" s="804"/>
      <c r="I69" s="805"/>
      <c r="J69" s="804"/>
      <c r="K69" s="805"/>
      <c r="L69" s="804"/>
      <c r="M69" s="805"/>
      <c r="N69" s="804"/>
      <c r="O69" s="805"/>
      <c r="P69" s="804"/>
      <c r="Q69" s="805"/>
      <c r="R69" s="804"/>
      <c r="S69" s="976"/>
      <c r="T69" s="977"/>
      <c r="U69" s="805"/>
      <c r="V69" s="804"/>
      <c r="W69" s="805"/>
      <c r="X69" s="804"/>
      <c r="Y69" s="805"/>
      <c r="Z69" s="804"/>
      <c r="AA69" s="978"/>
      <c r="AB69" s="968"/>
      <c r="AC69" s="968"/>
      <c r="AD69" s="968"/>
      <c r="AE69" s="968"/>
      <c r="AF69" s="968"/>
      <c r="AG69" s="968"/>
      <c r="AH69" s="968"/>
      <c r="AI69" s="968"/>
      <c r="AJ69" s="968"/>
      <c r="AK69" s="968"/>
      <c r="AL69" s="968"/>
      <c r="AM69" s="968"/>
      <c r="AN69" s="968"/>
    </row>
    <row r="70" spans="1:40" s="974" customFormat="1" ht="20.100000000000001" customHeight="1" outlineLevel="2">
      <c r="A70" s="981" t="s">
        <v>3802</v>
      </c>
      <c r="B70" s="982" t="s">
        <v>3803</v>
      </c>
      <c r="C70" s="803">
        <v>2</v>
      </c>
      <c r="D70" s="804"/>
      <c r="E70" s="805"/>
      <c r="F70" s="804"/>
      <c r="G70" s="805">
        <v>2</v>
      </c>
      <c r="H70" s="804"/>
      <c r="I70" s="805"/>
      <c r="J70" s="804">
        <v>1</v>
      </c>
      <c r="K70" s="805"/>
      <c r="L70" s="804"/>
      <c r="M70" s="805"/>
      <c r="N70" s="804"/>
      <c r="O70" s="805">
        <v>1</v>
      </c>
      <c r="P70" s="804"/>
      <c r="Q70" s="805"/>
      <c r="R70" s="804"/>
      <c r="S70" s="976">
        <v>70</v>
      </c>
      <c r="T70" s="977">
        <v>10</v>
      </c>
      <c r="U70" s="805"/>
      <c r="V70" s="804"/>
      <c r="W70" s="805"/>
      <c r="X70" s="804"/>
      <c r="Y70" s="805"/>
      <c r="Z70" s="804"/>
      <c r="AA70" s="978">
        <v>180</v>
      </c>
      <c r="AB70" s="968"/>
      <c r="AC70" s="968"/>
      <c r="AD70" s="968"/>
      <c r="AE70" s="968"/>
      <c r="AF70" s="968"/>
      <c r="AG70" s="968"/>
      <c r="AH70" s="968"/>
      <c r="AI70" s="968"/>
      <c r="AJ70" s="968"/>
      <c r="AK70" s="968"/>
      <c r="AL70" s="968"/>
      <c r="AM70" s="968"/>
      <c r="AN70" s="968"/>
    </row>
    <row r="71" spans="1:40" s="974" customFormat="1" ht="20.100000000000001" customHeight="1" outlineLevel="2">
      <c r="A71" s="981" t="s">
        <v>3804</v>
      </c>
      <c r="B71" s="982" t="s">
        <v>3805</v>
      </c>
      <c r="C71" s="803"/>
      <c r="D71" s="804"/>
      <c r="E71" s="805">
        <v>1</v>
      </c>
      <c r="F71" s="804"/>
      <c r="G71" s="805">
        <v>2</v>
      </c>
      <c r="H71" s="804"/>
      <c r="I71" s="805"/>
      <c r="J71" s="804">
        <v>1</v>
      </c>
      <c r="K71" s="805"/>
      <c r="L71" s="804"/>
      <c r="M71" s="805"/>
      <c r="N71" s="804"/>
      <c r="O71" s="805">
        <v>1</v>
      </c>
      <c r="P71" s="804"/>
      <c r="Q71" s="805"/>
      <c r="R71" s="804"/>
      <c r="S71" s="976">
        <v>50</v>
      </c>
      <c r="T71" s="977">
        <v>10</v>
      </c>
      <c r="U71" s="805"/>
      <c r="V71" s="804"/>
      <c r="W71" s="805"/>
      <c r="X71" s="804"/>
      <c r="Y71" s="805"/>
      <c r="Z71" s="804"/>
      <c r="AA71" s="978">
        <v>150</v>
      </c>
      <c r="AB71" s="968"/>
      <c r="AC71" s="968"/>
      <c r="AD71" s="968"/>
      <c r="AE71" s="968"/>
      <c r="AF71" s="968"/>
      <c r="AG71" s="968"/>
      <c r="AH71" s="968"/>
      <c r="AI71" s="968"/>
      <c r="AJ71" s="968"/>
      <c r="AK71" s="968"/>
      <c r="AL71" s="968"/>
      <c r="AM71" s="968"/>
      <c r="AN71" s="968"/>
    </row>
    <row r="72" spans="1:40" s="974" customFormat="1" ht="28.5" outlineLevel="2">
      <c r="A72" s="981" t="s">
        <v>3806</v>
      </c>
      <c r="B72" s="982" t="s">
        <v>3807</v>
      </c>
      <c r="C72" s="892"/>
      <c r="D72" s="804"/>
      <c r="E72" s="854"/>
      <c r="F72" s="804"/>
      <c r="G72" s="854">
        <v>1</v>
      </c>
      <c r="H72" s="804"/>
      <c r="I72" s="854">
        <v>1</v>
      </c>
      <c r="J72" s="804">
        <v>1</v>
      </c>
      <c r="K72" s="854"/>
      <c r="L72" s="804"/>
      <c r="M72" s="854"/>
      <c r="N72" s="804"/>
      <c r="O72" s="854">
        <v>1</v>
      </c>
      <c r="P72" s="804"/>
      <c r="Q72" s="854"/>
      <c r="R72" s="804"/>
      <c r="S72" s="976">
        <v>50</v>
      </c>
      <c r="T72" s="977">
        <v>10</v>
      </c>
      <c r="U72" s="854"/>
      <c r="V72" s="804"/>
      <c r="W72" s="854"/>
      <c r="X72" s="804"/>
      <c r="Y72" s="854"/>
      <c r="Z72" s="804"/>
      <c r="AA72" s="978">
        <v>150</v>
      </c>
      <c r="AB72" s="968"/>
      <c r="AC72" s="968"/>
      <c r="AD72" s="968"/>
      <c r="AE72" s="968"/>
      <c r="AF72" s="968"/>
      <c r="AG72" s="968"/>
      <c r="AH72" s="968"/>
      <c r="AI72" s="968"/>
      <c r="AJ72" s="968"/>
      <c r="AK72" s="968"/>
      <c r="AL72" s="968"/>
      <c r="AM72" s="968"/>
      <c r="AN72" s="968"/>
    </row>
    <row r="73" spans="1:40" s="974" customFormat="1" ht="28.5" outlineLevel="2">
      <c r="A73" s="981" t="s">
        <v>3808</v>
      </c>
      <c r="B73" s="982" t="s">
        <v>3809</v>
      </c>
      <c r="C73" s="892"/>
      <c r="D73" s="893"/>
      <c r="E73" s="854"/>
      <c r="F73" s="893"/>
      <c r="G73" s="854">
        <v>1</v>
      </c>
      <c r="H73" s="893"/>
      <c r="I73" s="854">
        <v>1</v>
      </c>
      <c r="J73" s="893">
        <v>1</v>
      </c>
      <c r="K73" s="854"/>
      <c r="L73" s="893"/>
      <c r="M73" s="854"/>
      <c r="N73" s="893"/>
      <c r="O73" s="854">
        <v>1</v>
      </c>
      <c r="P73" s="893"/>
      <c r="Q73" s="854"/>
      <c r="R73" s="893"/>
      <c r="S73" s="976">
        <v>50</v>
      </c>
      <c r="T73" s="977">
        <v>12</v>
      </c>
      <c r="U73" s="854"/>
      <c r="V73" s="893"/>
      <c r="W73" s="854"/>
      <c r="X73" s="893"/>
      <c r="Y73" s="854"/>
      <c r="Z73" s="893"/>
      <c r="AA73" s="978">
        <v>200</v>
      </c>
      <c r="AB73" s="968"/>
      <c r="AC73" s="968"/>
      <c r="AD73" s="968"/>
      <c r="AE73" s="968"/>
      <c r="AF73" s="968"/>
      <c r="AG73" s="968"/>
      <c r="AH73" s="968"/>
      <c r="AI73" s="968"/>
      <c r="AJ73" s="968"/>
      <c r="AK73" s="968"/>
      <c r="AL73" s="968"/>
      <c r="AM73" s="968"/>
      <c r="AN73" s="968"/>
    </row>
    <row r="74" spans="1:40" s="974" customFormat="1" ht="20.100000000000001" customHeight="1" outlineLevel="2">
      <c r="A74" s="981" t="s">
        <v>3810</v>
      </c>
      <c r="B74" s="982" t="s">
        <v>3811</v>
      </c>
      <c r="C74" s="803"/>
      <c r="D74" s="804"/>
      <c r="E74" s="805"/>
      <c r="F74" s="804"/>
      <c r="G74" s="805">
        <v>1</v>
      </c>
      <c r="H74" s="804"/>
      <c r="I74" s="805"/>
      <c r="J74" s="804"/>
      <c r="K74" s="805"/>
      <c r="L74" s="804"/>
      <c r="M74" s="805"/>
      <c r="N74" s="804"/>
      <c r="O74" s="805"/>
      <c r="P74" s="804"/>
      <c r="Q74" s="805"/>
      <c r="R74" s="804"/>
      <c r="S74" s="976">
        <v>15</v>
      </c>
      <c r="T74" s="977">
        <v>4</v>
      </c>
      <c r="U74" s="805"/>
      <c r="V74" s="804"/>
      <c r="W74" s="805"/>
      <c r="X74" s="804"/>
      <c r="Y74" s="805"/>
      <c r="Z74" s="804"/>
      <c r="AA74" s="978">
        <v>40</v>
      </c>
      <c r="AB74" s="968"/>
      <c r="AC74" s="968"/>
      <c r="AD74" s="968"/>
      <c r="AE74" s="968"/>
      <c r="AF74" s="968"/>
      <c r="AG74" s="968"/>
      <c r="AH74" s="968"/>
      <c r="AI74" s="968"/>
      <c r="AJ74" s="968"/>
      <c r="AK74" s="968"/>
      <c r="AL74" s="968"/>
      <c r="AM74" s="968"/>
      <c r="AN74" s="968"/>
    </row>
    <row r="75" spans="1:40" s="974" customFormat="1" ht="21.75" customHeight="1" outlineLevel="2">
      <c r="A75" s="983" t="s">
        <v>3812</v>
      </c>
      <c r="B75" s="984" t="s">
        <v>3813</v>
      </c>
      <c r="C75" s="899"/>
      <c r="D75" s="896"/>
      <c r="E75" s="895"/>
      <c r="F75" s="896"/>
      <c r="G75" s="895"/>
      <c r="H75" s="896"/>
      <c r="I75" s="895"/>
      <c r="J75" s="896"/>
      <c r="K75" s="895"/>
      <c r="L75" s="896"/>
      <c r="M75" s="895"/>
      <c r="N75" s="896"/>
      <c r="O75" s="895">
        <v>1</v>
      </c>
      <c r="P75" s="896"/>
      <c r="Q75" s="895"/>
      <c r="R75" s="896"/>
      <c r="S75" s="985">
        <v>25</v>
      </c>
      <c r="T75" s="986">
        <v>5</v>
      </c>
      <c r="U75" s="895"/>
      <c r="V75" s="896"/>
      <c r="W75" s="895"/>
      <c r="X75" s="896"/>
      <c r="Y75" s="895"/>
      <c r="Z75" s="896"/>
      <c r="AA75" s="987">
        <v>120</v>
      </c>
      <c r="AB75" s="968"/>
      <c r="AC75" s="968"/>
      <c r="AD75" s="968"/>
      <c r="AE75" s="968"/>
      <c r="AF75" s="968"/>
      <c r="AG75" s="968"/>
      <c r="AH75" s="968"/>
      <c r="AI75" s="968"/>
      <c r="AJ75" s="968"/>
      <c r="AK75" s="968"/>
      <c r="AL75" s="968"/>
      <c r="AM75" s="968"/>
      <c r="AN75" s="968"/>
    </row>
    <row r="76" spans="1:40" s="974" customFormat="1" ht="21.75" customHeight="1">
      <c r="A76" s="909">
        <v>6</v>
      </c>
      <c r="B76" s="984" t="s">
        <v>3814</v>
      </c>
      <c r="C76" s="899"/>
      <c r="D76" s="896"/>
      <c r="E76" s="895"/>
      <c r="F76" s="896"/>
      <c r="G76" s="895"/>
      <c r="H76" s="896"/>
      <c r="I76" s="895"/>
      <c r="J76" s="896"/>
      <c r="K76" s="895"/>
      <c r="L76" s="896"/>
      <c r="M76" s="895"/>
      <c r="N76" s="896"/>
      <c r="O76" s="895"/>
      <c r="P76" s="896"/>
      <c r="Q76" s="895"/>
      <c r="R76" s="896"/>
      <c r="S76" s="985">
        <v>20</v>
      </c>
      <c r="T76" s="986">
        <v>5</v>
      </c>
      <c r="U76" s="895"/>
      <c r="V76" s="896"/>
      <c r="W76" s="895"/>
      <c r="X76" s="896"/>
      <c r="Y76" s="895"/>
      <c r="Z76" s="896"/>
      <c r="AA76" s="987"/>
      <c r="AB76" s="968"/>
      <c r="AC76" s="968"/>
      <c r="AD76" s="968"/>
      <c r="AE76" s="968"/>
      <c r="AF76" s="968"/>
      <c r="AG76" s="968"/>
      <c r="AH76" s="968"/>
      <c r="AI76" s="968"/>
      <c r="AJ76" s="968"/>
      <c r="AK76" s="968"/>
      <c r="AL76" s="968"/>
      <c r="AM76" s="968"/>
      <c r="AN76" s="968"/>
    </row>
    <row r="77" spans="1:40" ht="20.100000000000001" customHeight="1">
      <c r="A77" s="909">
        <v>7</v>
      </c>
      <c r="B77" s="910" t="s">
        <v>2626</v>
      </c>
      <c r="C77" s="899"/>
      <c r="D77" s="896"/>
      <c r="E77" s="911"/>
      <c r="F77" s="912"/>
      <c r="G77" s="895"/>
      <c r="H77" s="896"/>
      <c r="I77" s="895"/>
      <c r="J77" s="896"/>
      <c r="K77" s="895"/>
      <c r="L77" s="896"/>
      <c r="M77" s="895"/>
      <c r="N77" s="896"/>
      <c r="O77" s="895"/>
      <c r="P77" s="896"/>
      <c r="Q77" s="895"/>
      <c r="R77" s="896"/>
      <c r="S77" s="895"/>
      <c r="T77" s="896"/>
      <c r="U77" s="895"/>
      <c r="V77" s="896"/>
      <c r="W77" s="895"/>
      <c r="X77" s="896"/>
      <c r="Y77" s="895"/>
      <c r="Z77" s="896"/>
      <c r="AA77" s="913"/>
    </row>
    <row r="78" spans="1:40" ht="20.100000000000001" customHeight="1" outlineLevel="1">
      <c r="A78" s="914">
        <v>7.1</v>
      </c>
      <c r="B78" s="915" t="s">
        <v>2627</v>
      </c>
      <c r="C78" s="899"/>
      <c r="D78" s="896"/>
      <c r="E78" s="911"/>
      <c r="F78" s="912"/>
      <c r="G78" s="895"/>
      <c r="H78" s="896"/>
      <c r="I78" s="895"/>
      <c r="J78" s="896"/>
      <c r="K78" s="895"/>
      <c r="L78" s="896"/>
      <c r="M78" s="895"/>
      <c r="N78" s="896"/>
      <c r="O78" s="895"/>
      <c r="P78" s="896"/>
      <c r="Q78" s="895"/>
      <c r="R78" s="896"/>
      <c r="S78" s="772">
        <f>0.1*S85</f>
        <v>120.9</v>
      </c>
      <c r="T78" s="771">
        <f>0.1*T85</f>
        <v>26.200000000000003</v>
      </c>
      <c r="U78" s="772"/>
      <c r="V78" s="771"/>
      <c r="W78" s="772"/>
      <c r="X78" s="771"/>
      <c r="Y78" s="772"/>
      <c r="Z78" s="771"/>
      <c r="AA78" s="767">
        <f>0.1*AA85</f>
        <v>283</v>
      </c>
    </row>
    <row r="79" spans="1:40" ht="20.100000000000001" customHeight="1" outlineLevel="1">
      <c r="A79" s="914">
        <v>7.2</v>
      </c>
      <c r="B79" s="915" t="s">
        <v>2472</v>
      </c>
      <c r="C79" s="899"/>
      <c r="D79" s="896"/>
      <c r="E79" s="911"/>
      <c r="F79" s="912"/>
      <c r="G79" s="895"/>
      <c r="H79" s="896"/>
      <c r="I79" s="895"/>
      <c r="J79" s="896"/>
      <c r="K79" s="895"/>
      <c r="L79" s="896"/>
      <c r="M79" s="895"/>
      <c r="N79" s="896"/>
      <c r="O79" s="895"/>
      <c r="P79" s="896"/>
      <c r="Q79" s="895"/>
      <c r="R79" s="896"/>
      <c r="S79" s="772">
        <f>0.05*S85</f>
        <v>60.45</v>
      </c>
      <c r="T79" s="771"/>
      <c r="U79" s="772"/>
      <c r="V79" s="771"/>
      <c r="W79" s="772"/>
      <c r="X79" s="771"/>
      <c r="Y79" s="772"/>
      <c r="Z79" s="771"/>
      <c r="AA79" s="767">
        <f>0.05*AA85</f>
        <v>141.5</v>
      </c>
    </row>
    <row r="80" spans="1:40" ht="20.100000000000001" customHeight="1" outlineLevel="1">
      <c r="A80" s="914">
        <v>7.3</v>
      </c>
      <c r="B80" s="915" t="s">
        <v>2628</v>
      </c>
      <c r="C80" s="899"/>
      <c r="D80" s="896"/>
      <c r="E80" s="911"/>
      <c r="F80" s="912"/>
      <c r="G80" s="895"/>
      <c r="H80" s="896"/>
      <c r="I80" s="895"/>
      <c r="J80" s="896"/>
      <c r="K80" s="895"/>
      <c r="L80" s="896"/>
      <c r="M80" s="895"/>
      <c r="N80" s="896"/>
      <c r="O80" s="895"/>
      <c r="P80" s="896"/>
      <c r="Q80" s="895"/>
      <c r="R80" s="896"/>
      <c r="S80" s="905">
        <v>120</v>
      </c>
      <c r="T80" s="906"/>
      <c r="U80" s="905"/>
      <c r="V80" s="906"/>
      <c r="W80" s="905"/>
      <c r="X80" s="906"/>
      <c r="Y80" s="905"/>
      <c r="Z80" s="906"/>
      <c r="AA80" s="913"/>
    </row>
    <row r="81" spans="1:27" ht="20.100000000000001" customHeight="1" outlineLevel="1">
      <c r="A81" s="914">
        <v>7.4</v>
      </c>
      <c r="B81" s="915" t="s">
        <v>2629</v>
      </c>
      <c r="C81" s="899"/>
      <c r="D81" s="896"/>
      <c r="E81" s="911"/>
      <c r="F81" s="912"/>
      <c r="G81" s="895"/>
      <c r="H81" s="896"/>
      <c r="I81" s="895"/>
      <c r="J81" s="896"/>
      <c r="K81" s="895"/>
      <c r="L81" s="896"/>
      <c r="M81" s="895"/>
      <c r="N81" s="896"/>
      <c r="O81" s="895"/>
      <c r="P81" s="896"/>
      <c r="Q81" s="895"/>
      <c r="R81" s="896"/>
      <c r="S81" s="905">
        <v>100</v>
      </c>
      <c r="T81" s="906"/>
      <c r="U81" s="905"/>
      <c r="V81" s="906"/>
      <c r="W81" s="905"/>
      <c r="X81" s="906"/>
      <c r="Y81" s="905"/>
      <c r="Z81" s="906"/>
      <c r="AA81" s="913"/>
    </row>
    <row r="82" spans="1:27" ht="20.100000000000001" customHeight="1" outlineLevel="1" thickBot="1">
      <c r="A82" s="914">
        <v>7.5</v>
      </c>
      <c r="B82" s="915" t="s">
        <v>2630</v>
      </c>
      <c r="C82" s="899"/>
      <c r="D82" s="896"/>
      <c r="E82" s="911"/>
      <c r="F82" s="912"/>
      <c r="G82" s="895"/>
      <c r="H82" s="896"/>
      <c r="I82" s="895"/>
      <c r="J82" s="896"/>
      <c r="K82" s="895"/>
      <c r="L82" s="896"/>
      <c r="M82" s="895"/>
      <c r="N82" s="896"/>
      <c r="O82" s="895"/>
      <c r="P82" s="896"/>
      <c r="Q82" s="895"/>
      <c r="R82" s="896"/>
      <c r="S82" s="905">
        <v>100</v>
      </c>
      <c r="T82" s="906">
        <v>8</v>
      </c>
      <c r="U82" s="905"/>
      <c r="V82" s="906"/>
      <c r="W82" s="905"/>
      <c r="X82" s="906"/>
      <c r="Y82" s="905"/>
      <c r="Z82" s="906"/>
      <c r="AA82" s="913"/>
    </row>
    <row r="83" spans="1:27" ht="20.100000000000001" customHeight="1" thickBot="1">
      <c r="A83" s="964"/>
      <c r="B83" s="988" t="s">
        <v>2325</v>
      </c>
      <c r="C83" s="838">
        <f>SUM(C5:C82)</f>
        <v>2</v>
      </c>
      <c r="D83" s="814">
        <f>SUM(D5:D82)</f>
        <v>1</v>
      </c>
      <c r="E83" s="838">
        <f t="shared" ref="E83:Z83" si="0">SUM(E5:E82)</f>
        <v>14</v>
      </c>
      <c r="F83" s="814">
        <f t="shared" si="0"/>
        <v>1</v>
      </c>
      <c r="G83" s="838">
        <f t="shared" si="0"/>
        <v>12</v>
      </c>
      <c r="H83" s="814">
        <f t="shared" si="0"/>
        <v>4</v>
      </c>
      <c r="I83" s="838">
        <f t="shared" si="0"/>
        <v>5</v>
      </c>
      <c r="J83" s="814">
        <f t="shared" si="0"/>
        <v>13</v>
      </c>
      <c r="K83" s="838">
        <f t="shared" si="0"/>
        <v>14</v>
      </c>
      <c r="L83" s="814">
        <f t="shared" si="0"/>
        <v>0</v>
      </c>
      <c r="M83" s="838">
        <f t="shared" si="0"/>
        <v>14</v>
      </c>
      <c r="N83" s="814">
        <f t="shared" si="0"/>
        <v>5</v>
      </c>
      <c r="O83" s="838">
        <f t="shared" si="0"/>
        <v>22</v>
      </c>
      <c r="P83" s="814">
        <f t="shared" si="0"/>
        <v>8</v>
      </c>
      <c r="Q83" s="838">
        <f t="shared" si="0"/>
        <v>0</v>
      </c>
      <c r="R83" s="814">
        <f t="shared" si="0"/>
        <v>0</v>
      </c>
      <c r="S83" s="846">
        <f t="shared" si="0"/>
        <v>1710.3500000000001</v>
      </c>
      <c r="T83" s="776">
        <f t="shared" si="0"/>
        <v>296.2</v>
      </c>
      <c r="U83" s="846">
        <f t="shared" si="0"/>
        <v>0</v>
      </c>
      <c r="V83" s="776">
        <f t="shared" si="0"/>
        <v>0</v>
      </c>
      <c r="W83" s="846">
        <f t="shared" si="0"/>
        <v>0</v>
      </c>
      <c r="X83" s="776">
        <f t="shared" si="0"/>
        <v>0</v>
      </c>
      <c r="Y83" s="846">
        <f t="shared" si="0"/>
        <v>0</v>
      </c>
      <c r="Z83" s="776">
        <f t="shared" si="0"/>
        <v>0</v>
      </c>
      <c r="AA83" s="777">
        <f>SUM(AA5:AA82)</f>
        <v>3254.5</v>
      </c>
    </row>
    <row r="84" spans="1:27" ht="15" thickBot="1">
      <c r="A84" s="989"/>
    </row>
    <row r="85" spans="1:27" ht="15" thickBot="1">
      <c r="A85" s="989"/>
      <c r="C85" s="991">
        <f>SUM(C5:C76)</f>
        <v>2</v>
      </c>
      <c r="D85" s="991">
        <f t="shared" ref="D85:Z85" si="1">SUM(D5:D76)</f>
        <v>1</v>
      </c>
      <c r="E85" s="991">
        <f t="shared" si="1"/>
        <v>14</v>
      </c>
      <c r="F85" s="991">
        <f t="shared" si="1"/>
        <v>1</v>
      </c>
      <c r="G85" s="991">
        <f t="shared" si="1"/>
        <v>12</v>
      </c>
      <c r="H85" s="991">
        <f t="shared" si="1"/>
        <v>4</v>
      </c>
      <c r="I85" s="991">
        <f t="shared" si="1"/>
        <v>5</v>
      </c>
      <c r="J85" s="991">
        <f t="shared" si="1"/>
        <v>13</v>
      </c>
      <c r="K85" s="991">
        <f t="shared" si="1"/>
        <v>14</v>
      </c>
      <c r="L85" s="991">
        <f t="shared" si="1"/>
        <v>0</v>
      </c>
      <c r="M85" s="991">
        <f t="shared" si="1"/>
        <v>14</v>
      </c>
      <c r="N85" s="991">
        <f t="shared" si="1"/>
        <v>5</v>
      </c>
      <c r="O85" s="991">
        <f t="shared" si="1"/>
        <v>22</v>
      </c>
      <c r="P85" s="991">
        <f t="shared" si="1"/>
        <v>8</v>
      </c>
      <c r="Q85" s="991">
        <f t="shared" si="1"/>
        <v>0</v>
      </c>
      <c r="R85" s="991">
        <f t="shared" si="1"/>
        <v>0</v>
      </c>
      <c r="S85" s="991">
        <f t="shared" si="1"/>
        <v>1209</v>
      </c>
      <c r="T85" s="991">
        <f t="shared" si="1"/>
        <v>262</v>
      </c>
      <c r="U85" s="991">
        <f t="shared" si="1"/>
        <v>0</v>
      </c>
      <c r="V85" s="991">
        <f t="shared" si="1"/>
        <v>0</v>
      </c>
      <c r="W85" s="991">
        <f t="shared" si="1"/>
        <v>0</v>
      </c>
      <c r="X85" s="991">
        <f t="shared" si="1"/>
        <v>0</v>
      </c>
      <c r="Y85" s="991">
        <f t="shared" si="1"/>
        <v>0</v>
      </c>
      <c r="Z85" s="991">
        <f t="shared" si="1"/>
        <v>0</v>
      </c>
      <c r="AA85" s="992">
        <f>SUM(AA5:AA76)</f>
        <v>2830</v>
      </c>
    </row>
    <row r="86" spans="1:27">
      <c r="A86" s="989"/>
    </row>
    <row r="87" spans="1:27">
      <c r="A87" s="989"/>
    </row>
    <row r="88" spans="1:27">
      <c r="A88" s="989"/>
    </row>
    <row r="89" spans="1:27">
      <c r="A89" s="989"/>
    </row>
    <row r="90" spans="1:27">
      <c r="A90" s="989"/>
    </row>
    <row r="91" spans="1:27">
      <c r="A91" s="989"/>
    </row>
    <row r="92" spans="1:27">
      <c r="A92" s="989"/>
    </row>
    <row r="93" spans="1:27">
      <c r="A93" s="989"/>
    </row>
    <row r="94" spans="1:27">
      <c r="A94" s="989"/>
    </row>
    <row r="95" spans="1:27">
      <c r="A95" s="989"/>
    </row>
    <row r="96" spans="1:27">
      <c r="A96" s="989"/>
    </row>
    <row r="97" spans="1:1">
      <c r="A97" s="989"/>
    </row>
    <row r="98" spans="1:1">
      <c r="A98" s="989"/>
    </row>
    <row r="99" spans="1:1">
      <c r="A99" s="989"/>
    </row>
    <row r="100" spans="1:1">
      <c r="A100" s="989"/>
    </row>
    <row r="101" spans="1:1">
      <c r="A101" s="989"/>
    </row>
    <row r="102" spans="1:1">
      <c r="A102" s="989"/>
    </row>
    <row r="103" spans="1:1">
      <c r="A103" s="989"/>
    </row>
    <row r="104" spans="1:1">
      <c r="A104" s="989"/>
    </row>
    <row r="105" spans="1:1">
      <c r="A105" s="989"/>
    </row>
    <row r="106" spans="1:1">
      <c r="A106" s="989"/>
    </row>
    <row r="107" spans="1:1">
      <c r="A107" s="989"/>
    </row>
    <row r="108" spans="1:1">
      <c r="A108" s="989"/>
    </row>
    <row r="109" spans="1:1">
      <c r="A109" s="989"/>
    </row>
    <row r="110" spans="1:1">
      <c r="A110" s="989"/>
    </row>
    <row r="111" spans="1:1">
      <c r="A111" s="989"/>
    </row>
    <row r="112" spans="1:1">
      <c r="A112" s="989"/>
    </row>
    <row r="113" spans="1:1">
      <c r="A113" s="989"/>
    </row>
    <row r="114" spans="1:1">
      <c r="A114" s="989"/>
    </row>
    <row r="115" spans="1:1">
      <c r="A115" s="989"/>
    </row>
    <row r="116" spans="1:1">
      <c r="A116" s="989"/>
    </row>
    <row r="117" spans="1:1">
      <c r="A117" s="989"/>
    </row>
    <row r="118" spans="1:1">
      <c r="A118" s="989"/>
    </row>
    <row r="119" spans="1:1">
      <c r="A119" s="989"/>
    </row>
    <row r="120" spans="1:1">
      <c r="A120" s="989"/>
    </row>
    <row r="121" spans="1:1">
      <c r="A121" s="989"/>
    </row>
    <row r="122" spans="1:1">
      <c r="A122" s="989"/>
    </row>
    <row r="123" spans="1:1">
      <c r="A123" s="989"/>
    </row>
    <row r="124" spans="1:1">
      <c r="A124" s="989"/>
    </row>
    <row r="125" spans="1:1">
      <c r="A125" s="989"/>
    </row>
    <row r="126" spans="1:1">
      <c r="A126" s="989"/>
    </row>
    <row r="127" spans="1:1">
      <c r="A127" s="989"/>
    </row>
    <row r="128" spans="1:1">
      <c r="A128" s="989"/>
    </row>
    <row r="129" spans="1:1">
      <c r="A129" s="989"/>
    </row>
    <row r="130" spans="1:1">
      <c r="A130" s="989"/>
    </row>
    <row r="131" spans="1:1">
      <c r="A131" s="989"/>
    </row>
    <row r="132" spans="1:1">
      <c r="A132" s="989"/>
    </row>
    <row r="133" spans="1:1">
      <c r="A133" s="989"/>
    </row>
    <row r="134" spans="1:1">
      <c r="A134" s="989"/>
    </row>
    <row r="135" spans="1:1">
      <c r="A135" s="989"/>
    </row>
    <row r="136" spans="1:1">
      <c r="A136" s="989"/>
    </row>
    <row r="137" spans="1:1">
      <c r="A137" s="989"/>
    </row>
    <row r="138" spans="1:1">
      <c r="A138" s="989"/>
    </row>
    <row r="139" spans="1:1">
      <c r="A139" s="989"/>
    </row>
    <row r="140" spans="1:1">
      <c r="A140" s="989"/>
    </row>
    <row r="141" spans="1:1">
      <c r="A141" s="989"/>
    </row>
    <row r="142" spans="1:1">
      <c r="A142" s="989"/>
    </row>
    <row r="143" spans="1:1">
      <c r="A143" s="989"/>
    </row>
    <row r="144" spans="1:1">
      <c r="A144" s="989"/>
    </row>
    <row r="145" spans="1:1">
      <c r="A145" s="989"/>
    </row>
    <row r="146" spans="1:1">
      <c r="A146" s="989"/>
    </row>
    <row r="147" spans="1:1">
      <c r="A147" s="989"/>
    </row>
    <row r="148" spans="1:1">
      <c r="A148" s="989"/>
    </row>
    <row r="149" spans="1:1">
      <c r="A149" s="989"/>
    </row>
    <row r="150" spans="1:1">
      <c r="A150" s="989"/>
    </row>
    <row r="151" spans="1:1">
      <c r="A151" s="989"/>
    </row>
    <row r="152" spans="1:1">
      <c r="A152" s="989"/>
    </row>
    <row r="153" spans="1:1">
      <c r="A153" s="989"/>
    </row>
    <row r="154" spans="1:1">
      <c r="A154" s="989"/>
    </row>
    <row r="155" spans="1:1">
      <c r="A155" s="989"/>
    </row>
    <row r="156" spans="1:1">
      <c r="A156" s="989"/>
    </row>
    <row r="157" spans="1:1">
      <c r="A157" s="989"/>
    </row>
    <row r="158" spans="1:1">
      <c r="A158" s="989"/>
    </row>
    <row r="159" spans="1:1">
      <c r="A159" s="989"/>
    </row>
    <row r="160" spans="1:1">
      <c r="A160" s="989"/>
    </row>
    <row r="161" spans="1:1">
      <c r="A161" s="989"/>
    </row>
    <row r="162" spans="1:1">
      <c r="A162" s="989"/>
    </row>
    <row r="163" spans="1:1">
      <c r="A163" s="989"/>
    </row>
    <row r="164" spans="1:1">
      <c r="A164" s="989"/>
    </row>
    <row r="165" spans="1:1">
      <c r="A165" s="989"/>
    </row>
    <row r="166" spans="1:1">
      <c r="A166" s="989"/>
    </row>
    <row r="167" spans="1:1">
      <c r="A167" s="989"/>
    </row>
    <row r="168" spans="1:1">
      <c r="A168" s="989"/>
    </row>
    <row r="169" spans="1:1">
      <c r="A169" s="989"/>
    </row>
    <row r="170" spans="1:1">
      <c r="A170" s="989"/>
    </row>
    <row r="171" spans="1:1">
      <c r="A171" s="989"/>
    </row>
    <row r="172" spans="1:1">
      <c r="A172" s="989"/>
    </row>
    <row r="173" spans="1:1">
      <c r="A173" s="989"/>
    </row>
    <row r="174" spans="1:1">
      <c r="A174" s="989"/>
    </row>
    <row r="175" spans="1:1">
      <c r="A175" s="989"/>
    </row>
    <row r="176" spans="1:1">
      <c r="A176" s="989"/>
    </row>
    <row r="177" spans="1:1">
      <c r="A177" s="989"/>
    </row>
    <row r="178" spans="1:1">
      <c r="A178" s="989"/>
    </row>
    <row r="179" spans="1:1">
      <c r="A179" s="989"/>
    </row>
    <row r="180" spans="1:1">
      <c r="A180" s="989"/>
    </row>
    <row r="181" spans="1:1">
      <c r="A181" s="989"/>
    </row>
    <row r="182" spans="1:1">
      <c r="A182" s="989"/>
    </row>
    <row r="183" spans="1:1">
      <c r="A183" s="989"/>
    </row>
    <row r="184" spans="1:1">
      <c r="A184" s="989"/>
    </row>
    <row r="185" spans="1:1">
      <c r="A185" s="989"/>
    </row>
    <row r="186" spans="1:1">
      <c r="A186" s="989"/>
    </row>
    <row r="187" spans="1:1">
      <c r="A187" s="989"/>
    </row>
    <row r="188" spans="1:1">
      <c r="A188" s="989"/>
    </row>
    <row r="189" spans="1:1">
      <c r="A189" s="989"/>
    </row>
    <row r="190" spans="1:1">
      <c r="A190" s="989"/>
    </row>
    <row r="191" spans="1:1">
      <c r="A191" s="989"/>
    </row>
    <row r="192" spans="1:1">
      <c r="A192" s="989"/>
    </row>
    <row r="193" spans="1:1">
      <c r="A193" s="989"/>
    </row>
    <row r="194" spans="1:1">
      <c r="A194" s="989"/>
    </row>
    <row r="195" spans="1:1">
      <c r="A195" s="989"/>
    </row>
    <row r="196" spans="1:1">
      <c r="A196" s="989"/>
    </row>
    <row r="197" spans="1:1">
      <c r="A197" s="989"/>
    </row>
    <row r="198" spans="1:1">
      <c r="A198" s="989"/>
    </row>
    <row r="199" spans="1:1">
      <c r="A199" s="989"/>
    </row>
    <row r="200" spans="1:1">
      <c r="A200" s="989"/>
    </row>
    <row r="201" spans="1:1">
      <c r="A201" s="989"/>
    </row>
    <row r="202" spans="1:1">
      <c r="A202" s="989"/>
    </row>
    <row r="203" spans="1:1">
      <c r="A203" s="989"/>
    </row>
    <row r="204" spans="1:1">
      <c r="A204" s="989"/>
    </row>
    <row r="205" spans="1:1">
      <c r="A205" s="989"/>
    </row>
    <row r="206" spans="1:1">
      <c r="A206" s="989"/>
    </row>
    <row r="207" spans="1:1">
      <c r="A207" s="989"/>
    </row>
    <row r="208" spans="1:1">
      <c r="A208" s="989"/>
    </row>
    <row r="209" spans="1:1">
      <c r="A209" s="989"/>
    </row>
    <row r="210" spans="1:1">
      <c r="A210" s="989"/>
    </row>
    <row r="211" spans="1:1">
      <c r="A211" s="989"/>
    </row>
    <row r="212" spans="1:1">
      <c r="A212" s="989"/>
    </row>
    <row r="213" spans="1:1">
      <c r="A213" s="989"/>
    </row>
    <row r="214" spans="1:1">
      <c r="A214" s="989"/>
    </row>
    <row r="215" spans="1:1">
      <c r="A215" s="989"/>
    </row>
    <row r="216" spans="1:1">
      <c r="A216" s="989"/>
    </row>
    <row r="217" spans="1:1">
      <c r="A217" s="989"/>
    </row>
    <row r="218" spans="1:1">
      <c r="A218" s="989"/>
    </row>
    <row r="219" spans="1:1">
      <c r="A219" s="989"/>
    </row>
    <row r="220" spans="1:1">
      <c r="A220" s="989"/>
    </row>
    <row r="221" spans="1:1">
      <c r="A221" s="989"/>
    </row>
    <row r="222" spans="1:1">
      <c r="A222" s="989"/>
    </row>
    <row r="223" spans="1:1">
      <c r="A223" s="989"/>
    </row>
    <row r="224" spans="1:1">
      <c r="A224" s="989"/>
    </row>
    <row r="225" spans="1:1">
      <c r="A225" s="989"/>
    </row>
    <row r="226" spans="1:1">
      <c r="A226" s="989"/>
    </row>
    <row r="227" spans="1:1">
      <c r="A227" s="989"/>
    </row>
    <row r="228" spans="1:1">
      <c r="A228" s="989"/>
    </row>
    <row r="229" spans="1:1">
      <c r="A229" s="989"/>
    </row>
    <row r="230" spans="1:1">
      <c r="A230" s="989"/>
    </row>
    <row r="231" spans="1:1">
      <c r="A231" s="989"/>
    </row>
    <row r="232" spans="1:1">
      <c r="A232" s="989"/>
    </row>
    <row r="233" spans="1:1">
      <c r="A233" s="989"/>
    </row>
    <row r="234" spans="1:1">
      <c r="A234" s="989"/>
    </row>
    <row r="235" spans="1:1">
      <c r="A235" s="989"/>
    </row>
    <row r="236" spans="1:1">
      <c r="A236" s="989"/>
    </row>
    <row r="237" spans="1:1">
      <c r="A237" s="989"/>
    </row>
    <row r="238" spans="1:1">
      <c r="A238" s="989"/>
    </row>
    <row r="239" spans="1:1">
      <c r="A239" s="989"/>
    </row>
    <row r="240" spans="1:1">
      <c r="A240" s="989"/>
    </row>
    <row r="241" spans="1:1">
      <c r="A241" s="989"/>
    </row>
    <row r="242" spans="1:1">
      <c r="A242" s="989"/>
    </row>
    <row r="243" spans="1:1">
      <c r="A243" s="989"/>
    </row>
    <row r="244" spans="1:1">
      <c r="A244" s="989"/>
    </row>
    <row r="245" spans="1:1">
      <c r="A245" s="989"/>
    </row>
    <row r="246" spans="1:1">
      <c r="A246" s="989"/>
    </row>
    <row r="247" spans="1:1">
      <c r="A247" s="989"/>
    </row>
    <row r="248" spans="1:1">
      <c r="A248" s="989"/>
    </row>
    <row r="249" spans="1:1">
      <c r="A249" s="989"/>
    </row>
    <row r="250" spans="1:1">
      <c r="A250" s="989"/>
    </row>
    <row r="251" spans="1:1">
      <c r="A251" s="989"/>
    </row>
    <row r="252" spans="1:1">
      <c r="A252" s="989"/>
    </row>
    <row r="253" spans="1:1">
      <c r="A253" s="989"/>
    </row>
    <row r="254" spans="1:1">
      <c r="A254" s="989"/>
    </row>
    <row r="255" spans="1:1">
      <c r="A255" s="989"/>
    </row>
    <row r="256" spans="1:1">
      <c r="A256" s="989"/>
    </row>
    <row r="257" spans="1:1">
      <c r="A257" s="989"/>
    </row>
    <row r="258" spans="1:1">
      <c r="A258" s="989"/>
    </row>
    <row r="259" spans="1:1">
      <c r="A259" s="989"/>
    </row>
    <row r="260" spans="1:1">
      <c r="A260" s="989"/>
    </row>
    <row r="261" spans="1:1">
      <c r="A261" s="989"/>
    </row>
    <row r="262" spans="1:1">
      <c r="A262" s="989"/>
    </row>
    <row r="263" spans="1:1">
      <c r="A263" s="989"/>
    </row>
    <row r="264" spans="1:1">
      <c r="A264" s="989"/>
    </row>
    <row r="265" spans="1:1">
      <c r="A265" s="989"/>
    </row>
    <row r="266" spans="1:1">
      <c r="A266" s="989"/>
    </row>
    <row r="267" spans="1:1">
      <c r="A267" s="989"/>
    </row>
    <row r="268" spans="1:1">
      <c r="A268" s="989"/>
    </row>
    <row r="269" spans="1:1">
      <c r="A269" s="989"/>
    </row>
    <row r="270" spans="1:1">
      <c r="A270" s="989"/>
    </row>
    <row r="271" spans="1:1">
      <c r="A271" s="989"/>
    </row>
    <row r="272" spans="1:1">
      <c r="A272" s="989"/>
    </row>
    <row r="273" spans="1:1">
      <c r="A273" s="989"/>
    </row>
    <row r="274" spans="1:1">
      <c r="A274" s="989"/>
    </row>
    <row r="275" spans="1:1">
      <c r="A275" s="989"/>
    </row>
    <row r="276" spans="1:1">
      <c r="A276" s="989"/>
    </row>
    <row r="277" spans="1:1">
      <c r="A277" s="989"/>
    </row>
    <row r="278" spans="1:1">
      <c r="A278" s="989"/>
    </row>
    <row r="279" spans="1:1">
      <c r="A279" s="989"/>
    </row>
    <row r="280" spans="1:1">
      <c r="A280" s="989"/>
    </row>
    <row r="281" spans="1:1">
      <c r="A281" s="989"/>
    </row>
    <row r="282" spans="1:1">
      <c r="A282" s="989"/>
    </row>
    <row r="283" spans="1:1">
      <c r="A283" s="989"/>
    </row>
    <row r="284" spans="1:1">
      <c r="A284" s="989"/>
    </row>
    <row r="285" spans="1:1">
      <c r="A285" s="989"/>
    </row>
    <row r="286" spans="1:1">
      <c r="A286" s="989"/>
    </row>
    <row r="287" spans="1:1">
      <c r="A287" s="989"/>
    </row>
    <row r="288" spans="1:1">
      <c r="A288" s="989"/>
    </row>
    <row r="289" spans="1:1">
      <c r="A289" s="989"/>
    </row>
    <row r="290" spans="1:1">
      <c r="A290" s="989"/>
    </row>
    <row r="291" spans="1:1">
      <c r="A291" s="989"/>
    </row>
    <row r="292" spans="1:1">
      <c r="A292" s="989"/>
    </row>
    <row r="293" spans="1:1">
      <c r="A293" s="989"/>
    </row>
    <row r="294" spans="1:1">
      <c r="A294" s="989"/>
    </row>
    <row r="295" spans="1:1">
      <c r="A295" s="989"/>
    </row>
    <row r="296" spans="1:1">
      <c r="A296" s="989"/>
    </row>
    <row r="297" spans="1:1">
      <c r="A297" s="989"/>
    </row>
    <row r="298" spans="1:1">
      <c r="A298" s="989"/>
    </row>
    <row r="299" spans="1:1">
      <c r="A299" s="989"/>
    </row>
    <row r="300" spans="1:1">
      <c r="A300" s="989"/>
    </row>
    <row r="301" spans="1:1">
      <c r="A301" s="989"/>
    </row>
    <row r="302" spans="1:1">
      <c r="A302" s="989"/>
    </row>
    <row r="303" spans="1:1">
      <c r="A303" s="989"/>
    </row>
    <row r="304" spans="1:1">
      <c r="A304" s="989"/>
    </row>
    <row r="305" spans="1:1">
      <c r="A305" s="989"/>
    </row>
    <row r="306" spans="1:1">
      <c r="A306" s="989"/>
    </row>
    <row r="307" spans="1:1">
      <c r="A307" s="989"/>
    </row>
    <row r="308" spans="1:1">
      <c r="A308" s="989"/>
    </row>
    <row r="309" spans="1:1">
      <c r="A309" s="989"/>
    </row>
    <row r="310" spans="1:1">
      <c r="A310" s="989"/>
    </row>
    <row r="311" spans="1:1">
      <c r="A311" s="989"/>
    </row>
    <row r="312" spans="1:1">
      <c r="A312" s="989"/>
    </row>
    <row r="313" spans="1:1">
      <c r="A313" s="989"/>
    </row>
    <row r="314" spans="1:1">
      <c r="A314" s="989"/>
    </row>
    <row r="315" spans="1:1">
      <c r="A315" s="989"/>
    </row>
    <row r="316" spans="1:1">
      <c r="A316" s="989"/>
    </row>
    <row r="317" spans="1:1">
      <c r="A317" s="989"/>
    </row>
    <row r="318" spans="1:1">
      <c r="A318" s="989"/>
    </row>
    <row r="319" spans="1:1">
      <c r="A319" s="989"/>
    </row>
    <row r="320" spans="1:1">
      <c r="A320" s="989"/>
    </row>
    <row r="321" spans="1:1">
      <c r="A321" s="989"/>
    </row>
    <row r="322" spans="1:1">
      <c r="A322" s="989"/>
    </row>
    <row r="323" spans="1:1">
      <c r="A323" s="989"/>
    </row>
    <row r="324" spans="1:1">
      <c r="A324" s="989"/>
    </row>
    <row r="325" spans="1:1">
      <c r="A325" s="989"/>
    </row>
    <row r="326" spans="1:1">
      <c r="A326" s="989"/>
    </row>
    <row r="327" spans="1:1">
      <c r="A327" s="989"/>
    </row>
    <row r="328" spans="1:1">
      <c r="A328" s="989"/>
    </row>
    <row r="329" spans="1:1">
      <c r="A329" s="989"/>
    </row>
    <row r="330" spans="1:1">
      <c r="A330" s="989"/>
    </row>
    <row r="331" spans="1:1">
      <c r="A331" s="989"/>
    </row>
    <row r="332" spans="1:1">
      <c r="A332" s="989"/>
    </row>
    <row r="333" spans="1:1">
      <c r="A333" s="989"/>
    </row>
    <row r="334" spans="1:1">
      <c r="A334" s="989"/>
    </row>
    <row r="335" spans="1:1">
      <c r="A335" s="989"/>
    </row>
    <row r="336" spans="1:1">
      <c r="A336" s="989"/>
    </row>
    <row r="337" spans="1:1">
      <c r="A337" s="989"/>
    </row>
    <row r="338" spans="1:1">
      <c r="A338" s="989"/>
    </row>
    <row r="339" spans="1:1">
      <c r="A339" s="989"/>
    </row>
    <row r="340" spans="1:1">
      <c r="A340" s="989"/>
    </row>
    <row r="341" spans="1:1">
      <c r="A341" s="989"/>
    </row>
    <row r="342" spans="1:1">
      <c r="A342" s="989"/>
    </row>
    <row r="343" spans="1:1">
      <c r="A343" s="989"/>
    </row>
    <row r="344" spans="1:1">
      <c r="A344" s="989"/>
    </row>
    <row r="345" spans="1:1">
      <c r="A345" s="989"/>
    </row>
    <row r="346" spans="1:1">
      <c r="A346" s="989"/>
    </row>
    <row r="347" spans="1:1">
      <c r="A347" s="989"/>
    </row>
    <row r="348" spans="1:1">
      <c r="A348" s="989"/>
    </row>
    <row r="349" spans="1:1">
      <c r="A349" s="989"/>
    </row>
    <row r="350" spans="1:1">
      <c r="A350" s="989"/>
    </row>
    <row r="351" spans="1:1">
      <c r="A351" s="989"/>
    </row>
    <row r="352" spans="1:1">
      <c r="A352" s="989"/>
    </row>
    <row r="353" spans="1:1">
      <c r="A353" s="989"/>
    </row>
    <row r="354" spans="1:1">
      <c r="A354" s="989"/>
    </row>
    <row r="355" spans="1:1">
      <c r="A355" s="989"/>
    </row>
    <row r="356" spans="1:1">
      <c r="A356" s="989"/>
    </row>
    <row r="357" spans="1:1">
      <c r="A357" s="989"/>
    </row>
    <row r="358" spans="1:1">
      <c r="A358" s="989"/>
    </row>
    <row r="359" spans="1:1">
      <c r="A359" s="989"/>
    </row>
    <row r="360" spans="1:1">
      <c r="A360" s="989"/>
    </row>
    <row r="361" spans="1:1">
      <c r="A361" s="989"/>
    </row>
    <row r="362" spans="1:1">
      <c r="A362" s="989"/>
    </row>
    <row r="363" spans="1:1">
      <c r="A363" s="989"/>
    </row>
    <row r="364" spans="1:1">
      <c r="A364" s="989"/>
    </row>
    <row r="365" spans="1:1">
      <c r="A365" s="989"/>
    </row>
    <row r="366" spans="1:1">
      <c r="A366" s="989"/>
    </row>
    <row r="367" spans="1:1">
      <c r="A367" s="989"/>
    </row>
    <row r="368" spans="1:1">
      <c r="A368" s="989"/>
    </row>
    <row r="369" spans="1:1">
      <c r="A369" s="989"/>
    </row>
    <row r="370" spans="1:1">
      <c r="A370" s="989"/>
    </row>
    <row r="371" spans="1:1">
      <c r="A371" s="989"/>
    </row>
    <row r="372" spans="1:1">
      <c r="A372" s="989"/>
    </row>
    <row r="373" spans="1:1">
      <c r="A373" s="989"/>
    </row>
    <row r="374" spans="1:1">
      <c r="A374" s="989"/>
    </row>
    <row r="375" spans="1:1">
      <c r="A375" s="989"/>
    </row>
    <row r="376" spans="1:1">
      <c r="A376" s="989"/>
    </row>
    <row r="377" spans="1:1">
      <c r="A377" s="989"/>
    </row>
    <row r="378" spans="1:1">
      <c r="A378" s="989"/>
    </row>
    <row r="379" spans="1:1">
      <c r="A379" s="989"/>
    </row>
    <row r="380" spans="1:1">
      <c r="A380" s="989"/>
    </row>
    <row r="381" spans="1:1">
      <c r="A381" s="989"/>
    </row>
    <row r="382" spans="1:1">
      <c r="A382" s="989"/>
    </row>
    <row r="383" spans="1:1">
      <c r="A383" s="989"/>
    </row>
    <row r="384" spans="1:1">
      <c r="A384" s="989"/>
    </row>
    <row r="385" spans="1:1">
      <c r="A385" s="989"/>
    </row>
    <row r="386" spans="1:1">
      <c r="A386" s="989"/>
    </row>
    <row r="387" spans="1:1">
      <c r="A387" s="989"/>
    </row>
    <row r="388" spans="1:1">
      <c r="A388" s="989"/>
    </row>
    <row r="389" spans="1:1">
      <c r="A389" s="989"/>
    </row>
    <row r="390" spans="1:1">
      <c r="A390" s="989"/>
    </row>
    <row r="391" spans="1:1">
      <c r="A391" s="989"/>
    </row>
    <row r="392" spans="1:1">
      <c r="A392" s="989"/>
    </row>
    <row r="393" spans="1:1">
      <c r="A393" s="989"/>
    </row>
    <row r="394" spans="1:1">
      <c r="A394" s="989"/>
    </row>
    <row r="395" spans="1:1">
      <c r="A395" s="989"/>
    </row>
    <row r="396" spans="1:1">
      <c r="A396" s="989"/>
    </row>
    <row r="397" spans="1:1">
      <c r="A397" s="989"/>
    </row>
    <row r="398" spans="1:1">
      <c r="A398" s="989"/>
    </row>
    <row r="399" spans="1:1">
      <c r="A399" s="989"/>
    </row>
    <row r="400" spans="1:1">
      <c r="A400" s="989"/>
    </row>
    <row r="401" spans="1:1">
      <c r="A401" s="989"/>
    </row>
    <row r="402" spans="1:1">
      <c r="A402" s="989"/>
    </row>
    <row r="403" spans="1:1">
      <c r="A403" s="989"/>
    </row>
    <row r="404" spans="1:1">
      <c r="A404" s="989"/>
    </row>
    <row r="405" spans="1:1">
      <c r="A405" s="989"/>
    </row>
    <row r="406" spans="1:1">
      <c r="A406" s="989"/>
    </row>
    <row r="407" spans="1:1">
      <c r="A407" s="989"/>
    </row>
    <row r="408" spans="1:1">
      <c r="A408" s="989"/>
    </row>
    <row r="409" spans="1:1">
      <c r="A409" s="989"/>
    </row>
    <row r="410" spans="1:1">
      <c r="A410" s="989"/>
    </row>
    <row r="411" spans="1:1">
      <c r="A411" s="989"/>
    </row>
    <row r="412" spans="1:1">
      <c r="A412" s="989"/>
    </row>
    <row r="413" spans="1:1">
      <c r="A413" s="989"/>
    </row>
    <row r="414" spans="1:1">
      <c r="A414" s="989"/>
    </row>
    <row r="415" spans="1:1">
      <c r="A415" s="989"/>
    </row>
    <row r="416" spans="1:1">
      <c r="A416" s="989"/>
    </row>
    <row r="417" spans="1:1">
      <c r="A417" s="989"/>
    </row>
    <row r="418" spans="1:1">
      <c r="A418" s="989"/>
    </row>
    <row r="419" spans="1:1">
      <c r="A419" s="989"/>
    </row>
    <row r="420" spans="1:1">
      <c r="A420" s="989"/>
    </row>
    <row r="421" spans="1:1">
      <c r="A421" s="989"/>
    </row>
    <row r="422" spans="1:1">
      <c r="A422" s="989"/>
    </row>
    <row r="423" spans="1:1">
      <c r="A423" s="989"/>
    </row>
    <row r="424" spans="1:1">
      <c r="A424" s="989"/>
    </row>
    <row r="425" spans="1:1">
      <c r="A425" s="989"/>
    </row>
    <row r="426" spans="1:1">
      <c r="A426" s="989"/>
    </row>
    <row r="427" spans="1:1">
      <c r="A427" s="989"/>
    </row>
    <row r="428" spans="1:1">
      <c r="A428" s="989"/>
    </row>
    <row r="429" spans="1:1">
      <c r="A429" s="989"/>
    </row>
    <row r="430" spans="1:1">
      <c r="A430" s="989"/>
    </row>
    <row r="431" spans="1:1">
      <c r="A431" s="989"/>
    </row>
    <row r="432" spans="1:1">
      <c r="A432" s="989"/>
    </row>
    <row r="433" spans="1:1">
      <c r="A433" s="989"/>
    </row>
    <row r="434" spans="1:1">
      <c r="A434" s="989"/>
    </row>
    <row r="435" spans="1:1">
      <c r="A435" s="989"/>
    </row>
    <row r="436" spans="1:1">
      <c r="A436" s="989"/>
    </row>
    <row r="437" spans="1:1">
      <c r="A437" s="989"/>
    </row>
    <row r="438" spans="1:1">
      <c r="A438" s="989"/>
    </row>
    <row r="439" spans="1:1">
      <c r="A439" s="989"/>
    </row>
    <row r="440" spans="1:1">
      <c r="A440" s="989"/>
    </row>
    <row r="441" spans="1:1">
      <c r="A441" s="989"/>
    </row>
    <row r="442" spans="1:1">
      <c r="A442" s="989"/>
    </row>
    <row r="443" spans="1:1">
      <c r="A443" s="989"/>
    </row>
    <row r="444" spans="1:1">
      <c r="A444" s="989"/>
    </row>
    <row r="445" spans="1:1">
      <c r="A445" s="989"/>
    </row>
    <row r="446" spans="1:1">
      <c r="A446" s="989"/>
    </row>
    <row r="447" spans="1:1">
      <c r="A447" s="989"/>
    </row>
    <row r="448" spans="1:1">
      <c r="A448" s="989"/>
    </row>
    <row r="449" spans="1:1">
      <c r="A449" s="989"/>
    </row>
    <row r="450" spans="1:1">
      <c r="A450" s="989"/>
    </row>
    <row r="451" spans="1:1">
      <c r="A451" s="989"/>
    </row>
    <row r="452" spans="1:1">
      <c r="A452" s="989"/>
    </row>
    <row r="453" spans="1:1">
      <c r="A453" s="989"/>
    </row>
    <row r="454" spans="1:1">
      <c r="A454" s="989"/>
    </row>
    <row r="455" spans="1:1">
      <c r="A455" s="989"/>
    </row>
    <row r="456" spans="1:1">
      <c r="A456" s="989"/>
    </row>
    <row r="457" spans="1:1">
      <c r="A457" s="989"/>
    </row>
    <row r="458" spans="1:1">
      <c r="A458" s="989"/>
    </row>
    <row r="459" spans="1:1">
      <c r="A459" s="989"/>
    </row>
    <row r="460" spans="1:1">
      <c r="A460" s="989"/>
    </row>
    <row r="461" spans="1:1">
      <c r="A461" s="989"/>
    </row>
    <row r="462" spans="1:1">
      <c r="A462" s="989"/>
    </row>
    <row r="463" spans="1:1">
      <c r="A463" s="989"/>
    </row>
    <row r="464" spans="1:1">
      <c r="A464" s="989"/>
    </row>
    <row r="465" spans="1:1">
      <c r="A465" s="989"/>
    </row>
    <row r="466" spans="1:1">
      <c r="A466" s="989"/>
    </row>
    <row r="467" spans="1:1">
      <c r="A467" s="989"/>
    </row>
    <row r="468" spans="1:1">
      <c r="A468" s="989"/>
    </row>
    <row r="469" spans="1:1">
      <c r="A469" s="989"/>
    </row>
    <row r="470" spans="1:1">
      <c r="A470" s="989"/>
    </row>
    <row r="471" spans="1:1">
      <c r="A471" s="989"/>
    </row>
    <row r="472" spans="1:1">
      <c r="A472" s="989"/>
    </row>
    <row r="473" spans="1:1">
      <c r="A473" s="989"/>
    </row>
    <row r="474" spans="1:1">
      <c r="A474" s="989"/>
    </row>
    <row r="475" spans="1:1">
      <c r="A475" s="989"/>
    </row>
    <row r="476" spans="1:1">
      <c r="A476" s="989"/>
    </row>
    <row r="477" spans="1:1">
      <c r="A477" s="989"/>
    </row>
    <row r="478" spans="1:1">
      <c r="A478" s="989"/>
    </row>
    <row r="479" spans="1:1">
      <c r="A479" s="989"/>
    </row>
    <row r="480" spans="1:1">
      <c r="A480" s="989"/>
    </row>
    <row r="481" spans="1:1">
      <c r="A481" s="989"/>
    </row>
    <row r="482" spans="1:1">
      <c r="A482" s="989"/>
    </row>
    <row r="483" spans="1:1">
      <c r="A483" s="989"/>
    </row>
    <row r="484" spans="1:1">
      <c r="A484" s="989"/>
    </row>
    <row r="485" spans="1:1">
      <c r="A485" s="989"/>
    </row>
    <row r="486" spans="1:1">
      <c r="A486" s="989"/>
    </row>
    <row r="487" spans="1:1">
      <c r="A487" s="989"/>
    </row>
    <row r="488" spans="1:1">
      <c r="A488" s="989"/>
    </row>
    <row r="489" spans="1:1">
      <c r="A489" s="989"/>
    </row>
    <row r="490" spans="1:1">
      <c r="A490" s="989"/>
    </row>
    <row r="491" spans="1:1">
      <c r="A491" s="989"/>
    </row>
    <row r="492" spans="1:1">
      <c r="A492" s="989"/>
    </row>
    <row r="493" spans="1:1">
      <c r="A493" s="989"/>
    </row>
    <row r="494" spans="1:1">
      <c r="A494" s="989"/>
    </row>
    <row r="495" spans="1:1">
      <c r="A495" s="989"/>
    </row>
    <row r="496" spans="1:1">
      <c r="A496" s="989"/>
    </row>
    <row r="497" spans="1:1">
      <c r="A497" s="989"/>
    </row>
    <row r="498" spans="1:1">
      <c r="A498" s="989"/>
    </row>
    <row r="499" spans="1:1">
      <c r="A499" s="989"/>
    </row>
    <row r="500" spans="1:1">
      <c r="A500" s="989"/>
    </row>
    <row r="501" spans="1:1">
      <c r="A501" s="989"/>
    </row>
    <row r="502" spans="1:1">
      <c r="A502" s="989"/>
    </row>
    <row r="503" spans="1:1">
      <c r="A503" s="989"/>
    </row>
    <row r="504" spans="1:1">
      <c r="A504" s="989"/>
    </row>
    <row r="505" spans="1:1">
      <c r="A505" s="989"/>
    </row>
    <row r="506" spans="1:1">
      <c r="A506" s="989"/>
    </row>
    <row r="507" spans="1:1">
      <c r="A507" s="989"/>
    </row>
    <row r="508" spans="1:1">
      <c r="A508" s="989"/>
    </row>
    <row r="509" spans="1:1">
      <c r="A509" s="989"/>
    </row>
    <row r="510" spans="1:1">
      <c r="A510" s="989"/>
    </row>
    <row r="511" spans="1:1">
      <c r="A511" s="989"/>
    </row>
    <row r="512" spans="1:1">
      <c r="A512" s="989"/>
    </row>
    <row r="513" spans="1:1">
      <c r="A513" s="989"/>
    </row>
    <row r="514" spans="1:1">
      <c r="A514" s="989"/>
    </row>
    <row r="515" spans="1:1">
      <c r="A515" s="989"/>
    </row>
    <row r="516" spans="1:1">
      <c r="A516" s="989"/>
    </row>
    <row r="517" spans="1:1">
      <c r="A517" s="989"/>
    </row>
    <row r="518" spans="1:1">
      <c r="A518" s="989"/>
    </row>
    <row r="519" spans="1:1">
      <c r="A519" s="989"/>
    </row>
    <row r="520" spans="1:1">
      <c r="A520" s="989"/>
    </row>
    <row r="521" spans="1:1">
      <c r="A521" s="989"/>
    </row>
    <row r="522" spans="1:1">
      <c r="A522" s="989"/>
    </row>
    <row r="523" spans="1:1">
      <c r="A523" s="989"/>
    </row>
    <row r="524" spans="1:1">
      <c r="A524" s="989"/>
    </row>
    <row r="525" spans="1:1">
      <c r="A525" s="989"/>
    </row>
    <row r="526" spans="1:1">
      <c r="A526" s="989"/>
    </row>
    <row r="527" spans="1:1">
      <c r="A527" s="989"/>
    </row>
    <row r="528" spans="1:1">
      <c r="A528" s="989"/>
    </row>
    <row r="529" spans="1:1">
      <c r="A529" s="989"/>
    </row>
    <row r="530" spans="1:1">
      <c r="A530" s="989"/>
    </row>
    <row r="531" spans="1:1">
      <c r="A531" s="989"/>
    </row>
    <row r="532" spans="1:1">
      <c r="A532" s="989"/>
    </row>
    <row r="533" spans="1:1">
      <c r="A533" s="989"/>
    </row>
    <row r="534" spans="1:1">
      <c r="A534" s="989"/>
    </row>
    <row r="535" spans="1:1">
      <c r="A535" s="989"/>
    </row>
    <row r="536" spans="1:1">
      <c r="A536" s="989"/>
    </row>
    <row r="537" spans="1:1">
      <c r="A537" s="989"/>
    </row>
    <row r="538" spans="1:1">
      <c r="A538" s="989"/>
    </row>
    <row r="539" spans="1:1">
      <c r="A539" s="989"/>
    </row>
    <row r="540" spans="1:1">
      <c r="A540" s="989"/>
    </row>
    <row r="541" spans="1:1">
      <c r="A541" s="989"/>
    </row>
    <row r="542" spans="1:1">
      <c r="A542" s="989"/>
    </row>
    <row r="543" spans="1:1">
      <c r="A543" s="989"/>
    </row>
    <row r="544" spans="1:1">
      <c r="A544" s="989"/>
    </row>
    <row r="545" spans="1:1">
      <c r="A545" s="989"/>
    </row>
    <row r="546" spans="1:1">
      <c r="A546" s="989"/>
    </row>
    <row r="547" spans="1:1">
      <c r="A547" s="989"/>
    </row>
    <row r="548" spans="1:1">
      <c r="A548" s="989"/>
    </row>
    <row r="549" spans="1:1">
      <c r="A549" s="989"/>
    </row>
    <row r="550" spans="1:1">
      <c r="A550" s="989"/>
    </row>
    <row r="551" spans="1:1">
      <c r="A551" s="989"/>
    </row>
    <row r="552" spans="1:1">
      <c r="A552" s="989"/>
    </row>
    <row r="553" spans="1:1">
      <c r="A553" s="989"/>
    </row>
    <row r="554" spans="1:1">
      <c r="A554" s="989"/>
    </row>
    <row r="555" spans="1:1">
      <c r="A555" s="989"/>
    </row>
    <row r="556" spans="1:1">
      <c r="A556" s="989"/>
    </row>
    <row r="557" spans="1:1">
      <c r="A557" s="989"/>
    </row>
    <row r="558" spans="1:1">
      <c r="A558" s="989"/>
    </row>
    <row r="559" spans="1:1">
      <c r="A559" s="989"/>
    </row>
    <row r="560" spans="1:1">
      <c r="A560" s="989"/>
    </row>
    <row r="561" spans="1:1">
      <c r="A561" s="989"/>
    </row>
    <row r="562" spans="1:1">
      <c r="A562" s="989"/>
    </row>
    <row r="563" spans="1:1">
      <c r="A563" s="989"/>
    </row>
    <row r="564" spans="1:1">
      <c r="A564" s="989"/>
    </row>
    <row r="565" spans="1:1">
      <c r="A565" s="989"/>
    </row>
    <row r="566" spans="1:1">
      <c r="A566" s="989"/>
    </row>
    <row r="567" spans="1:1">
      <c r="A567" s="989"/>
    </row>
    <row r="568" spans="1:1">
      <c r="A568" s="989"/>
    </row>
    <row r="569" spans="1:1">
      <c r="A569" s="989"/>
    </row>
    <row r="570" spans="1:1">
      <c r="A570" s="989"/>
    </row>
    <row r="571" spans="1:1">
      <c r="A571" s="989"/>
    </row>
    <row r="572" spans="1:1">
      <c r="A572" s="989"/>
    </row>
    <row r="573" spans="1:1">
      <c r="A573" s="989"/>
    </row>
    <row r="574" spans="1:1">
      <c r="A574" s="989"/>
    </row>
    <row r="575" spans="1:1">
      <c r="A575" s="989"/>
    </row>
    <row r="576" spans="1:1">
      <c r="A576" s="989"/>
    </row>
    <row r="577" spans="1:1">
      <c r="A577" s="989"/>
    </row>
    <row r="578" spans="1:1">
      <c r="A578" s="989"/>
    </row>
    <row r="579" spans="1:1">
      <c r="A579" s="989"/>
    </row>
    <row r="580" spans="1:1">
      <c r="A580" s="989"/>
    </row>
    <row r="581" spans="1:1">
      <c r="A581" s="989"/>
    </row>
    <row r="582" spans="1:1">
      <c r="A582" s="989"/>
    </row>
    <row r="583" spans="1:1">
      <c r="A583" s="989"/>
    </row>
    <row r="584" spans="1:1">
      <c r="A584" s="989"/>
    </row>
    <row r="585" spans="1:1">
      <c r="A585" s="989"/>
    </row>
    <row r="586" spans="1:1">
      <c r="A586" s="989"/>
    </row>
    <row r="587" spans="1:1">
      <c r="A587" s="989"/>
    </row>
    <row r="588" spans="1:1">
      <c r="A588" s="989"/>
    </row>
    <row r="589" spans="1:1">
      <c r="A589" s="989"/>
    </row>
    <row r="590" spans="1:1">
      <c r="A590" s="989"/>
    </row>
    <row r="591" spans="1:1">
      <c r="A591" s="989"/>
    </row>
    <row r="592" spans="1:1">
      <c r="A592" s="989"/>
    </row>
    <row r="593" spans="1:1">
      <c r="A593" s="989"/>
    </row>
    <row r="594" spans="1:1">
      <c r="A594" s="989"/>
    </row>
    <row r="595" spans="1:1">
      <c r="A595" s="989"/>
    </row>
    <row r="596" spans="1:1">
      <c r="A596" s="989"/>
    </row>
    <row r="597" spans="1:1">
      <c r="A597" s="989"/>
    </row>
    <row r="598" spans="1:1">
      <c r="A598" s="989"/>
    </row>
    <row r="599" spans="1:1">
      <c r="A599" s="989"/>
    </row>
    <row r="600" spans="1:1">
      <c r="A600" s="989"/>
    </row>
    <row r="601" spans="1:1">
      <c r="A601" s="989"/>
    </row>
    <row r="602" spans="1:1">
      <c r="A602" s="989"/>
    </row>
    <row r="603" spans="1:1">
      <c r="A603" s="989"/>
    </row>
    <row r="604" spans="1:1">
      <c r="A604" s="989"/>
    </row>
    <row r="605" spans="1:1">
      <c r="A605" s="989"/>
    </row>
    <row r="606" spans="1:1">
      <c r="A606" s="989"/>
    </row>
    <row r="607" spans="1:1">
      <c r="A607" s="989"/>
    </row>
    <row r="608" spans="1:1">
      <c r="A608" s="989"/>
    </row>
    <row r="609" spans="1:1">
      <c r="A609" s="989"/>
    </row>
    <row r="610" spans="1:1">
      <c r="A610" s="989"/>
    </row>
    <row r="611" spans="1:1">
      <c r="A611" s="989"/>
    </row>
    <row r="612" spans="1:1">
      <c r="A612" s="989"/>
    </row>
    <row r="613" spans="1:1">
      <c r="A613" s="989"/>
    </row>
    <row r="614" spans="1:1">
      <c r="A614" s="989"/>
    </row>
    <row r="615" spans="1:1">
      <c r="A615" s="989"/>
    </row>
    <row r="616" spans="1:1">
      <c r="A616" s="989"/>
    </row>
    <row r="617" spans="1:1">
      <c r="A617" s="989"/>
    </row>
    <row r="618" spans="1:1">
      <c r="A618" s="989"/>
    </row>
    <row r="619" spans="1:1">
      <c r="A619" s="989"/>
    </row>
    <row r="620" spans="1:1">
      <c r="A620" s="989"/>
    </row>
    <row r="621" spans="1:1">
      <c r="A621" s="989"/>
    </row>
    <row r="622" spans="1:1">
      <c r="A622" s="989"/>
    </row>
    <row r="623" spans="1:1">
      <c r="A623" s="989"/>
    </row>
    <row r="624" spans="1:1">
      <c r="A624" s="989"/>
    </row>
    <row r="625" spans="1:1">
      <c r="A625" s="989"/>
    </row>
    <row r="626" spans="1:1">
      <c r="A626" s="989"/>
    </row>
    <row r="627" spans="1:1">
      <c r="A627" s="989"/>
    </row>
    <row r="628" spans="1:1">
      <c r="A628" s="989"/>
    </row>
    <row r="629" spans="1:1">
      <c r="A629" s="989"/>
    </row>
    <row r="630" spans="1:1">
      <c r="A630" s="989"/>
    </row>
    <row r="631" spans="1:1">
      <c r="A631" s="989"/>
    </row>
    <row r="632" spans="1:1">
      <c r="A632" s="989"/>
    </row>
    <row r="633" spans="1:1">
      <c r="A633" s="989"/>
    </row>
    <row r="634" spans="1:1">
      <c r="A634" s="989"/>
    </row>
    <row r="635" spans="1:1">
      <c r="A635" s="989"/>
    </row>
    <row r="636" spans="1:1">
      <c r="A636" s="989"/>
    </row>
    <row r="637" spans="1:1">
      <c r="A637" s="989"/>
    </row>
    <row r="638" spans="1:1">
      <c r="A638" s="989"/>
    </row>
    <row r="639" spans="1:1">
      <c r="A639" s="989"/>
    </row>
    <row r="640" spans="1:1">
      <c r="A640" s="989"/>
    </row>
    <row r="641" spans="1:1">
      <c r="A641" s="989"/>
    </row>
    <row r="642" spans="1:1">
      <c r="A642" s="989"/>
    </row>
    <row r="643" spans="1:1">
      <c r="A643" s="989"/>
    </row>
    <row r="644" spans="1:1">
      <c r="A644" s="989"/>
    </row>
    <row r="645" spans="1:1">
      <c r="A645" s="989"/>
    </row>
    <row r="646" spans="1:1">
      <c r="A646" s="989"/>
    </row>
    <row r="647" spans="1:1">
      <c r="A647" s="989"/>
    </row>
    <row r="648" spans="1:1">
      <c r="A648" s="989"/>
    </row>
    <row r="649" spans="1:1">
      <c r="A649" s="989"/>
    </row>
    <row r="650" spans="1:1">
      <c r="A650" s="989"/>
    </row>
    <row r="651" spans="1:1">
      <c r="A651" s="989"/>
    </row>
    <row r="652" spans="1:1">
      <c r="A652" s="989"/>
    </row>
    <row r="653" spans="1:1">
      <c r="A653" s="989"/>
    </row>
    <row r="654" spans="1:1">
      <c r="A654" s="989"/>
    </row>
    <row r="655" spans="1:1">
      <c r="A655" s="989"/>
    </row>
    <row r="656" spans="1:1">
      <c r="A656" s="989"/>
    </row>
    <row r="657" spans="1:1">
      <c r="A657" s="989"/>
    </row>
    <row r="658" spans="1:1">
      <c r="A658" s="989"/>
    </row>
    <row r="659" spans="1:1">
      <c r="A659" s="989"/>
    </row>
    <row r="660" spans="1:1">
      <c r="A660" s="989"/>
    </row>
    <row r="661" spans="1:1">
      <c r="A661" s="989"/>
    </row>
    <row r="662" spans="1:1">
      <c r="A662" s="989"/>
    </row>
    <row r="663" spans="1:1">
      <c r="A663" s="989"/>
    </row>
    <row r="664" spans="1:1">
      <c r="A664" s="989"/>
    </row>
    <row r="665" spans="1:1">
      <c r="A665" s="989"/>
    </row>
    <row r="666" spans="1:1">
      <c r="A666" s="989"/>
    </row>
    <row r="667" spans="1:1">
      <c r="A667" s="989"/>
    </row>
    <row r="668" spans="1:1">
      <c r="A668" s="989"/>
    </row>
    <row r="669" spans="1:1">
      <c r="A669" s="989"/>
    </row>
    <row r="670" spans="1:1">
      <c r="A670" s="989"/>
    </row>
    <row r="671" spans="1:1">
      <c r="A671" s="989"/>
    </row>
    <row r="672" spans="1:1">
      <c r="A672" s="989"/>
    </row>
    <row r="673" spans="1:1">
      <c r="A673" s="989"/>
    </row>
    <row r="674" spans="1:1">
      <c r="A674" s="989"/>
    </row>
    <row r="675" spans="1:1">
      <c r="A675" s="989"/>
    </row>
    <row r="676" spans="1:1">
      <c r="A676" s="989"/>
    </row>
    <row r="677" spans="1:1">
      <c r="A677" s="989"/>
    </row>
    <row r="678" spans="1:1">
      <c r="A678" s="989"/>
    </row>
    <row r="679" spans="1:1">
      <c r="A679" s="989"/>
    </row>
    <row r="680" spans="1:1">
      <c r="A680" s="989"/>
    </row>
    <row r="681" spans="1:1">
      <c r="A681" s="989"/>
    </row>
    <row r="682" spans="1:1">
      <c r="A682" s="989"/>
    </row>
    <row r="683" spans="1:1">
      <c r="A683" s="989"/>
    </row>
    <row r="684" spans="1:1">
      <c r="A684" s="989"/>
    </row>
    <row r="685" spans="1:1">
      <c r="A685" s="989"/>
    </row>
    <row r="686" spans="1:1">
      <c r="A686" s="989"/>
    </row>
    <row r="687" spans="1:1">
      <c r="A687" s="989"/>
    </row>
    <row r="688" spans="1:1">
      <c r="A688" s="989"/>
    </row>
    <row r="689" spans="1:1">
      <c r="A689" s="989"/>
    </row>
    <row r="690" spans="1:1">
      <c r="A690" s="989"/>
    </row>
    <row r="691" spans="1:1">
      <c r="A691" s="989"/>
    </row>
    <row r="692" spans="1:1">
      <c r="A692" s="989"/>
    </row>
    <row r="693" spans="1:1">
      <c r="A693" s="989"/>
    </row>
    <row r="694" spans="1:1">
      <c r="A694" s="989"/>
    </row>
    <row r="695" spans="1:1">
      <c r="A695" s="989"/>
    </row>
    <row r="696" spans="1:1">
      <c r="A696" s="989"/>
    </row>
    <row r="697" spans="1:1">
      <c r="A697" s="989"/>
    </row>
    <row r="698" spans="1:1">
      <c r="A698" s="989"/>
    </row>
    <row r="699" spans="1:1">
      <c r="A699" s="989"/>
    </row>
    <row r="700" spans="1:1">
      <c r="A700" s="989"/>
    </row>
    <row r="701" spans="1:1">
      <c r="A701" s="989"/>
    </row>
    <row r="702" spans="1:1">
      <c r="A702" s="989"/>
    </row>
    <row r="703" spans="1:1">
      <c r="A703" s="989"/>
    </row>
    <row r="704" spans="1:1">
      <c r="A704" s="989"/>
    </row>
    <row r="705" spans="1:1">
      <c r="A705" s="989"/>
    </row>
    <row r="706" spans="1:1">
      <c r="A706" s="989"/>
    </row>
    <row r="707" spans="1:1">
      <c r="A707" s="989"/>
    </row>
    <row r="708" spans="1:1">
      <c r="A708" s="989"/>
    </row>
    <row r="709" spans="1:1">
      <c r="A709" s="989"/>
    </row>
    <row r="710" spans="1:1">
      <c r="A710" s="989"/>
    </row>
    <row r="711" spans="1:1">
      <c r="A711" s="989"/>
    </row>
    <row r="712" spans="1:1">
      <c r="A712" s="989"/>
    </row>
    <row r="713" spans="1:1">
      <c r="A713" s="989"/>
    </row>
    <row r="714" spans="1:1">
      <c r="A714" s="989"/>
    </row>
    <row r="715" spans="1:1">
      <c r="A715" s="989"/>
    </row>
    <row r="716" spans="1:1">
      <c r="A716" s="989"/>
    </row>
    <row r="717" spans="1:1">
      <c r="A717" s="989"/>
    </row>
    <row r="718" spans="1:1">
      <c r="A718" s="989"/>
    </row>
    <row r="719" spans="1:1">
      <c r="A719" s="989"/>
    </row>
    <row r="720" spans="1:1">
      <c r="A720" s="989"/>
    </row>
    <row r="721" spans="1:1">
      <c r="A721" s="989"/>
    </row>
    <row r="722" spans="1:1">
      <c r="A722" s="989"/>
    </row>
    <row r="723" spans="1:1">
      <c r="A723" s="989"/>
    </row>
    <row r="724" spans="1:1">
      <c r="A724" s="989"/>
    </row>
    <row r="725" spans="1:1">
      <c r="A725" s="989"/>
    </row>
    <row r="726" spans="1:1">
      <c r="A726" s="989"/>
    </row>
    <row r="727" spans="1:1">
      <c r="A727" s="989"/>
    </row>
    <row r="728" spans="1:1">
      <c r="A728" s="989"/>
    </row>
    <row r="729" spans="1:1">
      <c r="A729" s="989"/>
    </row>
    <row r="730" spans="1:1">
      <c r="A730" s="989"/>
    </row>
    <row r="731" spans="1:1">
      <c r="A731" s="989"/>
    </row>
    <row r="732" spans="1:1">
      <c r="A732" s="989"/>
    </row>
    <row r="733" spans="1:1">
      <c r="A733" s="989"/>
    </row>
    <row r="734" spans="1:1">
      <c r="A734" s="989"/>
    </row>
  </sheetData>
  <mergeCells count="18">
    <mergeCell ref="S3:T3"/>
    <mergeCell ref="U3:V3"/>
    <mergeCell ref="W3:X3"/>
    <mergeCell ref="B1:X1"/>
    <mergeCell ref="Y1:AA1"/>
    <mergeCell ref="A2:AA2"/>
    <mergeCell ref="A3:A4"/>
    <mergeCell ref="B3:B4"/>
    <mergeCell ref="C3:D3"/>
    <mergeCell ref="E3:F3"/>
    <mergeCell ref="G3:H3"/>
    <mergeCell ref="I3:J3"/>
    <mergeCell ref="K3:L3"/>
    <mergeCell ref="Y3:Z3"/>
    <mergeCell ref="AA3:AA4"/>
    <mergeCell ref="M3:N3"/>
    <mergeCell ref="O3:P3"/>
    <mergeCell ref="Q3:R3"/>
  </mergeCells>
  <conditionalFormatting sqref="B78:B82">
    <cfRule type="expression" dxfId="34" priority="5" stopIfTrue="1">
      <formula>IF(AND(#REF!&lt;&gt;"",#REF!&gt;15),1,0)</formula>
    </cfRule>
    <cfRule type="expression" dxfId="33" priority="6" stopIfTrue="1">
      <formula>IF(AND(#REF!&lt;&gt;"",#REF!&gt;15),1,0)</formula>
    </cfRule>
    <cfRule type="expression" dxfId="32" priority="13" stopIfTrue="1">
      <formula>IF(AND(AJ92&lt;&gt;"",AJ92&gt;15),1,0)</formula>
    </cfRule>
    <cfRule type="expression" dxfId="31" priority="15" stopIfTrue="1">
      <formula>IF(AND(AJ76&lt;&gt;"",AJ76&gt;15),1,0)</formula>
    </cfRule>
    <cfRule type="expression" dxfId="30" priority="17" stopIfTrue="1">
      <formula>IF(AND(O41&lt;&gt;"",O41&gt;15),1,0)</formula>
    </cfRule>
    <cfRule type="expression" dxfId="29" priority="18" stopIfTrue="1">
      <formula>IF(AND(AH41&lt;&gt;"",AH41&gt;15),1,0)</formula>
    </cfRule>
    <cfRule type="expression" dxfId="28" priority="19" stopIfTrue="1">
      <formula>IF(AND(#REF!&lt;&gt;"",#REF!&gt;15),1,0)</formula>
    </cfRule>
  </conditionalFormatting>
  <conditionalFormatting sqref="M77:N82 AA77:AA82">
    <cfRule type="expression" dxfId="27" priority="11" stopIfTrue="1">
      <formula>IF(AND(AY73&lt;&gt;"",AY73&gt;15),1,0)</formula>
    </cfRule>
    <cfRule type="expression" dxfId="26" priority="12" stopIfTrue="1">
      <formula>IF(AND(AY74&lt;&gt;"",AY74&gt;15),1,0)</formula>
    </cfRule>
    <cfRule type="expression" dxfId="25" priority="14" stopIfTrue="1">
      <formula>IF(AND(#REF!&lt;&gt;"",#REF!&gt;15),1,0)</formula>
    </cfRule>
  </conditionalFormatting>
  <conditionalFormatting sqref="M77:N82">
    <cfRule type="expression" dxfId="24" priority="9" stopIfTrue="1">
      <formula>IF(AND(AY91&lt;&gt;"",AY91&gt;15),1,0)</formula>
    </cfRule>
    <cfRule type="expression" dxfId="23" priority="10" stopIfTrue="1">
      <formula>IF(AND(AY75&lt;&gt;"",AY75&gt;15),1,0)</formula>
    </cfRule>
  </conditionalFormatting>
  <conditionalFormatting sqref="AA77:AA82 M77:N82">
    <cfRule type="expression" dxfId="22" priority="7" stopIfTrue="1">
      <formula>IF(AND(#REF!&lt;&gt;"",#REF!&gt;15),1,0)</formula>
    </cfRule>
  </conditionalFormatting>
  <conditionalFormatting sqref="AA77:AA82">
    <cfRule type="expression" dxfId="21" priority="8" stopIfTrue="1">
      <formula>IF(AND(BM75&lt;&gt;"",BM75&gt;15),1,0)</formula>
    </cfRule>
    <cfRule type="expression" dxfId="20" priority="16" stopIfTrue="1">
      <formula>IF(AND(BM91&lt;&gt;"",BM91&gt;15),1,0)</formula>
    </cfRule>
  </conditionalFormatting>
  <conditionalFormatting sqref="AA78:AA79">
    <cfRule type="expression" dxfId="19" priority="1" stopIfTrue="1">
      <formula>IF(AND(BM76&lt;&gt;"",BM76&gt;15),1,0)</formula>
    </cfRule>
    <cfRule type="expression" dxfId="18" priority="2" stopIfTrue="1">
      <formula>IF(AND(BM74&lt;&gt;"",BM74&gt;15),1,0)</formula>
    </cfRule>
    <cfRule type="expression" dxfId="17" priority="3" stopIfTrue="1">
      <formula>IF(AND(BM75&lt;&gt;"",BM75&gt;15),1,0)</formula>
    </cfRule>
    <cfRule type="expression" dxfId="16" priority="4" stopIfTrue="1">
      <formula>IF(AND(BM92&lt;&gt;"",BM92&gt;15),1,0)</formula>
    </cfRule>
  </conditionalFormatting>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7"/>
  <dimension ref="A1:AC331"/>
  <sheetViews>
    <sheetView rightToLeft="1" workbookViewId="0">
      <selection activeCell="F12" sqref="F12"/>
    </sheetView>
  </sheetViews>
  <sheetFormatPr defaultColWidth="8.85546875" defaultRowHeight="12.75"/>
  <cols>
    <col min="1" max="1" width="8.85546875" style="661"/>
    <col min="2" max="2" width="69.85546875" style="661" customWidth="1"/>
    <col min="3" max="16384" width="8.85546875" style="661"/>
  </cols>
  <sheetData>
    <row r="1" spans="1:27" ht="18.75" thickBot="1">
      <c r="A1" s="723"/>
      <c r="B1" s="2333"/>
      <c r="C1" s="2333"/>
      <c r="D1" s="2333"/>
      <c r="E1" s="2333"/>
      <c r="F1" s="2333"/>
      <c r="G1" s="2333"/>
      <c r="H1" s="2333"/>
      <c r="I1" s="2333"/>
      <c r="J1" s="2333"/>
      <c r="K1" s="2333"/>
      <c r="L1" s="2333"/>
      <c r="M1" s="2333"/>
      <c r="N1" s="2333"/>
      <c r="O1" s="2333"/>
      <c r="P1" s="2333"/>
      <c r="Q1" s="2333"/>
      <c r="R1" s="2333"/>
      <c r="S1" s="2333"/>
      <c r="T1" s="2333"/>
      <c r="U1" s="2333"/>
      <c r="V1" s="2333"/>
      <c r="W1" s="2333"/>
      <c r="X1" s="2333"/>
      <c r="Y1" s="2334"/>
      <c r="Z1" s="2334"/>
      <c r="AA1" s="2335"/>
    </row>
    <row r="2" spans="1:27" ht="21" thickBot="1">
      <c r="A2" s="2336" t="s">
        <v>3815</v>
      </c>
      <c r="B2" s="2337"/>
      <c r="C2" s="2337"/>
      <c r="D2" s="2337"/>
      <c r="E2" s="2337"/>
      <c r="F2" s="2337"/>
      <c r="G2" s="2337"/>
      <c r="H2" s="2337"/>
      <c r="I2" s="2337"/>
      <c r="J2" s="2337"/>
      <c r="K2" s="2337"/>
      <c r="L2" s="2337"/>
      <c r="M2" s="2337"/>
      <c r="N2" s="2337"/>
      <c r="O2" s="2337"/>
      <c r="P2" s="2337"/>
      <c r="Q2" s="2337"/>
      <c r="R2" s="2337"/>
      <c r="S2" s="2337"/>
      <c r="T2" s="2337"/>
      <c r="U2" s="2337"/>
      <c r="V2" s="2337"/>
      <c r="W2" s="2337"/>
      <c r="X2" s="2337"/>
      <c r="Y2" s="2337"/>
      <c r="Z2" s="2337"/>
      <c r="AA2" s="2338"/>
    </row>
    <row r="3" spans="1:27">
      <c r="A3" s="2339" t="s">
        <v>2306</v>
      </c>
      <c r="B3" s="2355" t="s">
        <v>2307</v>
      </c>
      <c r="C3" s="2331" t="s">
        <v>2255</v>
      </c>
      <c r="D3" s="2332"/>
      <c r="E3" s="1716" t="s">
        <v>2256</v>
      </c>
      <c r="F3" s="2332"/>
      <c r="G3" s="2331" t="s">
        <v>2257</v>
      </c>
      <c r="H3" s="2332"/>
      <c r="I3" s="2331" t="s">
        <v>2258</v>
      </c>
      <c r="J3" s="2332"/>
      <c r="K3" s="2331" t="s">
        <v>2259</v>
      </c>
      <c r="L3" s="2332"/>
      <c r="M3" s="2331" t="s">
        <v>2260</v>
      </c>
      <c r="N3" s="2332"/>
      <c r="O3" s="2331" t="s">
        <v>2261</v>
      </c>
      <c r="P3" s="2332"/>
      <c r="Q3" s="2331" t="s">
        <v>2262</v>
      </c>
      <c r="R3" s="2332"/>
      <c r="S3" s="2331" t="s">
        <v>2263</v>
      </c>
      <c r="T3" s="2332"/>
      <c r="U3" s="2331" t="s">
        <v>2264</v>
      </c>
      <c r="V3" s="2332"/>
      <c r="W3" s="2331" t="s">
        <v>2265</v>
      </c>
      <c r="X3" s="2332"/>
      <c r="Y3" s="2331" t="s">
        <v>2266</v>
      </c>
      <c r="Z3" s="2332"/>
      <c r="AA3" s="2343" t="s">
        <v>2267</v>
      </c>
    </row>
    <row r="4" spans="1:27" ht="13.5" thickBot="1">
      <c r="A4" s="2345"/>
      <c r="B4" s="2356"/>
      <c r="C4" s="726" t="s">
        <v>2269</v>
      </c>
      <c r="D4" s="727" t="s">
        <v>2270</v>
      </c>
      <c r="E4" s="674" t="s">
        <v>2269</v>
      </c>
      <c r="F4" s="727" t="s">
        <v>2270</v>
      </c>
      <c r="G4" s="726" t="s">
        <v>2269</v>
      </c>
      <c r="H4" s="727" t="s">
        <v>2270</v>
      </c>
      <c r="I4" s="726" t="s">
        <v>2269</v>
      </c>
      <c r="J4" s="727" t="s">
        <v>2270</v>
      </c>
      <c r="K4" s="726" t="s">
        <v>2269</v>
      </c>
      <c r="L4" s="727" t="s">
        <v>2270</v>
      </c>
      <c r="M4" s="726" t="s">
        <v>2269</v>
      </c>
      <c r="N4" s="727" t="s">
        <v>2270</v>
      </c>
      <c r="O4" s="726" t="s">
        <v>2269</v>
      </c>
      <c r="P4" s="727" t="s">
        <v>2270</v>
      </c>
      <c r="Q4" s="726" t="s">
        <v>2269</v>
      </c>
      <c r="R4" s="727" t="s">
        <v>2270</v>
      </c>
      <c r="S4" s="726" t="s">
        <v>2269</v>
      </c>
      <c r="T4" s="727" t="s">
        <v>2270</v>
      </c>
      <c r="U4" s="726" t="s">
        <v>2269</v>
      </c>
      <c r="V4" s="727" t="s">
        <v>2270</v>
      </c>
      <c r="W4" s="726" t="s">
        <v>2269</v>
      </c>
      <c r="X4" s="727" t="s">
        <v>2270</v>
      </c>
      <c r="Y4" s="726" t="s">
        <v>2269</v>
      </c>
      <c r="Z4" s="727" t="s">
        <v>2270</v>
      </c>
      <c r="AA4" s="2344"/>
    </row>
    <row r="5" spans="1:27" ht="14.25">
      <c r="A5" s="728">
        <v>1</v>
      </c>
      <c r="B5" s="994" t="s">
        <v>2473</v>
      </c>
      <c r="C5" s="784"/>
      <c r="D5" s="731"/>
      <c r="E5" s="730"/>
      <c r="F5" s="731"/>
      <c r="G5" s="732"/>
      <c r="H5" s="731"/>
      <c r="I5" s="732"/>
      <c r="J5" s="731"/>
      <c r="K5" s="732"/>
      <c r="L5" s="731"/>
      <c r="M5" s="732"/>
      <c r="N5" s="731"/>
      <c r="O5" s="732"/>
      <c r="P5" s="731"/>
      <c r="Q5" s="732"/>
      <c r="R5" s="731"/>
      <c r="S5" s="732"/>
      <c r="T5" s="731"/>
      <c r="U5" s="995"/>
      <c r="V5" s="996"/>
      <c r="W5" s="732"/>
      <c r="X5" s="731"/>
      <c r="Y5" s="732"/>
      <c r="Z5" s="731"/>
      <c r="AA5" s="997"/>
    </row>
    <row r="6" spans="1:27" ht="14.25">
      <c r="A6" s="735">
        <v>1.1000000000000001</v>
      </c>
      <c r="B6" s="998" t="s">
        <v>3816</v>
      </c>
      <c r="C6" s="790"/>
      <c r="D6" s="738"/>
      <c r="E6" s="737"/>
      <c r="F6" s="738"/>
      <c r="G6" s="739"/>
      <c r="H6" s="738"/>
      <c r="I6" s="739"/>
      <c r="J6" s="738"/>
      <c r="K6" s="739"/>
      <c r="L6" s="738"/>
      <c r="M6" s="739"/>
      <c r="N6" s="738"/>
      <c r="O6" s="739"/>
      <c r="P6" s="738"/>
      <c r="Q6" s="739"/>
      <c r="R6" s="738"/>
      <c r="S6" s="739"/>
      <c r="T6" s="738"/>
      <c r="U6" s="713">
        <v>10</v>
      </c>
      <c r="V6" s="714">
        <v>3</v>
      </c>
      <c r="W6" s="739"/>
      <c r="X6" s="738"/>
      <c r="Y6" s="739"/>
      <c r="Z6" s="738"/>
      <c r="AA6" s="823"/>
    </row>
    <row r="7" spans="1:27" ht="14.25">
      <c r="A7" s="735">
        <v>1.2</v>
      </c>
      <c r="B7" s="998" t="s">
        <v>3817</v>
      </c>
      <c r="C7" s="790"/>
      <c r="D7" s="738"/>
      <c r="E7" s="737"/>
      <c r="F7" s="738"/>
      <c r="G7" s="739"/>
      <c r="H7" s="738"/>
      <c r="I7" s="739"/>
      <c r="J7" s="738"/>
      <c r="K7" s="739"/>
      <c r="L7" s="738"/>
      <c r="M7" s="739"/>
      <c r="N7" s="738"/>
      <c r="O7" s="739"/>
      <c r="P7" s="738"/>
      <c r="Q7" s="739"/>
      <c r="R7" s="738"/>
      <c r="S7" s="739"/>
      <c r="T7" s="738"/>
      <c r="U7" s="713">
        <v>10</v>
      </c>
      <c r="V7" s="714">
        <v>3</v>
      </c>
      <c r="W7" s="739"/>
      <c r="X7" s="738"/>
      <c r="Y7" s="739"/>
      <c r="Z7" s="738"/>
      <c r="AA7" s="823"/>
    </row>
    <row r="8" spans="1:27" ht="14.25">
      <c r="A8" s="735">
        <v>1.3</v>
      </c>
      <c r="B8" s="998" t="s">
        <v>3818</v>
      </c>
      <c r="C8" s="790"/>
      <c r="D8" s="738"/>
      <c r="E8" s="737"/>
      <c r="F8" s="738"/>
      <c r="G8" s="739"/>
      <c r="H8" s="738"/>
      <c r="I8" s="739"/>
      <c r="J8" s="738"/>
      <c r="K8" s="739"/>
      <c r="L8" s="738"/>
      <c r="M8" s="739"/>
      <c r="N8" s="738"/>
      <c r="O8" s="739"/>
      <c r="P8" s="738"/>
      <c r="Q8" s="739"/>
      <c r="R8" s="738"/>
      <c r="S8" s="739"/>
      <c r="T8" s="738"/>
      <c r="U8" s="713">
        <v>10</v>
      </c>
      <c r="V8" s="714">
        <v>3</v>
      </c>
      <c r="W8" s="739"/>
      <c r="X8" s="738"/>
      <c r="Y8" s="739"/>
      <c r="Z8" s="738"/>
      <c r="AA8" s="823"/>
    </row>
    <row r="9" spans="1:27" ht="14.25">
      <c r="A9" s="735">
        <v>1.4</v>
      </c>
      <c r="B9" s="998" t="s">
        <v>3819</v>
      </c>
      <c r="C9" s="790"/>
      <c r="D9" s="738"/>
      <c r="E9" s="737"/>
      <c r="F9" s="738"/>
      <c r="G9" s="739"/>
      <c r="H9" s="738"/>
      <c r="I9" s="739"/>
      <c r="J9" s="738"/>
      <c r="K9" s="739"/>
      <c r="L9" s="738"/>
      <c r="M9" s="739"/>
      <c r="N9" s="738"/>
      <c r="O9" s="739"/>
      <c r="P9" s="738"/>
      <c r="Q9" s="739"/>
      <c r="R9" s="738"/>
      <c r="S9" s="739"/>
      <c r="T9" s="738"/>
      <c r="U9" s="713">
        <v>10</v>
      </c>
      <c r="V9" s="714">
        <v>4</v>
      </c>
      <c r="W9" s="739"/>
      <c r="X9" s="738"/>
      <c r="Y9" s="739"/>
      <c r="Z9" s="738"/>
      <c r="AA9" s="823"/>
    </row>
    <row r="10" spans="1:27" ht="14.25">
      <c r="A10" s="735">
        <v>1.5</v>
      </c>
      <c r="B10" s="998" t="s">
        <v>3820</v>
      </c>
      <c r="C10" s="790"/>
      <c r="D10" s="738"/>
      <c r="E10" s="737"/>
      <c r="F10" s="738"/>
      <c r="G10" s="739"/>
      <c r="H10" s="738"/>
      <c r="I10" s="739"/>
      <c r="J10" s="738"/>
      <c r="K10" s="739"/>
      <c r="L10" s="738"/>
      <c r="M10" s="739"/>
      <c r="N10" s="738"/>
      <c r="O10" s="739"/>
      <c r="P10" s="738"/>
      <c r="Q10" s="739"/>
      <c r="R10" s="738"/>
      <c r="S10" s="739"/>
      <c r="T10" s="738"/>
      <c r="U10" s="713">
        <v>8</v>
      </c>
      <c r="V10" s="714">
        <v>3</v>
      </c>
      <c r="W10" s="739"/>
      <c r="X10" s="738"/>
      <c r="Y10" s="739"/>
      <c r="Z10" s="738"/>
      <c r="AA10" s="823"/>
    </row>
    <row r="11" spans="1:27" ht="14.25">
      <c r="A11" s="735">
        <v>1.6</v>
      </c>
      <c r="B11" s="998" t="s">
        <v>3821</v>
      </c>
      <c r="C11" s="790"/>
      <c r="D11" s="738"/>
      <c r="E11" s="737"/>
      <c r="F11" s="738"/>
      <c r="G11" s="739"/>
      <c r="H11" s="738"/>
      <c r="I11" s="739"/>
      <c r="J11" s="738"/>
      <c r="K11" s="739"/>
      <c r="L11" s="738"/>
      <c r="M11" s="739"/>
      <c r="N11" s="738"/>
      <c r="O11" s="739"/>
      <c r="P11" s="738"/>
      <c r="Q11" s="739"/>
      <c r="R11" s="738"/>
      <c r="S11" s="739"/>
      <c r="T11" s="738"/>
      <c r="U11" s="713">
        <v>10</v>
      </c>
      <c r="V11" s="714">
        <v>4</v>
      </c>
      <c r="W11" s="739"/>
      <c r="X11" s="738"/>
      <c r="Y11" s="739"/>
      <c r="Z11" s="738"/>
      <c r="AA11" s="823"/>
    </row>
    <row r="12" spans="1:27" ht="14.25">
      <c r="A12" s="735">
        <v>1.7</v>
      </c>
      <c r="B12" s="998" t="s">
        <v>3822</v>
      </c>
      <c r="C12" s="794"/>
      <c r="D12" s="745"/>
      <c r="E12" s="744"/>
      <c r="F12" s="745"/>
      <c r="G12" s="746"/>
      <c r="H12" s="745"/>
      <c r="I12" s="746"/>
      <c r="J12" s="745"/>
      <c r="K12" s="746"/>
      <c r="L12" s="745"/>
      <c r="M12" s="746"/>
      <c r="N12" s="745"/>
      <c r="O12" s="746"/>
      <c r="P12" s="745"/>
      <c r="Q12" s="746"/>
      <c r="R12" s="745"/>
      <c r="S12" s="746"/>
      <c r="T12" s="745"/>
      <c r="U12" s="713">
        <v>8</v>
      </c>
      <c r="V12" s="714">
        <v>3</v>
      </c>
      <c r="W12" s="746"/>
      <c r="X12" s="745"/>
      <c r="Y12" s="746"/>
      <c r="Z12" s="745"/>
      <c r="AA12" s="823"/>
    </row>
    <row r="13" spans="1:27" ht="14.25">
      <c r="A13" s="735">
        <v>1.8</v>
      </c>
      <c r="B13" s="998" t="s">
        <v>3823</v>
      </c>
      <c r="C13" s="790"/>
      <c r="D13" s="738"/>
      <c r="E13" s="737"/>
      <c r="F13" s="738"/>
      <c r="G13" s="739"/>
      <c r="H13" s="738"/>
      <c r="I13" s="739"/>
      <c r="J13" s="738"/>
      <c r="K13" s="739"/>
      <c r="L13" s="738"/>
      <c r="M13" s="739"/>
      <c r="N13" s="738"/>
      <c r="O13" s="739"/>
      <c r="P13" s="738"/>
      <c r="Q13" s="739"/>
      <c r="R13" s="738"/>
      <c r="S13" s="739"/>
      <c r="T13" s="738"/>
      <c r="U13" s="713">
        <v>8</v>
      </c>
      <c r="V13" s="714">
        <v>3</v>
      </c>
      <c r="W13" s="739"/>
      <c r="X13" s="738"/>
      <c r="Y13" s="739"/>
      <c r="Z13" s="738"/>
      <c r="AA13" s="823"/>
    </row>
    <row r="14" spans="1:27" ht="14.25">
      <c r="A14" s="735">
        <v>1.9</v>
      </c>
      <c r="B14" s="998" t="s">
        <v>3824</v>
      </c>
      <c r="C14" s="790"/>
      <c r="D14" s="738"/>
      <c r="E14" s="737"/>
      <c r="F14" s="738"/>
      <c r="G14" s="739"/>
      <c r="H14" s="738"/>
      <c r="I14" s="739"/>
      <c r="J14" s="738"/>
      <c r="K14" s="739"/>
      <c r="L14" s="738"/>
      <c r="M14" s="739"/>
      <c r="N14" s="738"/>
      <c r="O14" s="739"/>
      <c r="P14" s="738"/>
      <c r="Q14" s="739"/>
      <c r="R14" s="738"/>
      <c r="S14" s="739"/>
      <c r="T14" s="738"/>
      <c r="U14" s="713">
        <v>10</v>
      </c>
      <c r="V14" s="714">
        <v>4</v>
      </c>
      <c r="W14" s="739"/>
      <c r="X14" s="738"/>
      <c r="Y14" s="739"/>
      <c r="Z14" s="738"/>
      <c r="AA14" s="823"/>
    </row>
    <row r="15" spans="1:27" ht="14.25">
      <c r="A15" s="749" t="s">
        <v>2321</v>
      </c>
      <c r="B15" s="998" t="s">
        <v>3825</v>
      </c>
      <c r="C15" s="790"/>
      <c r="D15" s="738"/>
      <c r="E15" s="737"/>
      <c r="F15" s="738"/>
      <c r="G15" s="739"/>
      <c r="H15" s="738"/>
      <c r="I15" s="739"/>
      <c r="J15" s="738"/>
      <c r="K15" s="739"/>
      <c r="L15" s="738"/>
      <c r="M15" s="739"/>
      <c r="N15" s="738"/>
      <c r="O15" s="739"/>
      <c r="P15" s="738"/>
      <c r="Q15" s="739"/>
      <c r="R15" s="738"/>
      <c r="S15" s="739"/>
      <c r="T15" s="738"/>
      <c r="U15" s="713">
        <v>8</v>
      </c>
      <c r="V15" s="714">
        <v>3</v>
      </c>
      <c r="W15" s="739"/>
      <c r="X15" s="738"/>
      <c r="Y15" s="739"/>
      <c r="Z15" s="738"/>
      <c r="AA15" s="823"/>
    </row>
    <row r="16" spans="1:27" ht="14.25">
      <c r="A16" s="735">
        <v>1.1100000000000001</v>
      </c>
      <c r="B16" s="998" t="s">
        <v>3826</v>
      </c>
      <c r="C16" s="790"/>
      <c r="D16" s="738"/>
      <c r="E16" s="737"/>
      <c r="F16" s="738"/>
      <c r="G16" s="739"/>
      <c r="H16" s="738"/>
      <c r="I16" s="739"/>
      <c r="J16" s="738"/>
      <c r="K16" s="739"/>
      <c r="L16" s="738"/>
      <c r="M16" s="739"/>
      <c r="N16" s="738"/>
      <c r="O16" s="739"/>
      <c r="P16" s="738"/>
      <c r="Q16" s="739"/>
      <c r="R16" s="738"/>
      <c r="S16" s="739"/>
      <c r="T16" s="738"/>
      <c r="U16" s="713">
        <v>8</v>
      </c>
      <c r="V16" s="714">
        <v>3</v>
      </c>
      <c r="W16" s="739"/>
      <c r="X16" s="738"/>
      <c r="Y16" s="739"/>
      <c r="Z16" s="738"/>
      <c r="AA16" s="823"/>
    </row>
    <row r="17" spans="1:27" ht="14.25">
      <c r="A17" s="735">
        <v>1.1200000000000001</v>
      </c>
      <c r="B17" s="998" t="s">
        <v>3827</v>
      </c>
      <c r="C17" s="790"/>
      <c r="D17" s="738"/>
      <c r="E17" s="737"/>
      <c r="F17" s="738"/>
      <c r="G17" s="739"/>
      <c r="H17" s="738"/>
      <c r="I17" s="739"/>
      <c r="J17" s="738"/>
      <c r="K17" s="739"/>
      <c r="L17" s="738"/>
      <c r="M17" s="739"/>
      <c r="N17" s="738"/>
      <c r="O17" s="739"/>
      <c r="P17" s="738"/>
      <c r="Q17" s="739"/>
      <c r="R17" s="738"/>
      <c r="S17" s="739"/>
      <c r="T17" s="738"/>
      <c r="U17" s="713">
        <v>16</v>
      </c>
      <c r="V17" s="714">
        <v>5</v>
      </c>
      <c r="W17" s="739"/>
      <c r="X17" s="738"/>
      <c r="Y17" s="739"/>
      <c r="Z17" s="738"/>
      <c r="AA17" s="823">
        <v>50</v>
      </c>
    </row>
    <row r="18" spans="1:27" ht="14.25">
      <c r="A18" s="749" t="s">
        <v>3828</v>
      </c>
      <c r="B18" s="998" t="s">
        <v>3829</v>
      </c>
      <c r="C18" s="790"/>
      <c r="D18" s="738"/>
      <c r="E18" s="737"/>
      <c r="F18" s="738"/>
      <c r="G18" s="739"/>
      <c r="H18" s="738"/>
      <c r="I18" s="739"/>
      <c r="J18" s="738"/>
      <c r="K18" s="739"/>
      <c r="L18" s="738"/>
      <c r="M18" s="739"/>
      <c r="N18" s="738"/>
      <c r="O18" s="739"/>
      <c r="P18" s="738"/>
      <c r="Q18" s="739"/>
      <c r="R18" s="738"/>
      <c r="S18" s="739"/>
      <c r="T18" s="738"/>
      <c r="U18" s="713">
        <v>40</v>
      </c>
      <c r="V18" s="714">
        <v>10</v>
      </c>
      <c r="W18" s="739"/>
      <c r="X18" s="738"/>
      <c r="Y18" s="739"/>
      <c r="Z18" s="738"/>
      <c r="AA18" s="823"/>
    </row>
    <row r="19" spans="1:27" ht="14.25">
      <c r="A19" s="735">
        <v>1.1299999999999999</v>
      </c>
      <c r="B19" s="998" t="s">
        <v>3830</v>
      </c>
      <c r="C19" s="790"/>
      <c r="D19" s="738"/>
      <c r="E19" s="737"/>
      <c r="F19" s="738"/>
      <c r="G19" s="739"/>
      <c r="H19" s="738"/>
      <c r="I19" s="739"/>
      <c r="J19" s="738"/>
      <c r="K19" s="739"/>
      <c r="L19" s="738"/>
      <c r="M19" s="739"/>
      <c r="N19" s="738"/>
      <c r="O19" s="739"/>
      <c r="P19" s="738"/>
      <c r="Q19" s="739"/>
      <c r="R19" s="738"/>
      <c r="S19" s="739"/>
      <c r="T19" s="738"/>
      <c r="U19" s="713">
        <v>20</v>
      </c>
      <c r="V19" s="714">
        <v>5</v>
      </c>
      <c r="W19" s="739"/>
      <c r="X19" s="738"/>
      <c r="Y19" s="739"/>
      <c r="Z19" s="738"/>
      <c r="AA19" s="823"/>
    </row>
    <row r="20" spans="1:27" ht="14.25">
      <c r="A20" s="742">
        <v>2</v>
      </c>
      <c r="B20" s="999" t="s">
        <v>3831</v>
      </c>
      <c r="C20" s="790"/>
      <c r="D20" s="738"/>
      <c r="E20" s="737"/>
      <c r="F20" s="738"/>
      <c r="G20" s="739"/>
      <c r="H20" s="738"/>
      <c r="I20" s="739"/>
      <c r="J20" s="738"/>
      <c r="K20" s="739"/>
      <c r="L20" s="738"/>
      <c r="M20" s="739"/>
      <c r="N20" s="738"/>
      <c r="O20" s="739"/>
      <c r="P20" s="738"/>
      <c r="Q20" s="739"/>
      <c r="R20" s="738"/>
      <c r="S20" s="739"/>
      <c r="T20" s="738"/>
      <c r="U20" s="1000"/>
      <c r="V20" s="1001"/>
      <c r="W20" s="739"/>
      <c r="X20" s="738"/>
      <c r="Y20" s="739"/>
      <c r="Z20" s="738"/>
      <c r="AA20" s="1002"/>
    </row>
    <row r="21" spans="1:27" ht="14.25">
      <c r="A21" s="735">
        <v>2.1</v>
      </c>
      <c r="B21" s="998" t="s">
        <v>3832</v>
      </c>
      <c r="C21" s="794"/>
      <c r="D21" s="745"/>
      <c r="E21" s="744"/>
      <c r="F21" s="745"/>
      <c r="G21" s="746"/>
      <c r="H21" s="745"/>
      <c r="I21" s="746"/>
      <c r="J21" s="745"/>
      <c r="K21" s="746"/>
      <c r="L21" s="745"/>
      <c r="M21" s="746"/>
      <c r="N21" s="745"/>
      <c r="O21" s="746"/>
      <c r="P21" s="745"/>
      <c r="Q21" s="746"/>
      <c r="R21" s="745"/>
      <c r="S21" s="746"/>
      <c r="T21" s="745"/>
      <c r="U21" s="826"/>
      <c r="V21" s="827"/>
      <c r="W21" s="746"/>
      <c r="X21" s="745"/>
      <c r="Y21" s="746"/>
      <c r="Z21" s="745"/>
      <c r="AA21" s="828">
        <f>SUM(AA22:AA36)</f>
        <v>0</v>
      </c>
    </row>
    <row r="22" spans="1:27" ht="28.5">
      <c r="A22" s="735" t="s">
        <v>2499</v>
      </c>
      <c r="B22" s="1003" t="s">
        <v>3833</v>
      </c>
      <c r="C22" s="790"/>
      <c r="D22" s="738"/>
      <c r="E22" s="737"/>
      <c r="F22" s="738"/>
      <c r="G22" s="739"/>
      <c r="H22" s="738"/>
      <c r="I22" s="739"/>
      <c r="J22" s="738"/>
      <c r="K22" s="739"/>
      <c r="L22" s="738"/>
      <c r="M22" s="739"/>
      <c r="N22" s="738"/>
      <c r="O22" s="739"/>
      <c r="P22" s="738"/>
      <c r="Q22" s="739"/>
      <c r="R22" s="738"/>
      <c r="S22" s="739"/>
      <c r="T22" s="738"/>
      <c r="U22" s="713">
        <v>16</v>
      </c>
      <c r="V22" s="714">
        <v>3</v>
      </c>
      <c r="W22" s="739"/>
      <c r="X22" s="738"/>
      <c r="Y22" s="739"/>
      <c r="Z22" s="738"/>
      <c r="AA22" s="823"/>
    </row>
    <row r="23" spans="1:27" ht="14.25">
      <c r="A23" s="735" t="s">
        <v>2501</v>
      </c>
      <c r="B23" s="1003" t="s">
        <v>3834</v>
      </c>
      <c r="C23" s="790"/>
      <c r="D23" s="738"/>
      <c r="E23" s="737"/>
      <c r="F23" s="738"/>
      <c r="G23" s="739"/>
      <c r="H23" s="738"/>
      <c r="I23" s="739"/>
      <c r="J23" s="738"/>
      <c r="K23" s="739"/>
      <c r="L23" s="738"/>
      <c r="M23" s="739"/>
      <c r="N23" s="738"/>
      <c r="O23" s="739"/>
      <c r="P23" s="738"/>
      <c r="Q23" s="739"/>
      <c r="R23" s="738"/>
      <c r="S23" s="739"/>
      <c r="T23" s="738"/>
      <c r="U23" s="713">
        <v>24</v>
      </c>
      <c r="V23" s="714">
        <v>3</v>
      </c>
      <c r="W23" s="739"/>
      <c r="X23" s="738"/>
      <c r="Y23" s="739"/>
      <c r="Z23" s="738"/>
      <c r="AA23" s="823"/>
    </row>
    <row r="24" spans="1:27" ht="14.25">
      <c r="A24" s="735" t="s">
        <v>3835</v>
      </c>
      <c r="B24" s="1003" t="s">
        <v>3836</v>
      </c>
      <c r="C24" s="790"/>
      <c r="D24" s="738"/>
      <c r="E24" s="737"/>
      <c r="F24" s="738"/>
      <c r="G24" s="739"/>
      <c r="H24" s="738"/>
      <c r="I24" s="739"/>
      <c r="J24" s="738"/>
      <c r="K24" s="739"/>
      <c r="L24" s="738"/>
      <c r="M24" s="739"/>
      <c r="N24" s="738"/>
      <c r="O24" s="739"/>
      <c r="P24" s="738"/>
      <c r="Q24" s="739"/>
      <c r="R24" s="738"/>
      <c r="S24" s="739"/>
      <c r="T24" s="738"/>
      <c r="U24" s="713">
        <v>16</v>
      </c>
      <c r="V24" s="714">
        <v>3</v>
      </c>
      <c r="W24" s="739"/>
      <c r="X24" s="738"/>
      <c r="Y24" s="739"/>
      <c r="Z24" s="738"/>
      <c r="AA24" s="823"/>
    </row>
    <row r="25" spans="1:27" ht="14.25">
      <c r="A25" s="735" t="s">
        <v>3837</v>
      </c>
      <c r="B25" s="1003" t="s">
        <v>3838</v>
      </c>
      <c r="C25" s="790"/>
      <c r="D25" s="738"/>
      <c r="E25" s="737"/>
      <c r="F25" s="738"/>
      <c r="G25" s="739"/>
      <c r="H25" s="738"/>
      <c r="I25" s="739"/>
      <c r="J25" s="738"/>
      <c r="K25" s="739"/>
      <c r="L25" s="738"/>
      <c r="M25" s="739"/>
      <c r="N25" s="738"/>
      <c r="O25" s="739"/>
      <c r="P25" s="738"/>
      <c r="Q25" s="739"/>
      <c r="R25" s="738"/>
      <c r="S25" s="739"/>
      <c r="T25" s="738"/>
      <c r="U25" s="713">
        <v>24</v>
      </c>
      <c r="V25" s="714">
        <v>3</v>
      </c>
      <c r="W25" s="739"/>
      <c r="X25" s="738"/>
      <c r="Y25" s="739"/>
      <c r="Z25" s="738"/>
      <c r="AA25" s="823"/>
    </row>
    <row r="26" spans="1:27" ht="14.25">
      <c r="A26" s="735" t="s">
        <v>3839</v>
      </c>
      <c r="B26" s="1003" t="s">
        <v>3840</v>
      </c>
      <c r="C26" s="790"/>
      <c r="D26" s="738"/>
      <c r="E26" s="737"/>
      <c r="F26" s="738"/>
      <c r="G26" s="739"/>
      <c r="H26" s="738"/>
      <c r="I26" s="739"/>
      <c r="J26" s="738"/>
      <c r="K26" s="739"/>
      <c r="L26" s="738"/>
      <c r="M26" s="739"/>
      <c r="N26" s="738"/>
      <c r="O26" s="739"/>
      <c r="P26" s="738"/>
      <c r="Q26" s="739"/>
      <c r="R26" s="738"/>
      <c r="S26" s="739"/>
      <c r="T26" s="738"/>
      <c r="U26" s="713">
        <v>16</v>
      </c>
      <c r="V26" s="714">
        <v>3</v>
      </c>
      <c r="W26" s="739"/>
      <c r="X26" s="738"/>
      <c r="Y26" s="739"/>
      <c r="Z26" s="738"/>
      <c r="AA26" s="823"/>
    </row>
    <row r="27" spans="1:27" ht="14.25">
      <c r="A27" s="735" t="s">
        <v>3841</v>
      </c>
      <c r="B27" s="1003" t="s">
        <v>3842</v>
      </c>
      <c r="C27" s="790"/>
      <c r="D27" s="738"/>
      <c r="E27" s="737"/>
      <c r="F27" s="738"/>
      <c r="G27" s="739"/>
      <c r="H27" s="738"/>
      <c r="I27" s="739"/>
      <c r="J27" s="738"/>
      <c r="K27" s="739"/>
      <c r="L27" s="738"/>
      <c r="M27" s="739"/>
      <c r="N27" s="738"/>
      <c r="O27" s="739"/>
      <c r="P27" s="738"/>
      <c r="Q27" s="739"/>
      <c r="R27" s="738"/>
      <c r="S27" s="739"/>
      <c r="T27" s="738"/>
      <c r="U27" s="713">
        <v>16</v>
      </c>
      <c r="V27" s="714">
        <v>3</v>
      </c>
      <c r="W27" s="739"/>
      <c r="X27" s="738"/>
      <c r="Y27" s="739"/>
      <c r="Z27" s="738"/>
      <c r="AA27" s="823"/>
    </row>
    <row r="28" spans="1:27" ht="14.25">
      <c r="A28" s="735" t="s">
        <v>3843</v>
      </c>
      <c r="B28" s="1003" t="s">
        <v>3844</v>
      </c>
      <c r="C28" s="790"/>
      <c r="D28" s="738"/>
      <c r="E28" s="737"/>
      <c r="F28" s="738"/>
      <c r="G28" s="739"/>
      <c r="H28" s="738"/>
      <c r="I28" s="739"/>
      <c r="J28" s="738"/>
      <c r="K28" s="739"/>
      <c r="L28" s="738"/>
      <c r="M28" s="739"/>
      <c r="N28" s="738"/>
      <c r="O28" s="739"/>
      <c r="P28" s="738"/>
      <c r="Q28" s="739"/>
      <c r="R28" s="738"/>
      <c r="S28" s="739"/>
      <c r="T28" s="738"/>
      <c r="U28" s="713">
        <v>10</v>
      </c>
      <c r="V28" s="714">
        <v>3</v>
      </c>
      <c r="W28" s="739"/>
      <c r="X28" s="738"/>
      <c r="Y28" s="739"/>
      <c r="Z28" s="738"/>
      <c r="AA28" s="823"/>
    </row>
    <row r="29" spans="1:27" ht="14.25">
      <c r="A29" s="735" t="s">
        <v>3845</v>
      </c>
      <c r="B29" s="1003" t="s">
        <v>3846</v>
      </c>
      <c r="C29" s="790"/>
      <c r="D29" s="738"/>
      <c r="E29" s="737"/>
      <c r="F29" s="738"/>
      <c r="G29" s="739"/>
      <c r="H29" s="738"/>
      <c r="I29" s="739"/>
      <c r="J29" s="738"/>
      <c r="K29" s="739"/>
      <c r="L29" s="738"/>
      <c r="M29" s="739"/>
      <c r="N29" s="738"/>
      <c r="O29" s="739"/>
      <c r="P29" s="738"/>
      <c r="Q29" s="739"/>
      <c r="R29" s="738"/>
      <c r="S29" s="739"/>
      <c r="T29" s="738"/>
      <c r="U29" s="713">
        <v>16</v>
      </c>
      <c r="V29" s="714">
        <v>3</v>
      </c>
      <c r="W29" s="739"/>
      <c r="X29" s="738"/>
      <c r="Y29" s="739"/>
      <c r="Z29" s="738"/>
      <c r="AA29" s="823"/>
    </row>
    <row r="30" spans="1:27" ht="14.25">
      <c r="A30" s="735" t="s">
        <v>3847</v>
      </c>
      <c r="B30" s="1003" t="s">
        <v>3848</v>
      </c>
      <c r="C30" s="790"/>
      <c r="D30" s="738"/>
      <c r="E30" s="737"/>
      <c r="F30" s="738"/>
      <c r="G30" s="739"/>
      <c r="H30" s="738"/>
      <c r="I30" s="739"/>
      <c r="J30" s="738"/>
      <c r="K30" s="739"/>
      <c r="L30" s="738"/>
      <c r="M30" s="739"/>
      <c r="N30" s="738"/>
      <c r="O30" s="739"/>
      <c r="P30" s="738"/>
      <c r="Q30" s="739"/>
      <c r="R30" s="738"/>
      <c r="S30" s="739"/>
      <c r="T30" s="738"/>
      <c r="U30" s="713">
        <v>16</v>
      </c>
      <c r="V30" s="714">
        <v>3</v>
      </c>
      <c r="W30" s="739"/>
      <c r="X30" s="738"/>
      <c r="Y30" s="739"/>
      <c r="Z30" s="738"/>
      <c r="AA30" s="823"/>
    </row>
    <row r="31" spans="1:27" ht="14.25">
      <c r="A31" s="735" t="s">
        <v>3849</v>
      </c>
      <c r="B31" s="1003" t="s">
        <v>3850</v>
      </c>
      <c r="C31" s="790"/>
      <c r="D31" s="738"/>
      <c r="E31" s="737"/>
      <c r="F31" s="738"/>
      <c r="G31" s="739"/>
      <c r="H31" s="738"/>
      <c r="I31" s="739"/>
      <c r="J31" s="738"/>
      <c r="K31" s="739"/>
      <c r="L31" s="738"/>
      <c r="M31" s="739"/>
      <c r="N31" s="738"/>
      <c r="O31" s="739"/>
      <c r="P31" s="738"/>
      <c r="Q31" s="739"/>
      <c r="R31" s="738"/>
      <c r="S31" s="739"/>
      <c r="T31" s="738"/>
      <c r="U31" s="713">
        <v>16</v>
      </c>
      <c r="V31" s="714">
        <v>3</v>
      </c>
      <c r="W31" s="739"/>
      <c r="X31" s="738"/>
      <c r="Y31" s="739"/>
      <c r="Z31" s="738"/>
      <c r="AA31" s="823"/>
    </row>
    <row r="32" spans="1:27" ht="14.25">
      <c r="A32" s="735" t="s">
        <v>3851</v>
      </c>
      <c r="B32" s="1003" t="s">
        <v>3852</v>
      </c>
      <c r="C32" s="794"/>
      <c r="D32" s="745"/>
      <c r="E32" s="744"/>
      <c r="F32" s="745"/>
      <c r="G32" s="746"/>
      <c r="H32" s="745"/>
      <c r="I32" s="746"/>
      <c r="J32" s="745"/>
      <c r="K32" s="746"/>
      <c r="L32" s="745"/>
      <c r="M32" s="746"/>
      <c r="N32" s="745"/>
      <c r="O32" s="746"/>
      <c r="P32" s="745"/>
      <c r="Q32" s="746"/>
      <c r="R32" s="745"/>
      <c r="S32" s="746"/>
      <c r="T32" s="745"/>
      <c r="U32" s="713">
        <v>24</v>
      </c>
      <c r="V32" s="714">
        <v>3</v>
      </c>
      <c r="W32" s="746"/>
      <c r="X32" s="745"/>
      <c r="Y32" s="746"/>
      <c r="Z32" s="745"/>
      <c r="AA32" s="823"/>
    </row>
    <row r="33" spans="1:27" ht="28.5">
      <c r="A33" s="735" t="s">
        <v>3853</v>
      </c>
      <c r="B33" s="1003" t="s">
        <v>3854</v>
      </c>
      <c r="C33" s="790"/>
      <c r="D33" s="738"/>
      <c r="E33" s="737"/>
      <c r="F33" s="738"/>
      <c r="G33" s="739"/>
      <c r="H33" s="738"/>
      <c r="I33" s="739"/>
      <c r="J33" s="738"/>
      <c r="K33" s="739"/>
      <c r="L33" s="738"/>
      <c r="M33" s="739"/>
      <c r="N33" s="738"/>
      <c r="O33" s="739"/>
      <c r="P33" s="738"/>
      <c r="Q33" s="739"/>
      <c r="R33" s="738"/>
      <c r="S33" s="739"/>
      <c r="T33" s="738"/>
      <c r="U33" s="713">
        <v>10</v>
      </c>
      <c r="V33" s="714">
        <v>3</v>
      </c>
      <c r="W33" s="739"/>
      <c r="X33" s="738"/>
      <c r="Y33" s="739"/>
      <c r="Z33" s="738"/>
      <c r="AA33" s="823"/>
    </row>
    <row r="34" spans="1:27" ht="28.5">
      <c r="A34" s="735" t="s">
        <v>3855</v>
      </c>
      <c r="B34" s="1003" t="s">
        <v>3856</v>
      </c>
      <c r="C34" s="790"/>
      <c r="D34" s="738"/>
      <c r="E34" s="737"/>
      <c r="F34" s="738"/>
      <c r="G34" s="739"/>
      <c r="H34" s="738"/>
      <c r="I34" s="739"/>
      <c r="J34" s="738"/>
      <c r="K34" s="739"/>
      <c r="L34" s="738"/>
      <c r="M34" s="739"/>
      <c r="N34" s="738"/>
      <c r="O34" s="739"/>
      <c r="P34" s="738"/>
      <c r="Q34" s="739"/>
      <c r="R34" s="738"/>
      <c r="S34" s="739"/>
      <c r="T34" s="738"/>
      <c r="U34" s="713">
        <v>16</v>
      </c>
      <c r="V34" s="714">
        <v>3</v>
      </c>
      <c r="W34" s="739"/>
      <c r="X34" s="738"/>
      <c r="Y34" s="739"/>
      <c r="Z34" s="738"/>
      <c r="AA34" s="823"/>
    </row>
    <row r="35" spans="1:27" ht="14.25">
      <c r="A35" s="735" t="s">
        <v>3857</v>
      </c>
      <c r="B35" s="1003" t="s">
        <v>3858</v>
      </c>
      <c r="C35" s="790"/>
      <c r="D35" s="738"/>
      <c r="E35" s="737"/>
      <c r="F35" s="738"/>
      <c r="G35" s="739"/>
      <c r="H35" s="738"/>
      <c r="I35" s="739"/>
      <c r="J35" s="738"/>
      <c r="K35" s="739"/>
      <c r="L35" s="738"/>
      <c r="M35" s="739"/>
      <c r="N35" s="738"/>
      <c r="O35" s="739"/>
      <c r="P35" s="738"/>
      <c r="Q35" s="739"/>
      <c r="R35" s="738"/>
      <c r="S35" s="739"/>
      <c r="T35" s="738"/>
      <c r="U35" s="713">
        <v>16</v>
      </c>
      <c r="V35" s="714">
        <v>3</v>
      </c>
      <c r="W35" s="739"/>
      <c r="X35" s="738"/>
      <c r="Y35" s="739"/>
      <c r="Z35" s="738"/>
      <c r="AA35" s="823"/>
    </row>
    <row r="36" spans="1:27" ht="14.25">
      <c r="A36" s="735" t="s">
        <v>3859</v>
      </c>
      <c r="B36" s="1003" t="s">
        <v>3860</v>
      </c>
      <c r="C36" s="790"/>
      <c r="D36" s="738"/>
      <c r="E36" s="737"/>
      <c r="F36" s="738"/>
      <c r="G36" s="739"/>
      <c r="H36" s="738"/>
      <c r="I36" s="739"/>
      <c r="J36" s="738"/>
      <c r="K36" s="739"/>
      <c r="L36" s="738"/>
      <c r="M36" s="739"/>
      <c r="N36" s="738"/>
      <c r="O36" s="739"/>
      <c r="P36" s="738"/>
      <c r="Q36" s="739"/>
      <c r="R36" s="738"/>
      <c r="S36" s="739"/>
      <c r="T36" s="738"/>
      <c r="U36" s="713">
        <v>16</v>
      </c>
      <c r="V36" s="714">
        <v>3</v>
      </c>
      <c r="W36" s="739"/>
      <c r="X36" s="738"/>
      <c r="Y36" s="739"/>
      <c r="Z36" s="738"/>
      <c r="AA36" s="823"/>
    </row>
    <row r="37" spans="1:27" ht="14.25">
      <c r="A37" s="735">
        <v>2.2000000000000002</v>
      </c>
      <c r="B37" s="998" t="s">
        <v>3861</v>
      </c>
      <c r="C37" s="790"/>
      <c r="D37" s="738"/>
      <c r="E37" s="737"/>
      <c r="F37" s="738"/>
      <c r="G37" s="739"/>
      <c r="H37" s="738"/>
      <c r="I37" s="739"/>
      <c r="J37" s="738"/>
      <c r="K37" s="739"/>
      <c r="L37" s="738"/>
      <c r="M37" s="739"/>
      <c r="N37" s="738"/>
      <c r="O37" s="739"/>
      <c r="P37" s="738"/>
      <c r="Q37" s="739"/>
      <c r="R37" s="738"/>
      <c r="S37" s="739"/>
      <c r="T37" s="738"/>
      <c r="U37" s="826"/>
      <c r="V37" s="827"/>
      <c r="W37" s="739"/>
      <c r="X37" s="738"/>
      <c r="Y37" s="739"/>
      <c r="Z37" s="738"/>
      <c r="AA37" s="828">
        <f>SUM(AA38:AA51)</f>
        <v>0</v>
      </c>
    </row>
    <row r="38" spans="1:27" ht="14.25">
      <c r="A38" s="735" t="s">
        <v>3862</v>
      </c>
      <c r="B38" s="1003" t="s">
        <v>3863</v>
      </c>
      <c r="C38" s="790"/>
      <c r="D38" s="738"/>
      <c r="E38" s="737"/>
      <c r="F38" s="738"/>
      <c r="G38" s="739"/>
      <c r="H38" s="738"/>
      <c r="I38" s="739"/>
      <c r="J38" s="738"/>
      <c r="K38" s="739"/>
      <c r="L38" s="738"/>
      <c r="M38" s="739"/>
      <c r="N38" s="738"/>
      <c r="O38" s="739"/>
      <c r="P38" s="738"/>
      <c r="Q38" s="739"/>
      <c r="R38" s="738"/>
      <c r="S38" s="739"/>
      <c r="T38" s="738"/>
      <c r="U38" s="713">
        <v>16</v>
      </c>
      <c r="V38" s="714">
        <v>2</v>
      </c>
      <c r="W38" s="739"/>
      <c r="X38" s="738"/>
      <c r="Y38" s="739"/>
      <c r="Z38" s="738"/>
      <c r="AA38" s="823"/>
    </row>
    <row r="39" spans="1:27" ht="14.25">
      <c r="A39" s="735" t="s">
        <v>3864</v>
      </c>
      <c r="B39" s="1003" t="s">
        <v>3865</v>
      </c>
      <c r="C39" s="790"/>
      <c r="D39" s="738"/>
      <c r="E39" s="737"/>
      <c r="F39" s="738"/>
      <c r="G39" s="739"/>
      <c r="H39" s="738"/>
      <c r="I39" s="739"/>
      <c r="J39" s="738"/>
      <c r="K39" s="739"/>
      <c r="L39" s="738"/>
      <c r="M39" s="739"/>
      <c r="N39" s="738"/>
      <c r="O39" s="739"/>
      <c r="P39" s="738"/>
      <c r="Q39" s="739"/>
      <c r="R39" s="738"/>
      <c r="S39" s="739"/>
      <c r="T39" s="738"/>
      <c r="U39" s="713">
        <v>16</v>
      </c>
      <c r="V39" s="714">
        <v>2</v>
      </c>
      <c r="W39" s="739"/>
      <c r="X39" s="738"/>
      <c r="Y39" s="739"/>
      <c r="Z39" s="738"/>
      <c r="AA39" s="823"/>
    </row>
    <row r="40" spans="1:27" ht="14.25">
      <c r="A40" s="735" t="s">
        <v>3866</v>
      </c>
      <c r="B40" s="1003" t="s">
        <v>3867</v>
      </c>
      <c r="C40" s="790"/>
      <c r="D40" s="738"/>
      <c r="E40" s="737"/>
      <c r="F40" s="738"/>
      <c r="G40" s="739"/>
      <c r="H40" s="738"/>
      <c r="I40" s="739"/>
      <c r="J40" s="738"/>
      <c r="K40" s="739"/>
      <c r="L40" s="738"/>
      <c r="M40" s="739"/>
      <c r="N40" s="738"/>
      <c r="O40" s="739"/>
      <c r="P40" s="738"/>
      <c r="Q40" s="739"/>
      <c r="R40" s="738"/>
      <c r="S40" s="739"/>
      <c r="T40" s="738"/>
      <c r="U40" s="713">
        <v>10</v>
      </c>
      <c r="V40" s="714">
        <v>2</v>
      </c>
      <c r="W40" s="739"/>
      <c r="X40" s="738"/>
      <c r="Y40" s="739"/>
      <c r="Z40" s="738"/>
      <c r="AA40" s="823"/>
    </row>
    <row r="41" spans="1:27" ht="28.5">
      <c r="A41" s="735" t="s">
        <v>3868</v>
      </c>
      <c r="B41" s="1003" t="s">
        <v>3869</v>
      </c>
      <c r="C41" s="790"/>
      <c r="D41" s="738"/>
      <c r="E41" s="737"/>
      <c r="F41" s="738"/>
      <c r="G41" s="739"/>
      <c r="H41" s="738"/>
      <c r="I41" s="739"/>
      <c r="J41" s="738"/>
      <c r="K41" s="739"/>
      <c r="L41" s="738"/>
      <c r="M41" s="739"/>
      <c r="N41" s="738"/>
      <c r="O41" s="739"/>
      <c r="P41" s="738"/>
      <c r="Q41" s="739"/>
      <c r="R41" s="738"/>
      <c r="S41" s="739"/>
      <c r="T41" s="738"/>
      <c r="U41" s="713">
        <v>16</v>
      </c>
      <c r="V41" s="714">
        <v>2</v>
      </c>
      <c r="W41" s="739"/>
      <c r="X41" s="738"/>
      <c r="Y41" s="739"/>
      <c r="Z41" s="738"/>
      <c r="AA41" s="823"/>
    </row>
    <row r="42" spans="1:27" ht="28.5">
      <c r="A42" s="735" t="s">
        <v>3870</v>
      </c>
      <c r="B42" s="1003" t="s">
        <v>3871</v>
      </c>
      <c r="C42" s="794"/>
      <c r="D42" s="745"/>
      <c r="E42" s="744"/>
      <c r="F42" s="745"/>
      <c r="G42" s="746"/>
      <c r="H42" s="745"/>
      <c r="I42" s="746"/>
      <c r="J42" s="745"/>
      <c r="K42" s="746"/>
      <c r="L42" s="745"/>
      <c r="M42" s="746"/>
      <c r="N42" s="745"/>
      <c r="O42" s="746"/>
      <c r="P42" s="745"/>
      <c r="Q42" s="746"/>
      <c r="R42" s="745"/>
      <c r="S42" s="746"/>
      <c r="T42" s="745"/>
      <c r="U42" s="713">
        <v>10</v>
      </c>
      <c r="V42" s="714">
        <v>2</v>
      </c>
      <c r="W42" s="746"/>
      <c r="X42" s="745"/>
      <c r="Y42" s="746"/>
      <c r="Z42" s="745"/>
      <c r="AA42" s="823"/>
    </row>
    <row r="43" spans="1:27" ht="14.25">
      <c r="A43" s="735" t="s">
        <v>3872</v>
      </c>
      <c r="B43" s="1003" t="s">
        <v>3873</v>
      </c>
      <c r="C43" s="790"/>
      <c r="D43" s="738"/>
      <c r="E43" s="737"/>
      <c r="F43" s="738"/>
      <c r="G43" s="739"/>
      <c r="H43" s="738"/>
      <c r="I43" s="739"/>
      <c r="J43" s="738"/>
      <c r="K43" s="739"/>
      <c r="L43" s="738"/>
      <c r="M43" s="739"/>
      <c r="N43" s="738"/>
      <c r="O43" s="739"/>
      <c r="P43" s="738"/>
      <c r="Q43" s="739"/>
      <c r="R43" s="738"/>
      <c r="S43" s="739"/>
      <c r="T43" s="738"/>
      <c r="U43" s="713">
        <v>16</v>
      </c>
      <c r="V43" s="714">
        <v>2</v>
      </c>
      <c r="W43" s="739"/>
      <c r="X43" s="738"/>
      <c r="Y43" s="739"/>
      <c r="Z43" s="738"/>
      <c r="AA43" s="823"/>
    </row>
    <row r="44" spans="1:27" ht="14.25">
      <c r="A44" s="735" t="s">
        <v>3874</v>
      </c>
      <c r="B44" s="1003" t="s">
        <v>3875</v>
      </c>
      <c r="C44" s="790"/>
      <c r="D44" s="738"/>
      <c r="E44" s="737"/>
      <c r="F44" s="738"/>
      <c r="G44" s="739"/>
      <c r="H44" s="738"/>
      <c r="I44" s="739"/>
      <c r="J44" s="738"/>
      <c r="K44" s="739"/>
      <c r="L44" s="738"/>
      <c r="M44" s="739"/>
      <c r="N44" s="738"/>
      <c r="O44" s="739"/>
      <c r="P44" s="738"/>
      <c r="Q44" s="739"/>
      <c r="R44" s="738"/>
      <c r="S44" s="739"/>
      <c r="T44" s="738"/>
      <c r="U44" s="713">
        <v>16</v>
      </c>
      <c r="V44" s="714">
        <v>2</v>
      </c>
      <c r="W44" s="739"/>
      <c r="X44" s="738"/>
      <c r="Y44" s="739"/>
      <c r="Z44" s="738"/>
      <c r="AA44" s="823"/>
    </row>
    <row r="45" spans="1:27" ht="14.25">
      <c r="A45" s="735" t="s">
        <v>3876</v>
      </c>
      <c r="B45" s="1003" t="s">
        <v>3877</v>
      </c>
      <c r="C45" s="790"/>
      <c r="D45" s="738"/>
      <c r="E45" s="737"/>
      <c r="F45" s="738"/>
      <c r="G45" s="739"/>
      <c r="H45" s="738"/>
      <c r="I45" s="739"/>
      <c r="J45" s="738"/>
      <c r="K45" s="739"/>
      <c r="L45" s="738"/>
      <c r="M45" s="739"/>
      <c r="N45" s="738"/>
      <c r="O45" s="739"/>
      <c r="P45" s="738"/>
      <c r="Q45" s="739"/>
      <c r="R45" s="738"/>
      <c r="S45" s="739"/>
      <c r="T45" s="738"/>
      <c r="U45" s="713">
        <v>16</v>
      </c>
      <c r="V45" s="714">
        <v>2</v>
      </c>
      <c r="W45" s="739"/>
      <c r="X45" s="738"/>
      <c r="Y45" s="739"/>
      <c r="Z45" s="738"/>
      <c r="AA45" s="823"/>
    </row>
    <row r="46" spans="1:27" ht="14.25">
      <c r="A46" s="735" t="s">
        <v>3878</v>
      </c>
      <c r="B46" s="1003" t="s">
        <v>3879</v>
      </c>
      <c r="C46" s="790"/>
      <c r="D46" s="738"/>
      <c r="E46" s="737"/>
      <c r="F46" s="738"/>
      <c r="G46" s="739"/>
      <c r="H46" s="738"/>
      <c r="I46" s="739"/>
      <c r="J46" s="738"/>
      <c r="K46" s="739"/>
      <c r="L46" s="738"/>
      <c r="M46" s="739"/>
      <c r="N46" s="738"/>
      <c r="O46" s="739"/>
      <c r="P46" s="738"/>
      <c r="Q46" s="739"/>
      <c r="R46" s="738"/>
      <c r="S46" s="739"/>
      <c r="T46" s="738"/>
      <c r="U46" s="713">
        <v>16</v>
      </c>
      <c r="V46" s="714">
        <v>2</v>
      </c>
      <c r="W46" s="739"/>
      <c r="X46" s="738"/>
      <c r="Y46" s="739"/>
      <c r="Z46" s="738"/>
      <c r="AA46" s="823"/>
    </row>
    <row r="47" spans="1:27" ht="14.25">
      <c r="A47" s="735" t="s">
        <v>3880</v>
      </c>
      <c r="B47" s="1003" t="s">
        <v>3881</v>
      </c>
      <c r="C47" s="790"/>
      <c r="D47" s="738"/>
      <c r="E47" s="737"/>
      <c r="F47" s="738"/>
      <c r="G47" s="739"/>
      <c r="H47" s="738"/>
      <c r="I47" s="739"/>
      <c r="J47" s="738"/>
      <c r="K47" s="739"/>
      <c r="L47" s="738"/>
      <c r="M47" s="739"/>
      <c r="N47" s="738"/>
      <c r="O47" s="739"/>
      <c r="P47" s="738"/>
      <c r="Q47" s="739"/>
      <c r="R47" s="738"/>
      <c r="S47" s="739"/>
      <c r="T47" s="738"/>
      <c r="U47" s="713">
        <v>16</v>
      </c>
      <c r="V47" s="714">
        <v>2</v>
      </c>
      <c r="W47" s="739"/>
      <c r="X47" s="738"/>
      <c r="Y47" s="739"/>
      <c r="Z47" s="738"/>
      <c r="AA47" s="823"/>
    </row>
    <row r="48" spans="1:27" ht="14.25">
      <c r="A48" s="735" t="s">
        <v>3882</v>
      </c>
      <c r="B48" s="1003" t="s">
        <v>3883</v>
      </c>
      <c r="C48" s="790"/>
      <c r="D48" s="738"/>
      <c r="E48" s="737"/>
      <c r="F48" s="738"/>
      <c r="G48" s="739"/>
      <c r="H48" s="738"/>
      <c r="I48" s="739"/>
      <c r="J48" s="738"/>
      <c r="K48" s="739"/>
      <c r="L48" s="738"/>
      <c r="M48" s="739"/>
      <c r="N48" s="738"/>
      <c r="O48" s="739"/>
      <c r="P48" s="738"/>
      <c r="Q48" s="739"/>
      <c r="R48" s="738"/>
      <c r="S48" s="739"/>
      <c r="T48" s="738"/>
      <c r="U48" s="713">
        <v>10</v>
      </c>
      <c r="V48" s="714">
        <v>2</v>
      </c>
      <c r="W48" s="739"/>
      <c r="X48" s="738"/>
      <c r="Y48" s="739"/>
      <c r="Z48" s="738"/>
      <c r="AA48" s="823"/>
    </row>
    <row r="49" spans="1:27" ht="14.25">
      <c r="A49" s="735" t="s">
        <v>3884</v>
      </c>
      <c r="B49" s="1003" t="s">
        <v>3885</v>
      </c>
      <c r="C49" s="790"/>
      <c r="D49" s="738"/>
      <c r="E49" s="737"/>
      <c r="F49" s="738"/>
      <c r="G49" s="739"/>
      <c r="H49" s="738"/>
      <c r="I49" s="739"/>
      <c r="J49" s="738"/>
      <c r="K49" s="739"/>
      <c r="L49" s="738"/>
      <c r="M49" s="739"/>
      <c r="N49" s="738"/>
      <c r="O49" s="739"/>
      <c r="P49" s="738"/>
      <c r="Q49" s="739"/>
      <c r="R49" s="738"/>
      <c r="S49" s="739"/>
      <c r="T49" s="738"/>
      <c r="U49" s="713">
        <v>16</v>
      </c>
      <c r="V49" s="714">
        <v>2</v>
      </c>
      <c r="W49" s="739"/>
      <c r="X49" s="738"/>
      <c r="Y49" s="739"/>
      <c r="Z49" s="738"/>
      <c r="AA49" s="823"/>
    </row>
    <row r="50" spans="1:27" ht="14.25">
      <c r="A50" s="735" t="s">
        <v>3886</v>
      </c>
      <c r="B50" s="1003" t="s">
        <v>3887</v>
      </c>
      <c r="C50" s="790"/>
      <c r="D50" s="738"/>
      <c r="E50" s="737"/>
      <c r="F50" s="738"/>
      <c r="G50" s="739"/>
      <c r="H50" s="738"/>
      <c r="I50" s="739"/>
      <c r="J50" s="738"/>
      <c r="K50" s="739"/>
      <c r="L50" s="738"/>
      <c r="M50" s="739"/>
      <c r="N50" s="738"/>
      <c r="O50" s="739"/>
      <c r="P50" s="738"/>
      <c r="Q50" s="739"/>
      <c r="R50" s="738"/>
      <c r="S50" s="739"/>
      <c r="T50" s="738"/>
      <c r="U50" s="713">
        <v>16</v>
      </c>
      <c r="V50" s="714">
        <v>2</v>
      </c>
      <c r="W50" s="739"/>
      <c r="X50" s="738"/>
      <c r="Y50" s="739"/>
      <c r="Z50" s="738"/>
      <c r="AA50" s="823"/>
    </row>
    <row r="51" spans="1:27" ht="28.5">
      <c r="A51" s="735" t="s">
        <v>3888</v>
      </c>
      <c r="B51" s="1003" t="s">
        <v>3889</v>
      </c>
      <c r="C51" s="790"/>
      <c r="D51" s="738"/>
      <c r="E51" s="737"/>
      <c r="F51" s="738"/>
      <c r="G51" s="739"/>
      <c r="H51" s="738"/>
      <c r="I51" s="739"/>
      <c r="J51" s="738"/>
      <c r="K51" s="739"/>
      <c r="L51" s="738"/>
      <c r="M51" s="739"/>
      <c r="N51" s="738"/>
      <c r="O51" s="739"/>
      <c r="P51" s="738"/>
      <c r="Q51" s="739"/>
      <c r="R51" s="738"/>
      <c r="S51" s="739"/>
      <c r="T51" s="738"/>
      <c r="U51" s="713">
        <v>10</v>
      </c>
      <c r="V51" s="714">
        <v>2</v>
      </c>
      <c r="W51" s="739"/>
      <c r="X51" s="738"/>
      <c r="Y51" s="739"/>
      <c r="Z51" s="738"/>
      <c r="AA51" s="823"/>
    </row>
    <row r="52" spans="1:27" ht="14.25">
      <c r="A52" s="735">
        <v>2.2999999999999998</v>
      </c>
      <c r="B52" s="998" t="s">
        <v>3890</v>
      </c>
      <c r="C52" s="790"/>
      <c r="D52" s="738"/>
      <c r="E52" s="737"/>
      <c r="F52" s="738"/>
      <c r="G52" s="739"/>
      <c r="H52" s="738"/>
      <c r="I52" s="739"/>
      <c r="J52" s="738"/>
      <c r="K52" s="739"/>
      <c r="L52" s="738"/>
      <c r="M52" s="739"/>
      <c r="N52" s="738"/>
      <c r="O52" s="739"/>
      <c r="P52" s="738"/>
      <c r="Q52" s="739"/>
      <c r="R52" s="738"/>
      <c r="S52" s="739"/>
      <c r="T52" s="738"/>
      <c r="U52" s="713"/>
      <c r="V52" s="714"/>
      <c r="W52" s="739"/>
      <c r="X52" s="738"/>
      <c r="Y52" s="739"/>
      <c r="Z52" s="738"/>
      <c r="AA52" s="823"/>
    </row>
    <row r="53" spans="1:27" ht="14.25">
      <c r="A53" s="735" t="s">
        <v>2505</v>
      </c>
      <c r="B53" s="1004" t="s">
        <v>3891</v>
      </c>
      <c r="C53" s="790"/>
      <c r="D53" s="738"/>
      <c r="E53" s="737"/>
      <c r="F53" s="738"/>
      <c r="G53" s="739"/>
      <c r="H53" s="738"/>
      <c r="I53" s="739"/>
      <c r="J53" s="738"/>
      <c r="K53" s="739"/>
      <c r="L53" s="738"/>
      <c r="M53" s="739"/>
      <c r="N53" s="738"/>
      <c r="O53" s="739"/>
      <c r="P53" s="738"/>
      <c r="Q53" s="739"/>
      <c r="R53" s="738"/>
      <c r="S53" s="739"/>
      <c r="T53" s="738"/>
      <c r="U53" s="826">
        <f t="shared" ref="U53:V53" si="0">SUM(U54:U55)</f>
        <v>32</v>
      </c>
      <c r="V53" s="827">
        <f t="shared" si="0"/>
        <v>6</v>
      </c>
      <c r="W53" s="739"/>
      <c r="X53" s="738"/>
      <c r="Y53" s="739"/>
      <c r="Z53" s="738"/>
      <c r="AA53" s="828">
        <f>SUM(AA54:AA55)</f>
        <v>0</v>
      </c>
    </row>
    <row r="54" spans="1:27" ht="28.5">
      <c r="A54" s="735" t="s">
        <v>3892</v>
      </c>
      <c r="B54" s="1005" t="s">
        <v>3893</v>
      </c>
      <c r="C54" s="790"/>
      <c r="D54" s="738"/>
      <c r="E54" s="737"/>
      <c r="F54" s="738"/>
      <c r="G54" s="739"/>
      <c r="H54" s="738"/>
      <c r="I54" s="739"/>
      <c r="J54" s="738"/>
      <c r="K54" s="739"/>
      <c r="L54" s="738"/>
      <c r="M54" s="739"/>
      <c r="N54" s="738"/>
      <c r="O54" s="739"/>
      <c r="P54" s="738"/>
      <c r="Q54" s="739"/>
      <c r="R54" s="738"/>
      <c r="S54" s="739"/>
      <c r="T54" s="738"/>
      <c r="U54" s="713">
        <v>16</v>
      </c>
      <c r="V54" s="714">
        <v>3</v>
      </c>
      <c r="W54" s="739"/>
      <c r="X54" s="738"/>
      <c r="Y54" s="739"/>
      <c r="Z54" s="738"/>
      <c r="AA54" s="823"/>
    </row>
    <row r="55" spans="1:27" ht="28.5">
      <c r="A55" s="735" t="s">
        <v>3894</v>
      </c>
      <c r="B55" s="1005" t="s">
        <v>3895</v>
      </c>
      <c r="C55" s="790"/>
      <c r="D55" s="738"/>
      <c r="E55" s="737"/>
      <c r="F55" s="738"/>
      <c r="G55" s="739"/>
      <c r="H55" s="738"/>
      <c r="I55" s="739"/>
      <c r="J55" s="738"/>
      <c r="K55" s="739"/>
      <c r="L55" s="738"/>
      <c r="M55" s="739"/>
      <c r="N55" s="738"/>
      <c r="O55" s="739"/>
      <c r="P55" s="738"/>
      <c r="Q55" s="739"/>
      <c r="R55" s="738"/>
      <c r="S55" s="739"/>
      <c r="T55" s="738"/>
      <c r="U55" s="713">
        <v>16</v>
      </c>
      <c r="V55" s="714">
        <v>3</v>
      </c>
      <c r="W55" s="739"/>
      <c r="X55" s="738"/>
      <c r="Y55" s="739"/>
      <c r="Z55" s="738"/>
      <c r="AA55" s="823"/>
    </row>
    <row r="56" spans="1:27" ht="28.5">
      <c r="A56" s="1006" t="s">
        <v>2507</v>
      </c>
      <c r="B56" s="1004" t="s">
        <v>3896</v>
      </c>
      <c r="C56" s="790"/>
      <c r="D56" s="738"/>
      <c r="E56" s="737"/>
      <c r="F56" s="738"/>
      <c r="G56" s="739"/>
      <c r="H56" s="738"/>
      <c r="I56" s="739"/>
      <c r="J56" s="738"/>
      <c r="K56" s="739"/>
      <c r="L56" s="738"/>
      <c r="M56" s="739"/>
      <c r="N56" s="738"/>
      <c r="O56" s="739"/>
      <c r="P56" s="738"/>
      <c r="Q56" s="739"/>
      <c r="R56" s="738"/>
      <c r="S56" s="739"/>
      <c r="T56" s="738"/>
      <c r="U56" s="713">
        <v>32</v>
      </c>
      <c r="V56" s="714">
        <v>5</v>
      </c>
      <c r="W56" s="739"/>
      <c r="X56" s="738"/>
      <c r="Y56" s="739"/>
      <c r="Z56" s="738"/>
      <c r="AA56" s="823"/>
    </row>
    <row r="57" spans="1:27" ht="14.25">
      <c r="A57" s="1006" t="s">
        <v>3897</v>
      </c>
      <c r="B57" s="1004" t="s">
        <v>3898</v>
      </c>
      <c r="C57" s="790"/>
      <c r="D57" s="738"/>
      <c r="E57" s="737"/>
      <c r="F57" s="738"/>
      <c r="G57" s="739"/>
      <c r="H57" s="738"/>
      <c r="I57" s="739"/>
      <c r="J57" s="738"/>
      <c r="K57" s="739"/>
      <c r="L57" s="738"/>
      <c r="M57" s="739"/>
      <c r="N57" s="738"/>
      <c r="O57" s="739"/>
      <c r="P57" s="738"/>
      <c r="Q57" s="739"/>
      <c r="R57" s="738"/>
      <c r="S57" s="739"/>
      <c r="T57" s="738"/>
      <c r="U57" s="826">
        <f t="shared" ref="U57:V57" si="1">SUM(U58:U59)</f>
        <v>32</v>
      </c>
      <c r="V57" s="827">
        <f t="shared" si="1"/>
        <v>6</v>
      </c>
      <c r="W57" s="739"/>
      <c r="X57" s="738"/>
      <c r="Y57" s="739"/>
      <c r="Z57" s="738"/>
      <c r="AA57" s="828">
        <f>SUM(AA58:AA59)</f>
        <v>0</v>
      </c>
    </row>
    <row r="58" spans="1:27" ht="28.5">
      <c r="A58" s="1006" t="s">
        <v>3899</v>
      </c>
      <c r="B58" s="1005" t="s">
        <v>3900</v>
      </c>
      <c r="C58" s="790"/>
      <c r="D58" s="738"/>
      <c r="E58" s="737"/>
      <c r="F58" s="738"/>
      <c r="G58" s="739"/>
      <c r="H58" s="738"/>
      <c r="I58" s="739"/>
      <c r="J58" s="738"/>
      <c r="K58" s="739"/>
      <c r="L58" s="738"/>
      <c r="M58" s="739"/>
      <c r="N58" s="738"/>
      <c r="O58" s="739"/>
      <c r="P58" s="738"/>
      <c r="Q58" s="739"/>
      <c r="R58" s="738"/>
      <c r="S58" s="739"/>
      <c r="T58" s="738"/>
      <c r="U58" s="713">
        <v>16</v>
      </c>
      <c r="V58" s="714">
        <v>3</v>
      </c>
      <c r="W58" s="739"/>
      <c r="X58" s="738"/>
      <c r="Y58" s="739"/>
      <c r="Z58" s="738"/>
      <c r="AA58" s="823"/>
    </row>
    <row r="59" spans="1:27" ht="28.5">
      <c r="A59" s="1006" t="s">
        <v>3901</v>
      </c>
      <c r="B59" s="1005" t="s">
        <v>3902</v>
      </c>
      <c r="C59" s="790"/>
      <c r="D59" s="738"/>
      <c r="E59" s="737"/>
      <c r="F59" s="738"/>
      <c r="G59" s="739"/>
      <c r="H59" s="738"/>
      <c r="I59" s="739"/>
      <c r="J59" s="738"/>
      <c r="K59" s="739"/>
      <c r="L59" s="738"/>
      <c r="M59" s="739"/>
      <c r="N59" s="738"/>
      <c r="O59" s="739"/>
      <c r="P59" s="738"/>
      <c r="Q59" s="739"/>
      <c r="R59" s="738"/>
      <c r="S59" s="739"/>
      <c r="T59" s="738"/>
      <c r="U59" s="713">
        <v>16</v>
      </c>
      <c r="V59" s="714">
        <v>3</v>
      </c>
      <c r="W59" s="739"/>
      <c r="X59" s="738"/>
      <c r="Y59" s="739"/>
      <c r="Z59" s="738"/>
      <c r="AA59" s="823"/>
    </row>
    <row r="60" spans="1:27" ht="14.25">
      <c r="A60" s="1006" t="s">
        <v>3903</v>
      </c>
      <c r="B60" s="1004" t="s">
        <v>3904</v>
      </c>
      <c r="C60" s="790"/>
      <c r="D60" s="738"/>
      <c r="E60" s="737"/>
      <c r="F60" s="738"/>
      <c r="G60" s="739"/>
      <c r="H60" s="738"/>
      <c r="I60" s="739"/>
      <c r="J60" s="738"/>
      <c r="K60" s="739"/>
      <c r="L60" s="738"/>
      <c r="M60" s="739"/>
      <c r="N60" s="738"/>
      <c r="O60" s="739"/>
      <c r="P60" s="738"/>
      <c r="Q60" s="739"/>
      <c r="R60" s="738"/>
      <c r="S60" s="739"/>
      <c r="T60" s="738"/>
      <c r="U60" s="713">
        <v>24</v>
      </c>
      <c r="V60" s="714">
        <v>3</v>
      </c>
      <c r="W60" s="739"/>
      <c r="X60" s="738"/>
      <c r="Y60" s="739"/>
      <c r="Z60" s="738"/>
      <c r="AA60" s="823"/>
    </row>
    <row r="61" spans="1:27" ht="14.25">
      <c r="A61" s="1006" t="s">
        <v>3905</v>
      </c>
      <c r="B61" s="1004" t="s">
        <v>3906</v>
      </c>
      <c r="C61" s="790"/>
      <c r="D61" s="738"/>
      <c r="E61" s="737"/>
      <c r="F61" s="738"/>
      <c r="G61" s="739"/>
      <c r="H61" s="738"/>
      <c r="I61" s="739"/>
      <c r="J61" s="738"/>
      <c r="K61" s="739"/>
      <c r="L61" s="738"/>
      <c r="M61" s="739"/>
      <c r="N61" s="738"/>
      <c r="O61" s="739"/>
      <c r="P61" s="738"/>
      <c r="Q61" s="739"/>
      <c r="R61" s="738"/>
      <c r="S61" s="739"/>
      <c r="T61" s="738"/>
      <c r="U61" s="826">
        <f t="shared" ref="U61:V61" si="2">SUM(U62:U64)</f>
        <v>74</v>
      </c>
      <c r="V61" s="827">
        <f t="shared" si="2"/>
        <v>13</v>
      </c>
      <c r="W61" s="739"/>
      <c r="X61" s="738"/>
      <c r="Y61" s="739"/>
      <c r="Z61" s="738"/>
      <c r="AA61" s="828">
        <f>SUM(AA62:AA64)</f>
        <v>0</v>
      </c>
    </row>
    <row r="62" spans="1:27" ht="14.25">
      <c r="A62" s="1006" t="s">
        <v>3907</v>
      </c>
      <c r="B62" s="1005" t="s">
        <v>3908</v>
      </c>
      <c r="C62" s="790"/>
      <c r="D62" s="738"/>
      <c r="E62" s="737"/>
      <c r="F62" s="738"/>
      <c r="G62" s="739"/>
      <c r="H62" s="738"/>
      <c r="I62" s="739"/>
      <c r="J62" s="738"/>
      <c r="K62" s="739"/>
      <c r="L62" s="738"/>
      <c r="M62" s="739"/>
      <c r="N62" s="738"/>
      <c r="O62" s="739"/>
      <c r="P62" s="738"/>
      <c r="Q62" s="739"/>
      <c r="R62" s="738"/>
      <c r="S62" s="739"/>
      <c r="T62" s="738"/>
      <c r="U62" s="713">
        <v>32</v>
      </c>
      <c r="V62" s="714">
        <v>5</v>
      </c>
      <c r="W62" s="739"/>
      <c r="X62" s="738"/>
      <c r="Y62" s="739"/>
      <c r="Z62" s="738"/>
      <c r="AA62" s="823"/>
    </row>
    <row r="63" spans="1:27" ht="14.25">
      <c r="A63" s="1006" t="s">
        <v>3909</v>
      </c>
      <c r="B63" s="1005" t="s">
        <v>3910</v>
      </c>
      <c r="C63" s="790"/>
      <c r="D63" s="738"/>
      <c r="E63" s="737"/>
      <c r="F63" s="738"/>
      <c r="G63" s="739"/>
      <c r="H63" s="738"/>
      <c r="I63" s="739"/>
      <c r="J63" s="738"/>
      <c r="K63" s="739"/>
      <c r="L63" s="738"/>
      <c r="M63" s="739"/>
      <c r="N63" s="738"/>
      <c r="O63" s="739"/>
      <c r="P63" s="738"/>
      <c r="Q63" s="739"/>
      <c r="R63" s="738"/>
      <c r="S63" s="739"/>
      <c r="T63" s="738"/>
      <c r="U63" s="713">
        <v>10</v>
      </c>
      <c r="V63" s="714">
        <v>3</v>
      </c>
      <c r="W63" s="739"/>
      <c r="X63" s="738"/>
      <c r="Y63" s="739"/>
      <c r="Z63" s="738"/>
      <c r="AA63" s="823"/>
    </row>
    <row r="64" spans="1:27" ht="14.25">
      <c r="A64" s="1006" t="s">
        <v>3911</v>
      </c>
      <c r="B64" s="1005" t="s">
        <v>3912</v>
      </c>
      <c r="C64" s="790"/>
      <c r="D64" s="738"/>
      <c r="E64" s="737"/>
      <c r="F64" s="738"/>
      <c r="G64" s="739"/>
      <c r="H64" s="738"/>
      <c r="I64" s="739"/>
      <c r="J64" s="738"/>
      <c r="K64" s="739"/>
      <c r="L64" s="738"/>
      <c r="M64" s="739"/>
      <c r="N64" s="738"/>
      <c r="O64" s="739"/>
      <c r="P64" s="738"/>
      <c r="Q64" s="739"/>
      <c r="R64" s="738"/>
      <c r="S64" s="739"/>
      <c r="T64" s="738"/>
      <c r="U64" s="713">
        <v>32</v>
      </c>
      <c r="V64" s="714">
        <v>5</v>
      </c>
      <c r="W64" s="739"/>
      <c r="X64" s="738"/>
      <c r="Y64" s="739"/>
      <c r="Z64" s="738"/>
      <c r="AA64" s="823"/>
    </row>
    <row r="65" spans="1:27" ht="28.5">
      <c r="A65" s="1006" t="s">
        <v>3913</v>
      </c>
      <c r="B65" s="1004" t="s">
        <v>3914</v>
      </c>
      <c r="C65" s="790"/>
      <c r="D65" s="738"/>
      <c r="E65" s="737"/>
      <c r="F65" s="738"/>
      <c r="G65" s="739"/>
      <c r="H65" s="738"/>
      <c r="I65" s="739"/>
      <c r="J65" s="738"/>
      <c r="K65" s="739"/>
      <c r="L65" s="738"/>
      <c r="M65" s="739"/>
      <c r="N65" s="738"/>
      <c r="O65" s="739"/>
      <c r="P65" s="738"/>
      <c r="Q65" s="739"/>
      <c r="R65" s="738"/>
      <c r="S65" s="739"/>
      <c r="T65" s="738"/>
      <c r="U65" s="713">
        <v>32</v>
      </c>
      <c r="V65" s="714">
        <v>5</v>
      </c>
      <c r="W65" s="739"/>
      <c r="X65" s="738"/>
      <c r="Y65" s="739"/>
      <c r="Z65" s="738"/>
      <c r="AA65" s="823"/>
    </row>
    <row r="66" spans="1:27" ht="14.25">
      <c r="A66" s="1006" t="s">
        <v>3915</v>
      </c>
      <c r="B66" s="1004" t="s">
        <v>3916</v>
      </c>
      <c r="C66" s="790"/>
      <c r="D66" s="738"/>
      <c r="E66" s="737"/>
      <c r="F66" s="738"/>
      <c r="G66" s="739"/>
      <c r="H66" s="738"/>
      <c r="I66" s="739"/>
      <c r="J66" s="738"/>
      <c r="K66" s="739"/>
      <c r="L66" s="738"/>
      <c r="M66" s="739"/>
      <c r="N66" s="738"/>
      <c r="O66" s="739"/>
      <c r="P66" s="738"/>
      <c r="Q66" s="739"/>
      <c r="R66" s="738"/>
      <c r="S66" s="739"/>
      <c r="T66" s="738"/>
      <c r="U66" s="826">
        <f t="shared" ref="U66:V66" si="3">SUM(U67:U68)</f>
        <v>40</v>
      </c>
      <c r="V66" s="827">
        <f t="shared" si="3"/>
        <v>6</v>
      </c>
      <c r="W66" s="739"/>
      <c r="X66" s="738"/>
      <c r="Y66" s="739"/>
      <c r="Z66" s="738"/>
      <c r="AA66" s="828">
        <f>SUM(AA67:AA68)</f>
        <v>0</v>
      </c>
    </row>
    <row r="67" spans="1:27" ht="14.25">
      <c r="A67" s="1006" t="s">
        <v>3917</v>
      </c>
      <c r="B67" s="1005" t="s">
        <v>3918</v>
      </c>
      <c r="C67" s="790"/>
      <c r="D67" s="738"/>
      <c r="E67" s="737"/>
      <c r="F67" s="738"/>
      <c r="G67" s="739"/>
      <c r="H67" s="738"/>
      <c r="I67" s="739"/>
      <c r="J67" s="738"/>
      <c r="K67" s="739"/>
      <c r="L67" s="738"/>
      <c r="M67" s="739"/>
      <c r="N67" s="738"/>
      <c r="O67" s="739"/>
      <c r="P67" s="738"/>
      <c r="Q67" s="739"/>
      <c r="R67" s="738"/>
      <c r="S67" s="739"/>
      <c r="T67" s="738"/>
      <c r="U67" s="713">
        <v>16</v>
      </c>
      <c r="V67" s="714">
        <v>3</v>
      </c>
      <c r="W67" s="739"/>
      <c r="X67" s="738"/>
      <c r="Y67" s="739"/>
      <c r="Z67" s="738"/>
      <c r="AA67" s="823"/>
    </row>
    <row r="68" spans="1:27" ht="14.25">
      <c r="A68" s="1006" t="s">
        <v>3919</v>
      </c>
      <c r="B68" s="1005" t="s">
        <v>3920</v>
      </c>
      <c r="C68" s="790"/>
      <c r="D68" s="738"/>
      <c r="E68" s="737"/>
      <c r="F68" s="738"/>
      <c r="G68" s="739"/>
      <c r="H68" s="738"/>
      <c r="I68" s="739"/>
      <c r="J68" s="738"/>
      <c r="K68" s="739"/>
      <c r="L68" s="738"/>
      <c r="M68" s="739"/>
      <c r="N68" s="738"/>
      <c r="O68" s="739"/>
      <c r="P68" s="738"/>
      <c r="Q68" s="739"/>
      <c r="R68" s="738"/>
      <c r="S68" s="739"/>
      <c r="T68" s="738"/>
      <c r="U68" s="713">
        <v>24</v>
      </c>
      <c r="V68" s="714">
        <v>3</v>
      </c>
      <c r="W68" s="739"/>
      <c r="X68" s="738"/>
      <c r="Y68" s="739"/>
      <c r="Z68" s="738"/>
      <c r="AA68" s="823"/>
    </row>
    <row r="69" spans="1:27" ht="14.25">
      <c r="A69" s="1006" t="s">
        <v>3921</v>
      </c>
      <c r="B69" s="1004" t="s">
        <v>3922</v>
      </c>
      <c r="C69" s="790"/>
      <c r="D69" s="738"/>
      <c r="E69" s="737"/>
      <c r="F69" s="738"/>
      <c r="G69" s="739"/>
      <c r="H69" s="738"/>
      <c r="I69" s="739"/>
      <c r="J69" s="738"/>
      <c r="K69" s="739"/>
      <c r="L69" s="738"/>
      <c r="M69" s="739"/>
      <c r="N69" s="738"/>
      <c r="O69" s="739"/>
      <c r="P69" s="738"/>
      <c r="Q69" s="739"/>
      <c r="R69" s="738"/>
      <c r="S69" s="739"/>
      <c r="T69" s="738"/>
      <c r="U69" s="826">
        <f t="shared" ref="U69:V69" si="4">SUM(U70:U77)</f>
        <v>96</v>
      </c>
      <c r="V69" s="827">
        <f t="shared" si="4"/>
        <v>16</v>
      </c>
      <c r="W69" s="739"/>
      <c r="X69" s="738"/>
      <c r="Y69" s="739"/>
      <c r="Z69" s="738"/>
      <c r="AA69" s="828">
        <f>SUM(AA70:AA77)</f>
        <v>0</v>
      </c>
    </row>
    <row r="70" spans="1:27" ht="14.25">
      <c r="A70" s="1006" t="s">
        <v>3923</v>
      </c>
      <c r="B70" s="998" t="s">
        <v>3924</v>
      </c>
      <c r="C70" s="790"/>
      <c r="D70" s="738"/>
      <c r="E70" s="737"/>
      <c r="F70" s="738"/>
      <c r="G70" s="739"/>
      <c r="H70" s="738"/>
      <c r="I70" s="739"/>
      <c r="J70" s="738"/>
      <c r="K70" s="739"/>
      <c r="L70" s="738"/>
      <c r="M70" s="739"/>
      <c r="N70" s="738"/>
      <c r="O70" s="739"/>
      <c r="P70" s="738"/>
      <c r="Q70" s="739"/>
      <c r="R70" s="738"/>
      <c r="S70" s="739"/>
      <c r="T70" s="738"/>
      <c r="U70" s="713">
        <v>12</v>
      </c>
      <c r="V70" s="714">
        <v>2</v>
      </c>
      <c r="W70" s="739"/>
      <c r="X70" s="738"/>
      <c r="Y70" s="739"/>
      <c r="Z70" s="738"/>
      <c r="AA70" s="823"/>
    </row>
    <row r="71" spans="1:27" ht="28.5">
      <c r="A71" s="1006" t="s">
        <v>3925</v>
      </c>
      <c r="B71" s="998" t="s">
        <v>3926</v>
      </c>
      <c r="C71" s="790"/>
      <c r="D71" s="738"/>
      <c r="E71" s="737"/>
      <c r="F71" s="738"/>
      <c r="G71" s="739"/>
      <c r="H71" s="738"/>
      <c r="I71" s="739"/>
      <c r="J71" s="738"/>
      <c r="K71" s="739"/>
      <c r="L71" s="738"/>
      <c r="M71" s="739"/>
      <c r="N71" s="738"/>
      <c r="O71" s="739"/>
      <c r="P71" s="738"/>
      <c r="Q71" s="739"/>
      <c r="R71" s="738"/>
      <c r="S71" s="739"/>
      <c r="T71" s="738"/>
      <c r="U71" s="713">
        <v>12</v>
      </c>
      <c r="V71" s="714">
        <v>2</v>
      </c>
      <c r="W71" s="739"/>
      <c r="X71" s="738"/>
      <c r="Y71" s="739"/>
      <c r="Z71" s="738"/>
      <c r="AA71" s="823"/>
    </row>
    <row r="72" spans="1:27" ht="28.5">
      <c r="A72" s="1006" t="s">
        <v>3927</v>
      </c>
      <c r="B72" s="998" t="s">
        <v>3928</v>
      </c>
      <c r="C72" s="853"/>
      <c r="D72" s="738"/>
      <c r="E72" s="750"/>
      <c r="F72" s="738"/>
      <c r="G72" s="751"/>
      <c r="H72" s="738"/>
      <c r="I72" s="751"/>
      <c r="J72" s="738"/>
      <c r="K72" s="751"/>
      <c r="L72" s="738"/>
      <c r="M72" s="751"/>
      <c r="N72" s="738"/>
      <c r="O72" s="751"/>
      <c r="P72" s="738"/>
      <c r="Q72" s="751"/>
      <c r="R72" s="738"/>
      <c r="S72" s="751"/>
      <c r="T72" s="738"/>
      <c r="U72" s="713">
        <v>12</v>
      </c>
      <c r="V72" s="714">
        <v>2</v>
      </c>
      <c r="W72" s="751"/>
      <c r="X72" s="738"/>
      <c r="Y72" s="751"/>
      <c r="Z72" s="738"/>
      <c r="AA72" s="823"/>
    </row>
    <row r="73" spans="1:27" ht="28.5">
      <c r="A73" s="1006" t="s">
        <v>3929</v>
      </c>
      <c r="B73" s="998" t="s">
        <v>3930</v>
      </c>
      <c r="C73" s="855"/>
      <c r="D73" s="754"/>
      <c r="E73" s="753"/>
      <c r="F73" s="754"/>
      <c r="G73" s="755"/>
      <c r="H73" s="754"/>
      <c r="I73" s="755"/>
      <c r="J73" s="754"/>
      <c r="K73" s="755"/>
      <c r="L73" s="754"/>
      <c r="M73" s="755"/>
      <c r="N73" s="754"/>
      <c r="O73" s="755"/>
      <c r="P73" s="754"/>
      <c r="Q73" s="755"/>
      <c r="R73" s="754"/>
      <c r="S73" s="755"/>
      <c r="T73" s="754"/>
      <c r="U73" s="713">
        <v>12</v>
      </c>
      <c r="V73" s="714">
        <v>2</v>
      </c>
      <c r="W73" s="755"/>
      <c r="X73" s="754"/>
      <c r="Y73" s="755"/>
      <c r="Z73" s="754"/>
      <c r="AA73" s="823"/>
    </row>
    <row r="74" spans="1:27" ht="28.5">
      <c r="A74" s="1006" t="s">
        <v>3931</v>
      </c>
      <c r="B74" s="998" t="s">
        <v>3932</v>
      </c>
      <c r="C74" s="790"/>
      <c r="D74" s="738"/>
      <c r="E74" s="737"/>
      <c r="F74" s="738"/>
      <c r="G74" s="739"/>
      <c r="H74" s="738"/>
      <c r="I74" s="739"/>
      <c r="J74" s="738"/>
      <c r="K74" s="739"/>
      <c r="L74" s="738"/>
      <c r="M74" s="739"/>
      <c r="N74" s="738"/>
      <c r="O74" s="739"/>
      <c r="P74" s="738"/>
      <c r="Q74" s="739"/>
      <c r="R74" s="738"/>
      <c r="S74" s="739"/>
      <c r="T74" s="738"/>
      <c r="U74" s="713">
        <v>12</v>
      </c>
      <c r="V74" s="714">
        <v>2</v>
      </c>
      <c r="W74" s="739"/>
      <c r="X74" s="738"/>
      <c r="Y74" s="739"/>
      <c r="Z74" s="738"/>
      <c r="AA74" s="823"/>
    </row>
    <row r="75" spans="1:27" ht="14.25">
      <c r="A75" s="1006" t="s">
        <v>3933</v>
      </c>
      <c r="B75" s="998" t="s">
        <v>3934</v>
      </c>
      <c r="C75" s="790"/>
      <c r="D75" s="738"/>
      <c r="E75" s="737"/>
      <c r="F75" s="738"/>
      <c r="G75" s="739"/>
      <c r="H75" s="738"/>
      <c r="I75" s="739"/>
      <c r="J75" s="738"/>
      <c r="K75" s="739"/>
      <c r="L75" s="738"/>
      <c r="M75" s="739"/>
      <c r="N75" s="738"/>
      <c r="O75" s="739"/>
      <c r="P75" s="738"/>
      <c r="Q75" s="739"/>
      <c r="R75" s="738"/>
      <c r="S75" s="739"/>
      <c r="T75" s="738"/>
      <c r="U75" s="713">
        <v>12</v>
      </c>
      <c r="V75" s="714">
        <v>2</v>
      </c>
      <c r="W75" s="739"/>
      <c r="X75" s="738"/>
      <c r="Y75" s="739"/>
      <c r="Z75" s="738"/>
      <c r="AA75" s="823"/>
    </row>
    <row r="76" spans="1:27" ht="28.5">
      <c r="A76" s="1006" t="s">
        <v>3935</v>
      </c>
      <c r="B76" s="998" t="s">
        <v>3936</v>
      </c>
      <c r="C76" s="790"/>
      <c r="D76" s="738"/>
      <c r="E76" s="737"/>
      <c r="F76" s="738"/>
      <c r="G76" s="739"/>
      <c r="H76" s="738"/>
      <c r="I76" s="739"/>
      <c r="J76" s="738"/>
      <c r="K76" s="739"/>
      <c r="L76" s="738"/>
      <c r="M76" s="739"/>
      <c r="N76" s="738"/>
      <c r="O76" s="739"/>
      <c r="P76" s="738"/>
      <c r="Q76" s="739"/>
      <c r="R76" s="738"/>
      <c r="S76" s="739"/>
      <c r="T76" s="738"/>
      <c r="U76" s="713">
        <v>12</v>
      </c>
      <c r="V76" s="714">
        <v>2</v>
      </c>
      <c r="W76" s="739"/>
      <c r="X76" s="738"/>
      <c r="Y76" s="739"/>
      <c r="Z76" s="738"/>
      <c r="AA76" s="823"/>
    </row>
    <row r="77" spans="1:27" ht="28.5">
      <c r="A77" s="1006" t="s">
        <v>3937</v>
      </c>
      <c r="B77" s="998" t="s">
        <v>3938</v>
      </c>
      <c r="C77" s="790"/>
      <c r="D77" s="738"/>
      <c r="E77" s="737"/>
      <c r="F77" s="738"/>
      <c r="G77" s="739"/>
      <c r="H77" s="738"/>
      <c r="I77" s="739"/>
      <c r="J77" s="738"/>
      <c r="K77" s="739"/>
      <c r="L77" s="738"/>
      <c r="M77" s="739"/>
      <c r="N77" s="738"/>
      <c r="O77" s="739"/>
      <c r="P77" s="738"/>
      <c r="Q77" s="739"/>
      <c r="R77" s="738"/>
      <c r="S77" s="739"/>
      <c r="T77" s="738"/>
      <c r="U77" s="713">
        <v>12</v>
      </c>
      <c r="V77" s="714">
        <v>2</v>
      </c>
      <c r="W77" s="739"/>
      <c r="X77" s="738"/>
      <c r="Y77" s="739"/>
      <c r="Z77" s="738"/>
      <c r="AA77" s="823"/>
    </row>
    <row r="78" spans="1:27" ht="14.25">
      <c r="A78" s="735">
        <v>2.4</v>
      </c>
      <c r="B78" s="998" t="s">
        <v>3939</v>
      </c>
      <c r="C78" s="790"/>
      <c r="D78" s="738"/>
      <c r="E78" s="737"/>
      <c r="F78" s="738"/>
      <c r="G78" s="739"/>
      <c r="H78" s="738"/>
      <c r="I78" s="739"/>
      <c r="J78" s="738"/>
      <c r="K78" s="739"/>
      <c r="L78" s="738"/>
      <c r="M78" s="739"/>
      <c r="N78" s="738"/>
      <c r="O78" s="739"/>
      <c r="P78" s="738"/>
      <c r="Q78" s="739"/>
      <c r="R78" s="738"/>
      <c r="S78" s="739"/>
      <c r="T78" s="738"/>
      <c r="U78" s="826"/>
      <c r="V78" s="827"/>
      <c r="W78" s="739"/>
      <c r="X78" s="738"/>
      <c r="Y78" s="739"/>
      <c r="Z78" s="738"/>
      <c r="AA78" s="828">
        <f>SUM(AA79:AA100)</f>
        <v>0</v>
      </c>
    </row>
    <row r="79" spans="1:27" ht="14.25">
      <c r="A79" s="1006" t="s">
        <v>3940</v>
      </c>
      <c r="B79" s="1004" t="s">
        <v>3941</v>
      </c>
      <c r="C79" s="790"/>
      <c r="D79" s="738"/>
      <c r="E79" s="737"/>
      <c r="F79" s="738"/>
      <c r="G79" s="739"/>
      <c r="H79" s="738"/>
      <c r="I79" s="739"/>
      <c r="J79" s="738"/>
      <c r="K79" s="739"/>
      <c r="L79" s="738"/>
      <c r="M79" s="739"/>
      <c r="N79" s="738"/>
      <c r="O79" s="739"/>
      <c r="P79" s="738"/>
      <c r="Q79" s="739"/>
      <c r="R79" s="738"/>
      <c r="S79" s="739"/>
      <c r="T79" s="738"/>
      <c r="U79" s="713">
        <v>30</v>
      </c>
      <c r="V79" s="714">
        <v>5</v>
      </c>
      <c r="W79" s="739"/>
      <c r="X79" s="738"/>
      <c r="Y79" s="739"/>
      <c r="Z79" s="738"/>
      <c r="AA79" s="823"/>
    </row>
    <row r="80" spans="1:27" ht="14.25">
      <c r="A80" s="1006" t="s">
        <v>3942</v>
      </c>
      <c r="B80" s="1004" t="s">
        <v>3943</v>
      </c>
      <c r="C80" s="790"/>
      <c r="D80" s="738"/>
      <c r="E80" s="737"/>
      <c r="F80" s="738"/>
      <c r="G80" s="739"/>
      <c r="H80" s="738"/>
      <c r="I80" s="739"/>
      <c r="J80" s="738"/>
      <c r="K80" s="739"/>
      <c r="L80" s="738"/>
      <c r="M80" s="739"/>
      <c r="N80" s="738"/>
      <c r="O80" s="739"/>
      <c r="P80" s="738"/>
      <c r="Q80" s="739"/>
      <c r="R80" s="738"/>
      <c r="S80" s="739"/>
      <c r="T80" s="738"/>
      <c r="U80" s="713">
        <v>30</v>
      </c>
      <c r="V80" s="714">
        <v>5</v>
      </c>
      <c r="W80" s="739"/>
      <c r="X80" s="738"/>
      <c r="Y80" s="739"/>
      <c r="Z80" s="738"/>
      <c r="AA80" s="823"/>
    </row>
    <row r="81" spans="1:27" ht="28.5">
      <c r="A81" s="1006" t="s">
        <v>3944</v>
      </c>
      <c r="B81" s="1004" t="s">
        <v>3945</v>
      </c>
      <c r="C81" s="790"/>
      <c r="D81" s="738"/>
      <c r="E81" s="737"/>
      <c r="F81" s="738"/>
      <c r="G81" s="739"/>
      <c r="H81" s="738"/>
      <c r="I81" s="739"/>
      <c r="J81" s="738"/>
      <c r="K81" s="739"/>
      <c r="L81" s="738"/>
      <c r="M81" s="739"/>
      <c r="N81" s="738"/>
      <c r="O81" s="739"/>
      <c r="P81" s="738"/>
      <c r="Q81" s="739"/>
      <c r="R81" s="738"/>
      <c r="S81" s="739"/>
      <c r="T81" s="738"/>
      <c r="U81" s="713">
        <v>30</v>
      </c>
      <c r="V81" s="714">
        <v>5</v>
      </c>
      <c r="W81" s="739"/>
      <c r="X81" s="738"/>
      <c r="Y81" s="739"/>
      <c r="Z81" s="738"/>
      <c r="AA81" s="823"/>
    </row>
    <row r="82" spans="1:27" ht="14.25">
      <c r="A82" s="1006" t="s">
        <v>3946</v>
      </c>
      <c r="B82" s="1004" t="s">
        <v>3947</v>
      </c>
      <c r="C82" s="790"/>
      <c r="D82" s="738"/>
      <c r="E82" s="737"/>
      <c r="F82" s="738"/>
      <c r="G82" s="739"/>
      <c r="H82" s="738"/>
      <c r="I82" s="739"/>
      <c r="J82" s="738"/>
      <c r="K82" s="739"/>
      <c r="L82" s="738"/>
      <c r="M82" s="739"/>
      <c r="N82" s="738"/>
      <c r="O82" s="739"/>
      <c r="P82" s="738"/>
      <c r="Q82" s="739"/>
      <c r="R82" s="738"/>
      <c r="S82" s="739"/>
      <c r="T82" s="738"/>
      <c r="U82" s="713">
        <v>20</v>
      </c>
      <c r="V82" s="714">
        <v>4</v>
      </c>
      <c r="W82" s="739"/>
      <c r="X82" s="738"/>
      <c r="Y82" s="739"/>
      <c r="Z82" s="738"/>
      <c r="AA82" s="823"/>
    </row>
    <row r="83" spans="1:27" ht="14.25">
      <c r="A83" s="1006" t="s">
        <v>3948</v>
      </c>
      <c r="B83" s="1004" t="s">
        <v>3949</v>
      </c>
      <c r="C83" s="790"/>
      <c r="D83" s="738"/>
      <c r="E83" s="737"/>
      <c r="F83" s="738"/>
      <c r="G83" s="739"/>
      <c r="H83" s="738"/>
      <c r="I83" s="739"/>
      <c r="J83" s="738"/>
      <c r="K83" s="739"/>
      <c r="L83" s="738"/>
      <c r="M83" s="739"/>
      <c r="N83" s="738"/>
      <c r="O83" s="739"/>
      <c r="P83" s="738"/>
      <c r="Q83" s="739"/>
      <c r="R83" s="738"/>
      <c r="S83" s="739"/>
      <c r="T83" s="738"/>
      <c r="U83" s="713">
        <v>20</v>
      </c>
      <c r="V83" s="714">
        <v>4</v>
      </c>
      <c r="W83" s="739"/>
      <c r="X83" s="738"/>
      <c r="Y83" s="739"/>
      <c r="Z83" s="738"/>
      <c r="AA83" s="823"/>
    </row>
    <row r="84" spans="1:27" ht="14.25">
      <c r="A84" s="1006" t="s">
        <v>3950</v>
      </c>
      <c r="B84" s="1004" t="s">
        <v>3951</v>
      </c>
      <c r="C84" s="790"/>
      <c r="D84" s="738"/>
      <c r="E84" s="737"/>
      <c r="F84" s="738"/>
      <c r="G84" s="739"/>
      <c r="H84" s="738"/>
      <c r="I84" s="739"/>
      <c r="J84" s="738"/>
      <c r="K84" s="739"/>
      <c r="L84" s="738"/>
      <c r="M84" s="739"/>
      <c r="N84" s="738"/>
      <c r="O84" s="739"/>
      <c r="P84" s="738"/>
      <c r="Q84" s="739"/>
      <c r="R84" s="738"/>
      <c r="S84" s="739"/>
      <c r="T84" s="738"/>
      <c r="U84" s="713">
        <v>20</v>
      </c>
      <c r="V84" s="714">
        <v>4</v>
      </c>
      <c r="W84" s="739"/>
      <c r="X84" s="738"/>
      <c r="Y84" s="739"/>
      <c r="Z84" s="738"/>
      <c r="AA84" s="823"/>
    </row>
    <row r="85" spans="1:27" ht="28.5">
      <c r="A85" s="1006" t="s">
        <v>3952</v>
      </c>
      <c r="B85" s="1004" t="s">
        <v>3953</v>
      </c>
      <c r="C85" s="790"/>
      <c r="D85" s="738"/>
      <c r="E85" s="737"/>
      <c r="F85" s="738"/>
      <c r="G85" s="739"/>
      <c r="H85" s="738"/>
      <c r="I85" s="739"/>
      <c r="J85" s="738"/>
      <c r="K85" s="739"/>
      <c r="L85" s="738"/>
      <c r="M85" s="739"/>
      <c r="N85" s="738"/>
      <c r="O85" s="739"/>
      <c r="P85" s="738"/>
      <c r="Q85" s="739"/>
      <c r="R85" s="738"/>
      <c r="S85" s="739"/>
      <c r="T85" s="738"/>
      <c r="U85" s="713">
        <v>20</v>
      </c>
      <c r="V85" s="714">
        <v>4</v>
      </c>
      <c r="W85" s="739"/>
      <c r="X85" s="738"/>
      <c r="Y85" s="739"/>
      <c r="Z85" s="738"/>
      <c r="AA85" s="823"/>
    </row>
    <row r="86" spans="1:27" ht="28.5">
      <c r="A86" s="1006" t="s">
        <v>3954</v>
      </c>
      <c r="B86" s="1004" t="s">
        <v>3955</v>
      </c>
      <c r="C86" s="790"/>
      <c r="D86" s="738"/>
      <c r="E86" s="737"/>
      <c r="F86" s="738"/>
      <c r="G86" s="739"/>
      <c r="H86" s="738"/>
      <c r="I86" s="739"/>
      <c r="J86" s="738"/>
      <c r="K86" s="739"/>
      <c r="L86" s="738"/>
      <c r="M86" s="739"/>
      <c r="N86" s="738"/>
      <c r="O86" s="739"/>
      <c r="P86" s="738"/>
      <c r="Q86" s="739"/>
      <c r="R86" s="738"/>
      <c r="S86" s="739"/>
      <c r="T86" s="738"/>
      <c r="U86" s="713">
        <v>20</v>
      </c>
      <c r="V86" s="714">
        <v>4</v>
      </c>
      <c r="W86" s="739"/>
      <c r="X86" s="738"/>
      <c r="Y86" s="739"/>
      <c r="Z86" s="738"/>
      <c r="AA86" s="823"/>
    </row>
    <row r="87" spans="1:27" ht="14.25">
      <c r="A87" s="1006" t="s">
        <v>3956</v>
      </c>
      <c r="B87" s="1004" t="s">
        <v>3957</v>
      </c>
      <c r="C87" s="790"/>
      <c r="D87" s="738"/>
      <c r="E87" s="737"/>
      <c r="F87" s="738"/>
      <c r="G87" s="739"/>
      <c r="H87" s="738"/>
      <c r="I87" s="739"/>
      <c r="J87" s="738"/>
      <c r="K87" s="739"/>
      <c r="L87" s="738"/>
      <c r="M87" s="739"/>
      <c r="N87" s="738"/>
      <c r="O87" s="739"/>
      <c r="P87" s="738"/>
      <c r="Q87" s="739"/>
      <c r="R87" s="738"/>
      <c r="S87" s="739"/>
      <c r="T87" s="738"/>
      <c r="U87" s="713">
        <v>30</v>
      </c>
      <c r="V87" s="714">
        <v>5</v>
      </c>
      <c r="W87" s="739"/>
      <c r="X87" s="738"/>
      <c r="Y87" s="739"/>
      <c r="Z87" s="738"/>
      <c r="AA87" s="823"/>
    </row>
    <row r="88" spans="1:27" ht="14.25">
      <c r="A88" s="1006" t="s">
        <v>3958</v>
      </c>
      <c r="B88" s="1004" t="s">
        <v>3959</v>
      </c>
      <c r="C88" s="790"/>
      <c r="D88" s="738"/>
      <c r="E88" s="737"/>
      <c r="F88" s="738"/>
      <c r="G88" s="739"/>
      <c r="H88" s="738"/>
      <c r="I88" s="739"/>
      <c r="J88" s="738"/>
      <c r="K88" s="739"/>
      <c r="L88" s="738"/>
      <c r="M88" s="739"/>
      <c r="N88" s="738"/>
      <c r="O88" s="739"/>
      <c r="P88" s="738"/>
      <c r="Q88" s="739"/>
      <c r="R88" s="738"/>
      <c r="S88" s="739"/>
      <c r="T88" s="738"/>
      <c r="U88" s="713">
        <v>30</v>
      </c>
      <c r="V88" s="714">
        <v>5</v>
      </c>
      <c r="W88" s="739"/>
      <c r="X88" s="738"/>
      <c r="Y88" s="739"/>
      <c r="Z88" s="738"/>
      <c r="AA88" s="823"/>
    </row>
    <row r="89" spans="1:27" ht="14.25">
      <c r="A89" s="1006" t="s">
        <v>3960</v>
      </c>
      <c r="B89" s="1004" t="s">
        <v>3961</v>
      </c>
      <c r="C89" s="790"/>
      <c r="D89" s="738"/>
      <c r="E89" s="737"/>
      <c r="F89" s="738"/>
      <c r="G89" s="739"/>
      <c r="H89" s="738"/>
      <c r="I89" s="739"/>
      <c r="J89" s="738"/>
      <c r="K89" s="739"/>
      <c r="L89" s="738"/>
      <c r="M89" s="739"/>
      <c r="N89" s="738"/>
      <c r="O89" s="739"/>
      <c r="P89" s="738"/>
      <c r="Q89" s="739"/>
      <c r="R89" s="738"/>
      <c r="S89" s="739"/>
      <c r="T89" s="738"/>
      <c r="U89" s="713">
        <v>20</v>
      </c>
      <c r="V89" s="714">
        <v>4</v>
      </c>
      <c r="W89" s="739"/>
      <c r="X89" s="738"/>
      <c r="Y89" s="739"/>
      <c r="Z89" s="738"/>
      <c r="AA89" s="823"/>
    </row>
    <row r="90" spans="1:27" ht="14.25">
      <c r="A90" s="1006" t="s">
        <v>3962</v>
      </c>
      <c r="B90" s="1004" t="s">
        <v>3963</v>
      </c>
      <c r="C90" s="790"/>
      <c r="D90" s="738"/>
      <c r="E90" s="737"/>
      <c r="F90" s="738"/>
      <c r="G90" s="739"/>
      <c r="H90" s="738"/>
      <c r="I90" s="739"/>
      <c r="J90" s="738"/>
      <c r="K90" s="739"/>
      <c r="L90" s="738"/>
      <c r="M90" s="739"/>
      <c r="N90" s="738"/>
      <c r="O90" s="739"/>
      <c r="P90" s="738"/>
      <c r="Q90" s="739"/>
      <c r="R90" s="738"/>
      <c r="S90" s="739"/>
      <c r="T90" s="738"/>
      <c r="U90" s="713">
        <v>30</v>
      </c>
      <c r="V90" s="714">
        <v>5</v>
      </c>
      <c r="W90" s="739"/>
      <c r="X90" s="738"/>
      <c r="Y90" s="739"/>
      <c r="Z90" s="738"/>
      <c r="AA90" s="823"/>
    </row>
    <row r="91" spans="1:27" ht="14.25">
      <c r="A91" s="1006" t="s">
        <v>3964</v>
      </c>
      <c r="B91" s="1004" t="s">
        <v>3965</v>
      </c>
      <c r="C91" s="790"/>
      <c r="D91" s="738"/>
      <c r="E91" s="737"/>
      <c r="F91" s="738"/>
      <c r="G91" s="739"/>
      <c r="H91" s="738"/>
      <c r="I91" s="739"/>
      <c r="J91" s="738"/>
      <c r="K91" s="739"/>
      <c r="L91" s="738"/>
      <c r="M91" s="739"/>
      <c r="N91" s="738"/>
      <c r="O91" s="739"/>
      <c r="P91" s="738"/>
      <c r="Q91" s="739"/>
      <c r="R91" s="738"/>
      <c r="S91" s="739"/>
      <c r="T91" s="738"/>
      <c r="U91" s="713">
        <v>30</v>
      </c>
      <c r="V91" s="714">
        <v>5</v>
      </c>
      <c r="W91" s="739"/>
      <c r="X91" s="738"/>
      <c r="Y91" s="739"/>
      <c r="Z91" s="738"/>
      <c r="AA91" s="823"/>
    </row>
    <row r="92" spans="1:27" ht="14.25">
      <c r="A92" s="1006" t="s">
        <v>3966</v>
      </c>
      <c r="B92" s="1004" t="s">
        <v>3967</v>
      </c>
      <c r="C92" s="790"/>
      <c r="D92" s="738"/>
      <c r="E92" s="737"/>
      <c r="F92" s="738"/>
      <c r="G92" s="739"/>
      <c r="H92" s="738"/>
      <c r="I92" s="739"/>
      <c r="J92" s="738"/>
      <c r="K92" s="739"/>
      <c r="L92" s="738"/>
      <c r="M92" s="739"/>
      <c r="N92" s="738"/>
      <c r="O92" s="739"/>
      <c r="P92" s="738"/>
      <c r="Q92" s="739"/>
      <c r="R92" s="738"/>
      <c r="S92" s="739"/>
      <c r="T92" s="738"/>
      <c r="U92" s="713">
        <v>20</v>
      </c>
      <c r="V92" s="714">
        <v>4</v>
      </c>
      <c r="W92" s="739"/>
      <c r="X92" s="738"/>
      <c r="Y92" s="739"/>
      <c r="Z92" s="738"/>
      <c r="AA92" s="823"/>
    </row>
    <row r="93" spans="1:27" ht="28.5">
      <c r="A93" s="1006" t="s">
        <v>3968</v>
      </c>
      <c r="B93" s="1004" t="s">
        <v>3969</v>
      </c>
      <c r="C93" s="790"/>
      <c r="D93" s="738"/>
      <c r="E93" s="737"/>
      <c r="F93" s="738"/>
      <c r="G93" s="739"/>
      <c r="H93" s="738"/>
      <c r="I93" s="739"/>
      <c r="J93" s="738"/>
      <c r="K93" s="739"/>
      <c r="L93" s="738"/>
      <c r="M93" s="739"/>
      <c r="N93" s="738"/>
      <c r="O93" s="739"/>
      <c r="P93" s="738"/>
      <c r="Q93" s="739"/>
      <c r="R93" s="738"/>
      <c r="S93" s="739"/>
      <c r="T93" s="738"/>
      <c r="U93" s="713">
        <v>30</v>
      </c>
      <c r="V93" s="714">
        <v>5</v>
      </c>
      <c r="W93" s="739"/>
      <c r="X93" s="738"/>
      <c r="Y93" s="739"/>
      <c r="Z93" s="738"/>
      <c r="AA93" s="823"/>
    </row>
    <row r="94" spans="1:27" ht="14.25">
      <c r="A94" s="1006" t="s">
        <v>3970</v>
      </c>
      <c r="B94" s="1004" t="s">
        <v>3971</v>
      </c>
      <c r="C94" s="790"/>
      <c r="D94" s="738"/>
      <c r="E94" s="737"/>
      <c r="F94" s="738"/>
      <c r="G94" s="739"/>
      <c r="H94" s="738"/>
      <c r="I94" s="739"/>
      <c r="J94" s="738"/>
      <c r="K94" s="739"/>
      <c r="L94" s="738"/>
      <c r="M94" s="739"/>
      <c r="N94" s="738"/>
      <c r="O94" s="739"/>
      <c r="P94" s="738"/>
      <c r="Q94" s="739"/>
      <c r="R94" s="738"/>
      <c r="S94" s="739"/>
      <c r="T94" s="738"/>
      <c r="U94" s="713">
        <v>30</v>
      </c>
      <c r="V94" s="714">
        <v>5</v>
      </c>
      <c r="W94" s="739"/>
      <c r="X94" s="738"/>
      <c r="Y94" s="739"/>
      <c r="Z94" s="738"/>
      <c r="AA94" s="823"/>
    </row>
    <row r="95" spans="1:27" ht="14.25">
      <c r="A95" s="1006" t="s">
        <v>3972</v>
      </c>
      <c r="B95" s="1004" t="s">
        <v>3973</v>
      </c>
      <c r="C95" s="790"/>
      <c r="D95" s="738"/>
      <c r="E95" s="737"/>
      <c r="F95" s="738"/>
      <c r="G95" s="739"/>
      <c r="H95" s="738"/>
      <c r="I95" s="739"/>
      <c r="J95" s="738"/>
      <c r="K95" s="739"/>
      <c r="L95" s="738"/>
      <c r="M95" s="739"/>
      <c r="N95" s="738"/>
      <c r="O95" s="739"/>
      <c r="P95" s="738"/>
      <c r="Q95" s="739"/>
      <c r="R95" s="738"/>
      <c r="S95" s="739"/>
      <c r="T95" s="738"/>
      <c r="U95" s="713">
        <v>20</v>
      </c>
      <c r="V95" s="714">
        <v>4</v>
      </c>
      <c r="W95" s="739"/>
      <c r="X95" s="738"/>
      <c r="Y95" s="739"/>
      <c r="Z95" s="738"/>
      <c r="AA95" s="823"/>
    </row>
    <row r="96" spans="1:27" ht="14.25">
      <c r="A96" s="1006" t="s">
        <v>3974</v>
      </c>
      <c r="B96" s="1004" t="s">
        <v>3975</v>
      </c>
      <c r="C96" s="790"/>
      <c r="D96" s="738"/>
      <c r="E96" s="737"/>
      <c r="F96" s="738"/>
      <c r="G96" s="739"/>
      <c r="H96" s="738"/>
      <c r="I96" s="739"/>
      <c r="J96" s="738"/>
      <c r="K96" s="739"/>
      <c r="L96" s="738"/>
      <c r="M96" s="739"/>
      <c r="N96" s="738"/>
      <c r="O96" s="739"/>
      <c r="P96" s="738"/>
      <c r="Q96" s="739"/>
      <c r="R96" s="738"/>
      <c r="S96" s="739"/>
      <c r="T96" s="738"/>
      <c r="U96" s="713">
        <v>20</v>
      </c>
      <c r="V96" s="714">
        <v>4</v>
      </c>
      <c r="W96" s="739"/>
      <c r="X96" s="738"/>
      <c r="Y96" s="739"/>
      <c r="Z96" s="738"/>
      <c r="AA96" s="823"/>
    </row>
    <row r="97" spans="1:27" ht="28.5">
      <c r="A97" s="1006" t="s">
        <v>3976</v>
      </c>
      <c r="B97" s="1004" t="s">
        <v>3977</v>
      </c>
      <c r="C97" s="790"/>
      <c r="D97" s="738"/>
      <c r="E97" s="737"/>
      <c r="F97" s="738"/>
      <c r="G97" s="739"/>
      <c r="H97" s="738"/>
      <c r="I97" s="739"/>
      <c r="J97" s="738"/>
      <c r="K97" s="739"/>
      <c r="L97" s="738"/>
      <c r="M97" s="739"/>
      <c r="N97" s="738"/>
      <c r="O97" s="739"/>
      <c r="P97" s="738"/>
      <c r="Q97" s="739"/>
      <c r="R97" s="738"/>
      <c r="S97" s="739"/>
      <c r="T97" s="738"/>
      <c r="U97" s="713">
        <v>30</v>
      </c>
      <c r="V97" s="714">
        <v>5</v>
      </c>
      <c r="W97" s="739"/>
      <c r="X97" s="738"/>
      <c r="Y97" s="739"/>
      <c r="Z97" s="738"/>
      <c r="AA97" s="823"/>
    </row>
    <row r="98" spans="1:27" ht="14.25">
      <c r="A98" s="1006" t="s">
        <v>3978</v>
      </c>
      <c r="B98" s="1004" t="s">
        <v>3979</v>
      </c>
      <c r="C98" s="790"/>
      <c r="D98" s="738"/>
      <c r="E98" s="737"/>
      <c r="F98" s="738"/>
      <c r="G98" s="739"/>
      <c r="H98" s="738"/>
      <c r="I98" s="739"/>
      <c r="J98" s="738"/>
      <c r="K98" s="739"/>
      <c r="L98" s="738"/>
      <c r="M98" s="739"/>
      <c r="N98" s="738"/>
      <c r="O98" s="739"/>
      <c r="P98" s="738"/>
      <c r="Q98" s="739"/>
      <c r="R98" s="738"/>
      <c r="S98" s="739"/>
      <c r="T98" s="738"/>
      <c r="U98" s="713">
        <v>20</v>
      </c>
      <c r="V98" s="714">
        <v>4</v>
      </c>
      <c r="W98" s="739"/>
      <c r="X98" s="738"/>
      <c r="Y98" s="739"/>
      <c r="Z98" s="738"/>
      <c r="AA98" s="823"/>
    </row>
    <row r="99" spans="1:27" ht="14.25">
      <c r="A99" s="1006" t="s">
        <v>3980</v>
      </c>
      <c r="B99" s="1004" t="s">
        <v>3981</v>
      </c>
      <c r="C99" s="790"/>
      <c r="D99" s="738"/>
      <c r="E99" s="737"/>
      <c r="F99" s="738"/>
      <c r="G99" s="739"/>
      <c r="H99" s="738"/>
      <c r="I99" s="739"/>
      <c r="J99" s="738"/>
      <c r="K99" s="739"/>
      <c r="L99" s="738"/>
      <c r="M99" s="739"/>
      <c r="N99" s="738"/>
      <c r="O99" s="739"/>
      <c r="P99" s="738"/>
      <c r="Q99" s="739"/>
      <c r="R99" s="738"/>
      <c r="S99" s="739"/>
      <c r="T99" s="738"/>
      <c r="U99" s="713">
        <v>20</v>
      </c>
      <c r="V99" s="714">
        <v>4</v>
      </c>
      <c r="W99" s="739"/>
      <c r="X99" s="738"/>
      <c r="Y99" s="739"/>
      <c r="Z99" s="738"/>
      <c r="AA99" s="823"/>
    </row>
    <row r="100" spans="1:27" ht="14.25">
      <c r="A100" s="1006" t="s">
        <v>3982</v>
      </c>
      <c r="B100" s="1004" t="s">
        <v>3983</v>
      </c>
      <c r="C100" s="790"/>
      <c r="D100" s="738"/>
      <c r="E100" s="737"/>
      <c r="F100" s="738"/>
      <c r="G100" s="739"/>
      <c r="H100" s="738"/>
      <c r="I100" s="739"/>
      <c r="J100" s="738"/>
      <c r="K100" s="739"/>
      <c r="L100" s="738"/>
      <c r="M100" s="739"/>
      <c r="N100" s="738"/>
      <c r="O100" s="739"/>
      <c r="P100" s="738"/>
      <c r="Q100" s="739"/>
      <c r="R100" s="738"/>
      <c r="S100" s="739"/>
      <c r="T100" s="738"/>
      <c r="U100" s="713">
        <v>30</v>
      </c>
      <c r="V100" s="714">
        <v>5</v>
      </c>
      <c r="W100" s="739"/>
      <c r="X100" s="738"/>
      <c r="Y100" s="739"/>
      <c r="Z100" s="738"/>
      <c r="AA100" s="823"/>
    </row>
    <row r="101" spans="1:27" ht="14.25">
      <c r="A101" s="735">
        <v>2.5</v>
      </c>
      <c r="B101" s="998" t="s">
        <v>3984</v>
      </c>
      <c r="C101" s="790"/>
      <c r="D101" s="738"/>
      <c r="E101" s="737"/>
      <c r="F101" s="738"/>
      <c r="G101" s="739"/>
      <c r="H101" s="738"/>
      <c r="I101" s="739"/>
      <c r="J101" s="738"/>
      <c r="K101" s="739"/>
      <c r="L101" s="738"/>
      <c r="M101" s="739"/>
      <c r="N101" s="738"/>
      <c r="O101" s="739"/>
      <c r="P101" s="738"/>
      <c r="Q101" s="739"/>
      <c r="R101" s="738"/>
      <c r="S101" s="739"/>
      <c r="T101" s="738"/>
      <c r="U101" s="826"/>
      <c r="V101" s="827"/>
      <c r="W101" s="739"/>
      <c r="X101" s="738"/>
      <c r="Y101" s="739"/>
      <c r="Z101" s="738"/>
      <c r="AA101" s="828">
        <f>SUM(AA102:AA108)</f>
        <v>0</v>
      </c>
    </row>
    <row r="102" spans="1:27" ht="14.25">
      <c r="A102" s="735" t="s">
        <v>2511</v>
      </c>
      <c r="B102" s="1004" t="s">
        <v>3985</v>
      </c>
      <c r="C102" s="790"/>
      <c r="D102" s="738"/>
      <c r="E102" s="737"/>
      <c r="F102" s="738"/>
      <c r="G102" s="739"/>
      <c r="H102" s="738"/>
      <c r="I102" s="739"/>
      <c r="J102" s="738"/>
      <c r="K102" s="739"/>
      <c r="L102" s="738"/>
      <c r="M102" s="739"/>
      <c r="N102" s="738"/>
      <c r="O102" s="739"/>
      <c r="P102" s="738"/>
      <c r="Q102" s="739"/>
      <c r="R102" s="738"/>
      <c r="S102" s="739"/>
      <c r="T102" s="738"/>
      <c r="U102" s="713">
        <v>20</v>
      </c>
      <c r="V102" s="714">
        <v>3</v>
      </c>
      <c r="W102" s="739"/>
      <c r="X102" s="738"/>
      <c r="Y102" s="739"/>
      <c r="Z102" s="738"/>
      <c r="AA102" s="823"/>
    </row>
    <row r="103" spans="1:27" ht="14.25">
      <c r="A103" s="735" t="s">
        <v>2513</v>
      </c>
      <c r="B103" s="1004" t="s">
        <v>3986</v>
      </c>
      <c r="C103" s="790"/>
      <c r="D103" s="738"/>
      <c r="E103" s="737"/>
      <c r="F103" s="738"/>
      <c r="G103" s="739"/>
      <c r="H103" s="738"/>
      <c r="I103" s="739"/>
      <c r="J103" s="738"/>
      <c r="K103" s="739"/>
      <c r="L103" s="738"/>
      <c r="M103" s="739"/>
      <c r="N103" s="738"/>
      <c r="O103" s="739"/>
      <c r="P103" s="738"/>
      <c r="Q103" s="739"/>
      <c r="R103" s="738"/>
      <c r="S103" s="739"/>
      <c r="T103" s="738"/>
      <c r="U103" s="713">
        <v>20</v>
      </c>
      <c r="V103" s="714">
        <v>3</v>
      </c>
      <c r="W103" s="739"/>
      <c r="X103" s="738"/>
      <c r="Y103" s="739"/>
      <c r="Z103" s="738"/>
      <c r="AA103" s="823"/>
    </row>
    <row r="104" spans="1:27" ht="14.25">
      <c r="A104" s="735" t="s">
        <v>3987</v>
      </c>
      <c r="B104" s="1004" t="s">
        <v>3988</v>
      </c>
      <c r="C104" s="790"/>
      <c r="D104" s="738"/>
      <c r="E104" s="737"/>
      <c r="F104" s="738"/>
      <c r="G104" s="739"/>
      <c r="H104" s="738"/>
      <c r="I104" s="739"/>
      <c r="J104" s="738"/>
      <c r="K104" s="739"/>
      <c r="L104" s="738"/>
      <c r="M104" s="739"/>
      <c r="N104" s="738"/>
      <c r="O104" s="739"/>
      <c r="P104" s="738"/>
      <c r="Q104" s="739"/>
      <c r="R104" s="738"/>
      <c r="S104" s="739"/>
      <c r="T104" s="738"/>
      <c r="U104" s="713">
        <v>20</v>
      </c>
      <c r="V104" s="714">
        <v>3</v>
      </c>
      <c r="W104" s="739"/>
      <c r="X104" s="738"/>
      <c r="Y104" s="739"/>
      <c r="Z104" s="738"/>
      <c r="AA104" s="823"/>
    </row>
    <row r="105" spans="1:27" ht="14.25">
      <c r="A105" s="735" t="s">
        <v>3989</v>
      </c>
      <c r="B105" s="1004" t="s">
        <v>3990</v>
      </c>
      <c r="C105" s="790"/>
      <c r="D105" s="738"/>
      <c r="E105" s="737"/>
      <c r="F105" s="738"/>
      <c r="G105" s="739"/>
      <c r="H105" s="738"/>
      <c r="I105" s="739"/>
      <c r="J105" s="738"/>
      <c r="K105" s="739"/>
      <c r="L105" s="738"/>
      <c r="M105" s="739"/>
      <c r="N105" s="738"/>
      <c r="O105" s="739"/>
      <c r="P105" s="738"/>
      <c r="Q105" s="739"/>
      <c r="R105" s="738"/>
      <c r="S105" s="739"/>
      <c r="T105" s="738"/>
      <c r="U105" s="713">
        <v>20</v>
      </c>
      <c r="V105" s="714">
        <v>3</v>
      </c>
      <c r="W105" s="739"/>
      <c r="X105" s="738"/>
      <c r="Y105" s="739"/>
      <c r="Z105" s="738"/>
      <c r="AA105" s="823"/>
    </row>
    <row r="106" spans="1:27" ht="14.25">
      <c r="A106" s="735" t="s">
        <v>3991</v>
      </c>
      <c r="B106" s="1004" t="s">
        <v>3992</v>
      </c>
      <c r="C106" s="790"/>
      <c r="D106" s="738"/>
      <c r="E106" s="737"/>
      <c r="F106" s="738"/>
      <c r="G106" s="739"/>
      <c r="H106" s="738"/>
      <c r="I106" s="739"/>
      <c r="J106" s="738"/>
      <c r="K106" s="739"/>
      <c r="L106" s="738"/>
      <c r="M106" s="739"/>
      <c r="N106" s="738"/>
      <c r="O106" s="739"/>
      <c r="P106" s="738"/>
      <c r="Q106" s="739"/>
      <c r="R106" s="738"/>
      <c r="S106" s="739"/>
      <c r="T106" s="738"/>
      <c r="U106" s="713">
        <v>20</v>
      </c>
      <c r="V106" s="714">
        <v>3</v>
      </c>
      <c r="W106" s="739"/>
      <c r="X106" s="738"/>
      <c r="Y106" s="739"/>
      <c r="Z106" s="738"/>
      <c r="AA106" s="823"/>
    </row>
    <row r="107" spans="1:27" ht="14.25">
      <c r="A107" s="735" t="s">
        <v>3993</v>
      </c>
      <c r="B107" s="1004" t="s">
        <v>3994</v>
      </c>
      <c r="C107" s="790"/>
      <c r="D107" s="738"/>
      <c r="E107" s="737"/>
      <c r="F107" s="738"/>
      <c r="G107" s="739"/>
      <c r="H107" s="738"/>
      <c r="I107" s="739"/>
      <c r="J107" s="738"/>
      <c r="K107" s="739"/>
      <c r="L107" s="738"/>
      <c r="M107" s="739"/>
      <c r="N107" s="738"/>
      <c r="O107" s="739"/>
      <c r="P107" s="738"/>
      <c r="Q107" s="739"/>
      <c r="R107" s="738"/>
      <c r="S107" s="739"/>
      <c r="T107" s="738"/>
      <c r="U107" s="713">
        <v>20</v>
      </c>
      <c r="V107" s="714">
        <v>3</v>
      </c>
      <c r="W107" s="739"/>
      <c r="X107" s="738"/>
      <c r="Y107" s="739"/>
      <c r="Z107" s="738"/>
      <c r="AA107" s="823"/>
    </row>
    <row r="108" spans="1:27" ht="14.25">
      <c r="A108" s="735" t="s">
        <v>3995</v>
      </c>
      <c r="B108" s="1004" t="s">
        <v>3996</v>
      </c>
      <c r="C108" s="790"/>
      <c r="D108" s="738"/>
      <c r="E108" s="737"/>
      <c r="F108" s="738"/>
      <c r="G108" s="739"/>
      <c r="H108" s="738"/>
      <c r="I108" s="739"/>
      <c r="J108" s="738"/>
      <c r="K108" s="739"/>
      <c r="L108" s="738"/>
      <c r="M108" s="739"/>
      <c r="N108" s="738"/>
      <c r="O108" s="739"/>
      <c r="P108" s="738"/>
      <c r="Q108" s="739"/>
      <c r="R108" s="738"/>
      <c r="S108" s="739"/>
      <c r="T108" s="738"/>
      <c r="U108" s="713">
        <v>20</v>
      </c>
      <c r="V108" s="714">
        <v>3</v>
      </c>
      <c r="W108" s="739"/>
      <c r="X108" s="738"/>
      <c r="Y108" s="739"/>
      <c r="Z108" s="738"/>
      <c r="AA108" s="823"/>
    </row>
    <row r="109" spans="1:27" ht="14.25">
      <c r="A109" s="735">
        <v>2.6</v>
      </c>
      <c r="B109" s="998" t="s">
        <v>3997</v>
      </c>
      <c r="C109" s="790"/>
      <c r="D109" s="738"/>
      <c r="E109" s="737"/>
      <c r="F109" s="738"/>
      <c r="G109" s="739"/>
      <c r="H109" s="738"/>
      <c r="I109" s="739"/>
      <c r="J109" s="738"/>
      <c r="K109" s="739"/>
      <c r="L109" s="738"/>
      <c r="M109" s="739"/>
      <c r="N109" s="738"/>
      <c r="O109" s="739"/>
      <c r="P109" s="738"/>
      <c r="Q109" s="739"/>
      <c r="R109" s="738"/>
      <c r="S109" s="739"/>
      <c r="T109" s="738"/>
      <c r="U109" s="826"/>
      <c r="V109" s="827"/>
      <c r="W109" s="739"/>
      <c r="X109" s="738"/>
      <c r="Y109" s="739"/>
      <c r="Z109" s="738"/>
      <c r="AA109" s="828">
        <f>SUM(AA110:AA117)</f>
        <v>0</v>
      </c>
    </row>
    <row r="110" spans="1:27" ht="14.25">
      <c r="A110" s="735" t="s">
        <v>3998</v>
      </c>
      <c r="B110" s="1004" t="s">
        <v>3999</v>
      </c>
      <c r="C110" s="790"/>
      <c r="D110" s="738"/>
      <c r="E110" s="737"/>
      <c r="F110" s="738"/>
      <c r="G110" s="739"/>
      <c r="H110" s="738"/>
      <c r="I110" s="739"/>
      <c r="J110" s="738"/>
      <c r="K110" s="739"/>
      <c r="L110" s="738"/>
      <c r="M110" s="739"/>
      <c r="N110" s="738"/>
      <c r="O110" s="739"/>
      <c r="P110" s="738"/>
      <c r="Q110" s="739"/>
      <c r="R110" s="738"/>
      <c r="S110" s="739"/>
      <c r="T110" s="738"/>
      <c r="U110" s="713">
        <v>32</v>
      </c>
      <c r="V110" s="714">
        <v>5</v>
      </c>
      <c r="W110" s="739"/>
      <c r="X110" s="738"/>
      <c r="Y110" s="739"/>
      <c r="Z110" s="738"/>
      <c r="AA110" s="823"/>
    </row>
    <row r="111" spans="1:27" ht="14.25">
      <c r="A111" s="735" t="s">
        <v>4000</v>
      </c>
      <c r="B111" s="1004" t="s">
        <v>4001</v>
      </c>
      <c r="C111" s="790"/>
      <c r="D111" s="738"/>
      <c r="E111" s="737"/>
      <c r="F111" s="738"/>
      <c r="G111" s="739"/>
      <c r="H111" s="738"/>
      <c r="I111" s="739"/>
      <c r="J111" s="738"/>
      <c r="K111" s="739"/>
      <c r="L111" s="738"/>
      <c r="M111" s="739"/>
      <c r="N111" s="738"/>
      <c r="O111" s="739"/>
      <c r="P111" s="738"/>
      <c r="Q111" s="739"/>
      <c r="R111" s="738"/>
      <c r="S111" s="739"/>
      <c r="T111" s="738"/>
      <c r="U111" s="713">
        <v>32</v>
      </c>
      <c r="V111" s="714">
        <v>5</v>
      </c>
      <c r="W111" s="739"/>
      <c r="X111" s="738"/>
      <c r="Y111" s="739"/>
      <c r="Z111" s="738"/>
      <c r="AA111" s="823"/>
    </row>
    <row r="112" spans="1:27" ht="14.25">
      <c r="A112" s="735" t="s">
        <v>4002</v>
      </c>
      <c r="B112" s="1004" t="s">
        <v>4003</v>
      </c>
      <c r="C112" s="790"/>
      <c r="D112" s="738"/>
      <c r="E112" s="737"/>
      <c r="F112" s="738"/>
      <c r="G112" s="739"/>
      <c r="H112" s="738"/>
      <c r="I112" s="739"/>
      <c r="J112" s="738"/>
      <c r="K112" s="739"/>
      <c r="L112" s="738"/>
      <c r="M112" s="739"/>
      <c r="N112" s="738"/>
      <c r="O112" s="739"/>
      <c r="P112" s="738"/>
      <c r="Q112" s="739"/>
      <c r="R112" s="738"/>
      <c r="S112" s="739"/>
      <c r="T112" s="738"/>
      <c r="U112" s="713">
        <v>32</v>
      </c>
      <c r="V112" s="714">
        <v>5</v>
      </c>
      <c r="W112" s="739"/>
      <c r="X112" s="738"/>
      <c r="Y112" s="739"/>
      <c r="Z112" s="738"/>
      <c r="AA112" s="823"/>
    </row>
    <row r="113" spans="1:27" ht="14.25">
      <c r="A113" s="735" t="s">
        <v>4004</v>
      </c>
      <c r="B113" s="1004" t="s">
        <v>4005</v>
      </c>
      <c r="C113" s="790"/>
      <c r="D113" s="738"/>
      <c r="E113" s="737"/>
      <c r="F113" s="738"/>
      <c r="G113" s="739"/>
      <c r="H113" s="738"/>
      <c r="I113" s="739"/>
      <c r="J113" s="738"/>
      <c r="K113" s="739"/>
      <c r="L113" s="738"/>
      <c r="M113" s="739"/>
      <c r="N113" s="738"/>
      <c r="O113" s="739"/>
      <c r="P113" s="738"/>
      <c r="Q113" s="739"/>
      <c r="R113" s="738"/>
      <c r="S113" s="739"/>
      <c r="T113" s="738"/>
      <c r="U113" s="713">
        <v>32</v>
      </c>
      <c r="V113" s="714">
        <v>5</v>
      </c>
      <c r="W113" s="739"/>
      <c r="X113" s="738"/>
      <c r="Y113" s="739"/>
      <c r="Z113" s="738"/>
      <c r="AA113" s="823"/>
    </row>
    <row r="114" spans="1:27" ht="14.25">
      <c r="A114" s="735" t="s">
        <v>4006</v>
      </c>
      <c r="B114" s="1004" t="s">
        <v>4007</v>
      </c>
      <c r="C114" s="790"/>
      <c r="D114" s="738"/>
      <c r="E114" s="737"/>
      <c r="F114" s="738"/>
      <c r="G114" s="739"/>
      <c r="H114" s="738"/>
      <c r="I114" s="739"/>
      <c r="J114" s="738"/>
      <c r="K114" s="739"/>
      <c r="L114" s="738"/>
      <c r="M114" s="739"/>
      <c r="N114" s="738"/>
      <c r="O114" s="739"/>
      <c r="P114" s="738"/>
      <c r="Q114" s="739"/>
      <c r="R114" s="738"/>
      <c r="S114" s="739"/>
      <c r="T114" s="738"/>
      <c r="U114" s="713">
        <v>32</v>
      </c>
      <c r="V114" s="714">
        <v>5</v>
      </c>
      <c r="W114" s="739"/>
      <c r="X114" s="738"/>
      <c r="Y114" s="739"/>
      <c r="Z114" s="738"/>
      <c r="AA114" s="823"/>
    </row>
    <row r="115" spans="1:27" ht="14.25">
      <c r="A115" s="735" t="s">
        <v>4008</v>
      </c>
      <c r="B115" s="1004" t="s">
        <v>4009</v>
      </c>
      <c r="C115" s="790"/>
      <c r="D115" s="738"/>
      <c r="E115" s="737"/>
      <c r="F115" s="738"/>
      <c r="G115" s="739"/>
      <c r="H115" s="738"/>
      <c r="I115" s="739"/>
      <c r="J115" s="738"/>
      <c r="K115" s="739"/>
      <c r="L115" s="738"/>
      <c r="M115" s="739"/>
      <c r="N115" s="738"/>
      <c r="O115" s="739"/>
      <c r="P115" s="738"/>
      <c r="Q115" s="739"/>
      <c r="R115" s="738"/>
      <c r="S115" s="739"/>
      <c r="T115" s="738"/>
      <c r="U115" s="713">
        <v>32</v>
      </c>
      <c r="V115" s="714">
        <v>5</v>
      </c>
      <c r="W115" s="739"/>
      <c r="X115" s="738"/>
      <c r="Y115" s="739"/>
      <c r="Z115" s="738"/>
      <c r="AA115" s="823"/>
    </row>
    <row r="116" spans="1:27" ht="14.25">
      <c r="A116" s="735" t="s">
        <v>4010</v>
      </c>
      <c r="B116" s="1004" t="s">
        <v>4011</v>
      </c>
      <c r="C116" s="790"/>
      <c r="D116" s="738"/>
      <c r="E116" s="737"/>
      <c r="F116" s="738"/>
      <c r="G116" s="739"/>
      <c r="H116" s="738"/>
      <c r="I116" s="739"/>
      <c r="J116" s="738"/>
      <c r="K116" s="739"/>
      <c r="L116" s="738"/>
      <c r="M116" s="739"/>
      <c r="N116" s="738"/>
      <c r="O116" s="739"/>
      <c r="P116" s="738"/>
      <c r="Q116" s="739"/>
      <c r="R116" s="738"/>
      <c r="S116" s="739"/>
      <c r="T116" s="738"/>
      <c r="U116" s="713">
        <v>32</v>
      </c>
      <c r="V116" s="714">
        <v>5</v>
      </c>
      <c r="W116" s="739"/>
      <c r="X116" s="738"/>
      <c r="Y116" s="739"/>
      <c r="Z116" s="738"/>
      <c r="AA116" s="823"/>
    </row>
    <row r="117" spans="1:27" ht="14.25">
      <c r="A117" s="735" t="s">
        <v>4012</v>
      </c>
      <c r="B117" s="1004" t="s">
        <v>4013</v>
      </c>
      <c r="C117" s="790"/>
      <c r="D117" s="738"/>
      <c r="E117" s="737"/>
      <c r="F117" s="738"/>
      <c r="G117" s="739"/>
      <c r="H117" s="738"/>
      <c r="I117" s="739"/>
      <c r="J117" s="738"/>
      <c r="K117" s="739"/>
      <c r="L117" s="738"/>
      <c r="M117" s="739"/>
      <c r="N117" s="738"/>
      <c r="O117" s="739"/>
      <c r="P117" s="738"/>
      <c r="Q117" s="739"/>
      <c r="R117" s="738"/>
      <c r="S117" s="739"/>
      <c r="T117" s="738"/>
      <c r="U117" s="713">
        <v>32</v>
      </c>
      <c r="V117" s="714">
        <v>5</v>
      </c>
      <c r="W117" s="739"/>
      <c r="X117" s="738"/>
      <c r="Y117" s="739"/>
      <c r="Z117" s="738"/>
      <c r="AA117" s="823"/>
    </row>
    <row r="118" spans="1:27" ht="14.25">
      <c r="A118" s="735">
        <v>2.7</v>
      </c>
      <c r="B118" s="998" t="s">
        <v>4014</v>
      </c>
      <c r="C118" s="790"/>
      <c r="D118" s="738"/>
      <c r="E118" s="737"/>
      <c r="F118" s="738"/>
      <c r="G118" s="739"/>
      <c r="H118" s="738"/>
      <c r="I118" s="739"/>
      <c r="J118" s="738"/>
      <c r="K118" s="739"/>
      <c r="L118" s="738"/>
      <c r="M118" s="739"/>
      <c r="N118" s="738"/>
      <c r="O118" s="739"/>
      <c r="P118" s="738"/>
      <c r="Q118" s="739"/>
      <c r="R118" s="738"/>
      <c r="S118" s="739"/>
      <c r="T118" s="738"/>
      <c r="U118" s="826"/>
      <c r="V118" s="827"/>
      <c r="W118" s="739"/>
      <c r="X118" s="738"/>
      <c r="Y118" s="739"/>
      <c r="Z118" s="738"/>
      <c r="AA118" s="828">
        <f>SUM(AA119:AA122)</f>
        <v>0</v>
      </c>
    </row>
    <row r="119" spans="1:27" ht="14.25">
      <c r="A119" s="735" t="s">
        <v>2517</v>
      </c>
      <c r="B119" s="1004" t="s">
        <v>4015</v>
      </c>
      <c r="C119" s="790"/>
      <c r="D119" s="738"/>
      <c r="E119" s="737"/>
      <c r="F119" s="738"/>
      <c r="G119" s="739"/>
      <c r="H119" s="738"/>
      <c r="I119" s="739"/>
      <c r="J119" s="738"/>
      <c r="K119" s="739"/>
      <c r="L119" s="738"/>
      <c r="M119" s="739"/>
      <c r="N119" s="738"/>
      <c r="O119" s="739"/>
      <c r="P119" s="738"/>
      <c r="Q119" s="739"/>
      <c r="R119" s="738"/>
      <c r="S119" s="739"/>
      <c r="T119" s="738"/>
      <c r="U119" s="713">
        <v>24</v>
      </c>
      <c r="V119" s="714">
        <v>4</v>
      </c>
      <c r="W119" s="739"/>
      <c r="X119" s="738"/>
      <c r="Y119" s="739"/>
      <c r="Z119" s="738"/>
      <c r="AA119" s="823"/>
    </row>
    <row r="120" spans="1:27" ht="14.25">
      <c r="A120" s="735" t="s">
        <v>2519</v>
      </c>
      <c r="B120" s="1004" t="s">
        <v>4016</v>
      </c>
      <c r="C120" s="790"/>
      <c r="D120" s="738"/>
      <c r="E120" s="737"/>
      <c r="F120" s="738"/>
      <c r="G120" s="739"/>
      <c r="H120" s="738"/>
      <c r="I120" s="739"/>
      <c r="J120" s="738"/>
      <c r="K120" s="739"/>
      <c r="L120" s="738"/>
      <c r="M120" s="739"/>
      <c r="N120" s="738"/>
      <c r="O120" s="739"/>
      <c r="P120" s="738"/>
      <c r="Q120" s="739"/>
      <c r="R120" s="738"/>
      <c r="S120" s="739"/>
      <c r="T120" s="738"/>
      <c r="U120" s="713">
        <v>30</v>
      </c>
      <c r="V120" s="714">
        <v>5</v>
      </c>
      <c r="W120" s="739"/>
      <c r="X120" s="738"/>
      <c r="Y120" s="739"/>
      <c r="Z120" s="738"/>
      <c r="AA120" s="823"/>
    </row>
    <row r="121" spans="1:27" ht="14.25">
      <c r="A121" s="735" t="s">
        <v>4017</v>
      </c>
      <c r="B121" s="1004" t="s">
        <v>4018</v>
      </c>
      <c r="C121" s="790"/>
      <c r="D121" s="738"/>
      <c r="E121" s="737"/>
      <c r="F121" s="738"/>
      <c r="G121" s="739"/>
      <c r="H121" s="738"/>
      <c r="I121" s="739"/>
      <c r="J121" s="738"/>
      <c r="K121" s="739"/>
      <c r="L121" s="738"/>
      <c r="M121" s="739"/>
      <c r="N121" s="738"/>
      <c r="O121" s="739"/>
      <c r="P121" s="738"/>
      <c r="Q121" s="739"/>
      <c r="R121" s="738"/>
      <c r="S121" s="739"/>
      <c r="T121" s="738"/>
      <c r="U121" s="713">
        <v>30</v>
      </c>
      <c r="V121" s="714">
        <v>5</v>
      </c>
      <c r="W121" s="739"/>
      <c r="X121" s="738"/>
      <c r="Y121" s="739"/>
      <c r="Z121" s="738"/>
      <c r="AA121" s="823"/>
    </row>
    <row r="122" spans="1:27" ht="14.25">
      <c r="A122" s="735" t="s">
        <v>4019</v>
      </c>
      <c r="B122" s="1004" t="s">
        <v>4020</v>
      </c>
      <c r="C122" s="790"/>
      <c r="D122" s="738"/>
      <c r="E122" s="737"/>
      <c r="F122" s="738"/>
      <c r="G122" s="739"/>
      <c r="H122" s="738"/>
      <c r="I122" s="739"/>
      <c r="J122" s="738"/>
      <c r="K122" s="739"/>
      <c r="L122" s="738"/>
      <c r="M122" s="739"/>
      <c r="N122" s="738"/>
      <c r="O122" s="739"/>
      <c r="P122" s="738"/>
      <c r="Q122" s="739"/>
      <c r="R122" s="738"/>
      <c r="S122" s="739"/>
      <c r="T122" s="738"/>
      <c r="U122" s="713">
        <v>20</v>
      </c>
      <c r="V122" s="714">
        <v>4</v>
      </c>
      <c r="W122" s="739"/>
      <c r="X122" s="738"/>
      <c r="Y122" s="739"/>
      <c r="Z122" s="738"/>
      <c r="AA122" s="823"/>
    </row>
    <row r="123" spans="1:27" ht="14.25">
      <c r="A123" s="742">
        <v>3</v>
      </c>
      <c r="B123" s="999" t="s">
        <v>4021</v>
      </c>
      <c r="C123" s="790"/>
      <c r="D123" s="738"/>
      <c r="E123" s="737"/>
      <c r="F123" s="738"/>
      <c r="G123" s="739"/>
      <c r="H123" s="738"/>
      <c r="I123" s="739"/>
      <c r="J123" s="738"/>
      <c r="K123" s="739"/>
      <c r="L123" s="738"/>
      <c r="M123" s="739"/>
      <c r="N123" s="738"/>
      <c r="O123" s="739"/>
      <c r="P123" s="738"/>
      <c r="Q123" s="739"/>
      <c r="R123" s="738"/>
      <c r="S123" s="739"/>
      <c r="T123" s="738"/>
      <c r="U123" s="1000"/>
      <c r="V123" s="1001"/>
      <c r="W123" s="739"/>
      <c r="X123" s="738"/>
      <c r="Y123" s="739"/>
      <c r="Z123" s="738"/>
      <c r="AA123" s="1002"/>
    </row>
    <row r="124" spans="1:27" ht="14.25">
      <c r="A124" s="735">
        <v>3.1</v>
      </c>
      <c r="B124" s="998" t="s">
        <v>4022</v>
      </c>
      <c r="C124" s="790"/>
      <c r="D124" s="738"/>
      <c r="E124" s="737"/>
      <c r="F124" s="738"/>
      <c r="G124" s="739"/>
      <c r="H124" s="738"/>
      <c r="I124" s="739"/>
      <c r="J124" s="738"/>
      <c r="K124" s="739"/>
      <c r="L124" s="738"/>
      <c r="M124" s="739"/>
      <c r="N124" s="738"/>
      <c r="O124" s="739"/>
      <c r="P124" s="738"/>
      <c r="Q124" s="739"/>
      <c r="R124" s="738"/>
      <c r="S124" s="739"/>
      <c r="T124" s="738"/>
      <c r="U124" s="826"/>
      <c r="V124" s="827"/>
      <c r="W124" s="739"/>
      <c r="X124" s="738"/>
      <c r="Y124" s="739"/>
      <c r="Z124" s="738"/>
      <c r="AA124" s="828">
        <f>SUM(AA125:AA139)</f>
        <v>273</v>
      </c>
    </row>
    <row r="125" spans="1:27" ht="28.5">
      <c r="A125" s="735" t="s">
        <v>3706</v>
      </c>
      <c r="B125" s="1003" t="s">
        <v>4023</v>
      </c>
      <c r="C125" s="790"/>
      <c r="D125" s="738"/>
      <c r="E125" s="737"/>
      <c r="F125" s="738"/>
      <c r="G125" s="739"/>
      <c r="H125" s="738"/>
      <c r="I125" s="739"/>
      <c r="J125" s="738"/>
      <c r="K125" s="739"/>
      <c r="L125" s="738"/>
      <c r="M125" s="739"/>
      <c r="N125" s="738"/>
      <c r="O125" s="739"/>
      <c r="P125" s="738"/>
      <c r="Q125" s="739"/>
      <c r="R125" s="738"/>
      <c r="S125" s="739"/>
      <c r="T125" s="738"/>
      <c r="U125" s="713">
        <v>4</v>
      </c>
      <c r="V125" s="714">
        <v>2</v>
      </c>
      <c r="W125" s="739"/>
      <c r="X125" s="738"/>
      <c r="Y125" s="739"/>
      <c r="Z125" s="738"/>
      <c r="AA125" s="823">
        <v>16</v>
      </c>
    </row>
    <row r="126" spans="1:27" ht="14.25">
      <c r="A126" s="735" t="s">
        <v>3708</v>
      </c>
      <c r="B126" s="1003" t="s">
        <v>4024</v>
      </c>
      <c r="C126" s="790"/>
      <c r="D126" s="738"/>
      <c r="E126" s="737"/>
      <c r="F126" s="738"/>
      <c r="G126" s="739"/>
      <c r="H126" s="738"/>
      <c r="I126" s="739"/>
      <c r="J126" s="738"/>
      <c r="K126" s="739"/>
      <c r="L126" s="738"/>
      <c r="M126" s="739"/>
      <c r="N126" s="738"/>
      <c r="O126" s="739"/>
      <c r="P126" s="738"/>
      <c r="Q126" s="739"/>
      <c r="R126" s="738"/>
      <c r="S126" s="739"/>
      <c r="T126" s="738"/>
      <c r="U126" s="713">
        <v>4</v>
      </c>
      <c r="V126" s="714">
        <v>2</v>
      </c>
      <c r="W126" s="739"/>
      <c r="X126" s="738"/>
      <c r="Y126" s="739"/>
      <c r="Z126" s="738"/>
      <c r="AA126" s="823">
        <v>30</v>
      </c>
    </row>
    <row r="127" spans="1:27" ht="14.25">
      <c r="A127" s="735" t="s">
        <v>3710</v>
      </c>
      <c r="B127" s="1003" t="s">
        <v>4025</v>
      </c>
      <c r="C127" s="790"/>
      <c r="D127" s="738"/>
      <c r="E127" s="737"/>
      <c r="F127" s="738"/>
      <c r="G127" s="739"/>
      <c r="H127" s="738"/>
      <c r="I127" s="739"/>
      <c r="J127" s="738"/>
      <c r="K127" s="739"/>
      <c r="L127" s="738"/>
      <c r="M127" s="739"/>
      <c r="N127" s="738"/>
      <c r="O127" s="739"/>
      <c r="P127" s="738"/>
      <c r="Q127" s="739"/>
      <c r="R127" s="738"/>
      <c r="S127" s="739"/>
      <c r="T127" s="738"/>
      <c r="U127" s="713">
        <v>3</v>
      </c>
      <c r="V127" s="714">
        <v>2</v>
      </c>
      <c r="W127" s="739"/>
      <c r="X127" s="738"/>
      <c r="Y127" s="739"/>
      <c r="Z127" s="738"/>
      <c r="AA127" s="823">
        <v>16</v>
      </c>
    </row>
    <row r="128" spans="1:27" ht="14.25">
      <c r="A128" s="735" t="s">
        <v>3712</v>
      </c>
      <c r="B128" s="1003" t="s">
        <v>4026</v>
      </c>
      <c r="C128" s="790"/>
      <c r="D128" s="738"/>
      <c r="E128" s="737"/>
      <c r="F128" s="738"/>
      <c r="G128" s="739"/>
      <c r="H128" s="738"/>
      <c r="I128" s="739"/>
      <c r="J128" s="738"/>
      <c r="K128" s="739"/>
      <c r="L128" s="738"/>
      <c r="M128" s="739"/>
      <c r="N128" s="738"/>
      <c r="O128" s="739"/>
      <c r="P128" s="738"/>
      <c r="Q128" s="739"/>
      <c r="R128" s="738"/>
      <c r="S128" s="739"/>
      <c r="T128" s="738"/>
      <c r="U128" s="713">
        <v>4</v>
      </c>
      <c r="V128" s="714">
        <v>2</v>
      </c>
      <c r="W128" s="739"/>
      <c r="X128" s="738"/>
      <c r="Y128" s="739"/>
      <c r="Z128" s="738"/>
      <c r="AA128" s="823">
        <v>25</v>
      </c>
    </row>
    <row r="129" spans="1:27" ht="14.25">
      <c r="A129" s="735" t="s">
        <v>3714</v>
      </c>
      <c r="B129" s="1003" t="s">
        <v>4027</v>
      </c>
      <c r="C129" s="790"/>
      <c r="D129" s="738"/>
      <c r="E129" s="737"/>
      <c r="F129" s="738"/>
      <c r="G129" s="739"/>
      <c r="H129" s="738"/>
      <c r="I129" s="739"/>
      <c r="J129" s="738"/>
      <c r="K129" s="739"/>
      <c r="L129" s="738"/>
      <c r="M129" s="739"/>
      <c r="N129" s="738"/>
      <c r="O129" s="739"/>
      <c r="P129" s="738"/>
      <c r="Q129" s="739"/>
      <c r="R129" s="738"/>
      <c r="S129" s="739"/>
      <c r="T129" s="738"/>
      <c r="U129" s="713">
        <v>4</v>
      </c>
      <c r="V129" s="714">
        <v>2</v>
      </c>
      <c r="W129" s="739"/>
      <c r="X129" s="738"/>
      <c r="Y129" s="739"/>
      <c r="Z129" s="738"/>
      <c r="AA129" s="823">
        <v>16</v>
      </c>
    </row>
    <row r="130" spans="1:27" ht="14.25">
      <c r="A130" s="735" t="s">
        <v>3716</v>
      </c>
      <c r="B130" s="1003" t="s">
        <v>4028</v>
      </c>
      <c r="C130" s="790"/>
      <c r="D130" s="738"/>
      <c r="E130" s="737"/>
      <c r="F130" s="738"/>
      <c r="G130" s="739"/>
      <c r="H130" s="738"/>
      <c r="I130" s="739"/>
      <c r="J130" s="738"/>
      <c r="K130" s="739"/>
      <c r="L130" s="738"/>
      <c r="M130" s="739"/>
      <c r="N130" s="738"/>
      <c r="O130" s="739"/>
      <c r="P130" s="738"/>
      <c r="Q130" s="739"/>
      <c r="R130" s="738"/>
      <c r="S130" s="739"/>
      <c r="T130" s="738"/>
      <c r="U130" s="713">
        <v>4</v>
      </c>
      <c r="V130" s="714">
        <v>2</v>
      </c>
      <c r="W130" s="739"/>
      <c r="X130" s="738"/>
      <c r="Y130" s="739"/>
      <c r="Z130" s="738"/>
      <c r="AA130" s="823">
        <v>16</v>
      </c>
    </row>
    <row r="131" spans="1:27" ht="14.25">
      <c r="A131" s="735" t="s">
        <v>3718</v>
      </c>
      <c r="B131" s="1003" t="s">
        <v>4029</v>
      </c>
      <c r="C131" s="790"/>
      <c r="D131" s="738"/>
      <c r="E131" s="737"/>
      <c r="F131" s="738"/>
      <c r="G131" s="739"/>
      <c r="H131" s="738"/>
      <c r="I131" s="739"/>
      <c r="J131" s="738"/>
      <c r="K131" s="739"/>
      <c r="L131" s="738"/>
      <c r="M131" s="739"/>
      <c r="N131" s="738"/>
      <c r="O131" s="739"/>
      <c r="P131" s="738"/>
      <c r="Q131" s="739"/>
      <c r="R131" s="738"/>
      <c r="S131" s="739"/>
      <c r="T131" s="738"/>
      <c r="U131" s="713">
        <v>2</v>
      </c>
      <c r="V131" s="714"/>
      <c r="W131" s="739"/>
      <c r="X131" s="738"/>
      <c r="Y131" s="739"/>
      <c r="Z131" s="738"/>
      <c r="AA131" s="823">
        <v>8</v>
      </c>
    </row>
    <row r="132" spans="1:27" ht="14.25">
      <c r="A132" s="735" t="s">
        <v>3720</v>
      </c>
      <c r="B132" s="1003" t="s">
        <v>4030</v>
      </c>
      <c r="C132" s="790"/>
      <c r="D132" s="738"/>
      <c r="E132" s="737"/>
      <c r="F132" s="738"/>
      <c r="G132" s="739"/>
      <c r="H132" s="738"/>
      <c r="I132" s="739"/>
      <c r="J132" s="738"/>
      <c r="K132" s="739"/>
      <c r="L132" s="738"/>
      <c r="M132" s="739"/>
      <c r="N132" s="738"/>
      <c r="O132" s="739"/>
      <c r="P132" s="738"/>
      <c r="Q132" s="739"/>
      <c r="R132" s="738"/>
      <c r="S132" s="739"/>
      <c r="T132" s="738"/>
      <c r="U132" s="713">
        <v>3</v>
      </c>
      <c r="V132" s="714">
        <v>2</v>
      </c>
      <c r="W132" s="739"/>
      <c r="X132" s="738"/>
      <c r="Y132" s="739"/>
      <c r="Z132" s="738"/>
      <c r="AA132" s="823">
        <v>16</v>
      </c>
    </row>
    <row r="133" spans="1:27" ht="14.25">
      <c r="A133" s="735" t="s">
        <v>3722</v>
      </c>
      <c r="B133" s="1003" t="s">
        <v>4031</v>
      </c>
      <c r="C133" s="790"/>
      <c r="D133" s="738"/>
      <c r="E133" s="737"/>
      <c r="F133" s="738"/>
      <c r="G133" s="739"/>
      <c r="H133" s="738"/>
      <c r="I133" s="739"/>
      <c r="J133" s="738"/>
      <c r="K133" s="739"/>
      <c r="L133" s="738"/>
      <c r="M133" s="739"/>
      <c r="N133" s="738"/>
      <c r="O133" s="739"/>
      <c r="P133" s="738"/>
      <c r="Q133" s="739"/>
      <c r="R133" s="738"/>
      <c r="S133" s="739"/>
      <c r="T133" s="738"/>
      <c r="U133" s="713">
        <v>4</v>
      </c>
      <c r="V133" s="714">
        <v>2</v>
      </c>
      <c r="W133" s="739"/>
      <c r="X133" s="738"/>
      <c r="Y133" s="739"/>
      <c r="Z133" s="738"/>
      <c r="AA133" s="823">
        <v>16</v>
      </c>
    </row>
    <row r="134" spans="1:27" ht="14.25">
      <c r="A134" s="735" t="s">
        <v>3724</v>
      </c>
      <c r="B134" s="1003" t="s">
        <v>4032</v>
      </c>
      <c r="C134" s="794"/>
      <c r="D134" s="745"/>
      <c r="E134" s="744"/>
      <c r="F134" s="745"/>
      <c r="G134" s="746"/>
      <c r="H134" s="745"/>
      <c r="I134" s="746"/>
      <c r="J134" s="745"/>
      <c r="K134" s="746"/>
      <c r="L134" s="745"/>
      <c r="M134" s="746"/>
      <c r="N134" s="745"/>
      <c r="O134" s="746"/>
      <c r="P134" s="745"/>
      <c r="Q134" s="746"/>
      <c r="R134" s="745"/>
      <c r="S134" s="746"/>
      <c r="T134" s="745"/>
      <c r="U134" s="713">
        <v>4</v>
      </c>
      <c r="V134" s="714">
        <v>2</v>
      </c>
      <c r="W134" s="746"/>
      <c r="X134" s="745"/>
      <c r="Y134" s="746"/>
      <c r="Z134" s="745"/>
      <c r="AA134" s="823">
        <v>25</v>
      </c>
    </row>
    <row r="135" spans="1:27" ht="14.25">
      <c r="A135" s="735" t="s">
        <v>3726</v>
      </c>
      <c r="B135" s="1003" t="s">
        <v>4033</v>
      </c>
      <c r="C135" s="790"/>
      <c r="D135" s="738"/>
      <c r="E135" s="737"/>
      <c r="F135" s="738"/>
      <c r="G135" s="739"/>
      <c r="H135" s="738"/>
      <c r="I135" s="739"/>
      <c r="J135" s="738"/>
      <c r="K135" s="739"/>
      <c r="L135" s="738"/>
      <c r="M135" s="739"/>
      <c r="N135" s="738"/>
      <c r="O135" s="739"/>
      <c r="P135" s="738"/>
      <c r="Q135" s="739"/>
      <c r="R135" s="738"/>
      <c r="S135" s="739"/>
      <c r="T135" s="738"/>
      <c r="U135" s="713">
        <v>4</v>
      </c>
      <c r="V135" s="714">
        <v>2</v>
      </c>
      <c r="W135" s="739"/>
      <c r="X135" s="738"/>
      <c r="Y135" s="739"/>
      <c r="Z135" s="738"/>
      <c r="AA135" s="823">
        <v>25</v>
      </c>
    </row>
    <row r="136" spans="1:27" ht="28.5">
      <c r="A136" s="735" t="s">
        <v>3728</v>
      </c>
      <c r="B136" s="1003" t="s">
        <v>4034</v>
      </c>
      <c r="C136" s="790"/>
      <c r="D136" s="738"/>
      <c r="E136" s="737"/>
      <c r="F136" s="738"/>
      <c r="G136" s="739"/>
      <c r="H136" s="738"/>
      <c r="I136" s="739"/>
      <c r="J136" s="738"/>
      <c r="K136" s="739"/>
      <c r="L136" s="738"/>
      <c r="M136" s="739"/>
      <c r="N136" s="738"/>
      <c r="O136" s="739"/>
      <c r="P136" s="738"/>
      <c r="Q136" s="739"/>
      <c r="R136" s="738"/>
      <c r="S136" s="739"/>
      <c r="T136" s="738"/>
      <c r="U136" s="713">
        <v>3</v>
      </c>
      <c r="V136" s="714">
        <v>2</v>
      </c>
      <c r="W136" s="739"/>
      <c r="X136" s="738"/>
      <c r="Y136" s="739"/>
      <c r="Z136" s="738"/>
      <c r="AA136" s="823">
        <v>16</v>
      </c>
    </row>
    <row r="137" spans="1:27" ht="14.25">
      <c r="A137" s="735" t="s">
        <v>3730</v>
      </c>
      <c r="B137" s="1003" t="s">
        <v>4035</v>
      </c>
      <c r="C137" s="794"/>
      <c r="D137" s="745"/>
      <c r="E137" s="744"/>
      <c r="F137" s="745"/>
      <c r="G137" s="746"/>
      <c r="H137" s="745"/>
      <c r="I137" s="746"/>
      <c r="J137" s="745"/>
      <c r="K137" s="746"/>
      <c r="L137" s="745"/>
      <c r="M137" s="746"/>
      <c r="N137" s="745"/>
      <c r="O137" s="746"/>
      <c r="P137" s="745"/>
      <c r="Q137" s="746"/>
      <c r="R137" s="745"/>
      <c r="S137" s="746"/>
      <c r="T137" s="745"/>
      <c r="U137" s="713">
        <v>3</v>
      </c>
      <c r="V137" s="714">
        <v>2</v>
      </c>
      <c r="W137" s="746"/>
      <c r="X137" s="745"/>
      <c r="Y137" s="746"/>
      <c r="Z137" s="745"/>
      <c r="AA137" s="823">
        <v>16</v>
      </c>
    </row>
    <row r="138" spans="1:27" ht="14.25">
      <c r="A138" s="735" t="s">
        <v>3732</v>
      </c>
      <c r="B138" s="1003" t="s">
        <v>4036</v>
      </c>
      <c r="C138" s="790"/>
      <c r="D138" s="738"/>
      <c r="E138" s="737"/>
      <c r="F138" s="738"/>
      <c r="G138" s="739"/>
      <c r="H138" s="738"/>
      <c r="I138" s="739"/>
      <c r="J138" s="738"/>
      <c r="K138" s="739"/>
      <c r="L138" s="738"/>
      <c r="M138" s="739"/>
      <c r="N138" s="738"/>
      <c r="O138" s="739"/>
      <c r="P138" s="738"/>
      <c r="Q138" s="739"/>
      <c r="R138" s="738"/>
      <c r="S138" s="739"/>
      <c r="T138" s="738"/>
      <c r="U138" s="713">
        <v>3</v>
      </c>
      <c r="V138" s="714">
        <v>2</v>
      </c>
      <c r="W138" s="739"/>
      <c r="X138" s="738"/>
      <c r="Y138" s="739"/>
      <c r="Z138" s="738"/>
      <c r="AA138" s="823">
        <v>16</v>
      </c>
    </row>
    <row r="139" spans="1:27" ht="14.25">
      <c r="A139" s="735" t="s">
        <v>3734</v>
      </c>
      <c r="B139" s="1003" t="s">
        <v>4037</v>
      </c>
      <c r="C139" s="790"/>
      <c r="D139" s="738"/>
      <c r="E139" s="737"/>
      <c r="F139" s="738"/>
      <c r="G139" s="739"/>
      <c r="H139" s="738"/>
      <c r="I139" s="739"/>
      <c r="J139" s="738"/>
      <c r="K139" s="739"/>
      <c r="L139" s="738"/>
      <c r="M139" s="739"/>
      <c r="N139" s="738"/>
      <c r="O139" s="739"/>
      <c r="P139" s="738"/>
      <c r="Q139" s="739"/>
      <c r="R139" s="738"/>
      <c r="S139" s="739"/>
      <c r="T139" s="738"/>
      <c r="U139" s="713">
        <v>3</v>
      </c>
      <c r="V139" s="714">
        <v>2</v>
      </c>
      <c r="W139" s="739"/>
      <c r="X139" s="738"/>
      <c r="Y139" s="739"/>
      <c r="Z139" s="738"/>
      <c r="AA139" s="823">
        <v>16</v>
      </c>
    </row>
    <row r="140" spans="1:27" ht="28.5">
      <c r="A140" s="735" t="s">
        <v>3736</v>
      </c>
      <c r="B140" s="1003" t="s">
        <v>4038</v>
      </c>
      <c r="C140" s="790"/>
      <c r="D140" s="738"/>
      <c r="E140" s="737"/>
      <c r="F140" s="738">
        <v>1</v>
      </c>
      <c r="G140" s="739"/>
      <c r="H140" s="738"/>
      <c r="I140" s="739"/>
      <c r="J140" s="738"/>
      <c r="K140" s="739"/>
      <c r="L140" s="738"/>
      <c r="M140" s="739"/>
      <c r="N140" s="738"/>
      <c r="O140" s="739">
        <v>1</v>
      </c>
      <c r="P140" s="738">
        <v>1</v>
      </c>
      <c r="Q140" s="739"/>
      <c r="R140" s="738"/>
      <c r="S140" s="739"/>
      <c r="T140" s="738"/>
      <c r="U140" s="713">
        <v>1</v>
      </c>
      <c r="V140" s="714">
        <v>2</v>
      </c>
      <c r="W140" s="739"/>
      <c r="X140" s="738"/>
      <c r="Y140" s="739"/>
      <c r="Z140" s="738"/>
      <c r="AA140" s="823">
        <v>10</v>
      </c>
    </row>
    <row r="141" spans="1:27" ht="14.25">
      <c r="A141" s="735" t="s">
        <v>3738</v>
      </c>
      <c r="B141" s="1003" t="s">
        <v>4039</v>
      </c>
      <c r="C141" s="790"/>
      <c r="D141" s="738"/>
      <c r="E141" s="737"/>
      <c r="F141" s="738">
        <v>1</v>
      </c>
      <c r="G141" s="739"/>
      <c r="H141" s="738"/>
      <c r="I141" s="739"/>
      <c r="J141" s="738"/>
      <c r="K141" s="739">
        <v>1</v>
      </c>
      <c r="L141" s="738">
        <v>1</v>
      </c>
      <c r="M141" s="739">
        <v>1</v>
      </c>
      <c r="N141" s="738">
        <v>1</v>
      </c>
      <c r="O141" s="739">
        <v>1</v>
      </c>
      <c r="P141" s="738">
        <v>1</v>
      </c>
      <c r="Q141" s="739"/>
      <c r="R141" s="738"/>
      <c r="S141" s="739"/>
      <c r="T141" s="738"/>
      <c r="U141" s="713">
        <v>1</v>
      </c>
      <c r="V141" s="714">
        <v>2</v>
      </c>
      <c r="W141" s="739"/>
      <c r="X141" s="738"/>
      <c r="Y141" s="739"/>
      <c r="Z141" s="738"/>
      <c r="AA141" s="823">
        <v>10</v>
      </c>
    </row>
    <row r="142" spans="1:27" ht="14.25">
      <c r="A142" s="735" t="s">
        <v>4040</v>
      </c>
      <c r="B142" s="1003" t="s">
        <v>4041</v>
      </c>
      <c r="C142" s="790"/>
      <c r="D142" s="738"/>
      <c r="E142" s="737"/>
      <c r="F142" s="738">
        <v>1</v>
      </c>
      <c r="G142" s="739"/>
      <c r="H142" s="738"/>
      <c r="I142" s="739"/>
      <c r="J142" s="738"/>
      <c r="K142" s="739"/>
      <c r="L142" s="738"/>
      <c r="M142" s="739"/>
      <c r="N142" s="738"/>
      <c r="O142" s="739">
        <v>1</v>
      </c>
      <c r="P142" s="738">
        <v>1</v>
      </c>
      <c r="Q142" s="739"/>
      <c r="R142" s="738"/>
      <c r="S142" s="739"/>
      <c r="T142" s="738"/>
      <c r="U142" s="713">
        <v>1</v>
      </c>
      <c r="V142" s="714">
        <v>2</v>
      </c>
      <c r="W142" s="739"/>
      <c r="X142" s="738"/>
      <c r="Y142" s="739"/>
      <c r="Z142" s="738"/>
      <c r="AA142" s="823">
        <v>10</v>
      </c>
    </row>
    <row r="143" spans="1:27" ht="14.25">
      <c r="A143" s="735" t="s">
        <v>4042</v>
      </c>
      <c r="B143" s="1003" t="s">
        <v>4043</v>
      </c>
      <c r="C143" s="790"/>
      <c r="D143" s="738"/>
      <c r="E143" s="737"/>
      <c r="F143" s="738"/>
      <c r="G143" s="739"/>
      <c r="H143" s="738"/>
      <c r="I143" s="739"/>
      <c r="J143" s="738"/>
      <c r="K143" s="739"/>
      <c r="L143" s="738"/>
      <c r="M143" s="739"/>
      <c r="N143" s="738"/>
      <c r="O143" s="739">
        <v>1</v>
      </c>
      <c r="P143" s="738">
        <v>1</v>
      </c>
      <c r="Q143" s="739"/>
      <c r="R143" s="738"/>
      <c r="S143" s="739"/>
      <c r="T143" s="738"/>
      <c r="U143" s="713">
        <v>1</v>
      </c>
      <c r="V143" s="714">
        <v>2</v>
      </c>
      <c r="W143" s="739"/>
      <c r="X143" s="738"/>
      <c r="Y143" s="739"/>
      <c r="Z143" s="738"/>
      <c r="AA143" s="823">
        <v>10</v>
      </c>
    </row>
    <row r="144" spans="1:27" ht="14.25">
      <c r="A144" s="735">
        <v>3.2</v>
      </c>
      <c r="B144" s="998" t="s">
        <v>4044</v>
      </c>
      <c r="C144" s="790"/>
      <c r="D144" s="738"/>
      <c r="E144" s="737"/>
      <c r="F144" s="738"/>
      <c r="G144" s="739"/>
      <c r="H144" s="738"/>
      <c r="I144" s="739"/>
      <c r="J144" s="738"/>
      <c r="K144" s="739"/>
      <c r="L144" s="738"/>
      <c r="M144" s="739"/>
      <c r="N144" s="738"/>
      <c r="O144" s="739"/>
      <c r="P144" s="738"/>
      <c r="Q144" s="739"/>
      <c r="R144" s="738"/>
      <c r="S144" s="739"/>
      <c r="T144" s="738"/>
      <c r="U144" s="826"/>
      <c r="V144" s="827"/>
      <c r="W144" s="739"/>
      <c r="X144" s="738"/>
      <c r="Y144" s="739"/>
      <c r="Z144" s="738"/>
      <c r="AA144" s="828">
        <f>SUM(AA145:AA158)</f>
        <v>251</v>
      </c>
    </row>
    <row r="145" spans="1:27" ht="14.25">
      <c r="A145" s="735" t="s">
        <v>3741</v>
      </c>
      <c r="B145" s="1003" t="s">
        <v>4045</v>
      </c>
      <c r="C145" s="790"/>
      <c r="D145" s="738"/>
      <c r="E145" s="737"/>
      <c r="F145" s="738"/>
      <c r="G145" s="739"/>
      <c r="H145" s="738"/>
      <c r="I145" s="739"/>
      <c r="J145" s="738"/>
      <c r="K145" s="739"/>
      <c r="L145" s="738"/>
      <c r="M145" s="739"/>
      <c r="N145" s="738"/>
      <c r="O145" s="739"/>
      <c r="P145" s="738"/>
      <c r="Q145" s="739"/>
      <c r="R145" s="738"/>
      <c r="S145" s="739"/>
      <c r="T145" s="738"/>
      <c r="U145" s="713">
        <v>3</v>
      </c>
      <c r="V145" s="714">
        <v>2</v>
      </c>
      <c r="W145" s="739"/>
      <c r="X145" s="738"/>
      <c r="Y145" s="739"/>
      <c r="Z145" s="738"/>
      <c r="AA145" s="823">
        <v>16</v>
      </c>
    </row>
    <row r="146" spans="1:27" ht="14.25">
      <c r="A146" s="735" t="s">
        <v>3743</v>
      </c>
      <c r="B146" s="1003" t="s">
        <v>4046</v>
      </c>
      <c r="C146" s="790"/>
      <c r="D146" s="738"/>
      <c r="E146" s="737"/>
      <c r="F146" s="738"/>
      <c r="G146" s="739"/>
      <c r="H146" s="738"/>
      <c r="I146" s="739"/>
      <c r="J146" s="738"/>
      <c r="K146" s="739"/>
      <c r="L146" s="738"/>
      <c r="M146" s="739"/>
      <c r="N146" s="738"/>
      <c r="O146" s="739"/>
      <c r="P146" s="738"/>
      <c r="Q146" s="739"/>
      <c r="R146" s="738"/>
      <c r="S146" s="739"/>
      <c r="T146" s="738"/>
      <c r="U146" s="713">
        <v>5</v>
      </c>
      <c r="V146" s="714">
        <v>2</v>
      </c>
      <c r="W146" s="739"/>
      <c r="X146" s="738"/>
      <c r="Y146" s="739"/>
      <c r="Z146" s="738"/>
      <c r="AA146" s="823">
        <v>25</v>
      </c>
    </row>
    <row r="147" spans="1:27" ht="14.25">
      <c r="A147" s="735" t="s">
        <v>3745</v>
      </c>
      <c r="B147" s="1003" t="s">
        <v>4047</v>
      </c>
      <c r="C147" s="790"/>
      <c r="D147" s="738"/>
      <c r="E147" s="737"/>
      <c r="F147" s="738"/>
      <c r="G147" s="739"/>
      <c r="H147" s="738"/>
      <c r="I147" s="739"/>
      <c r="J147" s="738"/>
      <c r="K147" s="739"/>
      <c r="L147" s="738"/>
      <c r="M147" s="739"/>
      <c r="N147" s="738"/>
      <c r="O147" s="739"/>
      <c r="P147" s="738"/>
      <c r="Q147" s="739"/>
      <c r="R147" s="738"/>
      <c r="S147" s="739"/>
      <c r="T147" s="738"/>
      <c r="U147" s="713">
        <v>5</v>
      </c>
      <c r="V147" s="714">
        <v>2</v>
      </c>
      <c r="W147" s="739"/>
      <c r="X147" s="738"/>
      <c r="Y147" s="739"/>
      <c r="Z147" s="738"/>
      <c r="AA147" s="823">
        <v>25</v>
      </c>
    </row>
    <row r="148" spans="1:27" ht="28.5">
      <c r="A148" s="735" t="s">
        <v>3747</v>
      </c>
      <c r="B148" s="1003" t="s">
        <v>4048</v>
      </c>
      <c r="C148" s="790"/>
      <c r="D148" s="738"/>
      <c r="E148" s="737"/>
      <c r="F148" s="738"/>
      <c r="G148" s="739"/>
      <c r="H148" s="738"/>
      <c r="I148" s="739"/>
      <c r="J148" s="738"/>
      <c r="K148" s="739"/>
      <c r="L148" s="738"/>
      <c r="M148" s="739"/>
      <c r="N148" s="738"/>
      <c r="O148" s="739"/>
      <c r="P148" s="738"/>
      <c r="Q148" s="739"/>
      <c r="R148" s="738"/>
      <c r="S148" s="739"/>
      <c r="T148" s="738"/>
      <c r="U148" s="713">
        <v>3</v>
      </c>
      <c r="V148" s="714">
        <v>2</v>
      </c>
      <c r="W148" s="739"/>
      <c r="X148" s="738"/>
      <c r="Y148" s="739"/>
      <c r="Z148" s="738"/>
      <c r="AA148" s="823">
        <v>16</v>
      </c>
    </row>
    <row r="149" spans="1:27" ht="28.5">
      <c r="A149" s="735" t="s">
        <v>3749</v>
      </c>
      <c r="B149" s="1003" t="s">
        <v>4049</v>
      </c>
      <c r="C149" s="790"/>
      <c r="D149" s="738"/>
      <c r="E149" s="737"/>
      <c r="F149" s="738"/>
      <c r="G149" s="739"/>
      <c r="H149" s="738"/>
      <c r="I149" s="739"/>
      <c r="J149" s="738"/>
      <c r="K149" s="739"/>
      <c r="L149" s="738"/>
      <c r="M149" s="739"/>
      <c r="N149" s="738"/>
      <c r="O149" s="739"/>
      <c r="P149" s="738"/>
      <c r="Q149" s="739"/>
      <c r="R149" s="738"/>
      <c r="S149" s="739"/>
      <c r="T149" s="738"/>
      <c r="U149" s="713">
        <v>3</v>
      </c>
      <c r="V149" s="714">
        <v>2</v>
      </c>
      <c r="W149" s="739"/>
      <c r="X149" s="738"/>
      <c r="Y149" s="739"/>
      <c r="Z149" s="738"/>
      <c r="AA149" s="823">
        <v>16</v>
      </c>
    </row>
    <row r="150" spans="1:27" ht="14.25">
      <c r="A150" s="735" t="s">
        <v>3751</v>
      </c>
      <c r="B150" s="1003" t="s">
        <v>4050</v>
      </c>
      <c r="C150" s="790"/>
      <c r="D150" s="738"/>
      <c r="E150" s="737"/>
      <c r="F150" s="738"/>
      <c r="G150" s="739"/>
      <c r="H150" s="738"/>
      <c r="I150" s="739"/>
      <c r="J150" s="738"/>
      <c r="K150" s="739"/>
      <c r="L150" s="738"/>
      <c r="M150" s="739"/>
      <c r="N150" s="738"/>
      <c r="O150" s="739"/>
      <c r="P150" s="738"/>
      <c r="Q150" s="739"/>
      <c r="R150" s="738"/>
      <c r="S150" s="739"/>
      <c r="T150" s="738"/>
      <c r="U150" s="713">
        <v>3</v>
      </c>
      <c r="V150" s="714">
        <v>2</v>
      </c>
      <c r="W150" s="739"/>
      <c r="X150" s="738"/>
      <c r="Y150" s="739"/>
      <c r="Z150" s="738"/>
      <c r="AA150" s="823">
        <v>16</v>
      </c>
    </row>
    <row r="151" spans="1:27" ht="14.25">
      <c r="A151" s="735" t="s">
        <v>3753</v>
      </c>
      <c r="B151" s="1003" t="s">
        <v>4051</v>
      </c>
      <c r="C151" s="790"/>
      <c r="D151" s="738"/>
      <c r="E151" s="737"/>
      <c r="F151" s="738"/>
      <c r="G151" s="739"/>
      <c r="H151" s="738"/>
      <c r="I151" s="739"/>
      <c r="J151" s="738"/>
      <c r="K151" s="739"/>
      <c r="L151" s="738"/>
      <c r="M151" s="739"/>
      <c r="N151" s="738"/>
      <c r="O151" s="739"/>
      <c r="P151" s="738"/>
      <c r="Q151" s="739"/>
      <c r="R151" s="738"/>
      <c r="S151" s="739"/>
      <c r="T151" s="738"/>
      <c r="U151" s="713">
        <v>3</v>
      </c>
      <c r="V151" s="714">
        <v>2</v>
      </c>
      <c r="W151" s="739"/>
      <c r="X151" s="738"/>
      <c r="Y151" s="739"/>
      <c r="Z151" s="738"/>
      <c r="AA151" s="823">
        <v>16</v>
      </c>
    </row>
    <row r="152" spans="1:27" ht="14.25">
      <c r="A152" s="735" t="s">
        <v>3755</v>
      </c>
      <c r="B152" s="1003" t="s">
        <v>4052</v>
      </c>
      <c r="C152" s="790"/>
      <c r="D152" s="738"/>
      <c r="E152" s="737"/>
      <c r="F152" s="738"/>
      <c r="G152" s="739"/>
      <c r="H152" s="738"/>
      <c r="I152" s="739"/>
      <c r="J152" s="738"/>
      <c r="K152" s="739"/>
      <c r="L152" s="738"/>
      <c r="M152" s="739"/>
      <c r="N152" s="738"/>
      <c r="O152" s="739"/>
      <c r="P152" s="738"/>
      <c r="Q152" s="739"/>
      <c r="R152" s="738"/>
      <c r="S152" s="739"/>
      <c r="T152" s="738"/>
      <c r="U152" s="713">
        <v>3</v>
      </c>
      <c r="V152" s="714">
        <v>2</v>
      </c>
      <c r="W152" s="739"/>
      <c r="X152" s="738"/>
      <c r="Y152" s="739"/>
      <c r="Z152" s="738"/>
      <c r="AA152" s="823">
        <v>16</v>
      </c>
    </row>
    <row r="153" spans="1:27" ht="14.25">
      <c r="A153" s="735" t="s">
        <v>3757</v>
      </c>
      <c r="B153" s="1003" t="s">
        <v>4053</v>
      </c>
      <c r="C153" s="790"/>
      <c r="D153" s="738"/>
      <c r="E153" s="737"/>
      <c r="F153" s="738"/>
      <c r="G153" s="739"/>
      <c r="H153" s="738"/>
      <c r="I153" s="739"/>
      <c r="J153" s="738"/>
      <c r="K153" s="739"/>
      <c r="L153" s="738"/>
      <c r="M153" s="739"/>
      <c r="N153" s="738"/>
      <c r="O153" s="739"/>
      <c r="P153" s="738"/>
      <c r="Q153" s="739"/>
      <c r="R153" s="738"/>
      <c r="S153" s="739"/>
      <c r="T153" s="738"/>
      <c r="U153" s="713">
        <v>3</v>
      </c>
      <c r="V153" s="714">
        <v>2</v>
      </c>
      <c r="W153" s="739"/>
      <c r="X153" s="738"/>
      <c r="Y153" s="739"/>
      <c r="Z153" s="738"/>
      <c r="AA153" s="823">
        <v>16</v>
      </c>
    </row>
    <row r="154" spans="1:27" ht="14.25">
      <c r="A154" s="735" t="s">
        <v>3759</v>
      </c>
      <c r="B154" s="1003" t="s">
        <v>4054</v>
      </c>
      <c r="C154" s="790"/>
      <c r="D154" s="738"/>
      <c r="E154" s="737"/>
      <c r="F154" s="738"/>
      <c r="G154" s="739"/>
      <c r="H154" s="738"/>
      <c r="I154" s="739"/>
      <c r="J154" s="738"/>
      <c r="K154" s="739"/>
      <c r="L154" s="738"/>
      <c r="M154" s="739"/>
      <c r="N154" s="738"/>
      <c r="O154" s="739"/>
      <c r="P154" s="738"/>
      <c r="Q154" s="739"/>
      <c r="R154" s="738"/>
      <c r="S154" s="739"/>
      <c r="T154" s="738"/>
      <c r="U154" s="713">
        <v>3</v>
      </c>
      <c r="V154" s="714">
        <v>2</v>
      </c>
      <c r="W154" s="739"/>
      <c r="X154" s="738"/>
      <c r="Y154" s="739"/>
      <c r="Z154" s="738"/>
      <c r="AA154" s="823">
        <v>16</v>
      </c>
    </row>
    <row r="155" spans="1:27" ht="14.25">
      <c r="A155" s="735" t="s">
        <v>3761</v>
      </c>
      <c r="B155" s="1003" t="s">
        <v>4055</v>
      </c>
      <c r="C155" s="790"/>
      <c r="D155" s="738"/>
      <c r="E155" s="737"/>
      <c r="F155" s="738"/>
      <c r="G155" s="739"/>
      <c r="H155" s="738"/>
      <c r="I155" s="739"/>
      <c r="J155" s="738"/>
      <c r="K155" s="739"/>
      <c r="L155" s="738"/>
      <c r="M155" s="739"/>
      <c r="N155" s="738"/>
      <c r="O155" s="739"/>
      <c r="P155" s="738"/>
      <c r="Q155" s="739"/>
      <c r="R155" s="738"/>
      <c r="S155" s="739"/>
      <c r="T155" s="738"/>
      <c r="U155" s="713">
        <v>3</v>
      </c>
      <c r="V155" s="714">
        <v>2</v>
      </c>
      <c r="W155" s="739"/>
      <c r="X155" s="738"/>
      <c r="Y155" s="739"/>
      <c r="Z155" s="738"/>
      <c r="AA155" s="823">
        <v>16</v>
      </c>
    </row>
    <row r="156" spans="1:27" ht="14.25">
      <c r="A156" s="735" t="s">
        <v>3763</v>
      </c>
      <c r="B156" s="1003" t="s">
        <v>4056</v>
      </c>
      <c r="C156" s="790"/>
      <c r="D156" s="738"/>
      <c r="E156" s="737"/>
      <c r="F156" s="738"/>
      <c r="G156" s="739"/>
      <c r="H156" s="738"/>
      <c r="I156" s="739"/>
      <c r="J156" s="738"/>
      <c r="K156" s="739"/>
      <c r="L156" s="738"/>
      <c r="M156" s="739"/>
      <c r="N156" s="738"/>
      <c r="O156" s="739"/>
      <c r="P156" s="738"/>
      <c r="Q156" s="739"/>
      <c r="R156" s="738"/>
      <c r="S156" s="739"/>
      <c r="T156" s="738"/>
      <c r="U156" s="713">
        <v>3</v>
      </c>
      <c r="V156" s="714">
        <v>2</v>
      </c>
      <c r="W156" s="739"/>
      <c r="X156" s="738"/>
      <c r="Y156" s="739"/>
      <c r="Z156" s="738"/>
      <c r="AA156" s="823">
        <v>16</v>
      </c>
    </row>
    <row r="157" spans="1:27" ht="14.25">
      <c r="A157" s="735" t="s">
        <v>3765</v>
      </c>
      <c r="B157" s="1003" t="s">
        <v>4057</v>
      </c>
      <c r="C157" s="790"/>
      <c r="D157" s="738"/>
      <c r="E157" s="737"/>
      <c r="F157" s="738"/>
      <c r="G157" s="739"/>
      <c r="H157" s="738"/>
      <c r="I157" s="739"/>
      <c r="J157" s="738"/>
      <c r="K157" s="739"/>
      <c r="L157" s="738"/>
      <c r="M157" s="739"/>
      <c r="N157" s="738"/>
      <c r="O157" s="739"/>
      <c r="P157" s="738"/>
      <c r="Q157" s="739"/>
      <c r="R157" s="738"/>
      <c r="S157" s="739"/>
      <c r="T157" s="738"/>
      <c r="U157" s="713">
        <v>5</v>
      </c>
      <c r="V157" s="714">
        <v>2</v>
      </c>
      <c r="W157" s="739"/>
      <c r="X157" s="738"/>
      <c r="Y157" s="739"/>
      <c r="Z157" s="738"/>
      <c r="AA157" s="823">
        <v>25</v>
      </c>
    </row>
    <row r="158" spans="1:27" ht="14.25">
      <c r="A158" s="735" t="s">
        <v>3767</v>
      </c>
      <c r="B158" s="1003" t="s">
        <v>4058</v>
      </c>
      <c r="C158" s="790"/>
      <c r="D158" s="738"/>
      <c r="E158" s="737"/>
      <c r="F158" s="738"/>
      <c r="G158" s="739"/>
      <c r="H158" s="738"/>
      <c r="I158" s="739"/>
      <c r="J158" s="738"/>
      <c r="K158" s="739"/>
      <c r="L158" s="738"/>
      <c r="M158" s="739"/>
      <c r="N158" s="738"/>
      <c r="O158" s="739"/>
      <c r="P158" s="738"/>
      <c r="Q158" s="739"/>
      <c r="R158" s="738"/>
      <c r="S158" s="739"/>
      <c r="T158" s="738"/>
      <c r="U158" s="713">
        <v>3</v>
      </c>
      <c r="V158" s="714">
        <v>2</v>
      </c>
      <c r="W158" s="739"/>
      <c r="X158" s="738"/>
      <c r="Y158" s="739"/>
      <c r="Z158" s="738"/>
      <c r="AA158" s="823">
        <v>16</v>
      </c>
    </row>
    <row r="159" spans="1:27" ht="14.25">
      <c r="A159" s="735" t="s">
        <v>3769</v>
      </c>
      <c r="B159" s="1003" t="s">
        <v>4059</v>
      </c>
      <c r="C159" s="790"/>
      <c r="D159" s="738"/>
      <c r="E159" s="737"/>
      <c r="F159" s="738">
        <v>1</v>
      </c>
      <c r="G159" s="739"/>
      <c r="H159" s="738"/>
      <c r="I159" s="739"/>
      <c r="J159" s="738"/>
      <c r="K159" s="739">
        <v>1</v>
      </c>
      <c r="L159" s="738">
        <v>1</v>
      </c>
      <c r="M159" s="739">
        <v>1</v>
      </c>
      <c r="N159" s="738">
        <v>1</v>
      </c>
      <c r="O159" s="739">
        <v>1</v>
      </c>
      <c r="P159" s="738">
        <v>1</v>
      </c>
      <c r="Q159" s="739"/>
      <c r="R159" s="738"/>
      <c r="S159" s="739"/>
      <c r="T159" s="738"/>
      <c r="U159" s="713">
        <v>1</v>
      </c>
      <c r="V159" s="714">
        <v>2</v>
      </c>
      <c r="W159" s="739"/>
      <c r="X159" s="738"/>
      <c r="Y159" s="739"/>
      <c r="Z159" s="738"/>
      <c r="AA159" s="823">
        <v>10</v>
      </c>
    </row>
    <row r="160" spans="1:27" ht="14.25">
      <c r="A160" s="735" t="s">
        <v>4060</v>
      </c>
      <c r="B160" s="1003" t="s">
        <v>4061</v>
      </c>
      <c r="C160" s="790"/>
      <c r="D160" s="738"/>
      <c r="E160" s="737"/>
      <c r="F160" s="738">
        <v>1</v>
      </c>
      <c r="G160" s="739"/>
      <c r="H160" s="738"/>
      <c r="I160" s="739"/>
      <c r="J160" s="738"/>
      <c r="K160" s="739">
        <v>1</v>
      </c>
      <c r="L160" s="738">
        <v>1</v>
      </c>
      <c r="M160" s="739">
        <v>1</v>
      </c>
      <c r="N160" s="738">
        <v>1</v>
      </c>
      <c r="O160" s="739">
        <v>1</v>
      </c>
      <c r="P160" s="738">
        <v>1</v>
      </c>
      <c r="Q160" s="739"/>
      <c r="R160" s="738"/>
      <c r="S160" s="739"/>
      <c r="T160" s="738"/>
      <c r="U160" s="713">
        <v>1</v>
      </c>
      <c r="V160" s="714">
        <v>2</v>
      </c>
      <c r="W160" s="739"/>
      <c r="X160" s="738"/>
      <c r="Y160" s="739"/>
      <c r="Z160" s="738"/>
      <c r="AA160" s="823">
        <v>10</v>
      </c>
    </row>
    <row r="161" spans="1:27" ht="14.25">
      <c r="A161" s="735" t="s">
        <v>4062</v>
      </c>
      <c r="B161" s="1003" t="s">
        <v>4063</v>
      </c>
      <c r="C161" s="790"/>
      <c r="D161" s="738"/>
      <c r="E161" s="737"/>
      <c r="F161" s="738">
        <v>1</v>
      </c>
      <c r="G161" s="739"/>
      <c r="H161" s="738"/>
      <c r="I161" s="739"/>
      <c r="J161" s="738"/>
      <c r="K161" s="739">
        <v>1</v>
      </c>
      <c r="L161" s="738">
        <v>1</v>
      </c>
      <c r="M161" s="739">
        <v>1</v>
      </c>
      <c r="N161" s="738">
        <v>1</v>
      </c>
      <c r="O161" s="739">
        <v>1</v>
      </c>
      <c r="P161" s="738">
        <v>1</v>
      </c>
      <c r="Q161" s="739"/>
      <c r="R161" s="738"/>
      <c r="S161" s="739"/>
      <c r="T161" s="738"/>
      <c r="U161" s="713">
        <v>1</v>
      </c>
      <c r="V161" s="714">
        <v>2</v>
      </c>
      <c r="W161" s="739"/>
      <c r="X161" s="738"/>
      <c r="Y161" s="739"/>
      <c r="Z161" s="738"/>
      <c r="AA161" s="823">
        <v>10</v>
      </c>
    </row>
    <row r="162" spans="1:27" ht="14.25">
      <c r="A162" s="735" t="s">
        <v>4064</v>
      </c>
      <c r="B162" s="1003" t="s">
        <v>4065</v>
      </c>
      <c r="C162" s="790"/>
      <c r="D162" s="738"/>
      <c r="E162" s="737"/>
      <c r="F162" s="738">
        <v>1</v>
      </c>
      <c r="G162" s="739"/>
      <c r="H162" s="738"/>
      <c r="I162" s="739"/>
      <c r="J162" s="738"/>
      <c r="K162" s="739">
        <v>1</v>
      </c>
      <c r="L162" s="738">
        <v>1</v>
      </c>
      <c r="M162" s="739">
        <v>1</v>
      </c>
      <c r="N162" s="738">
        <v>1</v>
      </c>
      <c r="O162" s="739">
        <v>1</v>
      </c>
      <c r="P162" s="738">
        <v>1</v>
      </c>
      <c r="Q162" s="739"/>
      <c r="R162" s="738"/>
      <c r="S162" s="739"/>
      <c r="T162" s="738"/>
      <c r="U162" s="713">
        <v>1</v>
      </c>
      <c r="V162" s="714">
        <v>2</v>
      </c>
      <c r="W162" s="739"/>
      <c r="X162" s="738"/>
      <c r="Y162" s="739"/>
      <c r="Z162" s="738"/>
      <c r="AA162" s="823">
        <v>10</v>
      </c>
    </row>
    <row r="163" spans="1:27" ht="14.25">
      <c r="A163" s="735" t="s">
        <v>4066</v>
      </c>
      <c r="B163" s="1003" t="s">
        <v>4067</v>
      </c>
      <c r="C163" s="790"/>
      <c r="D163" s="738"/>
      <c r="E163" s="737"/>
      <c r="F163" s="738">
        <v>1</v>
      </c>
      <c r="G163" s="739"/>
      <c r="H163" s="738"/>
      <c r="I163" s="739"/>
      <c r="J163" s="738"/>
      <c r="K163" s="739">
        <v>1</v>
      </c>
      <c r="L163" s="738">
        <v>1</v>
      </c>
      <c r="M163" s="739">
        <v>1</v>
      </c>
      <c r="N163" s="738">
        <v>1</v>
      </c>
      <c r="O163" s="739">
        <v>1</v>
      </c>
      <c r="P163" s="738">
        <v>1</v>
      </c>
      <c r="Q163" s="739"/>
      <c r="R163" s="738"/>
      <c r="S163" s="739"/>
      <c r="T163" s="738"/>
      <c r="U163" s="713">
        <v>1</v>
      </c>
      <c r="V163" s="714">
        <v>2</v>
      </c>
      <c r="W163" s="739"/>
      <c r="X163" s="738"/>
      <c r="Y163" s="739"/>
      <c r="Z163" s="738"/>
      <c r="AA163" s="823">
        <v>10</v>
      </c>
    </row>
    <row r="164" spans="1:27" ht="14.25">
      <c r="A164" s="735" t="s">
        <v>4068</v>
      </c>
      <c r="B164" s="1003" t="s">
        <v>4069</v>
      </c>
      <c r="C164" s="790"/>
      <c r="D164" s="738"/>
      <c r="E164" s="737"/>
      <c r="F164" s="738">
        <v>1</v>
      </c>
      <c r="G164" s="739"/>
      <c r="H164" s="738"/>
      <c r="I164" s="739"/>
      <c r="J164" s="738"/>
      <c r="K164" s="739">
        <v>1</v>
      </c>
      <c r="L164" s="738">
        <v>1</v>
      </c>
      <c r="M164" s="739">
        <v>1</v>
      </c>
      <c r="N164" s="738">
        <v>1</v>
      </c>
      <c r="O164" s="739">
        <v>1</v>
      </c>
      <c r="P164" s="738">
        <v>1</v>
      </c>
      <c r="Q164" s="739"/>
      <c r="R164" s="738"/>
      <c r="S164" s="739"/>
      <c r="T164" s="738"/>
      <c r="U164" s="713">
        <v>1</v>
      </c>
      <c r="V164" s="714">
        <v>2</v>
      </c>
      <c r="W164" s="739"/>
      <c r="X164" s="738"/>
      <c r="Y164" s="739"/>
      <c r="Z164" s="738"/>
      <c r="AA164" s="823">
        <v>10</v>
      </c>
    </row>
    <row r="165" spans="1:27" ht="14.25">
      <c r="A165" s="735" t="s">
        <v>4070</v>
      </c>
      <c r="B165" s="1003" t="s">
        <v>4071</v>
      </c>
      <c r="C165" s="790"/>
      <c r="D165" s="738"/>
      <c r="E165" s="737"/>
      <c r="F165" s="738">
        <v>1</v>
      </c>
      <c r="G165" s="739"/>
      <c r="H165" s="738"/>
      <c r="I165" s="739"/>
      <c r="J165" s="738"/>
      <c r="K165" s="739">
        <v>1</v>
      </c>
      <c r="L165" s="738">
        <v>1</v>
      </c>
      <c r="M165" s="739">
        <v>1</v>
      </c>
      <c r="N165" s="738">
        <v>1</v>
      </c>
      <c r="O165" s="739">
        <v>1</v>
      </c>
      <c r="P165" s="738">
        <v>1</v>
      </c>
      <c r="Q165" s="739"/>
      <c r="R165" s="738"/>
      <c r="S165" s="739"/>
      <c r="T165" s="738"/>
      <c r="U165" s="713">
        <v>1</v>
      </c>
      <c r="V165" s="714">
        <v>2</v>
      </c>
      <c r="W165" s="739"/>
      <c r="X165" s="738"/>
      <c r="Y165" s="739"/>
      <c r="Z165" s="738"/>
      <c r="AA165" s="823">
        <v>10</v>
      </c>
    </row>
    <row r="166" spans="1:27" ht="14.25">
      <c r="A166" s="735" t="s">
        <v>4072</v>
      </c>
      <c r="B166" s="1003" t="s">
        <v>4073</v>
      </c>
      <c r="C166" s="790"/>
      <c r="D166" s="738"/>
      <c r="E166" s="737"/>
      <c r="F166" s="738">
        <v>1</v>
      </c>
      <c r="G166" s="739"/>
      <c r="H166" s="738"/>
      <c r="I166" s="739"/>
      <c r="J166" s="738"/>
      <c r="K166" s="739">
        <v>1</v>
      </c>
      <c r="L166" s="738">
        <v>1</v>
      </c>
      <c r="M166" s="739">
        <v>1</v>
      </c>
      <c r="N166" s="738">
        <v>1</v>
      </c>
      <c r="O166" s="739">
        <v>1</v>
      </c>
      <c r="P166" s="738">
        <v>1</v>
      </c>
      <c r="Q166" s="739"/>
      <c r="R166" s="738"/>
      <c r="S166" s="739"/>
      <c r="T166" s="738"/>
      <c r="U166" s="713">
        <v>1</v>
      </c>
      <c r="V166" s="714">
        <v>2</v>
      </c>
      <c r="W166" s="739"/>
      <c r="X166" s="738"/>
      <c r="Y166" s="739"/>
      <c r="Z166" s="738"/>
      <c r="AA166" s="823">
        <v>10</v>
      </c>
    </row>
    <row r="167" spans="1:27" ht="14.25">
      <c r="A167" s="735" t="s">
        <v>4074</v>
      </c>
      <c r="B167" s="1003" t="s">
        <v>4075</v>
      </c>
      <c r="C167" s="790"/>
      <c r="D167" s="738"/>
      <c r="E167" s="737"/>
      <c r="F167" s="738">
        <v>1</v>
      </c>
      <c r="G167" s="739"/>
      <c r="H167" s="738"/>
      <c r="I167" s="739"/>
      <c r="J167" s="738"/>
      <c r="K167" s="739">
        <v>1</v>
      </c>
      <c r="L167" s="738">
        <v>1</v>
      </c>
      <c r="M167" s="739">
        <v>1</v>
      </c>
      <c r="N167" s="738">
        <v>1</v>
      </c>
      <c r="O167" s="739">
        <v>1</v>
      </c>
      <c r="P167" s="738">
        <v>1</v>
      </c>
      <c r="Q167" s="739"/>
      <c r="R167" s="738"/>
      <c r="S167" s="739"/>
      <c r="T167" s="738"/>
      <c r="U167" s="713">
        <v>1</v>
      </c>
      <c r="V167" s="714">
        <v>2</v>
      </c>
      <c r="W167" s="739"/>
      <c r="X167" s="738"/>
      <c r="Y167" s="739"/>
      <c r="Z167" s="738"/>
      <c r="AA167" s="823">
        <v>10</v>
      </c>
    </row>
    <row r="168" spans="1:27" ht="14.25">
      <c r="A168" s="735">
        <v>3.3</v>
      </c>
      <c r="B168" s="998" t="s">
        <v>4076</v>
      </c>
      <c r="C168" s="790"/>
      <c r="D168" s="738"/>
      <c r="E168" s="737"/>
      <c r="F168" s="738"/>
      <c r="G168" s="739"/>
      <c r="H168" s="738"/>
      <c r="I168" s="739"/>
      <c r="J168" s="738"/>
      <c r="K168" s="739"/>
      <c r="L168" s="738"/>
      <c r="M168" s="739"/>
      <c r="N168" s="738"/>
      <c r="O168" s="739"/>
      <c r="P168" s="738"/>
      <c r="Q168" s="739"/>
      <c r="R168" s="738"/>
      <c r="S168" s="739"/>
      <c r="T168" s="738"/>
      <c r="U168" s="713"/>
      <c r="V168" s="714"/>
      <c r="W168" s="739"/>
      <c r="X168" s="738"/>
      <c r="Y168" s="739"/>
      <c r="Z168" s="738"/>
      <c r="AA168" s="823"/>
    </row>
    <row r="169" spans="1:27" ht="14.25">
      <c r="A169" s="735" t="s">
        <v>4077</v>
      </c>
      <c r="B169" s="1004" t="s">
        <v>4078</v>
      </c>
      <c r="C169" s="790"/>
      <c r="D169" s="738"/>
      <c r="E169" s="737"/>
      <c r="F169" s="738"/>
      <c r="G169" s="739"/>
      <c r="H169" s="738"/>
      <c r="I169" s="739"/>
      <c r="J169" s="738"/>
      <c r="K169" s="739"/>
      <c r="L169" s="738"/>
      <c r="M169" s="739"/>
      <c r="N169" s="738"/>
      <c r="O169" s="739"/>
      <c r="P169" s="738"/>
      <c r="Q169" s="739"/>
      <c r="R169" s="738"/>
      <c r="S169" s="739"/>
      <c r="T169" s="738"/>
      <c r="U169" s="713"/>
      <c r="V169" s="714"/>
      <c r="W169" s="739"/>
      <c r="X169" s="738"/>
      <c r="Y169" s="739"/>
      <c r="Z169" s="738"/>
      <c r="AA169" s="823">
        <f>SUM(AA170:AA171)</f>
        <v>24</v>
      </c>
    </row>
    <row r="170" spans="1:27" ht="28.5">
      <c r="A170" s="735" t="s">
        <v>4079</v>
      </c>
      <c r="B170" s="1005" t="s">
        <v>4080</v>
      </c>
      <c r="C170" s="790"/>
      <c r="D170" s="738"/>
      <c r="E170" s="737"/>
      <c r="F170" s="738"/>
      <c r="G170" s="739"/>
      <c r="H170" s="738"/>
      <c r="I170" s="739"/>
      <c r="J170" s="738"/>
      <c r="K170" s="739"/>
      <c r="L170" s="738"/>
      <c r="M170" s="739"/>
      <c r="N170" s="738"/>
      <c r="O170" s="739"/>
      <c r="P170" s="738"/>
      <c r="Q170" s="739"/>
      <c r="R170" s="738"/>
      <c r="S170" s="739"/>
      <c r="T170" s="738"/>
      <c r="U170" s="713">
        <v>2</v>
      </c>
      <c r="V170" s="714"/>
      <c r="W170" s="739"/>
      <c r="X170" s="738"/>
      <c r="Y170" s="739"/>
      <c r="Z170" s="738"/>
      <c r="AA170" s="823">
        <v>12</v>
      </c>
    </row>
    <row r="171" spans="1:27" ht="14.25">
      <c r="A171" s="735" t="s">
        <v>4081</v>
      </c>
      <c r="B171" s="1005" t="s">
        <v>4082</v>
      </c>
      <c r="C171" s="790"/>
      <c r="D171" s="738"/>
      <c r="E171" s="737"/>
      <c r="F171" s="738"/>
      <c r="G171" s="739"/>
      <c r="H171" s="738"/>
      <c r="I171" s="739"/>
      <c r="J171" s="738"/>
      <c r="K171" s="739"/>
      <c r="L171" s="738"/>
      <c r="M171" s="739"/>
      <c r="N171" s="738"/>
      <c r="O171" s="739"/>
      <c r="P171" s="738"/>
      <c r="Q171" s="739"/>
      <c r="R171" s="738"/>
      <c r="S171" s="739"/>
      <c r="T171" s="738"/>
      <c r="U171" s="713">
        <v>2</v>
      </c>
      <c r="V171" s="714"/>
      <c r="W171" s="739"/>
      <c r="X171" s="738"/>
      <c r="Y171" s="739"/>
      <c r="Z171" s="738"/>
      <c r="AA171" s="823">
        <v>12</v>
      </c>
    </row>
    <row r="172" spans="1:27" ht="28.5">
      <c r="A172" s="1006" t="s">
        <v>4083</v>
      </c>
      <c r="B172" s="1004" t="s">
        <v>4084</v>
      </c>
      <c r="C172" s="790"/>
      <c r="D172" s="738"/>
      <c r="E172" s="737"/>
      <c r="F172" s="738"/>
      <c r="G172" s="739"/>
      <c r="H172" s="738"/>
      <c r="I172" s="739"/>
      <c r="J172" s="738"/>
      <c r="K172" s="739"/>
      <c r="L172" s="738"/>
      <c r="M172" s="739"/>
      <c r="N172" s="738"/>
      <c r="O172" s="739"/>
      <c r="P172" s="738"/>
      <c r="Q172" s="739"/>
      <c r="R172" s="738"/>
      <c r="S172" s="739"/>
      <c r="T172" s="738"/>
      <c r="U172" s="713">
        <v>4</v>
      </c>
      <c r="V172" s="714">
        <v>2</v>
      </c>
      <c r="W172" s="739"/>
      <c r="X172" s="738"/>
      <c r="Y172" s="739"/>
      <c r="Z172" s="738"/>
      <c r="AA172" s="823">
        <v>25</v>
      </c>
    </row>
    <row r="173" spans="1:27" ht="14.25">
      <c r="A173" s="1006" t="s">
        <v>4085</v>
      </c>
      <c r="B173" s="1004" t="s">
        <v>4086</v>
      </c>
      <c r="C173" s="790"/>
      <c r="D173" s="738"/>
      <c r="E173" s="737"/>
      <c r="F173" s="738"/>
      <c r="G173" s="739"/>
      <c r="H173" s="738"/>
      <c r="I173" s="739"/>
      <c r="J173" s="738"/>
      <c r="K173" s="739"/>
      <c r="L173" s="738"/>
      <c r="M173" s="739"/>
      <c r="N173" s="738"/>
      <c r="O173" s="739"/>
      <c r="P173" s="738"/>
      <c r="Q173" s="739"/>
      <c r="R173" s="738"/>
      <c r="S173" s="739"/>
      <c r="T173" s="738"/>
      <c r="U173" s="713">
        <f t="shared" ref="U173:V173" si="5">SUM(U174:U175)</f>
        <v>8</v>
      </c>
      <c r="V173" s="714">
        <f t="shared" si="5"/>
        <v>4</v>
      </c>
      <c r="W173" s="739"/>
      <c r="X173" s="738"/>
      <c r="Y173" s="739"/>
      <c r="Z173" s="738"/>
      <c r="AA173" s="823">
        <f>SUM(AA174:AA175)</f>
        <v>40</v>
      </c>
    </row>
    <row r="174" spans="1:27" ht="28.5">
      <c r="A174" s="1006" t="s">
        <v>4087</v>
      </c>
      <c r="B174" s="1005" t="s">
        <v>4088</v>
      </c>
      <c r="C174" s="790"/>
      <c r="D174" s="738"/>
      <c r="E174" s="737"/>
      <c r="F174" s="738"/>
      <c r="G174" s="739"/>
      <c r="H174" s="738"/>
      <c r="I174" s="739"/>
      <c r="J174" s="738"/>
      <c r="K174" s="739"/>
      <c r="L174" s="738"/>
      <c r="M174" s="739"/>
      <c r="N174" s="738"/>
      <c r="O174" s="739"/>
      <c r="P174" s="738"/>
      <c r="Q174" s="739"/>
      <c r="R174" s="738"/>
      <c r="S174" s="739"/>
      <c r="T174" s="738"/>
      <c r="U174" s="713">
        <v>4</v>
      </c>
      <c r="V174" s="714">
        <v>2</v>
      </c>
      <c r="W174" s="739"/>
      <c r="X174" s="738"/>
      <c r="Y174" s="739"/>
      <c r="Z174" s="738"/>
      <c r="AA174" s="823">
        <v>20</v>
      </c>
    </row>
    <row r="175" spans="1:27" ht="28.5">
      <c r="A175" s="1006" t="s">
        <v>4089</v>
      </c>
      <c r="B175" s="1007" t="s">
        <v>4090</v>
      </c>
      <c r="C175" s="790"/>
      <c r="D175" s="738"/>
      <c r="E175" s="737"/>
      <c r="F175" s="738"/>
      <c r="G175" s="739"/>
      <c r="H175" s="738"/>
      <c r="I175" s="739"/>
      <c r="J175" s="738"/>
      <c r="K175" s="739"/>
      <c r="L175" s="738"/>
      <c r="M175" s="739"/>
      <c r="N175" s="738"/>
      <c r="O175" s="739"/>
      <c r="P175" s="738"/>
      <c r="Q175" s="739"/>
      <c r="R175" s="738"/>
      <c r="S175" s="739"/>
      <c r="T175" s="738"/>
      <c r="U175" s="713">
        <v>4</v>
      </c>
      <c r="V175" s="714">
        <v>2</v>
      </c>
      <c r="W175" s="739"/>
      <c r="X175" s="738"/>
      <c r="Y175" s="739"/>
      <c r="Z175" s="738"/>
      <c r="AA175" s="823">
        <v>20</v>
      </c>
    </row>
    <row r="176" spans="1:27" ht="14.25">
      <c r="A176" s="1006" t="s">
        <v>4091</v>
      </c>
      <c r="B176" s="1004" t="s">
        <v>4092</v>
      </c>
      <c r="C176" s="790"/>
      <c r="D176" s="738"/>
      <c r="E176" s="737"/>
      <c r="F176" s="738"/>
      <c r="G176" s="739"/>
      <c r="H176" s="738"/>
      <c r="I176" s="739"/>
      <c r="J176" s="738"/>
      <c r="K176" s="739"/>
      <c r="L176" s="738"/>
      <c r="M176" s="739"/>
      <c r="N176" s="738"/>
      <c r="O176" s="739"/>
      <c r="P176" s="738"/>
      <c r="Q176" s="739"/>
      <c r="R176" s="738"/>
      <c r="S176" s="739"/>
      <c r="T176" s="738"/>
      <c r="U176" s="713">
        <v>3</v>
      </c>
      <c r="V176" s="714">
        <v>2</v>
      </c>
      <c r="W176" s="739"/>
      <c r="X176" s="738"/>
      <c r="Y176" s="739"/>
      <c r="Z176" s="738"/>
      <c r="AA176" s="823">
        <v>16</v>
      </c>
    </row>
    <row r="177" spans="1:27" ht="14.25">
      <c r="A177" s="1006" t="s">
        <v>4093</v>
      </c>
      <c r="B177" s="1004" t="s">
        <v>4094</v>
      </c>
      <c r="C177" s="790"/>
      <c r="D177" s="738"/>
      <c r="E177" s="737"/>
      <c r="F177" s="738"/>
      <c r="G177" s="739"/>
      <c r="H177" s="738"/>
      <c r="I177" s="739"/>
      <c r="J177" s="738"/>
      <c r="K177" s="739"/>
      <c r="L177" s="738"/>
      <c r="M177" s="739"/>
      <c r="N177" s="738"/>
      <c r="O177" s="739"/>
      <c r="P177" s="738"/>
      <c r="Q177" s="739"/>
      <c r="R177" s="738"/>
      <c r="S177" s="739"/>
      <c r="T177" s="738"/>
      <c r="U177" s="713">
        <f t="shared" ref="U177:V177" si="6">SUM(U178:U180)</f>
        <v>11</v>
      </c>
      <c r="V177" s="714">
        <f t="shared" si="6"/>
        <v>4</v>
      </c>
      <c r="W177" s="739"/>
      <c r="X177" s="738"/>
      <c r="Y177" s="739"/>
      <c r="Z177" s="738"/>
      <c r="AA177" s="823">
        <f>SUM(AA178:AA180)</f>
        <v>50</v>
      </c>
    </row>
    <row r="178" spans="1:27" ht="14.25">
      <c r="A178" s="1006" t="s">
        <v>4095</v>
      </c>
      <c r="B178" s="1005" t="s">
        <v>4096</v>
      </c>
      <c r="C178" s="790"/>
      <c r="D178" s="738"/>
      <c r="E178" s="737"/>
      <c r="F178" s="738"/>
      <c r="G178" s="739"/>
      <c r="H178" s="738"/>
      <c r="I178" s="739"/>
      <c r="J178" s="738"/>
      <c r="K178" s="739"/>
      <c r="L178" s="738"/>
      <c r="M178" s="739"/>
      <c r="N178" s="738"/>
      <c r="O178" s="739"/>
      <c r="P178" s="738"/>
      <c r="Q178" s="739"/>
      <c r="R178" s="738"/>
      <c r="S178" s="739"/>
      <c r="T178" s="738"/>
      <c r="U178" s="713">
        <v>4</v>
      </c>
      <c r="V178" s="714">
        <v>2</v>
      </c>
      <c r="W178" s="739"/>
      <c r="X178" s="738"/>
      <c r="Y178" s="739"/>
      <c r="Z178" s="738"/>
      <c r="AA178" s="823">
        <v>25</v>
      </c>
    </row>
    <row r="179" spans="1:27" ht="14.25">
      <c r="A179" s="1006" t="s">
        <v>4097</v>
      </c>
      <c r="B179" s="1005" t="s">
        <v>4098</v>
      </c>
      <c r="C179" s="790"/>
      <c r="D179" s="738"/>
      <c r="E179" s="737"/>
      <c r="F179" s="738"/>
      <c r="G179" s="739"/>
      <c r="H179" s="738"/>
      <c r="I179" s="739"/>
      <c r="J179" s="738"/>
      <c r="K179" s="739"/>
      <c r="L179" s="738"/>
      <c r="M179" s="739"/>
      <c r="N179" s="738"/>
      <c r="O179" s="739"/>
      <c r="P179" s="738"/>
      <c r="Q179" s="739"/>
      <c r="R179" s="738"/>
      <c r="S179" s="739"/>
      <c r="T179" s="738"/>
      <c r="U179" s="713">
        <v>3</v>
      </c>
      <c r="V179" s="714"/>
      <c r="W179" s="739"/>
      <c r="X179" s="738"/>
      <c r="Y179" s="739"/>
      <c r="Z179" s="738"/>
      <c r="AA179" s="823">
        <v>10</v>
      </c>
    </row>
    <row r="180" spans="1:27" ht="14.25">
      <c r="A180" s="1006" t="s">
        <v>4099</v>
      </c>
      <c r="B180" s="1005" t="s">
        <v>4100</v>
      </c>
      <c r="C180" s="790"/>
      <c r="D180" s="738"/>
      <c r="E180" s="737"/>
      <c r="F180" s="738"/>
      <c r="G180" s="739"/>
      <c r="H180" s="738"/>
      <c r="I180" s="739"/>
      <c r="J180" s="738"/>
      <c r="K180" s="739"/>
      <c r="L180" s="738"/>
      <c r="M180" s="739"/>
      <c r="N180" s="738"/>
      <c r="O180" s="739"/>
      <c r="P180" s="738"/>
      <c r="Q180" s="739"/>
      <c r="R180" s="738"/>
      <c r="S180" s="739"/>
      <c r="T180" s="738"/>
      <c r="U180" s="713">
        <v>4</v>
      </c>
      <c r="V180" s="714">
        <v>2</v>
      </c>
      <c r="W180" s="739"/>
      <c r="X180" s="738"/>
      <c r="Y180" s="739"/>
      <c r="Z180" s="738"/>
      <c r="AA180" s="823">
        <v>15</v>
      </c>
    </row>
    <row r="181" spans="1:27" ht="28.5">
      <c r="A181" s="1006" t="s">
        <v>4101</v>
      </c>
      <c r="B181" s="1004" t="s">
        <v>4102</v>
      </c>
      <c r="C181" s="790"/>
      <c r="D181" s="738"/>
      <c r="E181" s="737"/>
      <c r="F181" s="738"/>
      <c r="G181" s="739"/>
      <c r="H181" s="738"/>
      <c r="I181" s="739"/>
      <c r="J181" s="738"/>
      <c r="K181" s="739"/>
      <c r="L181" s="738"/>
      <c r="M181" s="739"/>
      <c r="N181" s="738"/>
      <c r="O181" s="739"/>
      <c r="P181" s="738"/>
      <c r="Q181" s="739"/>
      <c r="R181" s="738"/>
      <c r="S181" s="739"/>
      <c r="T181" s="738"/>
      <c r="U181" s="713">
        <v>4</v>
      </c>
      <c r="V181" s="714">
        <v>2</v>
      </c>
      <c r="W181" s="739"/>
      <c r="X181" s="738"/>
      <c r="Y181" s="739"/>
      <c r="Z181" s="738"/>
      <c r="AA181" s="823">
        <v>25</v>
      </c>
    </row>
    <row r="182" spans="1:27" ht="14.25">
      <c r="A182" s="1006" t="s">
        <v>4103</v>
      </c>
      <c r="B182" s="1004" t="s">
        <v>4104</v>
      </c>
      <c r="C182" s="790"/>
      <c r="D182" s="738"/>
      <c r="E182" s="737"/>
      <c r="F182" s="738"/>
      <c r="G182" s="739"/>
      <c r="H182" s="738"/>
      <c r="I182" s="739"/>
      <c r="J182" s="738"/>
      <c r="K182" s="739"/>
      <c r="L182" s="738"/>
      <c r="M182" s="739"/>
      <c r="N182" s="738"/>
      <c r="O182" s="739"/>
      <c r="P182" s="738"/>
      <c r="Q182" s="739"/>
      <c r="R182" s="738"/>
      <c r="S182" s="739"/>
      <c r="T182" s="738"/>
      <c r="U182" s="713">
        <f t="shared" ref="U182:V182" si="7">SUM(U183:U184)</f>
        <v>6</v>
      </c>
      <c r="V182" s="714">
        <f t="shared" si="7"/>
        <v>4</v>
      </c>
      <c r="W182" s="739"/>
      <c r="X182" s="738"/>
      <c r="Y182" s="739"/>
      <c r="Z182" s="738"/>
      <c r="AA182" s="823">
        <f>SUM(AA183:AA184)</f>
        <v>36</v>
      </c>
    </row>
    <row r="183" spans="1:27" ht="14.25">
      <c r="A183" s="1006" t="s">
        <v>4105</v>
      </c>
      <c r="B183" s="1005" t="s">
        <v>4106</v>
      </c>
      <c r="C183" s="790"/>
      <c r="D183" s="738"/>
      <c r="E183" s="737"/>
      <c r="F183" s="738"/>
      <c r="G183" s="739"/>
      <c r="H183" s="738"/>
      <c r="I183" s="739"/>
      <c r="J183" s="738"/>
      <c r="K183" s="739"/>
      <c r="L183" s="738"/>
      <c r="M183" s="739"/>
      <c r="N183" s="738"/>
      <c r="O183" s="739"/>
      <c r="P183" s="738"/>
      <c r="Q183" s="739"/>
      <c r="R183" s="738"/>
      <c r="S183" s="739"/>
      <c r="T183" s="738"/>
      <c r="U183" s="713">
        <v>3</v>
      </c>
      <c r="V183" s="714">
        <v>2</v>
      </c>
      <c r="W183" s="739"/>
      <c r="X183" s="738"/>
      <c r="Y183" s="739"/>
      <c r="Z183" s="738"/>
      <c r="AA183" s="823">
        <v>16</v>
      </c>
    </row>
    <row r="184" spans="1:27" ht="14.25">
      <c r="A184" s="1006" t="s">
        <v>4107</v>
      </c>
      <c r="B184" s="1005" t="s">
        <v>4108</v>
      </c>
      <c r="C184" s="790"/>
      <c r="D184" s="738"/>
      <c r="E184" s="737"/>
      <c r="F184" s="738"/>
      <c r="G184" s="739"/>
      <c r="H184" s="738"/>
      <c r="I184" s="739"/>
      <c r="J184" s="738"/>
      <c r="K184" s="739"/>
      <c r="L184" s="738"/>
      <c r="M184" s="739"/>
      <c r="N184" s="738"/>
      <c r="O184" s="739"/>
      <c r="P184" s="738"/>
      <c r="Q184" s="739"/>
      <c r="R184" s="738"/>
      <c r="S184" s="739"/>
      <c r="T184" s="738"/>
      <c r="U184" s="713">
        <v>3</v>
      </c>
      <c r="V184" s="714">
        <v>2</v>
      </c>
      <c r="W184" s="739"/>
      <c r="X184" s="738"/>
      <c r="Y184" s="739"/>
      <c r="Z184" s="738"/>
      <c r="AA184" s="823">
        <v>20</v>
      </c>
    </row>
    <row r="185" spans="1:27" ht="14.25">
      <c r="A185" s="1006" t="s">
        <v>4109</v>
      </c>
      <c r="B185" s="1004" t="s">
        <v>4110</v>
      </c>
      <c r="C185" s="790"/>
      <c r="D185" s="738"/>
      <c r="E185" s="737"/>
      <c r="F185" s="738"/>
      <c r="G185" s="739"/>
      <c r="H185" s="738"/>
      <c r="I185" s="739"/>
      <c r="J185" s="738"/>
      <c r="K185" s="739"/>
      <c r="L185" s="738"/>
      <c r="M185" s="739"/>
      <c r="N185" s="738"/>
      <c r="O185" s="739"/>
      <c r="P185" s="738"/>
      <c r="Q185" s="739"/>
      <c r="R185" s="738"/>
      <c r="S185" s="739"/>
      <c r="T185" s="738"/>
      <c r="U185" s="713">
        <f t="shared" ref="U185:V185" si="8">SUM(U186:U193)</f>
        <v>16</v>
      </c>
      <c r="V185" s="714">
        <f t="shared" si="8"/>
        <v>0</v>
      </c>
      <c r="W185" s="739"/>
      <c r="X185" s="738"/>
      <c r="Y185" s="739"/>
      <c r="Z185" s="738"/>
      <c r="AA185" s="823">
        <f>SUM(AA186:AA193)</f>
        <v>96</v>
      </c>
    </row>
    <row r="186" spans="1:27" ht="14.25">
      <c r="A186" s="1006" t="s">
        <v>4111</v>
      </c>
      <c r="B186" s="998" t="s">
        <v>4112</v>
      </c>
      <c r="C186" s="790"/>
      <c r="D186" s="738"/>
      <c r="E186" s="737">
        <v>0.5</v>
      </c>
      <c r="F186" s="738"/>
      <c r="G186" s="739"/>
      <c r="H186" s="738"/>
      <c r="I186" s="739"/>
      <c r="J186" s="738"/>
      <c r="K186" s="739"/>
      <c r="L186" s="738"/>
      <c r="M186" s="739"/>
      <c r="N186" s="738"/>
      <c r="O186" s="739"/>
      <c r="P186" s="738"/>
      <c r="Q186" s="739"/>
      <c r="R186" s="738"/>
      <c r="S186" s="739"/>
      <c r="T186" s="738"/>
      <c r="U186" s="713">
        <v>2</v>
      </c>
      <c r="V186" s="714"/>
      <c r="W186" s="739"/>
      <c r="X186" s="738"/>
      <c r="Y186" s="739"/>
      <c r="Z186" s="738"/>
      <c r="AA186" s="823">
        <v>12</v>
      </c>
    </row>
    <row r="187" spans="1:27" ht="28.5">
      <c r="A187" s="1006" t="s">
        <v>4113</v>
      </c>
      <c r="B187" s="998" t="s">
        <v>4114</v>
      </c>
      <c r="C187" s="790"/>
      <c r="D187" s="738"/>
      <c r="E187" s="737">
        <v>0.5</v>
      </c>
      <c r="F187" s="738"/>
      <c r="G187" s="739"/>
      <c r="H187" s="738"/>
      <c r="I187" s="739"/>
      <c r="J187" s="738"/>
      <c r="K187" s="739"/>
      <c r="L187" s="738"/>
      <c r="M187" s="739"/>
      <c r="N187" s="738"/>
      <c r="O187" s="739"/>
      <c r="P187" s="738"/>
      <c r="Q187" s="739"/>
      <c r="R187" s="738"/>
      <c r="S187" s="739"/>
      <c r="T187" s="738"/>
      <c r="U187" s="713">
        <v>2</v>
      </c>
      <c r="V187" s="714"/>
      <c r="W187" s="739"/>
      <c r="X187" s="738"/>
      <c r="Y187" s="739"/>
      <c r="Z187" s="738"/>
      <c r="AA187" s="823">
        <v>12</v>
      </c>
    </row>
    <row r="188" spans="1:27" ht="28.5">
      <c r="A188" s="1006" t="s">
        <v>4115</v>
      </c>
      <c r="B188" s="998" t="s">
        <v>4116</v>
      </c>
      <c r="C188" s="790"/>
      <c r="D188" s="738"/>
      <c r="E188" s="737">
        <v>0.5</v>
      </c>
      <c r="F188" s="738"/>
      <c r="G188" s="739"/>
      <c r="H188" s="738"/>
      <c r="I188" s="739"/>
      <c r="J188" s="738"/>
      <c r="K188" s="739"/>
      <c r="L188" s="738"/>
      <c r="M188" s="739"/>
      <c r="N188" s="738"/>
      <c r="O188" s="739"/>
      <c r="P188" s="738"/>
      <c r="Q188" s="739"/>
      <c r="R188" s="738"/>
      <c r="S188" s="739"/>
      <c r="T188" s="738"/>
      <c r="U188" s="713">
        <v>2</v>
      </c>
      <c r="V188" s="714"/>
      <c r="W188" s="739"/>
      <c r="X188" s="738"/>
      <c r="Y188" s="739"/>
      <c r="Z188" s="738"/>
      <c r="AA188" s="823">
        <v>12</v>
      </c>
    </row>
    <row r="189" spans="1:27" ht="28.5">
      <c r="A189" s="1006" t="s">
        <v>4117</v>
      </c>
      <c r="B189" s="998" t="s">
        <v>4118</v>
      </c>
      <c r="C189" s="790"/>
      <c r="D189" s="738"/>
      <c r="E189" s="737">
        <v>0.5</v>
      </c>
      <c r="F189" s="738"/>
      <c r="G189" s="739"/>
      <c r="H189" s="738"/>
      <c r="I189" s="739"/>
      <c r="J189" s="738"/>
      <c r="K189" s="739"/>
      <c r="L189" s="738"/>
      <c r="M189" s="739"/>
      <c r="N189" s="738"/>
      <c r="O189" s="739"/>
      <c r="P189" s="738"/>
      <c r="Q189" s="739"/>
      <c r="R189" s="738"/>
      <c r="S189" s="739"/>
      <c r="T189" s="738"/>
      <c r="U189" s="713">
        <v>2</v>
      </c>
      <c r="V189" s="714"/>
      <c r="W189" s="739"/>
      <c r="X189" s="738"/>
      <c r="Y189" s="739"/>
      <c r="Z189" s="738"/>
      <c r="AA189" s="823">
        <v>12</v>
      </c>
    </row>
    <row r="190" spans="1:27" ht="28.5">
      <c r="A190" s="1006" t="s">
        <v>4119</v>
      </c>
      <c r="B190" s="998" t="s">
        <v>4120</v>
      </c>
      <c r="C190" s="790"/>
      <c r="D190" s="738"/>
      <c r="E190" s="737">
        <v>0.5</v>
      </c>
      <c r="F190" s="738"/>
      <c r="G190" s="739"/>
      <c r="H190" s="738"/>
      <c r="I190" s="739"/>
      <c r="J190" s="738"/>
      <c r="K190" s="739"/>
      <c r="L190" s="738"/>
      <c r="M190" s="739"/>
      <c r="N190" s="738"/>
      <c r="O190" s="739"/>
      <c r="P190" s="738"/>
      <c r="Q190" s="739"/>
      <c r="R190" s="738"/>
      <c r="S190" s="739"/>
      <c r="T190" s="738"/>
      <c r="U190" s="713">
        <v>2</v>
      </c>
      <c r="V190" s="714"/>
      <c r="W190" s="739"/>
      <c r="X190" s="738"/>
      <c r="Y190" s="739"/>
      <c r="Z190" s="738"/>
      <c r="AA190" s="823">
        <v>12</v>
      </c>
    </row>
    <row r="191" spans="1:27" ht="14.25">
      <c r="A191" s="1006" t="s">
        <v>4121</v>
      </c>
      <c r="B191" s="998" t="s">
        <v>4122</v>
      </c>
      <c r="C191" s="790"/>
      <c r="D191" s="738"/>
      <c r="E191" s="737">
        <v>0.5</v>
      </c>
      <c r="F191" s="738"/>
      <c r="G191" s="739"/>
      <c r="H191" s="738"/>
      <c r="I191" s="739"/>
      <c r="J191" s="738"/>
      <c r="K191" s="739"/>
      <c r="L191" s="738"/>
      <c r="M191" s="739"/>
      <c r="N191" s="738"/>
      <c r="O191" s="739"/>
      <c r="P191" s="738"/>
      <c r="Q191" s="739"/>
      <c r="R191" s="738"/>
      <c r="S191" s="739"/>
      <c r="T191" s="738"/>
      <c r="U191" s="713">
        <v>2</v>
      </c>
      <c r="V191" s="714"/>
      <c r="W191" s="739"/>
      <c r="X191" s="738"/>
      <c r="Y191" s="739"/>
      <c r="Z191" s="738"/>
      <c r="AA191" s="823">
        <v>12</v>
      </c>
    </row>
    <row r="192" spans="1:27" ht="28.5">
      <c r="A192" s="1006" t="s">
        <v>4123</v>
      </c>
      <c r="B192" s="998" t="s">
        <v>4124</v>
      </c>
      <c r="C192" s="790"/>
      <c r="D192" s="738"/>
      <c r="E192" s="737">
        <v>0.5</v>
      </c>
      <c r="F192" s="738"/>
      <c r="G192" s="739"/>
      <c r="H192" s="738"/>
      <c r="I192" s="739"/>
      <c r="J192" s="738"/>
      <c r="K192" s="739"/>
      <c r="L192" s="738"/>
      <c r="M192" s="739"/>
      <c r="N192" s="738"/>
      <c r="O192" s="739"/>
      <c r="P192" s="738"/>
      <c r="Q192" s="739"/>
      <c r="R192" s="738"/>
      <c r="S192" s="739"/>
      <c r="T192" s="738"/>
      <c r="U192" s="713">
        <v>2</v>
      </c>
      <c r="V192" s="714"/>
      <c r="W192" s="739"/>
      <c r="X192" s="738"/>
      <c r="Y192" s="739"/>
      <c r="Z192" s="738"/>
      <c r="AA192" s="823">
        <v>12</v>
      </c>
    </row>
    <row r="193" spans="1:27" ht="14.25">
      <c r="A193" s="1006" t="s">
        <v>4125</v>
      </c>
      <c r="B193" s="998" t="s">
        <v>4126</v>
      </c>
      <c r="C193" s="790"/>
      <c r="D193" s="738"/>
      <c r="E193" s="737">
        <v>0.5</v>
      </c>
      <c r="F193" s="738"/>
      <c r="G193" s="739"/>
      <c r="H193" s="738"/>
      <c r="I193" s="739"/>
      <c r="J193" s="738"/>
      <c r="K193" s="739"/>
      <c r="L193" s="738"/>
      <c r="M193" s="739"/>
      <c r="N193" s="738"/>
      <c r="O193" s="739"/>
      <c r="P193" s="738"/>
      <c r="Q193" s="739"/>
      <c r="R193" s="738"/>
      <c r="S193" s="739"/>
      <c r="T193" s="738"/>
      <c r="U193" s="713">
        <v>2</v>
      </c>
      <c r="V193" s="714"/>
      <c r="W193" s="739"/>
      <c r="X193" s="738"/>
      <c r="Y193" s="739"/>
      <c r="Z193" s="738"/>
      <c r="AA193" s="823">
        <v>12</v>
      </c>
    </row>
    <row r="194" spans="1:27" ht="14.25">
      <c r="A194" s="735">
        <v>3.4</v>
      </c>
      <c r="B194" s="1004" t="s">
        <v>4127</v>
      </c>
      <c r="C194" s="790"/>
      <c r="D194" s="738"/>
      <c r="E194" s="737"/>
      <c r="F194" s="738"/>
      <c r="G194" s="739"/>
      <c r="H194" s="738"/>
      <c r="I194" s="739"/>
      <c r="J194" s="738"/>
      <c r="K194" s="739"/>
      <c r="L194" s="738"/>
      <c r="M194" s="739"/>
      <c r="N194" s="738"/>
      <c r="O194" s="739"/>
      <c r="P194" s="738"/>
      <c r="Q194" s="739"/>
      <c r="R194" s="738"/>
      <c r="S194" s="739"/>
      <c r="T194" s="738"/>
      <c r="U194" s="713"/>
      <c r="V194" s="714"/>
      <c r="W194" s="739"/>
      <c r="X194" s="738"/>
      <c r="Y194" s="739"/>
      <c r="Z194" s="738"/>
      <c r="AA194" s="823"/>
    </row>
    <row r="195" spans="1:27" ht="14.25">
      <c r="A195" s="1006" t="s">
        <v>4128</v>
      </c>
      <c r="B195" s="1004" t="s">
        <v>4129</v>
      </c>
      <c r="C195" s="790"/>
      <c r="D195" s="738"/>
      <c r="E195" s="737">
        <v>0.5</v>
      </c>
      <c r="F195" s="738"/>
      <c r="G195" s="739"/>
      <c r="H195" s="738"/>
      <c r="I195" s="739"/>
      <c r="J195" s="738"/>
      <c r="K195" s="739"/>
      <c r="L195" s="738"/>
      <c r="M195" s="739"/>
      <c r="N195" s="738"/>
      <c r="O195" s="739"/>
      <c r="P195" s="738"/>
      <c r="Q195" s="739"/>
      <c r="R195" s="738"/>
      <c r="S195" s="739"/>
      <c r="T195" s="738"/>
      <c r="U195" s="713">
        <v>3</v>
      </c>
      <c r="V195" s="714">
        <v>2</v>
      </c>
      <c r="W195" s="739"/>
      <c r="X195" s="738"/>
      <c r="Y195" s="739"/>
      <c r="Z195" s="738"/>
      <c r="AA195" s="823">
        <v>10</v>
      </c>
    </row>
    <row r="196" spans="1:27" ht="14.25">
      <c r="A196" s="1006" t="s">
        <v>4130</v>
      </c>
      <c r="B196" s="1004" t="s">
        <v>4131</v>
      </c>
      <c r="C196" s="790"/>
      <c r="D196" s="738"/>
      <c r="E196" s="737">
        <v>0.5</v>
      </c>
      <c r="F196" s="738"/>
      <c r="G196" s="739"/>
      <c r="H196" s="738"/>
      <c r="I196" s="739"/>
      <c r="J196" s="738"/>
      <c r="K196" s="739"/>
      <c r="L196" s="738"/>
      <c r="M196" s="739"/>
      <c r="N196" s="738"/>
      <c r="O196" s="739"/>
      <c r="P196" s="738"/>
      <c r="Q196" s="739"/>
      <c r="R196" s="738"/>
      <c r="S196" s="739"/>
      <c r="T196" s="738"/>
      <c r="U196" s="713">
        <v>3</v>
      </c>
      <c r="V196" s="714">
        <v>2</v>
      </c>
      <c r="W196" s="739"/>
      <c r="X196" s="738"/>
      <c r="Y196" s="739"/>
      <c r="Z196" s="738"/>
      <c r="AA196" s="823">
        <v>10</v>
      </c>
    </row>
    <row r="197" spans="1:27" ht="14.25">
      <c r="A197" s="1006" t="s">
        <v>4132</v>
      </c>
      <c r="B197" s="1004" t="s">
        <v>4133</v>
      </c>
      <c r="C197" s="790"/>
      <c r="D197" s="738"/>
      <c r="E197" s="737">
        <v>0.5</v>
      </c>
      <c r="F197" s="738"/>
      <c r="G197" s="739"/>
      <c r="H197" s="738"/>
      <c r="I197" s="739"/>
      <c r="J197" s="738"/>
      <c r="K197" s="739"/>
      <c r="L197" s="738"/>
      <c r="M197" s="739"/>
      <c r="N197" s="738"/>
      <c r="O197" s="739"/>
      <c r="P197" s="738"/>
      <c r="Q197" s="739"/>
      <c r="R197" s="738"/>
      <c r="S197" s="739"/>
      <c r="T197" s="738"/>
      <c r="U197" s="713">
        <v>3</v>
      </c>
      <c r="V197" s="714">
        <v>2</v>
      </c>
      <c r="W197" s="739"/>
      <c r="X197" s="738"/>
      <c r="Y197" s="739"/>
      <c r="Z197" s="738"/>
      <c r="AA197" s="823">
        <v>10</v>
      </c>
    </row>
    <row r="198" spans="1:27" ht="14.25">
      <c r="A198" s="1006" t="s">
        <v>4134</v>
      </c>
      <c r="B198" s="1004" t="s">
        <v>4135</v>
      </c>
      <c r="C198" s="790"/>
      <c r="D198" s="738"/>
      <c r="E198" s="737">
        <v>0.5</v>
      </c>
      <c r="F198" s="738"/>
      <c r="G198" s="739"/>
      <c r="H198" s="738"/>
      <c r="I198" s="739"/>
      <c r="J198" s="738"/>
      <c r="K198" s="739"/>
      <c r="L198" s="738"/>
      <c r="M198" s="739"/>
      <c r="N198" s="738"/>
      <c r="O198" s="739"/>
      <c r="P198" s="738"/>
      <c r="Q198" s="739"/>
      <c r="R198" s="738"/>
      <c r="S198" s="739"/>
      <c r="T198" s="738"/>
      <c r="U198" s="713">
        <v>3</v>
      </c>
      <c r="V198" s="714">
        <v>2</v>
      </c>
      <c r="W198" s="739"/>
      <c r="X198" s="738"/>
      <c r="Y198" s="739"/>
      <c r="Z198" s="738"/>
      <c r="AA198" s="823">
        <v>10</v>
      </c>
    </row>
    <row r="199" spans="1:27" ht="14.25">
      <c r="A199" s="1006" t="s">
        <v>4136</v>
      </c>
      <c r="B199" s="1004" t="s">
        <v>4137</v>
      </c>
      <c r="C199" s="790"/>
      <c r="D199" s="738"/>
      <c r="E199" s="737">
        <v>0.5</v>
      </c>
      <c r="F199" s="738"/>
      <c r="G199" s="739"/>
      <c r="H199" s="738"/>
      <c r="I199" s="739"/>
      <c r="J199" s="738"/>
      <c r="K199" s="739"/>
      <c r="L199" s="738"/>
      <c r="M199" s="739"/>
      <c r="N199" s="738"/>
      <c r="O199" s="739"/>
      <c r="P199" s="738"/>
      <c r="Q199" s="739"/>
      <c r="R199" s="738"/>
      <c r="S199" s="739"/>
      <c r="T199" s="738"/>
      <c r="U199" s="713">
        <v>3</v>
      </c>
      <c r="V199" s="714">
        <v>2</v>
      </c>
      <c r="W199" s="739"/>
      <c r="X199" s="738"/>
      <c r="Y199" s="739"/>
      <c r="Z199" s="738"/>
      <c r="AA199" s="823">
        <v>10</v>
      </c>
    </row>
    <row r="200" spans="1:27" ht="14.25">
      <c r="A200" s="1006" t="s">
        <v>4138</v>
      </c>
      <c r="B200" s="1004" t="s">
        <v>4139</v>
      </c>
      <c r="C200" s="790"/>
      <c r="D200" s="738"/>
      <c r="E200" s="737">
        <v>0.5</v>
      </c>
      <c r="F200" s="738"/>
      <c r="G200" s="739"/>
      <c r="H200" s="738"/>
      <c r="I200" s="739"/>
      <c r="J200" s="738"/>
      <c r="K200" s="739"/>
      <c r="L200" s="738"/>
      <c r="M200" s="739"/>
      <c r="N200" s="738"/>
      <c r="O200" s="739"/>
      <c r="P200" s="738"/>
      <c r="Q200" s="739"/>
      <c r="R200" s="738"/>
      <c r="S200" s="739"/>
      <c r="T200" s="738"/>
      <c r="U200" s="713">
        <v>3</v>
      </c>
      <c r="V200" s="714">
        <v>2</v>
      </c>
      <c r="W200" s="739"/>
      <c r="X200" s="738"/>
      <c r="Y200" s="739"/>
      <c r="Z200" s="738"/>
      <c r="AA200" s="823">
        <v>10</v>
      </c>
    </row>
    <row r="201" spans="1:27" ht="28.5">
      <c r="A201" s="1006" t="s">
        <v>4140</v>
      </c>
      <c r="B201" s="1004" t="s">
        <v>4141</v>
      </c>
      <c r="C201" s="790"/>
      <c r="D201" s="738"/>
      <c r="E201" s="737">
        <v>0.5</v>
      </c>
      <c r="F201" s="738"/>
      <c r="G201" s="739"/>
      <c r="H201" s="738"/>
      <c r="I201" s="739"/>
      <c r="J201" s="738"/>
      <c r="K201" s="739"/>
      <c r="L201" s="738"/>
      <c r="M201" s="739"/>
      <c r="N201" s="738"/>
      <c r="O201" s="739"/>
      <c r="P201" s="738"/>
      <c r="Q201" s="739"/>
      <c r="R201" s="738"/>
      <c r="S201" s="739"/>
      <c r="T201" s="738"/>
      <c r="U201" s="713">
        <v>3</v>
      </c>
      <c r="V201" s="714">
        <v>2</v>
      </c>
      <c r="W201" s="739"/>
      <c r="X201" s="738"/>
      <c r="Y201" s="739"/>
      <c r="Z201" s="738"/>
      <c r="AA201" s="823">
        <v>10</v>
      </c>
    </row>
    <row r="202" spans="1:27" ht="14.25">
      <c r="A202" s="1006" t="s">
        <v>4142</v>
      </c>
      <c r="B202" s="1004" t="s">
        <v>4143</v>
      </c>
      <c r="C202" s="790"/>
      <c r="D202" s="738"/>
      <c r="E202" s="737">
        <v>0.5</v>
      </c>
      <c r="F202" s="738"/>
      <c r="G202" s="739"/>
      <c r="H202" s="738"/>
      <c r="I202" s="739"/>
      <c r="J202" s="738"/>
      <c r="K202" s="739"/>
      <c r="L202" s="738"/>
      <c r="M202" s="739"/>
      <c r="N202" s="738"/>
      <c r="O202" s="739"/>
      <c r="P202" s="738"/>
      <c r="Q202" s="739"/>
      <c r="R202" s="738"/>
      <c r="S202" s="739"/>
      <c r="T202" s="738"/>
      <c r="U202" s="713">
        <v>3</v>
      </c>
      <c r="V202" s="714">
        <v>2</v>
      </c>
      <c r="W202" s="739"/>
      <c r="X202" s="738"/>
      <c r="Y202" s="739"/>
      <c r="Z202" s="738"/>
      <c r="AA202" s="823">
        <v>10</v>
      </c>
    </row>
    <row r="203" spans="1:27" ht="14.25">
      <c r="A203" s="1006" t="s">
        <v>4144</v>
      </c>
      <c r="B203" s="1004" t="s">
        <v>4145</v>
      </c>
      <c r="C203" s="790"/>
      <c r="D203" s="738"/>
      <c r="E203" s="737">
        <v>0.5</v>
      </c>
      <c r="F203" s="738"/>
      <c r="G203" s="739"/>
      <c r="H203" s="738"/>
      <c r="I203" s="739"/>
      <c r="J203" s="738"/>
      <c r="K203" s="739"/>
      <c r="L203" s="738"/>
      <c r="M203" s="739"/>
      <c r="N203" s="738"/>
      <c r="O203" s="739"/>
      <c r="P203" s="738"/>
      <c r="Q203" s="739"/>
      <c r="R203" s="738"/>
      <c r="S203" s="739"/>
      <c r="T203" s="738"/>
      <c r="U203" s="713">
        <v>3</v>
      </c>
      <c r="V203" s="714">
        <v>2</v>
      </c>
      <c r="W203" s="739"/>
      <c r="X203" s="738"/>
      <c r="Y203" s="739"/>
      <c r="Z203" s="738"/>
      <c r="AA203" s="823">
        <v>10</v>
      </c>
    </row>
    <row r="204" spans="1:27" ht="14.25">
      <c r="A204" s="1006" t="s">
        <v>4146</v>
      </c>
      <c r="B204" s="1004" t="s">
        <v>4147</v>
      </c>
      <c r="C204" s="790"/>
      <c r="D204" s="738"/>
      <c r="E204" s="737">
        <v>0.5</v>
      </c>
      <c r="F204" s="738"/>
      <c r="G204" s="739"/>
      <c r="H204" s="738"/>
      <c r="I204" s="739"/>
      <c r="J204" s="738"/>
      <c r="K204" s="739"/>
      <c r="L204" s="738"/>
      <c r="M204" s="739"/>
      <c r="N204" s="738"/>
      <c r="O204" s="739"/>
      <c r="P204" s="738"/>
      <c r="Q204" s="739"/>
      <c r="R204" s="738"/>
      <c r="S204" s="739"/>
      <c r="T204" s="738"/>
      <c r="U204" s="713">
        <v>3</v>
      </c>
      <c r="V204" s="714">
        <v>2</v>
      </c>
      <c r="W204" s="739"/>
      <c r="X204" s="738"/>
      <c r="Y204" s="739"/>
      <c r="Z204" s="738"/>
      <c r="AA204" s="823">
        <v>10</v>
      </c>
    </row>
    <row r="205" spans="1:27" ht="14.25">
      <c r="A205" s="1006" t="s">
        <v>4148</v>
      </c>
      <c r="B205" s="1004" t="s">
        <v>4149</v>
      </c>
      <c r="C205" s="790"/>
      <c r="D205" s="738"/>
      <c r="E205" s="737">
        <v>0.5</v>
      </c>
      <c r="F205" s="738"/>
      <c r="G205" s="739"/>
      <c r="H205" s="738"/>
      <c r="I205" s="739"/>
      <c r="J205" s="738"/>
      <c r="K205" s="739"/>
      <c r="L205" s="738"/>
      <c r="M205" s="739"/>
      <c r="N205" s="738"/>
      <c r="O205" s="739"/>
      <c r="P205" s="738"/>
      <c r="Q205" s="739"/>
      <c r="R205" s="738"/>
      <c r="S205" s="739"/>
      <c r="T205" s="738"/>
      <c r="U205" s="713">
        <v>3</v>
      </c>
      <c r="V205" s="714">
        <v>2</v>
      </c>
      <c r="W205" s="739"/>
      <c r="X205" s="738"/>
      <c r="Y205" s="739"/>
      <c r="Z205" s="738"/>
      <c r="AA205" s="823">
        <v>10</v>
      </c>
    </row>
    <row r="206" spans="1:27" ht="14.25">
      <c r="A206" s="1006" t="s">
        <v>4150</v>
      </c>
      <c r="B206" s="1004" t="s">
        <v>4151</v>
      </c>
      <c r="C206" s="790"/>
      <c r="D206" s="738"/>
      <c r="E206" s="737">
        <v>0.5</v>
      </c>
      <c r="F206" s="738"/>
      <c r="G206" s="739"/>
      <c r="H206" s="738"/>
      <c r="I206" s="739"/>
      <c r="J206" s="738"/>
      <c r="K206" s="739"/>
      <c r="L206" s="738"/>
      <c r="M206" s="739"/>
      <c r="N206" s="738"/>
      <c r="O206" s="739"/>
      <c r="P206" s="738"/>
      <c r="Q206" s="739"/>
      <c r="R206" s="738"/>
      <c r="S206" s="739"/>
      <c r="T206" s="738"/>
      <c r="U206" s="713">
        <v>3</v>
      </c>
      <c r="V206" s="714">
        <v>2</v>
      </c>
      <c r="W206" s="739"/>
      <c r="X206" s="738"/>
      <c r="Y206" s="739"/>
      <c r="Z206" s="738"/>
      <c r="AA206" s="823">
        <v>10</v>
      </c>
    </row>
    <row r="207" spans="1:27" ht="14.25">
      <c r="A207" s="1006" t="s">
        <v>4152</v>
      </c>
      <c r="B207" s="1004" t="s">
        <v>4153</v>
      </c>
      <c r="C207" s="790"/>
      <c r="D207" s="738"/>
      <c r="E207" s="737">
        <v>0.5</v>
      </c>
      <c r="F207" s="738"/>
      <c r="G207" s="739"/>
      <c r="H207" s="738"/>
      <c r="I207" s="739"/>
      <c r="J207" s="738"/>
      <c r="K207" s="739"/>
      <c r="L207" s="738"/>
      <c r="M207" s="739"/>
      <c r="N207" s="738"/>
      <c r="O207" s="739"/>
      <c r="P207" s="738"/>
      <c r="Q207" s="739"/>
      <c r="R207" s="738"/>
      <c r="S207" s="739"/>
      <c r="T207" s="738"/>
      <c r="U207" s="713">
        <v>3</v>
      </c>
      <c r="V207" s="714">
        <v>2</v>
      </c>
      <c r="W207" s="739"/>
      <c r="X207" s="738"/>
      <c r="Y207" s="739"/>
      <c r="Z207" s="738"/>
      <c r="AA207" s="823">
        <v>10</v>
      </c>
    </row>
    <row r="208" spans="1:27" ht="14.25">
      <c r="A208" s="1006" t="s">
        <v>4154</v>
      </c>
      <c r="B208" s="1004" t="s">
        <v>4155</v>
      </c>
      <c r="C208" s="790"/>
      <c r="D208" s="738"/>
      <c r="E208" s="737">
        <v>0.5</v>
      </c>
      <c r="F208" s="738"/>
      <c r="G208" s="739"/>
      <c r="H208" s="738"/>
      <c r="I208" s="739"/>
      <c r="J208" s="738"/>
      <c r="K208" s="739"/>
      <c r="L208" s="738"/>
      <c r="M208" s="739"/>
      <c r="N208" s="738"/>
      <c r="O208" s="739"/>
      <c r="P208" s="738"/>
      <c r="Q208" s="739"/>
      <c r="R208" s="738"/>
      <c r="S208" s="739"/>
      <c r="T208" s="738"/>
      <c r="U208" s="713">
        <v>3</v>
      </c>
      <c r="V208" s="714">
        <v>2</v>
      </c>
      <c r="W208" s="739"/>
      <c r="X208" s="738"/>
      <c r="Y208" s="739"/>
      <c r="Z208" s="738"/>
      <c r="AA208" s="823">
        <v>10</v>
      </c>
    </row>
    <row r="209" spans="1:27" ht="14.25">
      <c r="A209" s="1006" t="s">
        <v>4156</v>
      </c>
      <c r="B209" s="1004" t="s">
        <v>4157</v>
      </c>
      <c r="C209" s="790"/>
      <c r="D209" s="738"/>
      <c r="E209" s="737">
        <v>0.5</v>
      </c>
      <c r="F209" s="738"/>
      <c r="G209" s="739"/>
      <c r="H209" s="738"/>
      <c r="I209" s="739"/>
      <c r="J209" s="738"/>
      <c r="K209" s="739"/>
      <c r="L209" s="738"/>
      <c r="M209" s="739"/>
      <c r="N209" s="738"/>
      <c r="O209" s="739"/>
      <c r="P209" s="738"/>
      <c r="Q209" s="739"/>
      <c r="R209" s="738"/>
      <c r="S209" s="739"/>
      <c r="T209" s="738"/>
      <c r="U209" s="713">
        <v>3</v>
      </c>
      <c r="V209" s="714">
        <v>2</v>
      </c>
      <c r="W209" s="739"/>
      <c r="X209" s="738"/>
      <c r="Y209" s="739"/>
      <c r="Z209" s="738"/>
      <c r="AA209" s="823">
        <v>10</v>
      </c>
    </row>
    <row r="210" spans="1:27" ht="14.25">
      <c r="A210" s="1006" t="s">
        <v>4158</v>
      </c>
      <c r="B210" s="1004" t="s">
        <v>4159</v>
      </c>
      <c r="C210" s="790"/>
      <c r="D210" s="738"/>
      <c r="E210" s="737">
        <v>0.5</v>
      </c>
      <c r="F210" s="738"/>
      <c r="G210" s="739"/>
      <c r="H210" s="738"/>
      <c r="I210" s="739"/>
      <c r="J210" s="738"/>
      <c r="K210" s="739"/>
      <c r="L210" s="738"/>
      <c r="M210" s="739"/>
      <c r="N210" s="738"/>
      <c r="O210" s="739"/>
      <c r="P210" s="738"/>
      <c r="Q210" s="739"/>
      <c r="R210" s="738"/>
      <c r="S210" s="739"/>
      <c r="T210" s="738"/>
      <c r="U210" s="713">
        <v>3</v>
      </c>
      <c r="V210" s="714">
        <v>2</v>
      </c>
      <c r="W210" s="739"/>
      <c r="X210" s="738"/>
      <c r="Y210" s="739"/>
      <c r="Z210" s="738"/>
      <c r="AA210" s="823">
        <v>10</v>
      </c>
    </row>
    <row r="211" spans="1:27" ht="14.25">
      <c r="A211" s="1006" t="s">
        <v>4160</v>
      </c>
      <c r="B211" s="1004" t="s">
        <v>4161</v>
      </c>
      <c r="C211" s="790"/>
      <c r="D211" s="738"/>
      <c r="E211" s="737">
        <v>0.5</v>
      </c>
      <c r="F211" s="738"/>
      <c r="G211" s="739"/>
      <c r="H211" s="738"/>
      <c r="I211" s="739"/>
      <c r="J211" s="738"/>
      <c r="K211" s="739"/>
      <c r="L211" s="738"/>
      <c r="M211" s="739"/>
      <c r="N211" s="738"/>
      <c r="O211" s="739"/>
      <c r="P211" s="738"/>
      <c r="Q211" s="739"/>
      <c r="R211" s="738"/>
      <c r="S211" s="739"/>
      <c r="T211" s="738"/>
      <c r="U211" s="713">
        <v>3</v>
      </c>
      <c r="V211" s="714">
        <v>2</v>
      </c>
      <c r="W211" s="739"/>
      <c r="X211" s="738"/>
      <c r="Y211" s="739"/>
      <c r="Z211" s="738"/>
      <c r="AA211" s="823">
        <v>10</v>
      </c>
    </row>
    <row r="212" spans="1:27" ht="14.25">
      <c r="A212" s="1006" t="s">
        <v>4162</v>
      </c>
      <c r="B212" s="1004" t="s">
        <v>4163</v>
      </c>
      <c r="C212" s="790"/>
      <c r="D212" s="738"/>
      <c r="E212" s="737">
        <v>0.5</v>
      </c>
      <c r="F212" s="738"/>
      <c r="G212" s="739"/>
      <c r="H212" s="738"/>
      <c r="I212" s="739"/>
      <c r="J212" s="738"/>
      <c r="K212" s="739"/>
      <c r="L212" s="738"/>
      <c r="M212" s="739"/>
      <c r="N212" s="738"/>
      <c r="O212" s="739"/>
      <c r="P212" s="738"/>
      <c r="Q212" s="739"/>
      <c r="R212" s="738"/>
      <c r="S212" s="739"/>
      <c r="T212" s="738"/>
      <c r="U212" s="713">
        <v>3</v>
      </c>
      <c r="V212" s="714">
        <v>2</v>
      </c>
      <c r="W212" s="739"/>
      <c r="X212" s="738"/>
      <c r="Y212" s="739"/>
      <c r="Z212" s="738"/>
      <c r="AA212" s="823">
        <v>10</v>
      </c>
    </row>
    <row r="213" spans="1:27" ht="14.25">
      <c r="A213" s="1006" t="s">
        <v>4164</v>
      </c>
      <c r="B213" s="1004" t="s">
        <v>4165</v>
      </c>
      <c r="C213" s="790"/>
      <c r="D213" s="738"/>
      <c r="E213" s="737">
        <v>0.5</v>
      </c>
      <c r="F213" s="738"/>
      <c r="G213" s="739"/>
      <c r="H213" s="738"/>
      <c r="I213" s="739"/>
      <c r="J213" s="738"/>
      <c r="K213" s="739"/>
      <c r="L213" s="738"/>
      <c r="M213" s="739"/>
      <c r="N213" s="738"/>
      <c r="O213" s="739"/>
      <c r="P213" s="738"/>
      <c r="Q213" s="739"/>
      <c r="R213" s="738"/>
      <c r="S213" s="739"/>
      <c r="T213" s="738"/>
      <c r="U213" s="713">
        <v>3</v>
      </c>
      <c r="V213" s="714">
        <v>2</v>
      </c>
      <c r="W213" s="739"/>
      <c r="X213" s="738"/>
      <c r="Y213" s="739"/>
      <c r="Z213" s="738"/>
      <c r="AA213" s="823">
        <v>10</v>
      </c>
    </row>
    <row r="214" spans="1:27" ht="14.25">
      <c r="A214" s="1006" t="s">
        <v>4166</v>
      </c>
      <c r="B214" s="1004" t="s">
        <v>4167</v>
      </c>
      <c r="C214" s="790"/>
      <c r="D214" s="738"/>
      <c r="E214" s="737">
        <v>0.5</v>
      </c>
      <c r="F214" s="738"/>
      <c r="G214" s="739"/>
      <c r="H214" s="738"/>
      <c r="I214" s="739"/>
      <c r="J214" s="738"/>
      <c r="K214" s="739"/>
      <c r="L214" s="738"/>
      <c r="M214" s="739"/>
      <c r="N214" s="738"/>
      <c r="O214" s="739"/>
      <c r="P214" s="738"/>
      <c r="Q214" s="739"/>
      <c r="R214" s="738"/>
      <c r="S214" s="739"/>
      <c r="T214" s="738"/>
      <c r="U214" s="713">
        <v>3</v>
      </c>
      <c r="V214" s="714">
        <v>2</v>
      </c>
      <c r="W214" s="739"/>
      <c r="X214" s="738"/>
      <c r="Y214" s="739"/>
      <c r="Z214" s="738"/>
      <c r="AA214" s="823">
        <v>10</v>
      </c>
    </row>
    <row r="215" spans="1:27" ht="14.25">
      <c r="A215" s="1006" t="s">
        <v>4168</v>
      </c>
      <c r="B215" s="1004" t="s">
        <v>4169</v>
      </c>
      <c r="C215" s="790"/>
      <c r="D215" s="738"/>
      <c r="E215" s="737">
        <v>0.5</v>
      </c>
      <c r="F215" s="738"/>
      <c r="G215" s="739"/>
      <c r="H215" s="738"/>
      <c r="I215" s="739"/>
      <c r="J215" s="738"/>
      <c r="K215" s="739"/>
      <c r="L215" s="738"/>
      <c r="M215" s="739"/>
      <c r="N215" s="738"/>
      <c r="O215" s="739"/>
      <c r="P215" s="738"/>
      <c r="Q215" s="739"/>
      <c r="R215" s="738"/>
      <c r="S215" s="739"/>
      <c r="T215" s="738"/>
      <c r="U215" s="713">
        <v>3</v>
      </c>
      <c r="V215" s="714">
        <v>2</v>
      </c>
      <c r="W215" s="739"/>
      <c r="X215" s="738"/>
      <c r="Y215" s="739"/>
      <c r="Z215" s="738"/>
      <c r="AA215" s="823">
        <v>10</v>
      </c>
    </row>
    <row r="216" spans="1:27" ht="14.25">
      <c r="A216" s="1006" t="s">
        <v>4170</v>
      </c>
      <c r="B216" s="1004" t="s">
        <v>4171</v>
      </c>
      <c r="C216" s="790"/>
      <c r="D216" s="738"/>
      <c r="E216" s="737">
        <v>0.5</v>
      </c>
      <c r="F216" s="738"/>
      <c r="G216" s="739"/>
      <c r="H216" s="738"/>
      <c r="I216" s="739"/>
      <c r="J216" s="738"/>
      <c r="K216" s="739"/>
      <c r="L216" s="738"/>
      <c r="M216" s="739"/>
      <c r="N216" s="738"/>
      <c r="O216" s="739"/>
      <c r="P216" s="738"/>
      <c r="Q216" s="739"/>
      <c r="R216" s="738"/>
      <c r="S216" s="739"/>
      <c r="T216" s="738"/>
      <c r="U216" s="713">
        <v>3</v>
      </c>
      <c r="V216" s="714">
        <v>2</v>
      </c>
      <c r="W216" s="739"/>
      <c r="X216" s="738"/>
      <c r="Y216" s="739"/>
      <c r="Z216" s="738"/>
      <c r="AA216" s="823">
        <v>10</v>
      </c>
    </row>
    <row r="217" spans="1:27" ht="14.25">
      <c r="A217" s="735">
        <v>3.5</v>
      </c>
      <c r="B217" s="998" t="s">
        <v>4172</v>
      </c>
      <c r="C217" s="790"/>
      <c r="D217" s="738"/>
      <c r="E217" s="737"/>
      <c r="F217" s="738"/>
      <c r="G217" s="739"/>
      <c r="H217" s="738"/>
      <c r="I217" s="739"/>
      <c r="J217" s="738"/>
      <c r="K217" s="739"/>
      <c r="L217" s="738"/>
      <c r="M217" s="739"/>
      <c r="N217" s="738"/>
      <c r="O217" s="739"/>
      <c r="P217" s="738"/>
      <c r="Q217" s="739"/>
      <c r="R217" s="738"/>
      <c r="S217" s="739"/>
      <c r="T217" s="738"/>
      <c r="U217" s="713"/>
      <c r="V217" s="714"/>
      <c r="W217" s="739"/>
      <c r="X217" s="738"/>
      <c r="Y217" s="739"/>
      <c r="Z217" s="738"/>
      <c r="AA217" s="823"/>
    </row>
    <row r="218" spans="1:27" ht="14.25">
      <c r="A218" s="735" t="s">
        <v>4173</v>
      </c>
      <c r="B218" s="1004" t="s">
        <v>4174</v>
      </c>
      <c r="C218" s="790"/>
      <c r="D218" s="738"/>
      <c r="E218" s="737">
        <v>0.5</v>
      </c>
      <c r="F218" s="738"/>
      <c r="G218" s="739"/>
      <c r="H218" s="738"/>
      <c r="I218" s="739"/>
      <c r="J218" s="738"/>
      <c r="K218" s="739"/>
      <c r="L218" s="738"/>
      <c r="M218" s="739"/>
      <c r="N218" s="738"/>
      <c r="O218" s="739"/>
      <c r="P218" s="738"/>
      <c r="Q218" s="739"/>
      <c r="R218" s="738"/>
      <c r="S218" s="739"/>
      <c r="T218" s="738"/>
      <c r="U218" s="713">
        <v>3</v>
      </c>
      <c r="V218" s="714">
        <v>2</v>
      </c>
      <c r="W218" s="739"/>
      <c r="X218" s="738"/>
      <c r="Y218" s="739"/>
      <c r="Z218" s="738"/>
      <c r="AA218" s="823">
        <v>16</v>
      </c>
    </row>
    <row r="219" spans="1:27" ht="14.25">
      <c r="A219" s="735" t="s">
        <v>4175</v>
      </c>
      <c r="B219" s="1004" t="s">
        <v>4176</v>
      </c>
      <c r="C219" s="790"/>
      <c r="D219" s="738"/>
      <c r="E219" s="737">
        <v>0.5</v>
      </c>
      <c r="F219" s="738"/>
      <c r="G219" s="739"/>
      <c r="H219" s="738"/>
      <c r="I219" s="739"/>
      <c r="J219" s="738"/>
      <c r="K219" s="739"/>
      <c r="L219" s="738"/>
      <c r="M219" s="739"/>
      <c r="N219" s="738"/>
      <c r="O219" s="739"/>
      <c r="P219" s="738"/>
      <c r="Q219" s="739"/>
      <c r="R219" s="738"/>
      <c r="S219" s="739"/>
      <c r="T219" s="738"/>
      <c r="U219" s="713">
        <v>3</v>
      </c>
      <c r="V219" s="714">
        <v>2</v>
      </c>
      <c r="W219" s="739"/>
      <c r="X219" s="738"/>
      <c r="Y219" s="739"/>
      <c r="Z219" s="738"/>
      <c r="AA219" s="823">
        <v>16</v>
      </c>
    </row>
    <row r="220" spans="1:27" ht="14.25">
      <c r="A220" s="735" t="s">
        <v>4177</v>
      </c>
      <c r="B220" s="1004" t="s">
        <v>4178</v>
      </c>
      <c r="C220" s="790"/>
      <c r="D220" s="738"/>
      <c r="E220" s="737">
        <v>0.5</v>
      </c>
      <c r="F220" s="738"/>
      <c r="G220" s="739"/>
      <c r="H220" s="738"/>
      <c r="I220" s="739"/>
      <c r="J220" s="738"/>
      <c r="K220" s="739"/>
      <c r="L220" s="738"/>
      <c r="M220" s="739"/>
      <c r="N220" s="738"/>
      <c r="O220" s="739"/>
      <c r="P220" s="738"/>
      <c r="Q220" s="739"/>
      <c r="R220" s="738"/>
      <c r="S220" s="739"/>
      <c r="T220" s="738"/>
      <c r="U220" s="713">
        <v>3</v>
      </c>
      <c r="V220" s="714">
        <v>2</v>
      </c>
      <c r="W220" s="739"/>
      <c r="X220" s="738"/>
      <c r="Y220" s="739"/>
      <c r="Z220" s="738"/>
      <c r="AA220" s="823">
        <v>16</v>
      </c>
    </row>
    <row r="221" spans="1:27" ht="14.25">
      <c r="A221" s="735" t="s">
        <v>4179</v>
      </c>
      <c r="B221" s="1004" t="s">
        <v>4180</v>
      </c>
      <c r="C221" s="790"/>
      <c r="D221" s="738"/>
      <c r="E221" s="737">
        <v>0.5</v>
      </c>
      <c r="F221" s="738"/>
      <c r="G221" s="739"/>
      <c r="H221" s="738"/>
      <c r="I221" s="739"/>
      <c r="J221" s="738"/>
      <c r="K221" s="739"/>
      <c r="L221" s="738"/>
      <c r="M221" s="739"/>
      <c r="N221" s="738"/>
      <c r="O221" s="739"/>
      <c r="P221" s="738"/>
      <c r="Q221" s="739"/>
      <c r="R221" s="738"/>
      <c r="S221" s="739"/>
      <c r="T221" s="738"/>
      <c r="U221" s="713">
        <v>3</v>
      </c>
      <c r="V221" s="714">
        <v>2</v>
      </c>
      <c r="W221" s="739"/>
      <c r="X221" s="738"/>
      <c r="Y221" s="739"/>
      <c r="Z221" s="738"/>
      <c r="AA221" s="823">
        <v>16</v>
      </c>
    </row>
    <row r="222" spans="1:27" ht="14.25">
      <c r="A222" s="735" t="s">
        <v>4181</v>
      </c>
      <c r="B222" s="1008" t="s">
        <v>4182</v>
      </c>
      <c r="C222" s="790"/>
      <c r="D222" s="738"/>
      <c r="E222" s="737">
        <v>0.5</v>
      </c>
      <c r="F222" s="738"/>
      <c r="G222" s="739"/>
      <c r="H222" s="738"/>
      <c r="I222" s="739"/>
      <c r="J222" s="738"/>
      <c r="K222" s="739"/>
      <c r="L222" s="738"/>
      <c r="M222" s="739"/>
      <c r="N222" s="738"/>
      <c r="O222" s="739"/>
      <c r="P222" s="738"/>
      <c r="Q222" s="739"/>
      <c r="R222" s="738"/>
      <c r="S222" s="739"/>
      <c r="T222" s="738"/>
      <c r="U222" s="713">
        <v>3</v>
      </c>
      <c r="V222" s="714">
        <v>2</v>
      </c>
      <c r="W222" s="739"/>
      <c r="X222" s="738"/>
      <c r="Y222" s="739"/>
      <c r="Z222" s="738"/>
      <c r="AA222" s="823">
        <v>16</v>
      </c>
    </row>
    <row r="223" spans="1:27" ht="14.25">
      <c r="A223" s="735" t="s">
        <v>4183</v>
      </c>
      <c r="B223" s="1004" t="s">
        <v>4184</v>
      </c>
      <c r="C223" s="790"/>
      <c r="D223" s="738"/>
      <c r="E223" s="737">
        <v>0.5</v>
      </c>
      <c r="F223" s="738"/>
      <c r="G223" s="739"/>
      <c r="H223" s="738"/>
      <c r="I223" s="739"/>
      <c r="J223" s="738"/>
      <c r="K223" s="739"/>
      <c r="L223" s="738"/>
      <c r="M223" s="739"/>
      <c r="N223" s="738"/>
      <c r="O223" s="739"/>
      <c r="P223" s="738"/>
      <c r="Q223" s="739"/>
      <c r="R223" s="738"/>
      <c r="S223" s="739"/>
      <c r="T223" s="738"/>
      <c r="U223" s="713">
        <v>3</v>
      </c>
      <c r="V223" s="714">
        <v>2</v>
      </c>
      <c r="W223" s="739"/>
      <c r="X223" s="738"/>
      <c r="Y223" s="739"/>
      <c r="Z223" s="738"/>
      <c r="AA223" s="823">
        <v>16</v>
      </c>
    </row>
    <row r="224" spans="1:27" ht="14.25">
      <c r="A224" s="735" t="s">
        <v>4185</v>
      </c>
      <c r="B224" s="1009" t="s">
        <v>4186</v>
      </c>
      <c r="C224" s="790"/>
      <c r="D224" s="738"/>
      <c r="E224" s="737">
        <v>0.5</v>
      </c>
      <c r="F224" s="738"/>
      <c r="G224" s="739"/>
      <c r="H224" s="738"/>
      <c r="I224" s="739"/>
      <c r="J224" s="738"/>
      <c r="K224" s="739"/>
      <c r="L224" s="738"/>
      <c r="M224" s="739"/>
      <c r="N224" s="738"/>
      <c r="O224" s="739"/>
      <c r="P224" s="738"/>
      <c r="Q224" s="739"/>
      <c r="R224" s="738"/>
      <c r="S224" s="739"/>
      <c r="T224" s="738"/>
      <c r="U224" s="713">
        <v>3</v>
      </c>
      <c r="V224" s="714">
        <v>2</v>
      </c>
      <c r="W224" s="739"/>
      <c r="X224" s="738"/>
      <c r="Y224" s="739"/>
      <c r="Z224" s="738"/>
      <c r="AA224" s="823">
        <v>16</v>
      </c>
    </row>
    <row r="225" spans="1:27" ht="14.25">
      <c r="A225" s="735">
        <v>3.6</v>
      </c>
      <c r="B225" s="998" t="s">
        <v>4187</v>
      </c>
      <c r="C225" s="790"/>
      <c r="D225" s="738"/>
      <c r="E225" s="737"/>
      <c r="F225" s="738"/>
      <c r="G225" s="739"/>
      <c r="H225" s="738"/>
      <c r="I225" s="739"/>
      <c r="J225" s="738"/>
      <c r="K225" s="739"/>
      <c r="L225" s="738"/>
      <c r="M225" s="739"/>
      <c r="N225" s="738"/>
      <c r="O225" s="739"/>
      <c r="P225" s="738"/>
      <c r="Q225" s="739"/>
      <c r="R225" s="738"/>
      <c r="S225" s="739"/>
      <c r="T225" s="738"/>
      <c r="U225" s="713"/>
      <c r="V225" s="714"/>
      <c r="W225" s="739"/>
      <c r="X225" s="738"/>
      <c r="Y225" s="739"/>
      <c r="Z225" s="738"/>
      <c r="AA225" s="823"/>
    </row>
    <row r="226" spans="1:27" ht="14.25">
      <c r="A226" s="735" t="s">
        <v>4188</v>
      </c>
      <c r="B226" s="1004" t="s">
        <v>4189</v>
      </c>
      <c r="C226" s="790"/>
      <c r="D226" s="738"/>
      <c r="E226" s="737">
        <v>0.5</v>
      </c>
      <c r="F226" s="738"/>
      <c r="G226" s="739"/>
      <c r="H226" s="738"/>
      <c r="I226" s="739"/>
      <c r="J226" s="738"/>
      <c r="K226" s="739"/>
      <c r="L226" s="738"/>
      <c r="M226" s="739"/>
      <c r="N226" s="738"/>
      <c r="O226" s="739"/>
      <c r="P226" s="738"/>
      <c r="Q226" s="739"/>
      <c r="R226" s="738"/>
      <c r="S226" s="739"/>
      <c r="T226" s="738"/>
      <c r="U226" s="713">
        <v>5</v>
      </c>
      <c r="V226" s="714">
        <v>2</v>
      </c>
      <c r="W226" s="739"/>
      <c r="X226" s="738"/>
      <c r="Y226" s="739"/>
      <c r="Z226" s="738"/>
      <c r="AA226" s="823">
        <v>30</v>
      </c>
    </row>
    <row r="227" spans="1:27" ht="14.25">
      <c r="A227" s="735" t="s">
        <v>4190</v>
      </c>
      <c r="B227" s="1004" t="s">
        <v>4191</v>
      </c>
      <c r="C227" s="790"/>
      <c r="D227" s="738"/>
      <c r="E227" s="737">
        <v>0.5</v>
      </c>
      <c r="F227" s="738"/>
      <c r="G227" s="739"/>
      <c r="H227" s="738"/>
      <c r="I227" s="739"/>
      <c r="J227" s="738"/>
      <c r="K227" s="739"/>
      <c r="L227" s="738"/>
      <c r="M227" s="739"/>
      <c r="N227" s="738"/>
      <c r="O227" s="739"/>
      <c r="P227" s="738"/>
      <c r="Q227" s="739"/>
      <c r="R227" s="738"/>
      <c r="S227" s="739"/>
      <c r="T227" s="738"/>
      <c r="U227" s="713">
        <v>5</v>
      </c>
      <c r="V227" s="714">
        <v>2</v>
      </c>
      <c r="W227" s="739"/>
      <c r="X227" s="738"/>
      <c r="Y227" s="739"/>
      <c r="Z227" s="738"/>
      <c r="AA227" s="823">
        <v>30</v>
      </c>
    </row>
    <row r="228" spans="1:27" ht="14.25">
      <c r="A228" s="735" t="s">
        <v>4192</v>
      </c>
      <c r="B228" s="1004" t="s">
        <v>4193</v>
      </c>
      <c r="C228" s="790"/>
      <c r="D228" s="738"/>
      <c r="E228" s="737">
        <v>0.5</v>
      </c>
      <c r="F228" s="738"/>
      <c r="G228" s="739"/>
      <c r="H228" s="738"/>
      <c r="I228" s="739"/>
      <c r="J228" s="738"/>
      <c r="K228" s="739"/>
      <c r="L228" s="738"/>
      <c r="M228" s="739"/>
      <c r="N228" s="738"/>
      <c r="O228" s="739"/>
      <c r="P228" s="738"/>
      <c r="Q228" s="739"/>
      <c r="R228" s="738"/>
      <c r="S228" s="739"/>
      <c r="T228" s="738"/>
      <c r="U228" s="713">
        <v>5</v>
      </c>
      <c r="V228" s="714">
        <v>2</v>
      </c>
      <c r="W228" s="739"/>
      <c r="X228" s="738"/>
      <c r="Y228" s="739"/>
      <c r="Z228" s="738"/>
      <c r="AA228" s="823">
        <v>30</v>
      </c>
    </row>
    <row r="229" spans="1:27" ht="14.25">
      <c r="A229" s="735" t="s">
        <v>4194</v>
      </c>
      <c r="B229" s="1004" t="s">
        <v>4195</v>
      </c>
      <c r="C229" s="790"/>
      <c r="D229" s="738"/>
      <c r="E229" s="737">
        <v>0.5</v>
      </c>
      <c r="F229" s="738"/>
      <c r="G229" s="739"/>
      <c r="H229" s="738"/>
      <c r="I229" s="739"/>
      <c r="J229" s="738"/>
      <c r="K229" s="739"/>
      <c r="L229" s="738"/>
      <c r="M229" s="739"/>
      <c r="N229" s="738"/>
      <c r="O229" s="739"/>
      <c r="P229" s="738"/>
      <c r="Q229" s="739"/>
      <c r="R229" s="738"/>
      <c r="S229" s="739"/>
      <c r="T229" s="738"/>
      <c r="U229" s="713">
        <v>5</v>
      </c>
      <c r="V229" s="714">
        <v>2</v>
      </c>
      <c r="W229" s="739"/>
      <c r="X229" s="738"/>
      <c r="Y229" s="739"/>
      <c r="Z229" s="738"/>
      <c r="AA229" s="823">
        <v>30</v>
      </c>
    </row>
    <row r="230" spans="1:27" ht="14.25">
      <c r="A230" s="735" t="s">
        <v>4196</v>
      </c>
      <c r="B230" s="1004" t="s">
        <v>4197</v>
      </c>
      <c r="C230" s="790"/>
      <c r="D230" s="738"/>
      <c r="E230" s="737">
        <v>0.5</v>
      </c>
      <c r="F230" s="738"/>
      <c r="G230" s="739"/>
      <c r="H230" s="738"/>
      <c r="I230" s="739"/>
      <c r="J230" s="738"/>
      <c r="K230" s="739"/>
      <c r="L230" s="738"/>
      <c r="M230" s="739"/>
      <c r="N230" s="738"/>
      <c r="O230" s="739"/>
      <c r="P230" s="738"/>
      <c r="Q230" s="739"/>
      <c r="R230" s="738"/>
      <c r="S230" s="739"/>
      <c r="T230" s="738"/>
      <c r="U230" s="713">
        <v>5</v>
      </c>
      <c r="V230" s="714">
        <v>2</v>
      </c>
      <c r="W230" s="739"/>
      <c r="X230" s="738"/>
      <c r="Y230" s="739"/>
      <c r="Z230" s="738"/>
      <c r="AA230" s="823">
        <v>30</v>
      </c>
    </row>
    <row r="231" spans="1:27" ht="14.25">
      <c r="A231" s="735" t="s">
        <v>4198</v>
      </c>
      <c r="B231" s="1004" t="s">
        <v>4199</v>
      </c>
      <c r="C231" s="790"/>
      <c r="D231" s="738"/>
      <c r="E231" s="737">
        <v>0.5</v>
      </c>
      <c r="F231" s="738"/>
      <c r="G231" s="739"/>
      <c r="H231" s="738"/>
      <c r="I231" s="739"/>
      <c r="J231" s="738"/>
      <c r="K231" s="739"/>
      <c r="L231" s="738"/>
      <c r="M231" s="739"/>
      <c r="N231" s="738"/>
      <c r="O231" s="739"/>
      <c r="P231" s="738"/>
      <c r="Q231" s="739"/>
      <c r="R231" s="738"/>
      <c r="S231" s="739"/>
      <c r="T231" s="738"/>
      <c r="U231" s="713">
        <v>5</v>
      </c>
      <c r="V231" s="714">
        <v>2</v>
      </c>
      <c r="W231" s="739"/>
      <c r="X231" s="738"/>
      <c r="Y231" s="739"/>
      <c r="Z231" s="738"/>
      <c r="AA231" s="823">
        <v>30</v>
      </c>
    </row>
    <row r="232" spans="1:27" ht="14.25">
      <c r="A232" s="735" t="s">
        <v>4200</v>
      </c>
      <c r="B232" s="1004" t="s">
        <v>4201</v>
      </c>
      <c r="C232" s="790"/>
      <c r="D232" s="738"/>
      <c r="E232" s="737">
        <v>0.5</v>
      </c>
      <c r="F232" s="738"/>
      <c r="G232" s="739"/>
      <c r="H232" s="738"/>
      <c r="I232" s="739"/>
      <c r="J232" s="738"/>
      <c r="K232" s="739"/>
      <c r="L232" s="738"/>
      <c r="M232" s="739"/>
      <c r="N232" s="738"/>
      <c r="O232" s="739"/>
      <c r="P232" s="738"/>
      <c r="Q232" s="739"/>
      <c r="R232" s="738"/>
      <c r="S232" s="739"/>
      <c r="T232" s="738"/>
      <c r="U232" s="713">
        <v>5</v>
      </c>
      <c r="V232" s="714">
        <v>2</v>
      </c>
      <c r="W232" s="739"/>
      <c r="X232" s="738"/>
      <c r="Y232" s="739"/>
      <c r="Z232" s="738"/>
      <c r="AA232" s="823">
        <v>30</v>
      </c>
    </row>
    <row r="233" spans="1:27" ht="14.25">
      <c r="A233" s="735" t="s">
        <v>4202</v>
      </c>
      <c r="B233" s="1004" t="s">
        <v>4203</v>
      </c>
      <c r="C233" s="790"/>
      <c r="D233" s="738"/>
      <c r="E233" s="737">
        <v>0.5</v>
      </c>
      <c r="F233" s="738"/>
      <c r="G233" s="739"/>
      <c r="H233" s="738"/>
      <c r="I233" s="739"/>
      <c r="J233" s="738"/>
      <c r="K233" s="739"/>
      <c r="L233" s="738"/>
      <c r="M233" s="739"/>
      <c r="N233" s="738"/>
      <c r="O233" s="739"/>
      <c r="P233" s="738"/>
      <c r="Q233" s="739"/>
      <c r="R233" s="738"/>
      <c r="S233" s="739"/>
      <c r="T233" s="738"/>
      <c r="U233" s="713">
        <v>5</v>
      </c>
      <c r="V233" s="714">
        <v>2</v>
      </c>
      <c r="W233" s="739"/>
      <c r="X233" s="738"/>
      <c r="Y233" s="739"/>
      <c r="Z233" s="738"/>
      <c r="AA233" s="823">
        <v>30</v>
      </c>
    </row>
    <row r="234" spans="1:27" ht="14.25">
      <c r="A234" s="735">
        <v>3.7</v>
      </c>
      <c r="B234" s="998" t="s">
        <v>4204</v>
      </c>
      <c r="C234" s="790"/>
      <c r="D234" s="738"/>
      <c r="E234" s="737"/>
      <c r="F234" s="738"/>
      <c r="G234" s="739"/>
      <c r="H234" s="738"/>
      <c r="I234" s="739"/>
      <c r="J234" s="738"/>
      <c r="K234" s="739"/>
      <c r="L234" s="738"/>
      <c r="M234" s="739"/>
      <c r="N234" s="738"/>
      <c r="O234" s="739"/>
      <c r="P234" s="738"/>
      <c r="Q234" s="739"/>
      <c r="R234" s="738"/>
      <c r="S234" s="739"/>
      <c r="T234" s="738"/>
      <c r="U234" s="713"/>
      <c r="V234" s="714"/>
      <c r="W234" s="739"/>
      <c r="X234" s="738"/>
      <c r="Y234" s="739"/>
      <c r="Z234" s="738"/>
      <c r="AA234" s="823"/>
    </row>
    <row r="235" spans="1:27" ht="14.25">
      <c r="A235" s="735" t="s">
        <v>4205</v>
      </c>
      <c r="B235" s="1010" t="s">
        <v>4206</v>
      </c>
      <c r="C235" s="790"/>
      <c r="D235" s="738"/>
      <c r="E235" s="737"/>
      <c r="F235" s="738"/>
      <c r="G235" s="739"/>
      <c r="H235" s="738"/>
      <c r="I235" s="739"/>
      <c r="J235" s="738"/>
      <c r="K235" s="739"/>
      <c r="L235" s="738"/>
      <c r="M235" s="739"/>
      <c r="N235" s="738"/>
      <c r="O235" s="739"/>
      <c r="P235" s="738"/>
      <c r="Q235" s="739"/>
      <c r="R235" s="738"/>
      <c r="S235" s="739"/>
      <c r="T235" s="738"/>
      <c r="U235" s="713">
        <v>4</v>
      </c>
      <c r="V235" s="714">
        <v>2</v>
      </c>
      <c r="W235" s="739"/>
      <c r="X235" s="738"/>
      <c r="Y235" s="739"/>
      <c r="Z235" s="738"/>
      <c r="AA235" s="823">
        <v>30</v>
      </c>
    </row>
    <row r="236" spans="1:27" ht="14.25">
      <c r="A236" s="735" t="s">
        <v>4207</v>
      </c>
      <c r="B236" s="1010" t="s">
        <v>4208</v>
      </c>
      <c r="C236" s="790"/>
      <c r="D236" s="738"/>
      <c r="E236" s="737"/>
      <c r="F236" s="738"/>
      <c r="G236" s="739"/>
      <c r="H236" s="738"/>
      <c r="I236" s="739"/>
      <c r="J236" s="738"/>
      <c r="K236" s="739"/>
      <c r="L236" s="738"/>
      <c r="M236" s="739"/>
      <c r="N236" s="738"/>
      <c r="O236" s="739"/>
      <c r="P236" s="738"/>
      <c r="Q236" s="739"/>
      <c r="R236" s="738"/>
      <c r="S236" s="739"/>
      <c r="T236" s="738"/>
      <c r="U236" s="713">
        <v>3</v>
      </c>
      <c r="V236" s="714">
        <v>2</v>
      </c>
      <c r="W236" s="739"/>
      <c r="X236" s="738"/>
      <c r="Y236" s="739"/>
      <c r="Z236" s="738"/>
      <c r="AA236" s="823">
        <v>16</v>
      </c>
    </row>
    <row r="237" spans="1:27" ht="14.25">
      <c r="A237" s="735" t="s">
        <v>4209</v>
      </c>
      <c r="B237" s="1010" t="s">
        <v>4210</v>
      </c>
      <c r="C237" s="790"/>
      <c r="D237" s="738"/>
      <c r="E237" s="737"/>
      <c r="F237" s="738"/>
      <c r="G237" s="739"/>
      <c r="H237" s="738"/>
      <c r="I237" s="739"/>
      <c r="J237" s="738"/>
      <c r="K237" s="739"/>
      <c r="L237" s="738"/>
      <c r="M237" s="739"/>
      <c r="N237" s="738"/>
      <c r="O237" s="739"/>
      <c r="P237" s="738"/>
      <c r="Q237" s="739"/>
      <c r="R237" s="738"/>
      <c r="S237" s="739"/>
      <c r="T237" s="738"/>
      <c r="U237" s="713">
        <v>3</v>
      </c>
      <c r="V237" s="714">
        <v>2</v>
      </c>
      <c r="W237" s="739"/>
      <c r="X237" s="738"/>
      <c r="Y237" s="739"/>
      <c r="Z237" s="738"/>
      <c r="AA237" s="823">
        <v>16</v>
      </c>
    </row>
    <row r="238" spans="1:27" ht="14.25">
      <c r="A238" s="735" t="s">
        <v>4211</v>
      </c>
      <c r="B238" s="1010" t="s">
        <v>4212</v>
      </c>
      <c r="C238" s="790"/>
      <c r="D238" s="738"/>
      <c r="E238" s="737"/>
      <c r="F238" s="738"/>
      <c r="G238" s="739"/>
      <c r="H238" s="738"/>
      <c r="I238" s="739"/>
      <c r="J238" s="738"/>
      <c r="K238" s="739"/>
      <c r="L238" s="738"/>
      <c r="M238" s="739"/>
      <c r="N238" s="738"/>
      <c r="O238" s="739"/>
      <c r="P238" s="738"/>
      <c r="Q238" s="739"/>
      <c r="R238" s="738"/>
      <c r="S238" s="739"/>
      <c r="T238" s="738"/>
      <c r="U238" s="713">
        <v>3</v>
      </c>
      <c r="V238" s="714">
        <v>2</v>
      </c>
      <c r="W238" s="739"/>
      <c r="X238" s="738"/>
      <c r="Y238" s="739"/>
      <c r="Z238" s="738"/>
      <c r="AA238" s="823">
        <v>16</v>
      </c>
    </row>
    <row r="239" spans="1:27" ht="14.25">
      <c r="A239" s="742">
        <v>4</v>
      </c>
      <c r="B239" s="999" t="s">
        <v>4213</v>
      </c>
      <c r="C239" s="790"/>
      <c r="D239" s="738"/>
      <c r="E239" s="737"/>
      <c r="F239" s="738"/>
      <c r="G239" s="739"/>
      <c r="H239" s="738"/>
      <c r="I239" s="739"/>
      <c r="J239" s="738"/>
      <c r="K239" s="739"/>
      <c r="L239" s="738"/>
      <c r="M239" s="739"/>
      <c r="N239" s="738"/>
      <c r="O239" s="739"/>
      <c r="P239" s="738"/>
      <c r="Q239" s="739"/>
      <c r="R239" s="738"/>
      <c r="S239" s="739"/>
      <c r="T239" s="738"/>
      <c r="U239" s="713"/>
      <c r="V239" s="714"/>
      <c r="W239" s="739"/>
      <c r="X239" s="738"/>
      <c r="Y239" s="739"/>
      <c r="Z239" s="738"/>
      <c r="AA239" s="823"/>
    </row>
    <row r="240" spans="1:27" ht="14.25">
      <c r="A240" s="735">
        <v>4.0999999999999996</v>
      </c>
      <c r="B240" s="998" t="s">
        <v>4214</v>
      </c>
      <c r="C240" s="790"/>
      <c r="D240" s="738"/>
      <c r="E240" s="737"/>
      <c r="F240" s="738"/>
      <c r="G240" s="739"/>
      <c r="H240" s="738"/>
      <c r="I240" s="739"/>
      <c r="J240" s="738"/>
      <c r="K240" s="739"/>
      <c r="L240" s="738"/>
      <c r="M240" s="739"/>
      <c r="N240" s="738"/>
      <c r="O240" s="739"/>
      <c r="P240" s="738"/>
      <c r="Q240" s="739"/>
      <c r="R240" s="738"/>
      <c r="S240" s="739"/>
      <c r="T240" s="738"/>
      <c r="U240" s="713"/>
      <c r="V240" s="714"/>
      <c r="W240" s="739"/>
      <c r="X240" s="738"/>
      <c r="Y240" s="739"/>
      <c r="Z240" s="738"/>
      <c r="AA240" s="823"/>
    </row>
    <row r="241" spans="1:27" ht="28.5">
      <c r="A241" s="735" t="s">
        <v>2797</v>
      </c>
      <c r="B241" s="1003" t="s">
        <v>4215</v>
      </c>
      <c r="C241" s="790"/>
      <c r="D241" s="738"/>
      <c r="E241" s="737"/>
      <c r="F241" s="738"/>
      <c r="G241" s="739"/>
      <c r="H241" s="738"/>
      <c r="I241" s="739"/>
      <c r="J241" s="738"/>
      <c r="K241" s="739"/>
      <c r="L241" s="738"/>
      <c r="M241" s="739"/>
      <c r="N241" s="738"/>
      <c r="O241" s="739"/>
      <c r="P241" s="738"/>
      <c r="Q241" s="739"/>
      <c r="R241" s="738"/>
      <c r="S241" s="739"/>
      <c r="T241" s="738"/>
      <c r="U241" s="713">
        <v>30</v>
      </c>
      <c r="V241" s="714">
        <v>5</v>
      </c>
      <c r="W241" s="739"/>
      <c r="X241" s="738"/>
      <c r="Y241" s="739"/>
      <c r="Z241" s="738"/>
      <c r="AA241" s="823"/>
    </row>
    <row r="242" spans="1:27" ht="14.25">
      <c r="A242" s="735" t="s">
        <v>582</v>
      </c>
      <c r="B242" s="1003" t="s">
        <v>4216</v>
      </c>
      <c r="C242" s="790"/>
      <c r="D242" s="738"/>
      <c r="E242" s="737"/>
      <c r="F242" s="738"/>
      <c r="G242" s="739"/>
      <c r="H242" s="738"/>
      <c r="I242" s="739"/>
      <c r="J242" s="738"/>
      <c r="K242" s="739"/>
      <c r="L242" s="738"/>
      <c r="M242" s="739"/>
      <c r="N242" s="738"/>
      <c r="O242" s="739"/>
      <c r="P242" s="738"/>
      <c r="Q242" s="739"/>
      <c r="R242" s="738"/>
      <c r="S242" s="739"/>
      <c r="T242" s="738"/>
      <c r="U242" s="713">
        <v>40</v>
      </c>
      <c r="V242" s="714">
        <v>8</v>
      </c>
      <c r="W242" s="739"/>
      <c r="X242" s="738"/>
      <c r="Y242" s="739"/>
      <c r="Z242" s="738"/>
      <c r="AA242" s="823"/>
    </row>
    <row r="243" spans="1:27" ht="14.25">
      <c r="A243" s="735" t="s">
        <v>2800</v>
      </c>
      <c r="B243" s="1003" t="s">
        <v>4217</v>
      </c>
      <c r="C243" s="790"/>
      <c r="D243" s="738"/>
      <c r="E243" s="737"/>
      <c r="F243" s="738"/>
      <c r="G243" s="739"/>
      <c r="H243" s="738"/>
      <c r="I243" s="739"/>
      <c r="J243" s="738"/>
      <c r="K243" s="739"/>
      <c r="L243" s="738"/>
      <c r="M243" s="739"/>
      <c r="N243" s="738"/>
      <c r="O243" s="739"/>
      <c r="P243" s="738"/>
      <c r="Q243" s="739"/>
      <c r="R243" s="738"/>
      <c r="S243" s="739"/>
      <c r="T243" s="738"/>
      <c r="U243" s="713">
        <v>30</v>
      </c>
      <c r="V243" s="714">
        <v>5</v>
      </c>
      <c r="W243" s="739"/>
      <c r="X243" s="738"/>
      <c r="Y243" s="739"/>
      <c r="Z243" s="738"/>
      <c r="AA243" s="823"/>
    </row>
    <row r="244" spans="1:27" ht="14.25">
      <c r="A244" s="735" t="s">
        <v>2802</v>
      </c>
      <c r="B244" s="1003" t="s">
        <v>4218</v>
      </c>
      <c r="C244" s="790"/>
      <c r="D244" s="738"/>
      <c r="E244" s="737"/>
      <c r="F244" s="738"/>
      <c r="G244" s="739"/>
      <c r="H244" s="738"/>
      <c r="I244" s="739"/>
      <c r="J244" s="738"/>
      <c r="K244" s="739"/>
      <c r="L244" s="738"/>
      <c r="M244" s="739"/>
      <c r="N244" s="738"/>
      <c r="O244" s="739"/>
      <c r="P244" s="738"/>
      <c r="Q244" s="739"/>
      <c r="R244" s="738"/>
      <c r="S244" s="739"/>
      <c r="T244" s="738"/>
      <c r="U244" s="713">
        <v>40</v>
      </c>
      <c r="V244" s="714">
        <v>8</v>
      </c>
      <c r="W244" s="739"/>
      <c r="X244" s="738"/>
      <c r="Y244" s="739"/>
      <c r="Z244" s="738"/>
      <c r="AA244" s="823"/>
    </row>
    <row r="245" spans="1:27" ht="14.25">
      <c r="A245" s="735" t="s">
        <v>2804</v>
      </c>
      <c r="B245" s="1003" t="s">
        <v>4219</v>
      </c>
      <c r="C245" s="790"/>
      <c r="D245" s="738"/>
      <c r="E245" s="737"/>
      <c r="F245" s="738"/>
      <c r="G245" s="739"/>
      <c r="H245" s="738"/>
      <c r="I245" s="739"/>
      <c r="J245" s="738"/>
      <c r="K245" s="739"/>
      <c r="L245" s="738"/>
      <c r="M245" s="739"/>
      <c r="N245" s="738"/>
      <c r="O245" s="739"/>
      <c r="P245" s="738"/>
      <c r="Q245" s="739"/>
      <c r="R245" s="738"/>
      <c r="S245" s="739"/>
      <c r="T245" s="738"/>
      <c r="U245" s="713">
        <v>20</v>
      </c>
      <c r="V245" s="714">
        <v>5</v>
      </c>
      <c r="W245" s="739"/>
      <c r="X245" s="738"/>
      <c r="Y245" s="739"/>
      <c r="Z245" s="738"/>
      <c r="AA245" s="823"/>
    </row>
    <row r="246" spans="1:27" ht="14.25">
      <c r="A246" s="735" t="s">
        <v>2806</v>
      </c>
      <c r="B246" s="1003" t="s">
        <v>4220</v>
      </c>
      <c r="C246" s="790"/>
      <c r="D246" s="738"/>
      <c r="E246" s="737"/>
      <c r="F246" s="738"/>
      <c r="G246" s="739"/>
      <c r="H246" s="738"/>
      <c r="I246" s="739"/>
      <c r="J246" s="738"/>
      <c r="K246" s="739"/>
      <c r="L246" s="738"/>
      <c r="M246" s="739"/>
      <c r="N246" s="738"/>
      <c r="O246" s="739"/>
      <c r="P246" s="738"/>
      <c r="Q246" s="739"/>
      <c r="R246" s="738"/>
      <c r="S246" s="739"/>
      <c r="T246" s="738"/>
      <c r="U246" s="713">
        <v>20</v>
      </c>
      <c r="V246" s="714">
        <v>5</v>
      </c>
      <c r="W246" s="739"/>
      <c r="X246" s="738"/>
      <c r="Y246" s="739"/>
      <c r="Z246" s="738"/>
      <c r="AA246" s="823"/>
    </row>
    <row r="247" spans="1:27" ht="14.25">
      <c r="A247" s="735" t="s">
        <v>2808</v>
      </c>
      <c r="B247" s="1003" t="s">
        <v>4221</v>
      </c>
      <c r="C247" s="790"/>
      <c r="D247" s="738"/>
      <c r="E247" s="737"/>
      <c r="F247" s="738"/>
      <c r="G247" s="739"/>
      <c r="H247" s="738"/>
      <c r="I247" s="739"/>
      <c r="J247" s="738"/>
      <c r="K247" s="739"/>
      <c r="L247" s="738"/>
      <c r="M247" s="739"/>
      <c r="N247" s="738"/>
      <c r="O247" s="739"/>
      <c r="P247" s="738"/>
      <c r="Q247" s="739"/>
      <c r="R247" s="738"/>
      <c r="S247" s="739"/>
      <c r="T247" s="738"/>
      <c r="U247" s="713">
        <v>30</v>
      </c>
      <c r="V247" s="714">
        <v>5</v>
      </c>
      <c r="W247" s="739"/>
      <c r="X247" s="738"/>
      <c r="Y247" s="739"/>
      <c r="Z247" s="738"/>
      <c r="AA247" s="823"/>
    </row>
    <row r="248" spans="1:27" ht="14.25">
      <c r="A248" s="735" t="s">
        <v>2810</v>
      </c>
      <c r="B248" s="1003" t="s">
        <v>4222</v>
      </c>
      <c r="C248" s="790"/>
      <c r="D248" s="738"/>
      <c r="E248" s="737"/>
      <c r="F248" s="738"/>
      <c r="G248" s="739"/>
      <c r="H248" s="738"/>
      <c r="I248" s="739"/>
      <c r="J248" s="738"/>
      <c r="K248" s="739"/>
      <c r="L248" s="738"/>
      <c r="M248" s="739"/>
      <c r="N248" s="738"/>
      <c r="O248" s="739"/>
      <c r="P248" s="738"/>
      <c r="Q248" s="739"/>
      <c r="R248" s="738"/>
      <c r="S248" s="739"/>
      <c r="T248" s="738"/>
      <c r="U248" s="713">
        <v>30</v>
      </c>
      <c r="V248" s="714">
        <v>5</v>
      </c>
      <c r="W248" s="739"/>
      <c r="X248" s="738"/>
      <c r="Y248" s="739"/>
      <c r="Z248" s="738"/>
      <c r="AA248" s="823"/>
    </row>
    <row r="249" spans="1:27" ht="14.25">
      <c r="A249" s="735" t="s">
        <v>2812</v>
      </c>
      <c r="B249" s="1003" t="s">
        <v>4223</v>
      </c>
      <c r="C249" s="790"/>
      <c r="D249" s="738"/>
      <c r="E249" s="737"/>
      <c r="F249" s="738"/>
      <c r="G249" s="739"/>
      <c r="H249" s="738"/>
      <c r="I249" s="739"/>
      <c r="J249" s="738"/>
      <c r="K249" s="739"/>
      <c r="L249" s="738"/>
      <c r="M249" s="739"/>
      <c r="N249" s="738"/>
      <c r="O249" s="739"/>
      <c r="P249" s="738"/>
      <c r="Q249" s="739"/>
      <c r="R249" s="738"/>
      <c r="S249" s="739"/>
      <c r="T249" s="738"/>
      <c r="U249" s="713">
        <v>30</v>
      </c>
      <c r="V249" s="714">
        <v>5</v>
      </c>
      <c r="W249" s="739"/>
      <c r="X249" s="738"/>
      <c r="Y249" s="739"/>
      <c r="Z249" s="738"/>
      <c r="AA249" s="823"/>
    </row>
    <row r="250" spans="1:27" ht="14.25">
      <c r="A250" s="735" t="s">
        <v>2814</v>
      </c>
      <c r="B250" s="1003" t="s">
        <v>4224</v>
      </c>
      <c r="C250" s="790"/>
      <c r="D250" s="738"/>
      <c r="E250" s="737"/>
      <c r="F250" s="738"/>
      <c r="G250" s="739"/>
      <c r="H250" s="738"/>
      <c r="I250" s="739"/>
      <c r="J250" s="738"/>
      <c r="K250" s="739"/>
      <c r="L250" s="738"/>
      <c r="M250" s="739"/>
      <c r="N250" s="738"/>
      <c r="O250" s="739"/>
      <c r="P250" s="738"/>
      <c r="Q250" s="739"/>
      <c r="R250" s="738"/>
      <c r="S250" s="739"/>
      <c r="T250" s="738"/>
      <c r="U250" s="713">
        <v>30</v>
      </c>
      <c r="V250" s="714">
        <v>5</v>
      </c>
      <c r="W250" s="739"/>
      <c r="X250" s="738"/>
      <c r="Y250" s="739"/>
      <c r="Z250" s="738"/>
      <c r="AA250" s="823"/>
    </row>
    <row r="251" spans="1:27" ht="14.25">
      <c r="A251" s="735" t="s">
        <v>3243</v>
      </c>
      <c r="B251" s="1003" t="s">
        <v>4225</v>
      </c>
      <c r="C251" s="790"/>
      <c r="D251" s="738"/>
      <c r="E251" s="737"/>
      <c r="F251" s="738"/>
      <c r="G251" s="739"/>
      <c r="H251" s="738"/>
      <c r="I251" s="739"/>
      <c r="J251" s="738"/>
      <c r="K251" s="739"/>
      <c r="L251" s="738"/>
      <c r="M251" s="739"/>
      <c r="N251" s="738"/>
      <c r="O251" s="739"/>
      <c r="P251" s="738"/>
      <c r="Q251" s="739"/>
      <c r="R251" s="738"/>
      <c r="S251" s="739"/>
      <c r="T251" s="738"/>
      <c r="U251" s="713">
        <v>30</v>
      </c>
      <c r="V251" s="714">
        <v>5</v>
      </c>
      <c r="W251" s="739"/>
      <c r="X251" s="738"/>
      <c r="Y251" s="739"/>
      <c r="Z251" s="738"/>
      <c r="AA251" s="823"/>
    </row>
    <row r="252" spans="1:27" ht="28.5">
      <c r="A252" s="735" t="s">
        <v>3245</v>
      </c>
      <c r="B252" s="1003" t="s">
        <v>4226</v>
      </c>
      <c r="C252" s="790"/>
      <c r="D252" s="738"/>
      <c r="E252" s="737"/>
      <c r="F252" s="738"/>
      <c r="G252" s="739"/>
      <c r="H252" s="738"/>
      <c r="I252" s="739"/>
      <c r="J252" s="738"/>
      <c r="K252" s="739"/>
      <c r="L252" s="738"/>
      <c r="M252" s="739"/>
      <c r="N252" s="738"/>
      <c r="O252" s="739"/>
      <c r="P252" s="738"/>
      <c r="Q252" s="739"/>
      <c r="R252" s="738"/>
      <c r="S252" s="739"/>
      <c r="T252" s="738"/>
      <c r="U252" s="713">
        <v>30</v>
      </c>
      <c r="V252" s="714">
        <v>5</v>
      </c>
      <c r="W252" s="739"/>
      <c r="X252" s="738"/>
      <c r="Y252" s="739"/>
      <c r="Z252" s="738"/>
      <c r="AA252" s="823"/>
    </row>
    <row r="253" spans="1:27" ht="28.5">
      <c r="A253" s="735" t="s">
        <v>3247</v>
      </c>
      <c r="B253" s="1003" t="s">
        <v>4227</v>
      </c>
      <c r="C253" s="790"/>
      <c r="D253" s="738"/>
      <c r="E253" s="737"/>
      <c r="F253" s="738"/>
      <c r="G253" s="739"/>
      <c r="H253" s="738"/>
      <c r="I253" s="739"/>
      <c r="J253" s="738"/>
      <c r="K253" s="739"/>
      <c r="L253" s="738"/>
      <c r="M253" s="739"/>
      <c r="N253" s="738"/>
      <c r="O253" s="739"/>
      <c r="P253" s="738"/>
      <c r="Q253" s="739"/>
      <c r="R253" s="738"/>
      <c r="S253" s="739"/>
      <c r="T253" s="738"/>
      <c r="U253" s="713">
        <v>30</v>
      </c>
      <c r="V253" s="714">
        <v>5</v>
      </c>
      <c r="W253" s="739"/>
      <c r="X253" s="738"/>
      <c r="Y253" s="739"/>
      <c r="Z253" s="738"/>
      <c r="AA253" s="823"/>
    </row>
    <row r="254" spans="1:27" ht="14.25">
      <c r="A254" s="735" t="s">
        <v>3249</v>
      </c>
      <c r="B254" s="1003" t="s">
        <v>4228</v>
      </c>
      <c r="C254" s="790"/>
      <c r="D254" s="738"/>
      <c r="E254" s="737"/>
      <c r="F254" s="738"/>
      <c r="G254" s="739"/>
      <c r="H254" s="738"/>
      <c r="I254" s="739"/>
      <c r="J254" s="738"/>
      <c r="K254" s="739"/>
      <c r="L254" s="738"/>
      <c r="M254" s="739"/>
      <c r="N254" s="738"/>
      <c r="O254" s="739"/>
      <c r="P254" s="738"/>
      <c r="Q254" s="739"/>
      <c r="R254" s="738"/>
      <c r="S254" s="739"/>
      <c r="T254" s="738"/>
      <c r="U254" s="713">
        <v>30</v>
      </c>
      <c r="V254" s="714">
        <v>5</v>
      </c>
      <c r="W254" s="739"/>
      <c r="X254" s="738"/>
      <c r="Y254" s="739"/>
      <c r="Z254" s="738"/>
      <c r="AA254" s="823"/>
    </row>
    <row r="255" spans="1:27" ht="14.25">
      <c r="A255" s="735" t="s">
        <v>3251</v>
      </c>
      <c r="B255" s="1003" t="s">
        <v>4229</v>
      </c>
      <c r="C255" s="790"/>
      <c r="D255" s="738"/>
      <c r="E255" s="737"/>
      <c r="F255" s="738"/>
      <c r="G255" s="739"/>
      <c r="H255" s="738"/>
      <c r="I255" s="739"/>
      <c r="J255" s="738"/>
      <c r="K255" s="739"/>
      <c r="L255" s="738"/>
      <c r="M255" s="739"/>
      <c r="N255" s="738"/>
      <c r="O255" s="739"/>
      <c r="P255" s="738"/>
      <c r="Q255" s="739"/>
      <c r="R255" s="738"/>
      <c r="S255" s="739"/>
      <c r="T255" s="738"/>
      <c r="U255" s="713">
        <v>30</v>
      </c>
      <c r="V255" s="714">
        <v>5</v>
      </c>
      <c r="W255" s="739"/>
      <c r="X255" s="738"/>
      <c r="Y255" s="739"/>
      <c r="Z255" s="738"/>
      <c r="AA255" s="823"/>
    </row>
    <row r="256" spans="1:27" ht="14.25">
      <c r="A256" s="735">
        <v>4.2</v>
      </c>
      <c r="B256" s="998" t="s">
        <v>4230</v>
      </c>
      <c r="C256" s="790"/>
      <c r="D256" s="738"/>
      <c r="E256" s="737"/>
      <c r="F256" s="738"/>
      <c r="G256" s="739"/>
      <c r="H256" s="738"/>
      <c r="I256" s="739"/>
      <c r="J256" s="738"/>
      <c r="K256" s="739"/>
      <c r="L256" s="738"/>
      <c r="M256" s="739"/>
      <c r="N256" s="738"/>
      <c r="O256" s="739"/>
      <c r="P256" s="738"/>
      <c r="Q256" s="739"/>
      <c r="R256" s="738"/>
      <c r="S256" s="739"/>
      <c r="T256" s="738"/>
      <c r="U256" s="713"/>
      <c r="V256" s="714"/>
      <c r="W256" s="739"/>
      <c r="X256" s="738"/>
      <c r="Y256" s="739"/>
      <c r="Z256" s="738"/>
      <c r="AA256" s="823"/>
    </row>
    <row r="257" spans="1:27" ht="14.25">
      <c r="A257" s="735" t="s">
        <v>585</v>
      </c>
      <c r="B257" s="1003" t="s">
        <v>4231</v>
      </c>
      <c r="C257" s="790"/>
      <c r="D257" s="738"/>
      <c r="E257" s="737"/>
      <c r="F257" s="738"/>
      <c r="G257" s="739"/>
      <c r="H257" s="738"/>
      <c r="I257" s="739"/>
      <c r="J257" s="738"/>
      <c r="K257" s="739"/>
      <c r="L257" s="738"/>
      <c r="M257" s="739"/>
      <c r="N257" s="738"/>
      <c r="O257" s="739"/>
      <c r="P257" s="738"/>
      <c r="Q257" s="739"/>
      <c r="R257" s="738"/>
      <c r="S257" s="739"/>
      <c r="T257" s="738"/>
      <c r="U257" s="713">
        <v>30</v>
      </c>
      <c r="V257" s="714">
        <v>5</v>
      </c>
      <c r="W257" s="739"/>
      <c r="X257" s="738"/>
      <c r="Y257" s="739"/>
      <c r="Z257" s="738"/>
      <c r="AA257" s="823"/>
    </row>
    <row r="258" spans="1:27" ht="14.25">
      <c r="A258" s="735" t="s">
        <v>587</v>
      </c>
      <c r="B258" s="1003" t="s">
        <v>4232</v>
      </c>
      <c r="C258" s="790"/>
      <c r="D258" s="738"/>
      <c r="E258" s="737"/>
      <c r="F258" s="738"/>
      <c r="G258" s="739"/>
      <c r="H258" s="738"/>
      <c r="I258" s="739"/>
      <c r="J258" s="738"/>
      <c r="K258" s="739"/>
      <c r="L258" s="738"/>
      <c r="M258" s="739"/>
      <c r="N258" s="738"/>
      <c r="O258" s="739"/>
      <c r="P258" s="738"/>
      <c r="Q258" s="739"/>
      <c r="R258" s="738"/>
      <c r="S258" s="739"/>
      <c r="T258" s="738"/>
      <c r="U258" s="713">
        <v>30</v>
      </c>
      <c r="V258" s="714">
        <v>5</v>
      </c>
      <c r="W258" s="739"/>
      <c r="X258" s="738"/>
      <c r="Y258" s="739"/>
      <c r="Z258" s="738"/>
      <c r="AA258" s="823"/>
    </row>
    <row r="259" spans="1:27" ht="14.25">
      <c r="A259" s="735" t="s">
        <v>2819</v>
      </c>
      <c r="B259" s="1003" t="s">
        <v>4233</v>
      </c>
      <c r="C259" s="790"/>
      <c r="D259" s="738"/>
      <c r="E259" s="737"/>
      <c r="F259" s="738"/>
      <c r="G259" s="739"/>
      <c r="H259" s="738"/>
      <c r="I259" s="739"/>
      <c r="J259" s="738"/>
      <c r="K259" s="739"/>
      <c r="L259" s="738"/>
      <c r="M259" s="739"/>
      <c r="N259" s="738"/>
      <c r="O259" s="739"/>
      <c r="P259" s="738"/>
      <c r="Q259" s="739"/>
      <c r="R259" s="738"/>
      <c r="S259" s="739"/>
      <c r="T259" s="738"/>
      <c r="U259" s="713">
        <v>30</v>
      </c>
      <c r="V259" s="714">
        <v>5</v>
      </c>
      <c r="W259" s="739"/>
      <c r="X259" s="738"/>
      <c r="Y259" s="739"/>
      <c r="Z259" s="738"/>
      <c r="AA259" s="823"/>
    </row>
    <row r="260" spans="1:27" ht="28.5">
      <c r="A260" s="735" t="s">
        <v>2821</v>
      </c>
      <c r="B260" s="1003" t="s">
        <v>4234</v>
      </c>
      <c r="C260" s="790"/>
      <c r="D260" s="738"/>
      <c r="E260" s="737"/>
      <c r="F260" s="738"/>
      <c r="G260" s="739"/>
      <c r="H260" s="738"/>
      <c r="I260" s="739"/>
      <c r="J260" s="738"/>
      <c r="K260" s="739"/>
      <c r="L260" s="738"/>
      <c r="M260" s="739"/>
      <c r="N260" s="738"/>
      <c r="O260" s="739"/>
      <c r="P260" s="738"/>
      <c r="Q260" s="739"/>
      <c r="R260" s="738"/>
      <c r="S260" s="739"/>
      <c r="T260" s="738"/>
      <c r="U260" s="713">
        <v>30</v>
      </c>
      <c r="V260" s="714">
        <v>5</v>
      </c>
      <c r="W260" s="739"/>
      <c r="X260" s="738"/>
      <c r="Y260" s="739"/>
      <c r="Z260" s="738"/>
      <c r="AA260" s="823"/>
    </row>
    <row r="261" spans="1:27" ht="28.5">
      <c r="A261" s="735" t="s">
        <v>2823</v>
      </c>
      <c r="B261" s="1003" t="s">
        <v>4235</v>
      </c>
      <c r="C261" s="790"/>
      <c r="D261" s="738"/>
      <c r="E261" s="737"/>
      <c r="F261" s="738"/>
      <c r="G261" s="739"/>
      <c r="H261" s="738"/>
      <c r="I261" s="739"/>
      <c r="J261" s="738"/>
      <c r="K261" s="739"/>
      <c r="L261" s="738"/>
      <c r="M261" s="739"/>
      <c r="N261" s="738"/>
      <c r="O261" s="739"/>
      <c r="P261" s="738"/>
      <c r="Q261" s="739"/>
      <c r="R261" s="738"/>
      <c r="S261" s="739"/>
      <c r="T261" s="738"/>
      <c r="U261" s="713">
        <v>30</v>
      </c>
      <c r="V261" s="714">
        <v>5</v>
      </c>
      <c r="W261" s="739"/>
      <c r="X261" s="738"/>
      <c r="Y261" s="739"/>
      <c r="Z261" s="738"/>
      <c r="AA261" s="823"/>
    </row>
    <row r="262" spans="1:27" ht="14.25">
      <c r="A262" s="735" t="s">
        <v>2825</v>
      </c>
      <c r="B262" s="1003" t="s">
        <v>4236</v>
      </c>
      <c r="C262" s="790"/>
      <c r="D262" s="738"/>
      <c r="E262" s="737"/>
      <c r="F262" s="738"/>
      <c r="G262" s="739"/>
      <c r="H262" s="738"/>
      <c r="I262" s="739"/>
      <c r="J262" s="738"/>
      <c r="K262" s="739"/>
      <c r="L262" s="738"/>
      <c r="M262" s="739"/>
      <c r="N262" s="738"/>
      <c r="O262" s="739"/>
      <c r="P262" s="738"/>
      <c r="Q262" s="739"/>
      <c r="R262" s="738"/>
      <c r="S262" s="739"/>
      <c r="T262" s="738"/>
      <c r="U262" s="713">
        <v>30</v>
      </c>
      <c r="V262" s="714">
        <v>5</v>
      </c>
      <c r="W262" s="739"/>
      <c r="X262" s="738"/>
      <c r="Y262" s="739"/>
      <c r="Z262" s="738"/>
      <c r="AA262" s="823"/>
    </row>
    <row r="263" spans="1:27" ht="14.25">
      <c r="A263" s="735" t="s">
        <v>2826</v>
      </c>
      <c r="B263" s="1003" t="s">
        <v>4237</v>
      </c>
      <c r="C263" s="790"/>
      <c r="D263" s="738"/>
      <c r="E263" s="737"/>
      <c r="F263" s="738"/>
      <c r="G263" s="739"/>
      <c r="H263" s="738"/>
      <c r="I263" s="739"/>
      <c r="J263" s="738"/>
      <c r="K263" s="739"/>
      <c r="L263" s="738"/>
      <c r="M263" s="739"/>
      <c r="N263" s="738"/>
      <c r="O263" s="739"/>
      <c r="P263" s="738"/>
      <c r="Q263" s="739"/>
      <c r="R263" s="738"/>
      <c r="S263" s="739"/>
      <c r="T263" s="738"/>
      <c r="U263" s="713">
        <v>30</v>
      </c>
      <c r="V263" s="714">
        <v>5</v>
      </c>
      <c r="W263" s="739"/>
      <c r="X263" s="738"/>
      <c r="Y263" s="739"/>
      <c r="Z263" s="738"/>
      <c r="AA263" s="823"/>
    </row>
    <row r="264" spans="1:27" ht="14.25">
      <c r="A264" s="735" t="s">
        <v>2827</v>
      </c>
      <c r="B264" s="1003" t="s">
        <v>4238</v>
      </c>
      <c r="C264" s="790"/>
      <c r="D264" s="738"/>
      <c r="E264" s="737"/>
      <c r="F264" s="738"/>
      <c r="G264" s="739"/>
      <c r="H264" s="738"/>
      <c r="I264" s="739"/>
      <c r="J264" s="738"/>
      <c r="K264" s="739"/>
      <c r="L264" s="738"/>
      <c r="M264" s="739"/>
      <c r="N264" s="738"/>
      <c r="O264" s="739"/>
      <c r="P264" s="738"/>
      <c r="Q264" s="739"/>
      <c r="R264" s="738"/>
      <c r="S264" s="739"/>
      <c r="T264" s="738"/>
      <c r="U264" s="713">
        <v>30</v>
      </c>
      <c r="V264" s="714">
        <v>5</v>
      </c>
      <c r="W264" s="739"/>
      <c r="X264" s="738"/>
      <c r="Y264" s="739"/>
      <c r="Z264" s="738"/>
      <c r="AA264" s="823"/>
    </row>
    <row r="265" spans="1:27" ht="14.25">
      <c r="A265" s="735" t="s">
        <v>2829</v>
      </c>
      <c r="B265" s="1003" t="s">
        <v>4239</v>
      </c>
      <c r="C265" s="790"/>
      <c r="D265" s="738"/>
      <c r="E265" s="737"/>
      <c r="F265" s="738"/>
      <c r="G265" s="739"/>
      <c r="H265" s="738"/>
      <c r="I265" s="739"/>
      <c r="J265" s="738"/>
      <c r="K265" s="739"/>
      <c r="L265" s="738"/>
      <c r="M265" s="739"/>
      <c r="N265" s="738"/>
      <c r="O265" s="739"/>
      <c r="P265" s="738"/>
      <c r="Q265" s="739"/>
      <c r="R265" s="738"/>
      <c r="S265" s="739"/>
      <c r="T265" s="738"/>
      <c r="U265" s="713">
        <v>30</v>
      </c>
      <c r="V265" s="714">
        <v>5</v>
      </c>
      <c r="W265" s="739"/>
      <c r="X265" s="738"/>
      <c r="Y265" s="739"/>
      <c r="Z265" s="738"/>
      <c r="AA265" s="823"/>
    </row>
    <row r="266" spans="1:27" ht="14.25">
      <c r="A266" s="735" t="s">
        <v>3289</v>
      </c>
      <c r="B266" s="1003" t="s">
        <v>4240</v>
      </c>
      <c r="C266" s="790"/>
      <c r="D266" s="738"/>
      <c r="E266" s="737"/>
      <c r="F266" s="738"/>
      <c r="G266" s="739"/>
      <c r="H266" s="738"/>
      <c r="I266" s="739"/>
      <c r="J266" s="738"/>
      <c r="K266" s="739"/>
      <c r="L266" s="738"/>
      <c r="M266" s="739"/>
      <c r="N266" s="738"/>
      <c r="O266" s="739"/>
      <c r="P266" s="738"/>
      <c r="Q266" s="739"/>
      <c r="R266" s="738"/>
      <c r="S266" s="739"/>
      <c r="T266" s="738"/>
      <c r="U266" s="713">
        <v>30</v>
      </c>
      <c r="V266" s="714">
        <v>5</v>
      </c>
      <c r="W266" s="739"/>
      <c r="X266" s="738"/>
      <c r="Y266" s="739"/>
      <c r="Z266" s="738"/>
      <c r="AA266" s="823"/>
    </row>
    <row r="267" spans="1:27" ht="14.25">
      <c r="A267" s="735" t="s">
        <v>3291</v>
      </c>
      <c r="B267" s="1003" t="s">
        <v>4241</v>
      </c>
      <c r="C267" s="790"/>
      <c r="D267" s="738"/>
      <c r="E267" s="737"/>
      <c r="F267" s="738"/>
      <c r="G267" s="739"/>
      <c r="H267" s="738"/>
      <c r="I267" s="739"/>
      <c r="J267" s="738"/>
      <c r="K267" s="739"/>
      <c r="L267" s="738"/>
      <c r="M267" s="739"/>
      <c r="N267" s="738"/>
      <c r="O267" s="739"/>
      <c r="P267" s="738"/>
      <c r="Q267" s="739"/>
      <c r="R267" s="738"/>
      <c r="S267" s="739"/>
      <c r="T267" s="738"/>
      <c r="U267" s="713">
        <v>30</v>
      </c>
      <c r="V267" s="714">
        <v>5</v>
      </c>
      <c r="W267" s="739"/>
      <c r="X267" s="738"/>
      <c r="Y267" s="739"/>
      <c r="Z267" s="738"/>
      <c r="AA267" s="823"/>
    </row>
    <row r="268" spans="1:27" ht="14.25">
      <c r="A268" s="735" t="s">
        <v>3293</v>
      </c>
      <c r="B268" s="1003" t="s">
        <v>4242</v>
      </c>
      <c r="C268" s="790"/>
      <c r="D268" s="738"/>
      <c r="E268" s="737"/>
      <c r="F268" s="738"/>
      <c r="G268" s="739"/>
      <c r="H268" s="738"/>
      <c r="I268" s="739"/>
      <c r="J268" s="738"/>
      <c r="K268" s="739"/>
      <c r="L268" s="738"/>
      <c r="M268" s="739"/>
      <c r="N268" s="738"/>
      <c r="O268" s="739"/>
      <c r="P268" s="738"/>
      <c r="Q268" s="739"/>
      <c r="R268" s="738"/>
      <c r="S268" s="739"/>
      <c r="T268" s="738"/>
      <c r="U268" s="713">
        <v>30</v>
      </c>
      <c r="V268" s="714">
        <v>5</v>
      </c>
      <c r="W268" s="739"/>
      <c r="X268" s="738"/>
      <c r="Y268" s="739"/>
      <c r="Z268" s="738"/>
      <c r="AA268" s="823"/>
    </row>
    <row r="269" spans="1:27" ht="14.25">
      <c r="A269" s="735" t="s">
        <v>3295</v>
      </c>
      <c r="B269" s="1003" t="s">
        <v>4243</v>
      </c>
      <c r="C269" s="790"/>
      <c r="D269" s="738"/>
      <c r="E269" s="737"/>
      <c r="F269" s="738"/>
      <c r="G269" s="739"/>
      <c r="H269" s="738"/>
      <c r="I269" s="739"/>
      <c r="J269" s="738"/>
      <c r="K269" s="739"/>
      <c r="L269" s="738"/>
      <c r="M269" s="739"/>
      <c r="N269" s="738"/>
      <c r="O269" s="739"/>
      <c r="P269" s="738"/>
      <c r="Q269" s="739"/>
      <c r="R269" s="738"/>
      <c r="S269" s="739"/>
      <c r="T269" s="738"/>
      <c r="U269" s="713">
        <v>30</v>
      </c>
      <c r="V269" s="714">
        <v>5</v>
      </c>
      <c r="W269" s="739"/>
      <c r="X269" s="738"/>
      <c r="Y269" s="739"/>
      <c r="Z269" s="738"/>
      <c r="AA269" s="823"/>
    </row>
    <row r="270" spans="1:27" ht="14.25">
      <c r="A270" s="735" t="s">
        <v>3297</v>
      </c>
      <c r="B270" s="1003" t="s">
        <v>4244</v>
      </c>
      <c r="C270" s="790"/>
      <c r="D270" s="738"/>
      <c r="E270" s="737"/>
      <c r="F270" s="738"/>
      <c r="G270" s="739"/>
      <c r="H270" s="738"/>
      <c r="I270" s="739"/>
      <c r="J270" s="738"/>
      <c r="K270" s="739"/>
      <c r="L270" s="738"/>
      <c r="M270" s="739"/>
      <c r="N270" s="738"/>
      <c r="O270" s="739"/>
      <c r="P270" s="738"/>
      <c r="Q270" s="739"/>
      <c r="R270" s="738"/>
      <c r="S270" s="739"/>
      <c r="T270" s="738"/>
      <c r="U270" s="713">
        <v>30</v>
      </c>
      <c r="V270" s="714">
        <v>5</v>
      </c>
      <c r="W270" s="739"/>
      <c r="X270" s="738"/>
      <c r="Y270" s="739"/>
      <c r="Z270" s="738"/>
      <c r="AA270" s="823"/>
    </row>
    <row r="271" spans="1:27" ht="14.25">
      <c r="A271" s="735">
        <v>4.3</v>
      </c>
      <c r="B271" s="998" t="s">
        <v>4245</v>
      </c>
      <c r="C271" s="790"/>
      <c r="D271" s="738"/>
      <c r="E271" s="737"/>
      <c r="F271" s="738"/>
      <c r="G271" s="739"/>
      <c r="H271" s="738"/>
      <c r="I271" s="739"/>
      <c r="J271" s="738"/>
      <c r="K271" s="739"/>
      <c r="L271" s="738"/>
      <c r="M271" s="739"/>
      <c r="N271" s="738"/>
      <c r="O271" s="739"/>
      <c r="P271" s="738"/>
      <c r="Q271" s="739"/>
      <c r="R271" s="738"/>
      <c r="S271" s="739"/>
      <c r="T271" s="738"/>
      <c r="U271" s="713"/>
      <c r="V271" s="714"/>
      <c r="W271" s="739"/>
      <c r="X271" s="738"/>
      <c r="Y271" s="739"/>
      <c r="Z271" s="738"/>
      <c r="AA271" s="823"/>
    </row>
    <row r="272" spans="1:27" ht="14.25">
      <c r="A272" s="735" t="s">
        <v>589</v>
      </c>
      <c r="B272" s="1003" t="s">
        <v>4246</v>
      </c>
      <c r="C272" s="790"/>
      <c r="D272" s="738"/>
      <c r="E272" s="737"/>
      <c r="F272" s="738"/>
      <c r="G272" s="739"/>
      <c r="H272" s="738"/>
      <c r="I272" s="739"/>
      <c r="J272" s="738"/>
      <c r="K272" s="739"/>
      <c r="L272" s="738"/>
      <c r="M272" s="739"/>
      <c r="N272" s="738"/>
      <c r="O272" s="739"/>
      <c r="P272" s="738"/>
      <c r="Q272" s="739"/>
      <c r="R272" s="738"/>
      <c r="S272" s="739"/>
      <c r="T272" s="738"/>
      <c r="U272" s="713">
        <v>20</v>
      </c>
      <c r="V272" s="714">
        <v>5</v>
      </c>
      <c r="W272" s="739"/>
      <c r="X272" s="738"/>
      <c r="Y272" s="739"/>
      <c r="Z272" s="738"/>
      <c r="AA272" s="823"/>
    </row>
    <row r="273" spans="1:27" ht="14.25">
      <c r="A273" s="735" t="s">
        <v>4247</v>
      </c>
      <c r="B273" s="1003" t="s">
        <v>4248</v>
      </c>
      <c r="C273" s="790"/>
      <c r="D273" s="738"/>
      <c r="E273" s="737"/>
      <c r="F273" s="738"/>
      <c r="G273" s="739"/>
      <c r="H273" s="738"/>
      <c r="I273" s="739"/>
      <c r="J273" s="738"/>
      <c r="K273" s="739"/>
      <c r="L273" s="738"/>
      <c r="M273" s="739"/>
      <c r="N273" s="738"/>
      <c r="O273" s="739"/>
      <c r="P273" s="738"/>
      <c r="Q273" s="739"/>
      <c r="R273" s="738"/>
      <c r="S273" s="739"/>
      <c r="T273" s="738"/>
      <c r="U273" s="713">
        <v>20</v>
      </c>
      <c r="V273" s="714">
        <v>5</v>
      </c>
      <c r="W273" s="739"/>
      <c r="X273" s="738"/>
      <c r="Y273" s="739"/>
      <c r="Z273" s="738"/>
      <c r="AA273" s="823"/>
    </row>
    <row r="274" spans="1:27" ht="14.25">
      <c r="A274" s="735" t="s">
        <v>591</v>
      </c>
      <c r="B274" s="1003" t="s">
        <v>4249</v>
      </c>
      <c r="C274" s="790"/>
      <c r="D274" s="738"/>
      <c r="E274" s="737"/>
      <c r="F274" s="738"/>
      <c r="G274" s="739"/>
      <c r="H274" s="738"/>
      <c r="I274" s="739"/>
      <c r="J274" s="738"/>
      <c r="K274" s="739"/>
      <c r="L274" s="738"/>
      <c r="M274" s="739"/>
      <c r="N274" s="738"/>
      <c r="O274" s="739"/>
      <c r="P274" s="738"/>
      <c r="Q274" s="739"/>
      <c r="R274" s="738"/>
      <c r="S274" s="739"/>
      <c r="T274" s="738"/>
      <c r="U274" s="713">
        <v>30</v>
      </c>
      <c r="V274" s="714">
        <v>5</v>
      </c>
      <c r="W274" s="739"/>
      <c r="X274" s="738"/>
      <c r="Y274" s="739"/>
      <c r="Z274" s="738"/>
      <c r="AA274" s="823"/>
    </row>
    <row r="275" spans="1:27" ht="14.25">
      <c r="A275" s="742">
        <v>5</v>
      </c>
      <c r="B275" s="999" t="s">
        <v>4250</v>
      </c>
      <c r="C275" s="790"/>
      <c r="D275" s="738"/>
      <c r="E275" s="737"/>
      <c r="F275" s="738"/>
      <c r="G275" s="739"/>
      <c r="H275" s="738"/>
      <c r="I275" s="739"/>
      <c r="J275" s="738"/>
      <c r="K275" s="739"/>
      <c r="L275" s="738"/>
      <c r="M275" s="739"/>
      <c r="N275" s="738"/>
      <c r="O275" s="739"/>
      <c r="P275" s="738"/>
      <c r="Q275" s="739"/>
      <c r="R275" s="738"/>
      <c r="S275" s="739"/>
      <c r="T275" s="738"/>
      <c r="U275" s="713"/>
      <c r="V275" s="714"/>
      <c r="W275" s="739"/>
      <c r="X275" s="738"/>
      <c r="Y275" s="739"/>
      <c r="Z275" s="738"/>
      <c r="AA275" s="823"/>
    </row>
    <row r="276" spans="1:27" ht="14.25">
      <c r="A276" s="735">
        <v>5.0999999999999996</v>
      </c>
      <c r="B276" s="998" t="s">
        <v>4251</v>
      </c>
      <c r="C276" s="790"/>
      <c r="D276" s="738"/>
      <c r="E276" s="737"/>
      <c r="F276" s="738"/>
      <c r="G276" s="739"/>
      <c r="H276" s="738"/>
      <c r="I276" s="739"/>
      <c r="J276" s="738"/>
      <c r="K276" s="739"/>
      <c r="L276" s="738"/>
      <c r="M276" s="739"/>
      <c r="N276" s="738"/>
      <c r="O276" s="739"/>
      <c r="P276" s="738"/>
      <c r="Q276" s="739"/>
      <c r="R276" s="738"/>
      <c r="S276" s="739"/>
      <c r="T276" s="738"/>
      <c r="U276" s="713"/>
      <c r="V276" s="714"/>
      <c r="W276" s="739"/>
      <c r="X276" s="738"/>
      <c r="Y276" s="739"/>
      <c r="Z276" s="738"/>
      <c r="AA276" s="823"/>
    </row>
    <row r="277" spans="1:27" ht="28.5">
      <c r="A277" s="735" t="s">
        <v>3790</v>
      </c>
      <c r="B277" s="1003" t="s">
        <v>4252</v>
      </c>
      <c r="C277" s="790"/>
      <c r="D277" s="738"/>
      <c r="E277" s="737"/>
      <c r="F277" s="738"/>
      <c r="G277" s="739"/>
      <c r="H277" s="738"/>
      <c r="I277" s="739"/>
      <c r="J277" s="738"/>
      <c r="K277" s="739"/>
      <c r="L277" s="738"/>
      <c r="M277" s="739"/>
      <c r="N277" s="738"/>
      <c r="O277" s="739"/>
      <c r="P277" s="738"/>
      <c r="Q277" s="739"/>
      <c r="R277" s="738"/>
      <c r="S277" s="739">
        <v>1</v>
      </c>
      <c r="T277" s="738"/>
      <c r="U277" s="713">
        <v>4</v>
      </c>
      <c r="V277" s="714">
        <v>3</v>
      </c>
      <c r="W277" s="739"/>
      <c r="X277" s="738"/>
      <c r="Y277" s="739"/>
      <c r="Z277" s="738"/>
      <c r="AA277" s="823">
        <v>25</v>
      </c>
    </row>
    <row r="278" spans="1:27" ht="14.25">
      <c r="A278" s="735" t="s">
        <v>3792</v>
      </c>
      <c r="B278" s="1003" t="s">
        <v>4253</v>
      </c>
      <c r="C278" s="790"/>
      <c r="D278" s="738"/>
      <c r="E278" s="737"/>
      <c r="F278" s="738"/>
      <c r="G278" s="739"/>
      <c r="H278" s="738"/>
      <c r="I278" s="739"/>
      <c r="J278" s="738"/>
      <c r="K278" s="739"/>
      <c r="L278" s="738"/>
      <c r="M278" s="739"/>
      <c r="N278" s="738"/>
      <c r="O278" s="739"/>
      <c r="P278" s="738"/>
      <c r="Q278" s="739"/>
      <c r="R278" s="738"/>
      <c r="S278" s="739">
        <v>1</v>
      </c>
      <c r="T278" s="738"/>
      <c r="U278" s="713">
        <v>8</v>
      </c>
      <c r="V278" s="714">
        <v>5</v>
      </c>
      <c r="W278" s="739"/>
      <c r="X278" s="738"/>
      <c r="Y278" s="739"/>
      <c r="Z278" s="738"/>
      <c r="AA278" s="823">
        <v>50</v>
      </c>
    </row>
    <row r="279" spans="1:27" ht="14.25">
      <c r="A279" s="735" t="s">
        <v>3794</v>
      </c>
      <c r="B279" s="1003" t="s">
        <v>4254</v>
      </c>
      <c r="C279" s="790"/>
      <c r="D279" s="738"/>
      <c r="E279" s="737"/>
      <c r="F279" s="738"/>
      <c r="G279" s="739"/>
      <c r="H279" s="738"/>
      <c r="I279" s="739"/>
      <c r="J279" s="738"/>
      <c r="K279" s="739"/>
      <c r="L279" s="738"/>
      <c r="M279" s="739"/>
      <c r="N279" s="738"/>
      <c r="O279" s="739"/>
      <c r="P279" s="738"/>
      <c r="Q279" s="739"/>
      <c r="R279" s="738"/>
      <c r="S279" s="739">
        <v>1</v>
      </c>
      <c r="T279" s="738"/>
      <c r="U279" s="713">
        <v>3</v>
      </c>
      <c r="V279" s="714">
        <v>2</v>
      </c>
      <c r="W279" s="739"/>
      <c r="X279" s="738"/>
      <c r="Y279" s="739"/>
      <c r="Z279" s="738"/>
      <c r="AA279" s="823">
        <v>16</v>
      </c>
    </row>
    <row r="280" spans="1:27" ht="14.25">
      <c r="A280" s="735" t="s">
        <v>3796</v>
      </c>
      <c r="B280" s="1003" t="s">
        <v>4255</v>
      </c>
      <c r="C280" s="790"/>
      <c r="D280" s="738"/>
      <c r="E280" s="737"/>
      <c r="F280" s="738"/>
      <c r="G280" s="739"/>
      <c r="H280" s="738"/>
      <c r="I280" s="739"/>
      <c r="J280" s="738"/>
      <c r="K280" s="739"/>
      <c r="L280" s="738"/>
      <c r="M280" s="739"/>
      <c r="N280" s="738"/>
      <c r="O280" s="739"/>
      <c r="P280" s="738"/>
      <c r="Q280" s="739"/>
      <c r="R280" s="738"/>
      <c r="S280" s="739">
        <v>1</v>
      </c>
      <c r="T280" s="738"/>
      <c r="U280" s="713">
        <v>8</v>
      </c>
      <c r="V280" s="714">
        <v>5</v>
      </c>
      <c r="W280" s="739"/>
      <c r="X280" s="738"/>
      <c r="Y280" s="739"/>
      <c r="Z280" s="738"/>
      <c r="AA280" s="823">
        <v>50</v>
      </c>
    </row>
    <row r="281" spans="1:27" ht="14.25">
      <c r="A281" s="735" t="s">
        <v>3798</v>
      </c>
      <c r="B281" s="1003" t="s">
        <v>4256</v>
      </c>
      <c r="C281" s="790"/>
      <c r="D281" s="738"/>
      <c r="E281" s="737"/>
      <c r="F281" s="738"/>
      <c r="G281" s="739"/>
      <c r="H281" s="738"/>
      <c r="I281" s="739"/>
      <c r="J281" s="738"/>
      <c r="K281" s="739"/>
      <c r="L281" s="738"/>
      <c r="M281" s="739"/>
      <c r="N281" s="738"/>
      <c r="O281" s="739"/>
      <c r="P281" s="738"/>
      <c r="Q281" s="739"/>
      <c r="R281" s="738"/>
      <c r="S281" s="739">
        <v>1</v>
      </c>
      <c r="T281" s="738"/>
      <c r="U281" s="713">
        <v>4</v>
      </c>
      <c r="V281" s="714">
        <v>3</v>
      </c>
      <c r="W281" s="739"/>
      <c r="X281" s="738"/>
      <c r="Y281" s="739"/>
      <c r="Z281" s="738"/>
      <c r="AA281" s="823">
        <v>25</v>
      </c>
    </row>
    <row r="282" spans="1:27" ht="14.25">
      <c r="A282" s="735" t="s">
        <v>3800</v>
      </c>
      <c r="B282" s="1003" t="s">
        <v>4257</v>
      </c>
      <c r="C282" s="790"/>
      <c r="D282" s="738"/>
      <c r="E282" s="737"/>
      <c r="F282" s="738"/>
      <c r="G282" s="739"/>
      <c r="H282" s="738"/>
      <c r="I282" s="739"/>
      <c r="J282" s="738"/>
      <c r="K282" s="739"/>
      <c r="L282" s="738"/>
      <c r="M282" s="739"/>
      <c r="N282" s="738"/>
      <c r="O282" s="739"/>
      <c r="P282" s="738"/>
      <c r="Q282" s="739"/>
      <c r="R282" s="738"/>
      <c r="S282" s="739">
        <v>1</v>
      </c>
      <c r="T282" s="738"/>
      <c r="U282" s="713">
        <v>4</v>
      </c>
      <c r="V282" s="714">
        <v>3</v>
      </c>
      <c r="W282" s="739"/>
      <c r="X282" s="738"/>
      <c r="Y282" s="739"/>
      <c r="Z282" s="738"/>
      <c r="AA282" s="823">
        <v>25</v>
      </c>
    </row>
    <row r="283" spans="1:27" ht="14.25">
      <c r="A283" s="735" t="s">
        <v>4258</v>
      </c>
      <c r="B283" s="1003" t="s">
        <v>4259</v>
      </c>
      <c r="C283" s="790"/>
      <c r="D283" s="738"/>
      <c r="E283" s="737"/>
      <c r="F283" s="738"/>
      <c r="G283" s="739"/>
      <c r="H283" s="738"/>
      <c r="I283" s="739"/>
      <c r="J283" s="738"/>
      <c r="K283" s="739"/>
      <c r="L283" s="738"/>
      <c r="M283" s="739"/>
      <c r="N283" s="738"/>
      <c r="O283" s="739"/>
      <c r="P283" s="738"/>
      <c r="Q283" s="739"/>
      <c r="R283" s="738"/>
      <c r="S283" s="739">
        <v>1</v>
      </c>
      <c r="T283" s="738"/>
      <c r="U283" s="713">
        <v>3</v>
      </c>
      <c r="V283" s="714">
        <v>2</v>
      </c>
      <c r="W283" s="739"/>
      <c r="X283" s="738"/>
      <c r="Y283" s="739"/>
      <c r="Z283" s="738"/>
      <c r="AA283" s="823">
        <v>10</v>
      </c>
    </row>
    <row r="284" spans="1:27" ht="14.25">
      <c r="A284" s="735" t="s">
        <v>4260</v>
      </c>
      <c r="B284" s="1003" t="s">
        <v>4261</v>
      </c>
      <c r="C284" s="790"/>
      <c r="D284" s="738"/>
      <c r="E284" s="737"/>
      <c r="F284" s="738"/>
      <c r="G284" s="739"/>
      <c r="H284" s="738"/>
      <c r="I284" s="739"/>
      <c r="J284" s="738"/>
      <c r="K284" s="739"/>
      <c r="L284" s="738"/>
      <c r="M284" s="739"/>
      <c r="N284" s="738"/>
      <c r="O284" s="739"/>
      <c r="P284" s="738"/>
      <c r="Q284" s="739"/>
      <c r="R284" s="738"/>
      <c r="S284" s="739">
        <v>1</v>
      </c>
      <c r="T284" s="738"/>
      <c r="U284" s="713">
        <v>4</v>
      </c>
      <c r="V284" s="714">
        <v>2</v>
      </c>
      <c r="W284" s="739"/>
      <c r="X284" s="738"/>
      <c r="Y284" s="739"/>
      <c r="Z284" s="738"/>
      <c r="AA284" s="823">
        <v>20</v>
      </c>
    </row>
    <row r="285" spans="1:27" ht="14.25">
      <c r="A285" s="735" t="s">
        <v>4262</v>
      </c>
      <c r="B285" s="1003" t="s">
        <v>4263</v>
      </c>
      <c r="C285" s="790"/>
      <c r="D285" s="738"/>
      <c r="E285" s="737"/>
      <c r="F285" s="738"/>
      <c r="G285" s="739"/>
      <c r="H285" s="738"/>
      <c r="I285" s="739"/>
      <c r="J285" s="738"/>
      <c r="K285" s="739"/>
      <c r="L285" s="738"/>
      <c r="M285" s="739"/>
      <c r="N285" s="738"/>
      <c r="O285" s="739"/>
      <c r="P285" s="738"/>
      <c r="Q285" s="739"/>
      <c r="R285" s="738"/>
      <c r="S285" s="739">
        <v>1</v>
      </c>
      <c r="T285" s="738"/>
      <c r="U285" s="713">
        <v>4</v>
      </c>
      <c r="V285" s="714">
        <v>3</v>
      </c>
      <c r="W285" s="739"/>
      <c r="X285" s="738"/>
      <c r="Y285" s="739"/>
      <c r="Z285" s="738"/>
      <c r="AA285" s="823">
        <v>25</v>
      </c>
    </row>
    <row r="286" spans="1:27" ht="14.25">
      <c r="A286" s="735" t="s">
        <v>4264</v>
      </c>
      <c r="B286" s="1003" t="s">
        <v>4265</v>
      </c>
      <c r="C286" s="790"/>
      <c r="D286" s="738"/>
      <c r="E286" s="737"/>
      <c r="F286" s="738"/>
      <c r="G286" s="739"/>
      <c r="H286" s="738"/>
      <c r="I286" s="739"/>
      <c r="J286" s="738"/>
      <c r="K286" s="739"/>
      <c r="L286" s="738"/>
      <c r="M286" s="739"/>
      <c r="N286" s="738"/>
      <c r="O286" s="739"/>
      <c r="P286" s="738"/>
      <c r="Q286" s="739"/>
      <c r="R286" s="738"/>
      <c r="S286" s="739">
        <v>1</v>
      </c>
      <c r="T286" s="738"/>
      <c r="U286" s="713">
        <v>4</v>
      </c>
      <c r="V286" s="714">
        <v>3</v>
      </c>
      <c r="W286" s="739"/>
      <c r="X286" s="738"/>
      <c r="Y286" s="739"/>
      <c r="Z286" s="738"/>
      <c r="AA286" s="823">
        <v>25</v>
      </c>
    </row>
    <row r="287" spans="1:27" ht="14.25">
      <c r="A287" s="735" t="s">
        <v>4266</v>
      </c>
      <c r="B287" s="1003" t="s">
        <v>4267</v>
      </c>
      <c r="C287" s="790"/>
      <c r="D287" s="738"/>
      <c r="E287" s="737"/>
      <c r="F287" s="738"/>
      <c r="G287" s="739"/>
      <c r="H287" s="738"/>
      <c r="I287" s="739"/>
      <c r="J287" s="738"/>
      <c r="K287" s="739"/>
      <c r="L287" s="738"/>
      <c r="M287" s="739"/>
      <c r="N287" s="738"/>
      <c r="O287" s="739"/>
      <c r="P287" s="738"/>
      <c r="Q287" s="739"/>
      <c r="R287" s="738"/>
      <c r="S287" s="739">
        <v>1</v>
      </c>
      <c r="T287" s="738"/>
      <c r="U287" s="713">
        <v>8</v>
      </c>
      <c r="V287" s="714">
        <v>4</v>
      </c>
      <c r="W287" s="739"/>
      <c r="X287" s="738"/>
      <c r="Y287" s="739"/>
      <c r="Z287" s="738"/>
      <c r="AA287" s="823">
        <v>40</v>
      </c>
    </row>
    <row r="288" spans="1:27" ht="28.5">
      <c r="A288" s="735" t="s">
        <v>4268</v>
      </c>
      <c r="B288" s="1003" t="s">
        <v>4269</v>
      </c>
      <c r="C288" s="790"/>
      <c r="D288" s="738"/>
      <c r="E288" s="737"/>
      <c r="F288" s="738"/>
      <c r="G288" s="739"/>
      <c r="H288" s="738"/>
      <c r="I288" s="739"/>
      <c r="J288" s="738"/>
      <c r="K288" s="739"/>
      <c r="L288" s="738"/>
      <c r="M288" s="739"/>
      <c r="N288" s="738"/>
      <c r="O288" s="739"/>
      <c r="P288" s="738"/>
      <c r="Q288" s="739"/>
      <c r="R288" s="738"/>
      <c r="S288" s="739">
        <v>1</v>
      </c>
      <c r="T288" s="738"/>
      <c r="U288" s="713">
        <v>4</v>
      </c>
      <c r="V288" s="714">
        <v>3</v>
      </c>
      <c r="W288" s="739"/>
      <c r="X288" s="738"/>
      <c r="Y288" s="739"/>
      <c r="Z288" s="738"/>
      <c r="AA288" s="823">
        <v>25</v>
      </c>
    </row>
    <row r="289" spans="1:27" ht="14.25">
      <c r="A289" s="735" t="s">
        <v>4270</v>
      </c>
      <c r="B289" s="1003" t="s">
        <v>4271</v>
      </c>
      <c r="C289" s="790"/>
      <c r="D289" s="738"/>
      <c r="E289" s="737"/>
      <c r="F289" s="738"/>
      <c r="G289" s="739"/>
      <c r="H289" s="738"/>
      <c r="I289" s="739"/>
      <c r="J289" s="738"/>
      <c r="K289" s="739"/>
      <c r="L289" s="738"/>
      <c r="M289" s="739"/>
      <c r="N289" s="738"/>
      <c r="O289" s="739"/>
      <c r="P289" s="738"/>
      <c r="Q289" s="739"/>
      <c r="R289" s="738"/>
      <c r="S289" s="739">
        <v>1</v>
      </c>
      <c r="T289" s="738"/>
      <c r="U289" s="713">
        <v>4</v>
      </c>
      <c r="V289" s="714">
        <v>3</v>
      </c>
      <c r="W289" s="739"/>
      <c r="X289" s="738"/>
      <c r="Y289" s="739"/>
      <c r="Z289" s="738"/>
      <c r="AA289" s="823">
        <v>25</v>
      </c>
    </row>
    <row r="290" spans="1:27" ht="14.25">
      <c r="A290" s="735" t="s">
        <v>4272</v>
      </c>
      <c r="B290" s="1003" t="s">
        <v>4273</v>
      </c>
      <c r="C290" s="790"/>
      <c r="D290" s="738"/>
      <c r="E290" s="737"/>
      <c r="F290" s="738"/>
      <c r="G290" s="739"/>
      <c r="H290" s="738"/>
      <c r="I290" s="739"/>
      <c r="J290" s="738"/>
      <c r="K290" s="739"/>
      <c r="L290" s="738"/>
      <c r="M290" s="739"/>
      <c r="N290" s="738"/>
      <c r="O290" s="739"/>
      <c r="P290" s="738"/>
      <c r="Q290" s="739"/>
      <c r="R290" s="738"/>
      <c r="S290" s="739">
        <v>1</v>
      </c>
      <c r="T290" s="738"/>
      <c r="U290" s="713">
        <v>3</v>
      </c>
      <c r="V290" s="714">
        <v>2</v>
      </c>
      <c r="W290" s="739"/>
      <c r="X290" s="738"/>
      <c r="Y290" s="739"/>
      <c r="Z290" s="738"/>
      <c r="AA290" s="823">
        <v>16</v>
      </c>
    </row>
    <row r="291" spans="1:27" ht="14.25">
      <c r="A291" s="735" t="s">
        <v>4274</v>
      </c>
      <c r="B291" s="1003" t="s">
        <v>4275</v>
      </c>
      <c r="C291" s="790"/>
      <c r="D291" s="738"/>
      <c r="E291" s="737"/>
      <c r="F291" s="738"/>
      <c r="G291" s="739"/>
      <c r="H291" s="738"/>
      <c r="I291" s="739"/>
      <c r="J291" s="738"/>
      <c r="K291" s="739"/>
      <c r="L291" s="738"/>
      <c r="M291" s="739"/>
      <c r="N291" s="738"/>
      <c r="O291" s="739"/>
      <c r="P291" s="738"/>
      <c r="Q291" s="739"/>
      <c r="R291" s="738"/>
      <c r="S291" s="739">
        <v>1</v>
      </c>
      <c r="T291" s="738"/>
      <c r="U291" s="713">
        <v>4</v>
      </c>
      <c r="V291" s="714">
        <v>3</v>
      </c>
      <c r="W291" s="739"/>
      <c r="X291" s="738"/>
      <c r="Y291" s="739"/>
      <c r="Z291" s="738"/>
      <c r="AA291" s="823">
        <v>25</v>
      </c>
    </row>
    <row r="292" spans="1:27" ht="14.25">
      <c r="A292" s="735">
        <v>5.2</v>
      </c>
      <c r="B292" s="998" t="s">
        <v>4276</v>
      </c>
      <c r="C292" s="790"/>
      <c r="D292" s="738"/>
      <c r="E292" s="737"/>
      <c r="F292" s="738"/>
      <c r="G292" s="739"/>
      <c r="H292" s="738"/>
      <c r="I292" s="739"/>
      <c r="J292" s="738"/>
      <c r="K292" s="739"/>
      <c r="L292" s="738"/>
      <c r="M292" s="739"/>
      <c r="N292" s="738"/>
      <c r="O292" s="739"/>
      <c r="P292" s="738"/>
      <c r="Q292" s="739"/>
      <c r="R292" s="738"/>
      <c r="S292" s="739"/>
      <c r="T292" s="738"/>
      <c r="U292" s="713"/>
      <c r="V292" s="714"/>
      <c r="W292" s="739"/>
      <c r="X292" s="738"/>
      <c r="Y292" s="739"/>
      <c r="Z292" s="738"/>
      <c r="AA292" s="823"/>
    </row>
    <row r="293" spans="1:27" ht="14.25">
      <c r="A293" s="735" t="s">
        <v>3802</v>
      </c>
      <c r="B293" s="1003" t="s">
        <v>4277</v>
      </c>
      <c r="C293" s="790"/>
      <c r="D293" s="738"/>
      <c r="E293" s="737"/>
      <c r="F293" s="738"/>
      <c r="G293" s="739"/>
      <c r="H293" s="738"/>
      <c r="I293" s="739"/>
      <c r="J293" s="738"/>
      <c r="K293" s="739"/>
      <c r="L293" s="738"/>
      <c r="M293" s="739"/>
      <c r="N293" s="738"/>
      <c r="O293" s="739"/>
      <c r="P293" s="738"/>
      <c r="Q293" s="739"/>
      <c r="R293" s="738"/>
      <c r="S293" s="739">
        <v>1</v>
      </c>
      <c r="T293" s="738"/>
      <c r="U293" s="713">
        <v>4</v>
      </c>
      <c r="V293" s="714">
        <v>2</v>
      </c>
      <c r="W293" s="739"/>
      <c r="X293" s="738"/>
      <c r="Y293" s="739"/>
      <c r="Z293" s="738"/>
      <c r="AA293" s="823">
        <v>25</v>
      </c>
    </row>
    <row r="294" spans="1:27" ht="14.25">
      <c r="A294" s="735" t="s">
        <v>3804</v>
      </c>
      <c r="B294" s="1003" t="s">
        <v>4278</v>
      </c>
      <c r="C294" s="790"/>
      <c r="D294" s="738"/>
      <c r="E294" s="737"/>
      <c r="F294" s="738"/>
      <c r="G294" s="739"/>
      <c r="H294" s="738"/>
      <c r="I294" s="739"/>
      <c r="J294" s="738"/>
      <c r="K294" s="739"/>
      <c r="L294" s="738"/>
      <c r="M294" s="739"/>
      <c r="N294" s="738"/>
      <c r="O294" s="739"/>
      <c r="P294" s="738"/>
      <c r="Q294" s="739"/>
      <c r="R294" s="738"/>
      <c r="S294" s="739">
        <v>1</v>
      </c>
      <c r="T294" s="738"/>
      <c r="U294" s="713">
        <v>4</v>
      </c>
      <c r="V294" s="714">
        <v>2</v>
      </c>
      <c r="W294" s="739"/>
      <c r="X294" s="738"/>
      <c r="Y294" s="739"/>
      <c r="Z294" s="738"/>
      <c r="AA294" s="823">
        <v>25</v>
      </c>
    </row>
    <row r="295" spans="1:27" ht="14.25">
      <c r="A295" s="735" t="s">
        <v>3806</v>
      </c>
      <c r="B295" s="1003" t="s">
        <v>4279</v>
      </c>
      <c r="C295" s="790"/>
      <c r="D295" s="738"/>
      <c r="E295" s="737"/>
      <c r="F295" s="738"/>
      <c r="G295" s="739"/>
      <c r="H295" s="738"/>
      <c r="I295" s="739"/>
      <c r="J295" s="738"/>
      <c r="K295" s="739"/>
      <c r="L295" s="738"/>
      <c r="M295" s="739"/>
      <c r="N295" s="738"/>
      <c r="O295" s="739"/>
      <c r="P295" s="738"/>
      <c r="Q295" s="739"/>
      <c r="R295" s="738"/>
      <c r="S295" s="739">
        <v>1</v>
      </c>
      <c r="T295" s="738"/>
      <c r="U295" s="713">
        <v>4</v>
      </c>
      <c r="V295" s="714">
        <v>2</v>
      </c>
      <c r="W295" s="739"/>
      <c r="X295" s="738"/>
      <c r="Y295" s="739"/>
      <c r="Z295" s="738"/>
      <c r="AA295" s="823">
        <v>25</v>
      </c>
    </row>
    <row r="296" spans="1:27" ht="14.25">
      <c r="A296" s="735" t="s">
        <v>3808</v>
      </c>
      <c r="B296" s="1003" t="s">
        <v>4280</v>
      </c>
      <c r="C296" s="790"/>
      <c r="D296" s="738"/>
      <c r="E296" s="737"/>
      <c r="F296" s="738"/>
      <c r="G296" s="739"/>
      <c r="H296" s="738"/>
      <c r="I296" s="739"/>
      <c r="J296" s="738"/>
      <c r="K296" s="739"/>
      <c r="L296" s="738"/>
      <c r="M296" s="739"/>
      <c r="N296" s="738"/>
      <c r="O296" s="739"/>
      <c r="P296" s="738"/>
      <c r="Q296" s="739"/>
      <c r="R296" s="738"/>
      <c r="S296" s="739">
        <v>1</v>
      </c>
      <c r="T296" s="738"/>
      <c r="U296" s="713">
        <v>4</v>
      </c>
      <c r="V296" s="714">
        <v>2</v>
      </c>
      <c r="W296" s="739"/>
      <c r="X296" s="738"/>
      <c r="Y296" s="739"/>
      <c r="Z296" s="738"/>
      <c r="AA296" s="823">
        <v>25</v>
      </c>
    </row>
    <row r="297" spans="1:27" ht="14.25">
      <c r="A297" s="735" t="s">
        <v>3810</v>
      </c>
      <c r="B297" s="1003" t="s">
        <v>4281</v>
      </c>
      <c r="C297" s="790"/>
      <c r="D297" s="738"/>
      <c r="E297" s="737"/>
      <c r="F297" s="738"/>
      <c r="G297" s="739"/>
      <c r="H297" s="738"/>
      <c r="I297" s="739"/>
      <c r="J297" s="738"/>
      <c r="K297" s="739"/>
      <c r="L297" s="738"/>
      <c r="M297" s="739"/>
      <c r="N297" s="738"/>
      <c r="O297" s="739"/>
      <c r="P297" s="738"/>
      <c r="Q297" s="739"/>
      <c r="R297" s="738"/>
      <c r="S297" s="739">
        <v>1</v>
      </c>
      <c r="T297" s="738"/>
      <c r="U297" s="713">
        <v>4</v>
      </c>
      <c r="V297" s="714">
        <v>2</v>
      </c>
      <c r="W297" s="739"/>
      <c r="X297" s="738"/>
      <c r="Y297" s="739"/>
      <c r="Z297" s="738"/>
      <c r="AA297" s="823">
        <v>25</v>
      </c>
    </row>
    <row r="298" spans="1:27" ht="14.25">
      <c r="A298" s="735" t="s">
        <v>3812</v>
      </c>
      <c r="B298" s="1003" t="s">
        <v>4282</v>
      </c>
      <c r="C298" s="790"/>
      <c r="D298" s="738"/>
      <c r="E298" s="737"/>
      <c r="F298" s="738"/>
      <c r="G298" s="739"/>
      <c r="H298" s="738"/>
      <c r="I298" s="739"/>
      <c r="J298" s="738"/>
      <c r="K298" s="739"/>
      <c r="L298" s="738"/>
      <c r="M298" s="739"/>
      <c r="N298" s="738"/>
      <c r="O298" s="739"/>
      <c r="P298" s="738"/>
      <c r="Q298" s="739"/>
      <c r="R298" s="738"/>
      <c r="S298" s="739">
        <v>1</v>
      </c>
      <c r="T298" s="738"/>
      <c r="U298" s="713">
        <v>4</v>
      </c>
      <c r="V298" s="714">
        <v>2</v>
      </c>
      <c r="W298" s="739"/>
      <c r="X298" s="738"/>
      <c r="Y298" s="739"/>
      <c r="Z298" s="738"/>
      <c r="AA298" s="823">
        <v>25</v>
      </c>
    </row>
    <row r="299" spans="1:27" ht="14.25">
      <c r="A299" s="735" t="s">
        <v>4283</v>
      </c>
      <c r="B299" s="1003" t="s">
        <v>4284</v>
      </c>
      <c r="C299" s="790"/>
      <c r="D299" s="738"/>
      <c r="E299" s="737"/>
      <c r="F299" s="738"/>
      <c r="G299" s="739"/>
      <c r="H299" s="738"/>
      <c r="I299" s="739"/>
      <c r="J299" s="738"/>
      <c r="K299" s="739"/>
      <c r="L299" s="738"/>
      <c r="M299" s="739"/>
      <c r="N299" s="738"/>
      <c r="O299" s="739"/>
      <c r="P299" s="738"/>
      <c r="Q299" s="739"/>
      <c r="R299" s="738"/>
      <c r="S299" s="739">
        <v>1</v>
      </c>
      <c r="T299" s="738"/>
      <c r="U299" s="713">
        <v>4</v>
      </c>
      <c r="V299" s="714">
        <v>2</v>
      </c>
      <c r="W299" s="739"/>
      <c r="X299" s="738"/>
      <c r="Y299" s="739"/>
      <c r="Z299" s="738"/>
      <c r="AA299" s="823">
        <v>25</v>
      </c>
    </row>
    <row r="300" spans="1:27" ht="14.25">
      <c r="A300" s="735" t="s">
        <v>4285</v>
      </c>
      <c r="B300" s="1003" t="s">
        <v>4286</v>
      </c>
      <c r="C300" s="790"/>
      <c r="D300" s="738"/>
      <c r="E300" s="737"/>
      <c r="F300" s="738"/>
      <c r="G300" s="739"/>
      <c r="H300" s="738"/>
      <c r="I300" s="739"/>
      <c r="J300" s="738"/>
      <c r="K300" s="739"/>
      <c r="L300" s="738"/>
      <c r="M300" s="739"/>
      <c r="N300" s="738"/>
      <c r="O300" s="739"/>
      <c r="P300" s="738"/>
      <c r="Q300" s="739"/>
      <c r="R300" s="738"/>
      <c r="S300" s="739">
        <v>1</v>
      </c>
      <c r="T300" s="738"/>
      <c r="U300" s="713">
        <v>4</v>
      </c>
      <c r="V300" s="714">
        <v>2</v>
      </c>
      <c r="W300" s="739"/>
      <c r="X300" s="738"/>
      <c r="Y300" s="739"/>
      <c r="Z300" s="738"/>
      <c r="AA300" s="823">
        <v>25</v>
      </c>
    </row>
    <row r="301" spans="1:27" ht="14.25">
      <c r="A301" s="735" t="s">
        <v>4287</v>
      </c>
      <c r="B301" s="1003" t="s">
        <v>4288</v>
      </c>
      <c r="C301" s="790"/>
      <c r="D301" s="738"/>
      <c r="E301" s="737"/>
      <c r="F301" s="738"/>
      <c r="G301" s="739"/>
      <c r="H301" s="738"/>
      <c r="I301" s="739"/>
      <c r="J301" s="738"/>
      <c r="K301" s="739"/>
      <c r="L301" s="738"/>
      <c r="M301" s="739"/>
      <c r="N301" s="738"/>
      <c r="O301" s="739"/>
      <c r="P301" s="738"/>
      <c r="Q301" s="739"/>
      <c r="R301" s="738"/>
      <c r="S301" s="739">
        <v>1</v>
      </c>
      <c r="T301" s="738"/>
      <c r="U301" s="713">
        <v>4</v>
      </c>
      <c r="V301" s="714">
        <v>2</v>
      </c>
      <c r="W301" s="739"/>
      <c r="X301" s="738"/>
      <c r="Y301" s="739"/>
      <c r="Z301" s="738"/>
      <c r="AA301" s="823">
        <v>25</v>
      </c>
    </row>
    <row r="302" spans="1:27" ht="14.25">
      <c r="A302" s="735" t="s">
        <v>4289</v>
      </c>
      <c r="B302" s="1003" t="s">
        <v>4290</v>
      </c>
      <c r="C302" s="790"/>
      <c r="D302" s="738"/>
      <c r="E302" s="737"/>
      <c r="F302" s="738"/>
      <c r="G302" s="739"/>
      <c r="H302" s="738"/>
      <c r="I302" s="739">
        <v>4</v>
      </c>
      <c r="J302" s="738"/>
      <c r="K302" s="739"/>
      <c r="L302" s="738"/>
      <c r="M302" s="739"/>
      <c r="N302" s="738"/>
      <c r="O302" s="739"/>
      <c r="P302" s="738"/>
      <c r="Q302" s="739"/>
      <c r="R302" s="738"/>
      <c r="S302" s="739">
        <v>1</v>
      </c>
      <c r="T302" s="738"/>
      <c r="U302" s="713">
        <v>4</v>
      </c>
      <c r="V302" s="714">
        <v>2</v>
      </c>
      <c r="W302" s="739"/>
      <c r="X302" s="738"/>
      <c r="Y302" s="739"/>
      <c r="Z302" s="738"/>
      <c r="AA302" s="823">
        <v>25</v>
      </c>
    </row>
    <row r="303" spans="1:27" ht="14.25">
      <c r="A303" s="735" t="s">
        <v>4291</v>
      </c>
      <c r="B303" s="1003" t="s">
        <v>4292</v>
      </c>
      <c r="C303" s="790"/>
      <c r="D303" s="738"/>
      <c r="E303" s="737"/>
      <c r="F303" s="738"/>
      <c r="G303" s="739"/>
      <c r="H303" s="738"/>
      <c r="I303" s="739">
        <v>4</v>
      </c>
      <c r="J303" s="738"/>
      <c r="K303" s="739"/>
      <c r="L303" s="738"/>
      <c r="M303" s="739"/>
      <c r="N303" s="738"/>
      <c r="O303" s="739"/>
      <c r="P303" s="738"/>
      <c r="Q303" s="739"/>
      <c r="R303" s="738"/>
      <c r="S303" s="739">
        <v>1</v>
      </c>
      <c r="T303" s="738"/>
      <c r="U303" s="713">
        <v>4</v>
      </c>
      <c r="V303" s="714">
        <v>2</v>
      </c>
      <c r="W303" s="739"/>
      <c r="X303" s="738"/>
      <c r="Y303" s="739"/>
      <c r="Z303" s="738"/>
      <c r="AA303" s="823">
        <v>25</v>
      </c>
    </row>
    <row r="304" spans="1:27" ht="14.25">
      <c r="A304" s="735" t="s">
        <v>4293</v>
      </c>
      <c r="B304" s="1003" t="s">
        <v>4294</v>
      </c>
      <c r="C304" s="790"/>
      <c r="D304" s="738"/>
      <c r="E304" s="737"/>
      <c r="F304" s="738"/>
      <c r="G304" s="739"/>
      <c r="H304" s="738"/>
      <c r="I304" s="739"/>
      <c r="J304" s="738"/>
      <c r="K304" s="739"/>
      <c r="L304" s="738"/>
      <c r="M304" s="739"/>
      <c r="N304" s="738"/>
      <c r="O304" s="739"/>
      <c r="P304" s="738"/>
      <c r="Q304" s="739"/>
      <c r="R304" s="738"/>
      <c r="S304" s="739">
        <v>1</v>
      </c>
      <c r="T304" s="738"/>
      <c r="U304" s="713">
        <v>4</v>
      </c>
      <c r="V304" s="714">
        <v>2</v>
      </c>
      <c r="W304" s="739"/>
      <c r="X304" s="738"/>
      <c r="Y304" s="739"/>
      <c r="Z304" s="738"/>
      <c r="AA304" s="823">
        <v>25</v>
      </c>
    </row>
    <row r="305" spans="1:27" ht="14.25">
      <c r="A305" s="735" t="s">
        <v>4295</v>
      </c>
      <c r="B305" s="1003" t="s">
        <v>4296</v>
      </c>
      <c r="C305" s="790"/>
      <c r="D305" s="738"/>
      <c r="E305" s="737"/>
      <c r="F305" s="738"/>
      <c r="G305" s="739"/>
      <c r="H305" s="738"/>
      <c r="I305" s="739"/>
      <c r="J305" s="738"/>
      <c r="K305" s="739"/>
      <c r="L305" s="738"/>
      <c r="M305" s="739"/>
      <c r="N305" s="738"/>
      <c r="O305" s="739"/>
      <c r="P305" s="738"/>
      <c r="Q305" s="739"/>
      <c r="R305" s="738"/>
      <c r="S305" s="739">
        <v>1</v>
      </c>
      <c r="T305" s="738"/>
      <c r="U305" s="713">
        <v>4</v>
      </c>
      <c r="V305" s="714">
        <v>2</v>
      </c>
      <c r="W305" s="739"/>
      <c r="X305" s="738"/>
      <c r="Y305" s="739"/>
      <c r="Z305" s="738"/>
      <c r="AA305" s="823">
        <v>25</v>
      </c>
    </row>
    <row r="306" spans="1:27" ht="14.25">
      <c r="A306" s="735" t="s">
        <v>4297</v>
      </c>
      <c r="B306" s="1003" t="s">
        <v>4298</v>
      </c>
      <c r="C306" s="790"/>
      <c r="D306" s="738"/>
      <c r="E306" s="737"/>
      <c r="F306" s="738"/>
      <c r="G306" s="739"/>
      <c r="H306" s="738"/>
      <c r="I306" s="739"/>
      <c r="J306" s="738"/>
      <c r="K306" s="739"/>
      <c r="L306" s="738"/>
      <c r="M306" s="739"/>
      <c r="N306" s="738"/>
      <c r="O306" s="739"/>
      <c r="P306" s="738"/>
      <c r="Q306" s="739"/>
      <c r="R306" s="738"/>
      <c r="S306" s="739">
        <v>1</v>
      </c>
      <c r="T306" s="738"/>
      <c r="U306" s="713">
        <v>4</v>
      </c>
      <c r="V306" s="714">
        <v>2</v>
      </c>
      <c r="W306" s="739"/>
      <c r="X306" s="738"/>
      <c r="Y306" s="739"/>
      <c r="Z306" s="738"/>
      <c r="AA306" s="823">
        <v>25</v>
      </c>
    </row>
    <row r="307" spans="1:27" ht="14.25">
      <c r="A307" s="735">
        <v>5.3</v>
      </c>
      <c r="B307" s="998" t="s">
        <v>4299</v>
      </c>
      <c r="C307" s="790"/>
      <c r="D307" s="738"/>
      <c r="E307" s="737"/>
      <c r="F307" s="738"/>
      <c r="G307" s="739"/>
      <c r="H307" s="738"/>
      <c r="I307" s="739"/>
      <c r="J307" s="738"/>
      <c r="K307" s="739"/>
      <c r="L307" s="738"/>
      <c r="M307" s="739"/>
      <c r="N307" s="738"/>
      <c r="O307" s="739"/>
      <c r="P307" s="738"/>
      <c r="Q307" s="739"/>
      <c r="R307" s="738"/>
      <c r="S307" s="739"/>
      <c r="T307" s="738"/>
      <c r="U307" s="713"/>
      <c r="V307" s="714"/>
      <c r="W307" s="739"/>
      <c r="X307" s="738"/>
      <c r="Y307" s="739"/>
      <c r="Z307" s="738"/>
      <c r="AA307" s="823"/>
    </row>
    <row r="308" spans="1:27" ht="14.25">
      <c r="A308" s="735" t="s">
        <v>4300</v>
      </c>
      <c r="B308" s="1003" t="s">
        <v>4301</v>
      </c>
      <c r="C308" s="790"/>
      <c r="D308" s="738"/>
      <c r="E308" s="737"/>
      <c r="F308" s="738"/>
      <c r="G308" s="739"/>
      <c r="H308" s="738"/>
      <c r="I308" s="739"/>
      <c r="J308" s="738"/>
      <c r="K308" s="739"/>
      <c r="L308" s="738"/>
      <c r="M308" s="739"/>
      <c r="N308" s="738"/>
      <c r="O308" s="739"/>
      <c r="P308" s="738"/>
      <c r="Q308" s="739"/>
      <c r="R308" s="738"/>
      <c r="S308" s="739">
        <v>1</v>
      </c>
      <c r="T308" s="738"/>
      <c r="U308" s="713">
        <v>3</v>
      </c>
      <c r="V308" s="714">
        <v>2</v>
      </c>
      <c r="W308" s="739"/>
      <c r="X308" s="738"/>
      <c r="Y308" s="739"/>
      <c r="Z308" s="738"/>
      <c r="AA308" s="823">
        <v>20</v>
      </c>
    </row>
    <row r="309" spans="1:27" ht="14.25">
      <c r="A309" s="735" t="s">
        <v>4302</v>
      </c>
      <c r="B309" s="1003" t="s">
        <v>4303</v>
      </c>
      <c r="C309" s="790"/>
      <c r="D309" s="738"/>
      <c r="E309" s="737">
        <v>4</v>
      </c>
      <c r="F309" s="738"/>
      <c r="G309" s="739"/>
      <c r="H309" s="738"/>
      <c r="I309" s="739"/>
      <c r="J309" s="738"/>
      <c r="K309" s="739"/>
      <c r="L309" s="738"/>
      <c r="M309" s="739">
        <v>4</v>
      </c>
      <c r="N309" s="738"/>
      <c r="O309" s="739"/>
      <c r="P309" s="738"/>
      <c r="Q309" s="739"/>
      <c r="R309" s="738"/>
      <c r="S309" s="739"/>
      <c r="T309" s="738"/>
      <c r="U309" s="713">
        <v>3</v>
      </c>
      <c r="V309" s="714">
        <v>2</v>
      </c>
      <c r="W309" s="739"/>
      <c r="X309" s="738"/>
      <c r="Y309" s="739"/>
      <c r="Z309" s="738"/>
      <c r="AA309" s="823">
        <v>20</v>
      </c>
    </row>
    <row r="310" spans="1:27" ht="14.25">
      <c r="A310" s="858" t="s">
        <v>4304</v>
      </c>
      <c r="B310" s="1011" t="s">
        <v>4305</v>
      </c>
      <c r="C310" s="809"/>
      <c r="D310" s="763"/>
      <c r="E310" s="762"/>
      <c r="F310" s="763"/>
      <c r="G310" s="766"/>
      <c r="H310" s="763"/>
      <c r="I310" s="766"/>
      <c r="J310" s="763"/>
      <c r="K310" s="766">
        <v>5</v>
      </c>
      <c r="L310" s="763"/>
      <c r="M310" s="766"/>
      <c r="N310" s="763"/>
      <c r="O310" s="766"/>
      <c r="P310" s="763"/>
      <c r="Q310" s="766"/>
      <c r="R310" s="763"/>
      <c r="S310" s="766"/>
      <c r="T310" s="763"/>
      <c r="U310" s="718">
        <v>3</v>
      </c>
      <c r="V310" s="844">
        <v>2</v>
      </c>
      <c r="W310" s="766"/>
      <c r="X310" s="763"/>
      <c r="Y310" s="766"/>
      <c r="Z310" s="763"/>
      <c r="AA310" s="845">
        <v>30</v>
      </c>
    </row>
    <row r="311" spans="1:27" ht="14.25">
      <c r="A311" s="742">
        <v>6</v>
      </c>
      <c r="B311" s="999" t="s">
        <v>4306</v>
      </c>
      <c r="C311" s="790"/>
      <c r="D311" s="738"/>
      <c r="E311" s="737"/>
      <c r="F311" s="738"/>
      <c r="G311" s="739"/>
      <c r="H311" s="738"/>
      <c r="I311" s="739"/>
      <c r="J311" s="738"/>
      <c r="K311" s="739"/>
      <c r="L311" s="738"/>
      <c r="M311" s="739"/>
      <c r="N311" s="738"/>
      <c r="O311" s="739"/>
      <c r="P311" s="738"/>
      <c r="Q311" s="739"/>
      <c r="R311" s="738"/>
      <c r="S311" s="739"/>
      <c r="T311" s="738"/>
      <c r="U311" s="713"/>
      <c r="V311" s="714"/>
      <c r="W311" s="739"/>
      <c r="X311" s="738"/>
      <c r="Y311" s="739"/>
      <c r="Z311" s="738"/>
      <c r="AA311" s="823"/>
    </row>
    <row r="312" spans="1:27" ht="14.25">
      <c r="A312" s="735">
        <v>6.1</v>
      </c>
      <c r="B312" s="998" t="s">
        <v>2340</v>
      </c>
      <c r="C312" s="790"/>
      <c r="D312" s="738"/>
      <c r="E312" s="737"/>
      <c r="F312" s="738"/>
      <c r="G312" s="739"/>
      <c r="H312" s="738"/>
      <c r="I312" s="739"/>
      <c r="J312" s="738"/>
      <c r="K312" s="739"/>
      <c r="L312" s="738"/>
      <c r="M312" s="739"/>
      <c r="N312" s="738"/>
      <c r="O312" s="739"/>
      <c r="P312" s="738"/>
      <c r="Q312" s="739"/>
      <c r="R312" s="738"/>
      <c r="S312" s="739"/>
      <c r="T312" s="738"/>
      <c r="U312" s="713"/>
      <c r="V312" s="714"/>
      <c r="W312" s="739"/>
      <c r="X312" s="738"/>
      <c r="Y312" s="739"/>
      <c r="Z312" s="738"/>
      <c r="AA312" s="823"/>
    </row>
    <row r="313" spans="1:27" ht="14.25">
      <c r="A313" s="735" t="s">
        <v>2974</v>
      </c>
      <c r="B313" s="1003" t="s">
        <v>4307</v>
      </c>
      <c r="C313" s="790"/>
      <c r="D313" s="738"/>
      <c r="E313" s="737"/>
      <c r="F313" s="738"/>
      <c r="G313" s="739"/>
      <c r="H313" s="738"/>
      <c r="I313" s="739"/>
      <c r="J313" s="738"/>
      <c r="K313" s="739"/>
      <c r="L313" s="738"/>
      <c r="M313" s="739"/>
      <c r="N313" s="738"/>
      <c r="O313" s="739"/>
      <c r="P313" s="738"/>
      <c r="Q313" s="739"/>
      <c r="R313" s="738"/>
      <c r="S313" s="739"/>
      <c r="T313" s="738"/>
      <c r="U313" s="739">
        <v>100</v>
      </c>
      <c r="V313" s="738">
        <v>10</v>
      </c>
      <c r="W313" s="739"/>
      <c r="X313" s="738"/>
      <c r="Y313" s="739"/>
      <c r="Z313" s="738"/>
      <c r="AA313" s="823"/>
    </row>
    <row r="314" spans="1:27" ht="14.25">
      <c r="A314" s="735" t="s">
        <v>2976</v>
      </c>
      <c r="B314" s="1003" t="s">
        <v>4308</v>
      </c>
      <c r="C314" s="790"/>
      <c r="D314" s="738"/>
      <c r="E314" s="737"/>
      <c r="F314" s="738"/>
      <c r="G314" s="739"/>
      <c r="H314" s="738"/>
      <c r="I314" s="739"/>
      <c r="J314" s="738"/>
      <c r="K314" s="739"/>
      <c r="L314" s="738"/>
      <c r="M314" s="739"/>
      <c r="N314" s="738"/>
      <c r="O314" s="739"/>
      <c r="P314" s="738"/>
      <c r="Q314" s="739"/>
      <c r="R314" s="738"/>
      <c r="S314" s="739"/>
      <c r="T314" s="738"/>
      <c r="U314" s="739">
        <v>30</v>
      </c>
      <c r="V314" s="738">
        <v>5</v>
      </c>
      <c r="W314" s="739"/>
      <c r="X314" s="738"/>
      <c r="Y314" s="739"/>
      <c r="Z314" s="738"/>
      <c r="AA314" s="823"/>
    </row>
    <row r="315" spans="1:27" ht="14.25">
      <c r="A315" s="735" t="s">
        <v>2978</v>
      </c>
      <c r="B315" s="1003" t="s">
        <v>4309</v>
      </c>
      <c r="C315" s="790"/>
      <c r="D315" s="738"/>
      <c r="E315" s="737"/>
      <c r="F315" s="738"/>
      <c r="G315" s="739"/>
      <c r="H315" s="738"/>
      <c r="I315" s="739"/>
      <c r="J315" s="738"/>
      <c r="K315" s="739"/>
      <c r="L315" s="738"/>
      <c r="M315" s="739"/>
      <c r="N315" s="738"/>
      <c r="O315" s="739"/>
      <c r="P315" s="738"/>
      <c r="Q315" s="739"/>
      <c r="R315" s="738"/>
      <c r="S315" s="739"/>
      <c r="T315" s="738"/>
      <c r="U315" s="739">
        <v>40</v>
      </c>
      <c r="V315" s="738">
        <v>10</v>
      </c>
      <c r="W315" s="739"/>
      <c r="X315" s="738"/>
      <c r="Y315" s="739"/>
      <c r="Z315" s="738"/>
      <c r="AA315" s="823"/>
    </row>
    <row r="316" spans="1:27" ht="14.25">
      <c r="A316" s="735" t="s">
        <v>2980</v>
      </c>
      <c r="B316" s="1003" t="s">
        <v>4310</v>
      </c>
      <c r="C316" s="790"/>
      <c r="D316" s="738"/>
      <c r="E316" s="737"/>
      <c r="F316" s="738"/>
      <c r="G316" s="739"/>
      <c r="H316" s="738"/>
      <c r="I316" s="739"/>
      <c r="J316" s="738"/>
      <c r="K316" s="739"/>
      <c r="L316" s="738"/>
      <c r="M316" s="739"/>
      <c r="N316" s="738"/>
      <c r="O316" s="739"/>
      <c r="P316" s="738"/>
      <c r="Q316" s="739"/>
      <c r="R316" s="738"/>
      <c r="S316" s="739"/>
      <c r="T316" s="738"/>
      <c r="U316" s="739">
        <v>25</v>
      </c>
      <c r="V316" s="738">
        <v>5</v>
      </c>
      <c r="W316" s="739"/>
      <c r="X316" s="738"/>
      <c r="Y316" s="739"/>
      <c r="Z316" s="738"/>
      <c r="AA316" s="823"/>
    </row>
    <row r="317" spans="1:27" ht="14.25">
      <c r="A317" s="735">
        <v>6.2</v>
      </c>
      <c r="B317" s="998" t="s">
        <v>4311</v>
      </c>
      <c r="C317" s="790"/>
      <c r="D317" s="738"/>
      <c r="E317" s="737"/>
      <c r="F317" s="738"/>
      <c r="G317" s="739"/>
      <c r="H317" s="738"/>
      <c r="I317" s="739"/>
      <c r="J317" s="738"/>
      <c r="K317" s="739"/>
      <c r="L317" s="738"/>
      <c r="M317" s="739"/>
      <c r="N317" s="738"/>
      <c r="O317" s="739"/>
      <c r="P317" s="738"/>
      <c r="Q317" s="739"/>
      <c r="R317" s="738"/>
      <c r="S317" s="739"/>
      <c r="T317" s="738"/>
      <c r="U317" s="739"/>
      <c r="V317" s="738"/>
      <c r="W317" s="739"/>
      <c r="X317" s="738"/>
      <c r="Y317" s="739"/>
      <c r="Z317" s="738"/>
      <c r="AA317" s="823">
        <v>50</v>
      </c>
    </row>
    <row r="318" spans="1:27" ht="14.25">
      <c r="A318" s="735" t="s">
        <v>2989</v>
      </c>
      <c r="B318" s="1003" t="s">
        <v>4312</v>
      </c>
      <c r="C318" s="790"/>
      <c r="D318" s="738"/>
      <c r="E318" s="737"/>
      <c r="F318" s="738"/>
      <c r="G318" s="739"/>
      <c r="H318" s="738"/>
      <c r="I318" s="739"/>
      <c r="J318" s="738">
        <v>2</v>
      </c>
      <c r="K318" s="739"/>
      <c r="L318" s="738"/>
      <c r="M318" s="739"/>
      <c r="N318" s="738"/>
      <c r="O318" s="739"/>
      <c r="P318" s="738"/>
      <c r="Q318" s="739"/>
      <c r="R318" s="738"/>
      <c r="S318" s="739"/>
      <c r="T318" s="738"/>
      <c r="U318" s="739">
        <v>5</v>
      </c>
      <c r="V318" s="738">
        <v>2</v>
      </c>
      <c r="W318" s="739"/>
      <c r="X318" s="738"/>
      <c r="Y318" s="739"/>
      <c r="Z318" s="738"/>
      <c r="AA318" s="823">
        <v>20</v>
      </c>
    </row>
    <row r="319" spans="1:27" ht="14.25">
      <c r="A319" s="735" t="s">
        <v>2991</v>
      </c>
      <c r="B319" s="1003" t="s">
        <v>4313</v>
      </c>
      <c r="C319" s="790"/>
      <c r="D319" s="738"/>
      <c r="E319" s="737"/>
      <c r="F319" s="738"/>
      <c r="G319" s="739"/>
      <c r="H319" s="738"/>
      <c r="I319" s="739"/>
      <c r="J319" s="738">
        <v>2</v>
      </c>
      <c r="K319" s="739"/>
      <c r="L319" s="738"/>
      <c r="M319" s="739"/>
      <c r="N319" s="738"/>
      <c r="O319" s="739"/>
      <c r="P319" s="738"/>
      <c r="Q319" s="739"/>
      <c r="R319" s="738"/>
      <c r="S319" s="739"/>
      <c r="T319" s="738"/>
      <c r="U319" s="739">
        <v>5</v>
      </c>
      <c r="V319" s="738">
        <v>2</v>
      </c>
      <c r="W319" s="739"/>
      <c r="X319" s="738"/>
      <c r="Y319" s="739"/>
      <c r="Z319" s="738"/>
      <c r="AA319" s="823">
        <v>40</v>
      </c>
    </row>
    <row r="320" spans="1:27" ht="14.25">
      <c r="A320" s="735" t="s">
        <v>2993</v>
      </c>
      <c r="B320" s="1003" t="s">
        <v>4314</v>
      </c>
      <c r="C320" s="790"/>
      <c r="D320" s="738"/>
      <c r="E320" s="737"/>
      <c r="F320" s="738"/>
      <c r="G320" s="739"/>
      <c r="H320" s="738"/>
      <c r="I320" s="739"/>
      <c r="J320" s="738"/>
      <c r="K320" s="739"/>
      <c r="L320" s="738"/>
      <c r="M320" s="739"/>
      <c r="N320" s="738"/>
      <c r="O320" s="739"/>
      <c r="P320" s="738"/>
      <c r="Q320" s="739"/>
      <c r="R320" s="738"/>
      <c r="S320" s="739"/>
      <c r="T320" s="738"/>
      <c r="U320" s="739">
        <v>5</v>
      </c>
      <c r="V320" s="738">
        <v>2</v>
      </c>
      <c r="W320" s="739"/>
      <c r="X320" s="738"/>
      <c r="Y320" s="739"/>
      <c r="Z320" s="738"/>
      <c r="AA320" s="823">
        <v>20</v>
      </c>
    </row>
    <row r="321" spans="1:29" ht="14.25">
      <c r="A321" s="735" t="s">
        <v>2995</v>
      </c>
      <c r="B321" s="1003" t="s">
        <v>4315</v>
      </c>
      <c r="C321" s="790"/>
      <c r="D321" s="738"/>
      <c r="E321" s="737"/>
      <c r="F321" s="738"/>
      <c r="G321" s="739"/>
      <c r="H321" s="738"/>
      <c r="I321" s="739"/>
      <c r="J321" s="738"/>
      <c r="K321" s="739"/>
      <c r="L321" s="738">
        <v>5</v>
      </c>
      <c r="M321" s="739"/>
      <c r="N321" s="738"/>
      <c r="O321" s="739"/>
      <c r="P321" s="738"/>
      <c r="Q321" s="791"/>
      <c r="R321" s="792"/>
      <c r="S321" s="739"/>
      <c r="T321" s="738"/>
      <c r="U321" s="791">
        <v>25</v>
      </c>
      <c r="V321" s="792">
        <v>5</v>
      </c>
      <c r="W321" s="739"/>
      <c r="X321" s="738"/>
      <c r="Y321" s="739"/>
      <c r="Z321" s="738"/>
      <c r="AA321" s="793">
        <v>16</v>
      </c>
    </row>
    <row r="322" spans="1:29" ht="14.25">
      <c r="A322" s="760">
        <v>7</v>
      </c>
      <c r="B322" s="808" t="s">
        <v>2626</v>
      </c>
      <c r="C322" s="809"/>
      <c r="D322" s="763"/>
      <c r="E322" s="764"/>
      <c r="F322" s="765"/>
      <c r="G322" s="766"/>
      <c r="H322" s="763"/>
      <c r="I322" s="766"/>
      <c r="J322" s="763"/>
      <c r="K322" s="766"/>
      <c r="L322" s="763"/>
      <c r="M322" s="766"/>
      <c r="N322" s="763"/>
      <c r="O322" s="766"/>
      <c r="P322" s="763"/>
      <c r="Q322" s="766"/>
      <c r="R322" s="763"/>
      <c r="S322" s="766"/>
      <c r="T322" s="763"/>
      <c r="U322" s="766"/>
      <c r="V322" s="763"/>
      <c r="W322" s="766"/>
      <c r="X322" s="763"/>
      <c r="Y322" s="766"/>
      <c r="Z322" s="763"/>
      <c r="AA322" s="767"/>
    </row>
    <row r="323" spans="1:29" ht="14.25">
      <c r="A323" s="806">
        <v>7.1</v>
      </c>
      <c r="B323" s="810" t="s">
        <v>2627</v>
      </c>
      <c r="C323" s="809"/>
      <c r="D323" s="763"/>
      <c r="E323" s="764"/>
      <c r="F323" s="765"/>
      <c r="G323" s="766"/>
      <c r="H323" s="763"/>
      <c r="I323" s="766"/>
      <c r="J323" s="763"/>
      <c r="K323" s="766"/>
      <c r="L323" s="763"/>
      <c r="M323" s="766"/>
      <c r="N323" s="763"/>
      <c r="O323" s="766"/>
      <c r="P323" s="763"/>
      <c r="Q323" s="766"/>
      <c r="R323" s="763"/>
      <c r="S323" s="766"/>
      <c r="T323" s="763"/>
      <c r="U323" s="766">
        <f>0.1*U330</f>
        <v>397.3</v>
      </c>
      <c r="V323" s="763">
        <f>0.1*V330</f>
        <v>89.5</v>
      </c>
      <c r="W323" s="766"/>
      <c r="X323" s="763"/>
      <c r="Y323" s="766"/>
      <c r="Z323" s="763"/>
      <c r="AA323" s="767">
        <f>0.1*AA330</f>
        <v>340.40000000000003</v>
      </c>
    </row>
    <row r="324" spans="1:29" ht="14.25">
      <c r="A324" s="806">
        <v>7.2</v>
      </c>
      <c r="B324" s="810" t="s">
        <v>2472</v>
      </c>
      <c r="C324" s="809"/>
      <c r="D324" s="763"/>
      <c r="E324" s="764"/>
      <c r="F324" s="765"/>
      <c r="G324" s="766"/>
      <c r="H324" s="763"/>
      <c r="I324" s="766"/>
      <c r="J324" s="763"/>
      <c r="K324" s="766"/>
      <c r="L324" s="763"/>
      <c r="M324" s="766"/>
      <c r="N324" s="763"/>
      <c r="O324" s="766"/>
      <c r="P324" s="763"/>
      <c r="Q324" s="766"/>
      <c r="R324" s="763"/>
      <c r="S324" s="766"/>
      <c r="T324" s="763"/>
      <c r="U324" s="766">
        <f>0.05*U330</f>
        <v>198.65</v>
      </c>
      <c r="V324" s="763"/>
      <c r="W324" s="766"/>
      <c r="X324" s="763"/>
      <c r="Y324" s="766"/>
      <c r="Z324" s="763"/>
      <c r="AA324" s="767">
        <f>0.05*AA330</f>
        <v>170.20000000000002</v>
      </c>
    </row>
    <row r="325" spans="1:29" ht="14.25">
      <c r="A325" s="806">
        <v>7.3</v>
      </c>
      <c r="B325" s="810" t="s">
        <v>2628</v>
      </c>
      <c r="C325" s="809"/>
      <c r="D325" s="763"/>
      <c r="E325" s="764"/>
      <c r="F325" s="765"/>
      <c r="G325" s="766"/>
      <c r="H325" s="763"/>
      <c r="I325" s="766"/>
      <c r="J325" s="763"/>
      <c r="K325" s="766"/>
      <c r="L325" s="763"/>
      <c r="M325" s="766"/>
      <c r="N325" s="763"/>
      <c r="O325" s="766"/>
      <c r="P325" s="763"/>
      <c r="Q325" s="766"/>
      <c r="R325" s="763"/>
      <c r="S325" s="766"/>
      <c r="T325" s="763"/>
      <c r="U325" s="766">
        <v>100</v>
      </c>
      <c r="V325" s="763"/>
      <c r="W325" s="766"/>
      <c r="X325" s="763"/>
      <c r="Y325" s="766"/>
      <c r="Z325" s="763"/>
      <c r="AA325" s="767"/>
    </row>
    <row r="326" spans="1:29" ht="14.25">
      <c r="A326" s="806">
        <v>7.4</v>
      </c>
      <c r="B326" s="810" t="s">
        <v>2629</v>
      </c>
      <c r="C326" s="809"/>
      <c r="D326" s="763"/>
      <c r="E326" s="764"/>
      <c r="F326" s="765"/>
      <c r="G326" s="766"/>
      <c r="H326" s="763"/>
      <c r="I326" s="766"/>
      <c r="J326" s="763"/>
      <c r="K326" s="766"/>
      <c r="L326" s="763"/>
      <c r="M326" s="766"/>
      <c r="N326" s="763"/>
      <c r="O326" s="766"/>
      <c r="P326" s="763"/>
      <c r="Q326" s="766"/>
      <c r="R326" s="763"/>
      <c r="S326" s="766"/>
      <c r="T326" s="763"/>
      <c r="U326" s="766">
        <v>120</v>
      </c>
      <c r="V326" s="763"/>
      <c r="W326" s="766"/>
      <c r="X326" s="763"/>
      <c r="Y326" s="766"/>
      <c r="Z326" s="763"/>
      <c r="AA326" s="767"/>
    </row>
    <row r="327" spans="1:29" ht="15" thickBot="1">
      <c r="A327" s="806">
        <v>7.5</v>
      </c>
      <c r="B327" s="810" t="s">
        <v>2630</v>
      </c>
      <c r="C327" s="809"/>
      <c r="D327" s="763"/>
      <c r="E327" s="764"/>
      <c r="F327" s="765"/>
      <c r="G327" s="766"/>
      <c r="H327" s="763"/>
      <c r="I327" s="766"/>
      <c r="J327" s="763"/>
      <c r="K327" s="766"/>
      <c r="L327" s="763"/>
      <c r="M327" s="766"/>
      <c r="N327" s="763"/>
      <c r="O327" s="766"/>
      <c r="P327" s="763"/>
      <c r="Q327" s="766"/>
      <c r="R327" s="763"/>
      <c r="S327" s="766"/>
      <c r="T327" s="763"/>
      <c r="U327" s="766">
        <v>100</v>
      </c>
      <c r="V327" s="763">
        <v>8</v>
      </c>
      <c r="W327" s="766"/>
      <c r="X327" s="763"/>
      <c r="Y327" s="766"/>
      <c r="Z327" s="763"/>
      <c r="AA327" s="767"/>
    </row>
    <row r="328" spans="1:29" ht="15" thickBot="1">
      <c r="A328" s="864"/>
      <c r="B328" s="1012" t="s">
        <v>2102</v>
      </c>
      <c r="C328" s="838">
        <f>SUM(C5:C327)</f>
        <v>0</v>
      </c>
      <c r="D328" s="814">
        <f>SUM(D5:D327)</f>
        <v>0</v>
      </c>
      <c r="E328" s="838">
        <f t="shared" ref="E328:Z328" si="9">SUM(E5:E327)</f>
        <v>26.5</v>
      </c>
      <c r="F328" s="814">
        <f t="shared" si="9"/>
        <v>12</v>
      </c>
      <c r="G328" s="838">
        <f t="shared" si="9"/>
        <v>0</v>
      </c>
      <c r="H328" s="814">
        <f t="shared" si="9"/>
        <v>0</v>
      </c>
      <c r="I328" s="838">
        <f t="shared" si="9"/>
        <v>8</v>
      </c>
      <c r="J328" s="814">
        <f t="shared" si="9"/>
        <v>4</v>
      </c>
      <c r="K328" s="838">
        <f t="shared" si="9"/>
        <v>15</v>
      </c>
      <c r="L328" s="814">
        <f t="shared" si="9"/>
        <v>15</v>
      </c>
      <c r="M328" s="838">
        <f t="shared" si="9"/>
        <v>14</v>
      </c>
      <c r="N328" s="814">
        <f t="shared" si="9"/>
        <v>10</v>
      </c>
      <c r="O328" s="838">
        <f t="shared" si="9"/>
        <v>13</v>
      </c>
      <c r="P328" s="814">
        <f t="shared" si="9"/>
        <v>13</v>
      </c>
      <c r="Q328" s="838">
        <f t="shared" si="9"/>
        <v>0</v>
      </c>
      <c r="R328" s="814">
        <f t="shared" si="9"/>
        <v>0</v>
      </c>
      <c r="S328" s="838">
        <f t="shared" si="9"/>
        <v>30</v>
      </c>
      <c r="T328" s="814">
        <f t="shared" si="9"/>
        <v>0</v>
      </c>
      <c r="U328" s="838">
        <f t="shared" si="9"/>
        <v>4888.95</v>
      </c>
      <c r="V328" s="814">
        <f t="shared" si="9"/>
        <v>992.5</v>
      </c>
      <c r="W328" s="838">
        <f t="shared" si="9"/>
        <v>0</v>
      </c>
      <c r="X328" s="814">
        <f t="shared" si="9"/>
        <v>0</v>
      </c>
      <c r="Y328" s="838">
        <f t="shared" si="9"/>
        <v>0</v>
      </c>
      <c r="Z328" s="814">
        <f t="shared" si="9"/>
        <v>0</v>
      </c>
      <c r="AA328" s="777">
        <f>SUM(AA5:AA327)</f>
        <v>3914.6</v>
      </c>
    </row>
    <row r="329" spans="1:29" ht="15" thickBot="1">
      <c r="A329" s="778"/>
      <c r="B329" s="779"/>
      <c r="C329" s="781"/>
      <c r="D329" s="781"/>
      <c r="E329" s="781"/>
      <c r="F329" s="781"/>
      <c r="G329" s="781"/>
      <c r="H329" s="781"/>
      <c r="I329" s="781"/>
      <c r="J329" s="781"/>
      <c r="K329" s="781"/>
      <c r="L329" s="781"/>
      <c r="M329" s="781"/>
      <c r="N329" s="781"/>
      <c r="O329" s="781"/>
      <c r="P329" s="781"/>
      <c r="Q329" s="781"/>
      <c r="R329" s="781"/>
      <c r="S329" s="781"/>
      <c r="T329" s="781"/>
      <c r="U329" s="781"/>
      <c r="V329" s="781"/>
      <c r="W329" s="781"/>
      <c r="X329" s="781"/>
      <c r="Y329" s="781"/>
      <c r="Z329" s="781"/>
      <c r="AA329" s="781"/>
      <c r="AB329" s="734"/>
      <c r="AC329" s="734"/>
    </row>
    <row r="330" spans="1:29" ht="15" thickBot="1">
      <c r="A330" s="778"/>
      <c r="B330" s="779"/>
      <c r="C330" s="815">
        <f>SUM(C5:C321)</f>
        <v>0</v>
      </c>
      <c r="D330" s="815">
        <f t="shared" ref="D330:AA330" si="10">SUM(D5:D321)</f>
        <v>0</v>
      </c>
      <c r="E330" s="815">
        <f t="shared" si="10"/>
        <v>26.5</v>
      </c>
      <c r="F330" s="815">
        <f t="shared" si="10"/>
        <v>12</v>
      </c>
      <c r="G330" s="815">
        <f t="shared" si="10"/>
        <v>0</v>
      </c>
      <c r="H330" s="815">
        <f t="shared" si="10"/>
        <v>0</v>
      </c>
      <c r="I330" s="815">
        <f t="shared" si="10"/>
        <v>8</v>
      </c>
      <c r="J330" s="815">
        <f t="shared" si="10"/>
        <v>4</v>
      </c>
      <c r="K330" s="815">
        <f t="shared" si="10"/>
        <v>15</v>
      </c>
      <c r="L330" s="815">
        <f t="shared" si="10"/>
        <v>15</v>
      </c>
      <c r="M330" s="815">
        <f t="shared" si="10"/>
        <v>14</v>
      </c>
      <c r="N330" s="815">
        <f t="shared" si="10"/>
        <v>10</v>
      </c>
      <c r="O330" s="815">
        <f t="shared" si="10"/>
        <v>13</v>
      </c>
      <c r="P330" s="815">
        <f t="shared" si="10"/>
        <v>13</v>
      </c>
      <c r="Q330" s="815">
        <f t="shared" si="10"/>
        <v>0</v>
      </c>
      <c r="R330" s="815">
        <f t="shared" si="10"/>
        <v>0</v>
      </c>
      <c r="S330" s="815">
        <f t="shared" si="10"/>
        <v>30</v>
      </c>
      <c r="T330" s="815">
        <f t="shared" si="10"/>
        <v>0</v>
      </c>
      <c r="U330" s="815">
        <f t="shared" si="10"/>
        <v>3973</v>
      </c>
      <c r="V330" s="815">
        <f t="shared" si="10"/>
        <v>895</v>
      </c>
      <c r="W330" s="815">
        <f t="shared" si="10"/>
        <v>0</v>
      </c>
      <c r="X330" s="815">
        <f t="shared" si="10"/>
        <v>0</v>
      </c>
      <c r="Y330" s="815">
        <f t="shared" si="10"/>
        <v>0</v>
      </c>
      <c r="Z330" s="815">
        <f t="shared" si="10"/>
        <v>0</v>
      </c>
      <c r="AA330" s="815">
        <f t="shared" si="10"/>
        <v>3404</v>
      </c>
      <c r="AB330" s="734"/>
      <c r="AC330" s="734"/>
    </row>
    <row r="331" spans="1:29" ht="14.25">
      <c r="A331" s="778"/>
      <c r="B331" s="779"/>
      <c r="C331" s="781"/>
      <c r="D331" s="781"/>
      <c r="E331" s="781"/>
      <c r="F331" s="781"/>
      <c r="G331" s="781"/>
      <c r="H331" s="781"/>
      <c r="I331" s="781"/>
      <c r="J331" s="781"/>
      <c r="K331" s="781"/>
      <c r="L331" s="781"/>
      <c r="M331" s="781"/>
      <c r="N331" s="781"/>
      <c r="O331" s="781"/>
      <c r="P331" s="781"/>
      <c r="Q331" s="781"/>
      <c r="R331" s="781"/>
      <c r="S331" s="781"/>
      <c r="T331" s="781"/>
      <c r="U331" s="781"/>
      <c r="V331" s="781"/>
      <c r="W331" s="781"/>
      <c r="X331" s="781"/>
      <c r="Y331" s="781"/>
      <c r="Z331" s="781"/>
      <c r="AA331" s="781"/>
      <c r="AB331" s="734"/>
      <c r="AC331" s="734"/>
    </row>
  </sheetData>
  <mergeCells count="18">
    <mergeCell ref="S3:T3"/>
    <mergeCell ref="U3:V3"/>
    <mergeCell ref="W3:X3"/>
    <mergeCell ref="B1:X1"/>
    <mergeCell ref="Y1:AA1"/>
    <mergeCell ref="A2:AA2"/>
    <mergeCell ref="A3:A4"/>
    <mergeCell ref="B3:B4"/>
    <mergeCell ref="C3:D3"/>
    <mergeCell ref="E3:F3"/>
    <mergeCell ref="G3:H3"/>
    <mergeCell ref="I3:J3"/>
    <mergeCell ref="K3:L3"/>
    <mergeCell ref="Y3:Z3"/>
    <mergeCell ref="AA3:AA4"/>
    <mergeCell ref="M3:N3"/>
    <mergeCell ref="O3:P3"/>
    <mergeCell ref="Q3:R3"/>
  </mergeCells>
  <conditionalFormatting sqref="B323:B327">
    <cfRule type="expression" dxfId="15" priority="1" stopIfTrue="1">
      <formula>IF(AND(#REF!&lt;&gt;"",#REF!&gt;15),1,0)</formula>
    </cfRule>
    <cfRule type="expression" dxfId="14" priority="2" stopIfTrue="1">
      <formula>IF(AND(#REF!&lt;&gt;"",#REF!&gt;15),1,0)</formula>
    </cfRule>
    <cfRule type="expression" dxfId="13" priority="9" stopIfTrue="1">
      <formula>IF(AND(AJ337&lt;&gt;"",AJ337&gt;15),1,0)</formula>
    </cfRule>
    <cfRule type="expression" dxfId="12" priority="11" stopIfTrue="1">
      <formula>IF(AND(AJ321&lt;&gt;"",AJ321&gt;15),1,0)</formula>
    </cfRule>
    <cfRule type="expression" dxfId="11" priority="13" stopIfTrue="1">
      <formula>IF(AND(O286&lt;&gt;"",O286&gt;15),1,0)</formula>
    </cfRule>
    <cfRule type="expression" dxfId="10" priority="14" stopIfTrue="1">
      <formula>IF(AND(AH286&lt;&gt;"",AH286&gt;15),1,0)</formula>
    </cfRule>
    <cfRule type="expression" dxfId="9" priority="15" stopIfTrue="1">
      <formula>IF(AND(#REF!&lt;&gt;"",#REF!&gt;15),1,0)</formula>
    </cfRule>
  </conditionalFormatting>
  <conditionalFormatting sqref="M322:N327 AA322:AA327">
    <cfRule type="expression" dxfId="8" priority="3" stopIfTrue="1">
      <formula>IF(AND(#REF!&lt;&gt;"",#REF!&gt;15),1,0)</formula>
    </cfRule>
    <cfRule type="expression" dxfId="7" priority="7" stopIfTrue="1">
      <formula>IF(AND(AY318&lt;&gt;"",AY318&gt;15),1,0)</formula>
    </cfRule>
    <cfRule type="expression" dxfId="6" priority="8" stopIfTrue="1">
      <formula>IF(AND(AY319&lt;&gt;"",AY319&gt;15),1,0)</formula>
    </cfRule>
    <cfRule type="expression" dxfId="5" priority="10" stopIfTrue="1">
      <formula>IF(AND(#REF!&lt;&gt;"",#REF!&gt;15),1,0)</formula>
    </cfRule>
  </conditionalFormatting>
  <conditionalFormatting sqref="M322:N327">
    <cfRule type="expression" dxfId="4" priority="5" stopIfTrue="1">
      <formula>IF(AND(AY336&lt;&gt;"",AY336&gt;15),1,0)</formula>
    </cfRule>
    <cfRule type="expression" dxfId="3" priority="6" stopIfTrue="1">
      <formula>IF(AND(AY320&lt;&gt;"",AY320&gt;15),1,0)</formula>
    </cfRule>
  </conditionalFormatting>
  <conditionalFormatting sqref="AA322:AA327">
    <cfRule type="expression" dxfId="2" priority="4" stopIfTrue="1">
      <formula>IF(AND(BM320&lt;&gt;"",BM320&gt;15),1,0)</formula>
    </cfRule>
    <cfRule type="expression" dxfId="1" priority="12" stopIfTrue="1">
      <formula>IF(AND(BM336&lt;&gt;"",BM336&gt;15),1,0)</formula>
    </cfRule>
  </conditionalFormatting>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8"/>
  <dimension ref="A1:AA13"/>
  <sheetViews>
    <sheetView rightToLeft="1" workbookViewId="0">
      <selection activeCell="L26" sqref="L26"/>
    </sheetView>
  </sheetViews>
  <sheetFormatPr defaultColWidth="8.85546875" defaultRowHeight="12.75"/>
  <cols>
    <col min="1" max="1" width="8.85546875" style="661"/>
    <col min="2" max="2" width="69.28515625" style="661" customWidth="1"/>
    <col min="3" max="16384" width="8.85546875" style="661"/>
  </cols>
  <sheetData>
    <row r="1" spans="1:27" ht="18.75" thickBot="1">
      <c r="A1" s="723"/>
      <c r="B1" s="2333"/>
      <c r="C1" s="2333"/>
      <c r="D1" s="2333"/>
      <c r="E1" s="2333"/>
      <c r="F1" s="2333"/>
      <c r="G1" s="2333"/>
      <c r="H1" s="2333"/>
      <c r="I1" s="2333"/>
      <c r="J1" s="2333"/>
      <c r="K1" s="2333"/>
      <c r="L1" s="2333"/>
      <c r="M1" s="2333"/>
      <c r="N1" s="2333"/>
      <c r="O1" s="2333"/>
      <c r="P1" s="2333"/>
      <c r="Q1" s="2333"/>
      <c r="R1" s="2333"/>
      <c r="S1" s="2333"/>
      <c r="T1" s="2333"/>
      <c r="U1" s="2333"/>
      <c r="V1" s="2333"/>
      <c r="W1" s="2333"/>
      <c r="X1" s="2333"/>
      <c r="Y1" s="2334"/>
      <c r="Z1" s="2334"/>
      <c r="AA1" s="2335"/>
    </row>
    <row r="2" spans="1:27" ht="21" thickBot="1">
      <c r="A2" s="2336" t="s">
        <v>4316</v>
      </c>
      <c r="B2" s="2337"/>
      <c r="C2" s="2337"/>
      <c r="D2" s="2337"/>
      <c r="E2" s="2337"/>
      <c r="F2" s="2337"/>
      <c r="G2" s="2337"/>
      <c r="H2" s="2337"/>
      <c r="I2" s="2337"/>
      <c r="J2" s="2337"/>
      <c r="K2" s="2337"/>
      <c r="L2" s="2337"/>
      <c r="M2" s="2337"/>
      <c r="N2" s="2337"/>
      <c r="O2" s="2337"/>
      <c r="P2" s="2337"/>
      <c r="Q2" s="2337"/>
      <c r="R2" s="2337"/>
      <c r="S2" s="2337"/>
      <c r="T2" s="2337"/>
      <c r="U2" s="2337"/>
      <c r="V2" s="2337"/>
      <c r="W2" s="2337"/>
      <c r="X2" s="2337"/>
      <c r="Y2" s="2337"/>
      <c r="Z2" s="2337"/>
      <c r="AA2" s="2338"/>
    </row>
    <row r="3" spans="1:27">
      <c r="A3" s="2339" t="s">
        <v>2306</v>
      </c>
      <c r="B3" s="2341" t="s">
        <v>2307</v>
      </c>
      <c r="C3" s="2331" t="s">
        <v>2255</v>
      </c>
      <c r="D3" s="2332"/>
      <c r="E3" s="2331" t="s">
        <v>2256</v>
      </c>
      <c r="F3" s="2332"/>
      <c r="G3" s="2331" t="s">
        <v>2257</v>
      </c>
      <c r="H3" s="2332"/>
      <c r="I3" s="2331" t="s">
        <v>2258</v>
      </c>
      <c r="J3" s="2332"/>
      <c r="K3" s="2331" t="s">
        <v>2259</v>
      </c>
      <c r="L3" s="2332"/>
      <c r="M3" s="2331" t="s">
        <v>2260</v>
      </c>
      <c r="N3" s="2332"/>
      <c r="O3" s="2331" t="s">
        <v>2261</v>
      </c>
      <c r="P3" s="2332"/>
      <c r="Q3" s="2331" t="s">
        <v>2262</v>
      </c>
      <c r="R3" s="2332"/>
      <c r="S3" s="2331" t="s">
        <v>2263</v>
      </c>
      <c r="T3" s="2332"/>
      <c r="U3" s="2331" t="s">
        <v>2264</v>
      </c>
      <c r="V3" s="2332"/>
      <c r="W3" s="2331" t="s">
        <v>2265</v>
      </c>
      <c r="X3" s="2332"/>
      <c r="Y3" s="2331" t="s">
        <v>2266</v>
      </c>
      <c r="Z3" s="2332"/>
      <c r="AA3" s="2343" t="s">
        <v>2267</v>
      </c>
    </row>
    <row r="4" spans="1:27" ht="13.5" thickBot="1">
      <c r="A4" s="2345"/>
      <c r="B4" s="2346"/>
      <c r="C4" s="726" t="s">
        <v>2269</v>
      </c>
      <c r="D4" s="727" t="s">
        <v>2270</v>
      </c>
      <c r="E4" s="726" t="s">
        <v>2269</v>
      </c>
      <c r="F4" s="727" t="s">
        <v>2270</v>
      </c>
      <c r="G4" s="726" t="s">
        <v>2269</v>
      </c>
      <c r="H4" s="727" t="s">
        <v>2270</v>
      </c>
      <c r="I4" s="726" t="s">
        <v>2269</v>
      </c>
      <c r="J4" s="727" t="s">
        <v>2270</v>
      </c>
      <c r="K4" s="726" t="s">
        <v>2269</v>
      </c>
      <c r="L4" s="727" t="s">
        <v>2270</v>
      </c>
      <c r="M4" s="726" t="s">
        <v>2269</v>
      </c>
      <c r="N4" s="727" t="s">
        <v>2270</v>
      </c>
      <c r="O4" s="726" t="s">
        <v>2269</v>
      </c>
      <c r="P4" s="727" t="s">
        <v>2270</v>
      </c>
      <c r="Q4" s="726" t="s">
        <v>2269</v>
      </c>
      <c r="R4" s="727" t="s">
        <v>2270</v>
      </c>
      <c r="S4" s="726" t="s">
        <v>2269</v>
      </c>
      <c r="T4" s="727" t="s">
        <v>2270</v>
      </c>
      <c r="U4" s="726" t="s">
        <v>2269</v>
      </c>
      <c r="V4" s="727" t="s">
        <v>2270</v>
      </c>
      <c r="W4" s="726" t="s">
        <v>2269</v>
      </c>
      <c r="X4" s="727" t="s">
        <v>2270</v>
      </c>
      <c r="Y4" s="726" t="s">
        <v>2269</v>
      </c>
      <c r="Z4" s="727" t="s">
        <v>2270</v>
      </c>
      <c r="AA4" s="2344"/>
    </row>
    <row r="5" spans="1:27">
      <c r="A5" s="1013">
        <v>1</v>
      </c>
      <c r="B5" s="1014" t="s">
        <v>4317</v>
      </c>
      <c r="C5" s="790"/>
      <c r="D5" s="738"/>
      <c r="E5" s="739"/>
      <c r="F5" s="738"/>
      <c r="G5" s="739"/>
      <c r="H5" s="738"/>
      <c r="I5" s="739"/>
      <c r="J5" s="738"/>
      <c r="K5" s="739"/>
      <c r="L5" s="738"/>
      <c r="M5" s="739"/>
      <c r="N5" s="738"/>
      <c r="O5" s="739"/>
      <c r="P5" s="738"/>
      <c r="Q5" s="739"/>
      <c r="R5" s="738"/>
      <c r="S5" s="739"/>
      <c r="T5" s="738"/>
      <c r="U5" s="739"/>
      <c r="V5" s="738"/>
      <c r="W5" s="739"/>
      <c r="X5" s="738"/>
      <c r="Y5" s="713">
        <v>60</v>
      </c>
      <c r="Z5" s="714">
        <v>20</v>
      </c>
      <c r="AA5" s="740"/>
    </row>
    <row r="6" spans="1:27">
      <c r="A6" s="1013">
        <v>2</v>
      </c>
      <c r="B6" s="1014" t="s">
        <v>4318</v>
      </c>
      <c r="C6" s="790"/>
      <c r="D6" s="738"/>
      <c r="E6" s="739"/>
      <c r="F6" s="738"/>
      <c r="G6" s="739"/>
      <c r="H6" s="738"/>
      <c r="I6" s="739"/>
      <c r="J6" s="738"/>
      <c r="K6" s="739"/>
      <c r="L6" s="738"/>
      <c r="M6" s="739"/>
      <c r="N6" s="738"/>
      <c r="O6" s="739"/>
      <c r="P6" s="738"/>
      <c r="Q6" s="739"/>
      <c r="R6" s="738"/>
      <c r="S6" s="739"/>
      <c r="T6" s="738"/>
      <c r="U6" s="739"/>
      <c r="V6" s="738"/>
      <c r="W6" s="739"/>
      <c r="X6" s="738"/>
      <c r="Y6" s="713">
        <v>60</v>
      </c>
      <c r="Z6" s="714">
        <v>20</v>
      </c>
      <c r="AA6" s="740"/>
    </row>
    <row r="7" spans="1:27">
      <c r="A7" s="1013">
        <v>3</v>
      </c>
      <c r="B7" s="1014" t="s">
        <v>4319</v>
      </c>
      <c r="C7" s="790"/>
      <c r="D7" s="738"/>
      <c r="E7" s="739"/>
      <c r="F7" s="738"/>
      <c r="G7" s="739"/>
      <c r="H7" s="738"/>
      <c r="I7" s="739"/>
      <c r="J7" s="738"/>
      <c r="K7" s="739"/>
      <c r="L7" s="738"/>
      <c r="M7" s="739"/>
      <c r="N7" s="738"/>
      <c r="O7" s="739"/>
      <c r="P7" s="738"/>
      <c r="Q7" s="739"/>
      <c r="R7" s="738"/>
      <c r="S7" s="739"/>
      <c r="T7" s="738"/>
      <c r="U7" s="739"/>
      <c r="V7" s="738"/>
      <c r="W7" s="739"/>
      <c r="X7" s="738"/>
      <c r="Y7" s="713">
        <v>60</v>
      </c>
      <c r="Z7" s="714">
        <v>20</v>
      </c>
      <c r="AA7" s="740"/>
    </row>
    <row r="8" spans="1:27">
      <c r="A8" s="1013">
        <v>4</v>
      </c>
      <c r="B8" s="1014" t="s">
        <v>4320</v>
      </c>
      <c r="C8" s="790"/>
      <c r="D8" s="738"/>
      <c r="E8" s="739"/>
      <c r="F8" s="738"/>
      <c r="G8" s="739"/>
      <c r="H8" s="738"/>
      <c r="I8" s="739"/>
      <c r="J8" s="738"/>
      <c r="K8" s="739"/>
      <c r="L8" s="738"/>
      <c r="M8" s="739"/>
      <c r="N8" s="738"/>
      <c r="O8" s="739"/>
      <c r="P8" s="738"/>
      <c r="Q8" s="739"/>
      <c r="R8" s="738"/>
      <c r="S8" s="739"/>
      <c r="T8" s="738"/>
      <c r="U8" s="739"/>
      <c r="V8" s="738"/>
      <c r="W8" s="739"/>
      <c r="X8" s="738"/>
      <c r="Y8" s="713">
        <v>200</v>
      </c>
      <c r="Z8" s="714">
        <v>10</v>
      </c>
      <c r="AA8" s="740"/>
    </row>
    <row r="9" spans="1:27">
      <c r="A9" s="1013">
        <v>5</v>
      </c>
      <c r="B9" s="1014" t="s">
        <v>4321</v>
      </c>
      <c r="C9" s="790"/>
      <c r="D9" s="738"/>
      <c r="E9" s="739"/>
      <c r="F9" s="738"/>
      <c r="G9" s="739"/>
      <c r="H9" s="738"/>
      <c r="I9" s="739"/>
      <c r="J9" s="738"/>
      <c r="K9" s="739"/>
      <c r="L9" s="738"/>
      <c r="M9" s="739"/>
      <c r="N9" s="738"/>
      <c r="O9" s="739"/>
      <c r="P9" s="738"/>
      <c r="Q9" s="739"/>
      <c r="R9" s="738"/>
      <c r="S9" s="739"/>
      <c r="T9" s="738"/>
      <c r="U9" s="739"/>
      <c r="V9" s="738"/>
      <c r="W9" s="739"/>
      <c r="X9" s="738"/>
      <c r="Y9" s="713">
        <v>120</v>
      </c>
      <c r="Z9" s="714">
        <v>40</v>
      </c>
      <c r="AA9" s="740"/>
    </row>
    <row r="10" spans="1:27">
      <c r="A10" s="1013">
        <v>6</v>
      </c>
      <c r="B10" s="1015" t="s">
        <v>4322</v>
      </c>
      <c r="C10" s="790"/>
      <c r="D10" s="738"/>
      <c r="E10" s="739"/>
      <c r="F10" s="738"/>
      <c r="G10" s="739"/>
      <c r="H10" s="738"/>
      <c r="I10" s="739"/>
      <c r="J10" s="738"/>
      <c r="K10" s="739"/>
      <c r="L10" s="738"/>
      <c r="M10" s="739"/>
      <c r="N10" s="738"/>
      <c r="O10" s="739"/>
      <c r="P10" s="738"/>
      <c r="Q10" s="739"/>
      <c r="R10" s="738"/>
      <c r="S10" s="739"/>
      <c r="T10" s="738"/>
      <c r="U10" s="739"/>
      <c r="V10" s="738"/>
      <c r="W10" s="739"/>
      <c r="X10" s="738"/>
      <c r="Y10" s="713">
        <v>120</v>
      </c>
      <c r="Z10" s="714">
        <v>40</v>
      </c>
      <c r="AA10" s="740"/>
    </row>
    <row r="11" spans="1:27">
      <c r="A11" s="1013">
        <v>7</v>
      </c>
      <c r="B11" s="1015" t="s">
        <v>4323</v>
      </c>
      <c r="C11" s="794"/>
      <c r="D11" s="745"/>
      <c r="E11" s="746"/>
      <c r="F11" s="745"/>
      <c r="G11" s="746"/>
      <c r="H11" s="745"/>
      <c r="I11" s="746"/>
      <c r="J11" s="745"/>
      <c r="K11" s="746"/>
      <c r="L11" s="745"/>
      <c r="M11" s="746"/>
      <c r="N11" s="745"/>
      <c r="O11" s="746"/>
      <c r="P11" s="745"/>
      <c r="Q11" s="746"/>
      <c r="R11" s="745"/>
      <c r="S11" s="746"/>
      <c r="T11" s="745"/>
      <c r="U11" s="746"/>
      <c r="V11" s="745"/>
      <c r="W11" s="746"/>
      <c r="X11" s="745"/>
      <c r="Y11" s="713">
        <v>120</v>
      </c>
      <c r="Z11" s="714">
        <v>40</v>
      </c>
      <c r="AA11" s="747"/>
    </row>
    <row r="12" spans="1:27" ht="13.5" thickBot="1">
      <c r="A12" s="1016">
        <v>8</v>
      </c>
      <c r="B12" s="1017" t="s">
        <v>4324</v>
      </c>
      <c r="C12" s="809"/>
      <c r="D12" s="763"/>
      <c r="E12" s="766"/>
      <c r="F12" s="763"/>
      <c r="G12" s="766"/>
      <c r="H12" s="763"/>
      <c r="I12" s="766"/>
      <c r="J12" s="763"/>
      <c r="K12" s="766"/>
      <c r="L12" s="763"/>
      <c r="M12" s="766"/>
      <c r="N12" s="763"/>
      <c r="O12" s="766"/>
      <c r="P12" s="763"/>
      <c r="Q12" s="766"/>
      <c r="R12" s="763"/>
      <c r="S12" s="766"/>
      <c r="T12" s="763"/>
      <c r="U12" s="766"/>
      <c r="V12" s="763"/>
      <c r="W12" s="766"/>
      <c r="X12" s="763"/>
      <c r="Y12" s="718">
        <v>120</v>
      </c>
      <c r="Z12" s="844">
        <v>40</v>
      </c>
      <c r="AA12" s="863"/>
    </row>
    <row r="13" spans="1:27" ht="13.5" thickBot="1">
      <c r="A13" s="719"/>
      <c r="B13" s="1018" t="s">
        <v>2102</v>
      </c>
      <c r="C13" s="838"/>
      <c r="D13" s="814"/>
      <c r="E13" s="813"/>
      <c r="F13" s="814"/>
      <c r="G13" s="813"/>
      <c r="H13" s="814"/>
      <c r="I13" s="813"/>
      <c r="J13" s="814"/>
      <c r="K13" s="813"/>
      <c r="L13" s="814"/>
      <c r="M13" s="813"/>
      <c r="N13" s="814"/>
      <c r="O13" s="813"/>
      <c r="P13" s="814"/>
      <c r="Q13" s="813"/>
      <c r="R13" s="814"/>
      <c r="S13" s="813"/>
      <c r="T13" s="814"/>
      <c r="U13" s="813"/>
      <c r="V13" s="814"/>
      <c r="W13" s="813"/>
      <c r="X13" s="814"/>
      <c r="Y13" s="721">
        <f>SUM(Y5:Y12)</f>
        <v>860</v>
      </c>
      <c r="Z13" s="722">
        <f>SUM(Z5:Z12)</f>
        <v>230</v>
      </c>
      <c r="AA13" s="815"/>
    </row>
  </sheetData>
  <mergeCells count="18">
    <mergeCell ref="S3:T3"/>
    <mergeCell ref="U3:V3"/>
    <mergeCell ref="W3:X3"/>
    <mergeCell ref="B1:X1"/>
    <mergeCell ref="Y1:AA1"/>
    <mergeCell ref="A2:AA2"/>
    <mergeCell ref="A3:A4"/>
    <mergeCell ref="B3:B4"/>
    <mergeCell ref="C3:D3"/>
    <mergeCell ref="E3:F3"/>
    <mergeCell ref="G3:H3"/>
    <mergeCell ref="I3:J3"/>
    <mergeCell ref="K3:L3"/>
    <mergeCell ref="Y3:Z3"/>
    <mergeCell ref="AA3:AA4"/>
    <mergeCell ref="M3:N3"/>
    <mergeCell ref="O3:P3"/>
    <mergeCell ref="Q3:R3"/>
  </mergeCells>
  <conditionalFormatting sqref="B10:B12">
    <cfRule type="expression" dxfId="0" priority="1" stopIfTrue="1">
      <formula>IF(AND(#REF!&lt;&gt;"",#REF!&gt;15),1,0)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10</vt:i4>
      </vt:variant>
    </vt:vector>
  </HeadingPairs>
  <TitlesOfParts>
    <vt:vector size="65" baseType="lpstr">
      <vt:lpstr>عملكرد كلي</vt:lpstr>
      <vt:lpstr>EPC Summary</vt:lpstr>
      <vt:lpstr>PEP</vt:lpstr>
      <vt:lpstr>basic data</vt:lpstr>
      <vt:lpstr>Engineering</vt:lpstr>
      <vt:lpstr>Procurement</vt:lpstr>
      <vt:lpstr>Construction</vt:lpstr>
      <vt:lpstr>C.CONTENT</vt:lpstr>
      <vt:lpstr>C.Note</vt:lpstr>
      <vt:lpstr>C.foundation-2</vt:lpstr>
      <vt:lpstr>C.Shelters-2</vt:lpstr>
      <vt:lpstr>C.ROAD-2</vt:lpstr>
      <vt:lpstr>C.OTHERS-2</vt:lpstr>
      <vt:lpstr>C.SITE-2</vt:lpstr>
      <vt:lpstr>C.SITE-3</vt:lpstr>
      <vt:lpstr>C.UG CIVIL-2</vt:lpstr>
      <vt:lpstr>C.STEEL STRUCTURE (2)</vt:lpstr>
      <vt:lpstr>C.Buildings</vt:lpstr>
      <vt:lpstr>C.RETAINING WAL</vt:lpstr>
      <vt:lpstr>C.PIPING</vt:lpstr>
      <vt:lpstr>C.mECHANICAL</vt:lpstr>
      <vt:lpstr>C.PIPELINE</vt:lpstr>
      <vt:lpstr>C.ELECTRICAL</vt:lpstr>
      <vt:lpstr>C.INSTRUMENT</vt:lpstr>
      <vt:lpstr>C.tashilat</vt:lpstr>
      <vt:lpstr>C.tashilat (2)</vt:lpstr>
      <vt:lpstr>C.HSE(1)</vt:lpstr>
      <vt:lpstr>C.HSE(2)</vt:lpstr>
      <vt:lpstr>C.Foundation-1</vt:lpstr>
      <vt:lpstr>C.Shelters-1</vt:lpstr>
      <vt:lpstr>C.Shelters-1  (2)</vt:lpstr>
      <vt:lpstr>C.ROAD-1</vt:lpstr>
      <vt:lpstr>C.OTHERS-1</vt:lpstr>
      <vt:lpstr>C.SITE-1</vt:lpstr>
      <vt:lpstr>C.UG CIVIL-1</vt:lpstr>
      <vt:lpstr>C.STEEL STRUCTURE-1</vt:lpstr>
      <vt:lpstr>P.ME</vt:lpstr>
      <vt:lpstr>P.EL</vt:lpstr>
      <vt:lpstr>P.IN</vt:lpstr>
      <vt:lpstr>P.PI</vt:lpstr>
      <vt:lpstr>P.PL</vt:lpstr>
      <vt:lpstr>P.LAB</vt:lpstr>
      <vt:lpstr>E.Endorsement</vt:lpstr>
      <vt:lpstr>E.Process</vt:lpstr>
      <vt:lpstr>E.Mechanic</vt:lpstr>
      <vt:lpstr>E.HVAC</vt:lpstr>
      <vt:lpstr>E.HSE</vt:lpstr>
      <vt:lpstr>E.Piping&amp;Pipeline</vt:lpstr>
      <vt:lpstr>E.Instrument</vt:lpstr>
      <vt:lpstr>E.Electrical</vt:lpstr>
      <vt:lpstr>E.TELECOM</vt:lpstr>
      <vt:lpstr>E.Civil</vt:lpstr>
      <vt:lpstr>E.Arichitectural</vt:lpstr>
      <vt:lpstr>E.Structure</vt:lpstr>
      <vt:lpstr>E.Project Control</vt:lpstr>
      <vt:lpstr>IRR_EL_Inflation_Factor</vt:lpstr>
      <vt:lpstr>IRR_IN_Inflation_Factor</vt:lpstr>
      <vt:lpstr>IRR_Inflation_Factor</vt:lpstr>
      <vt:lpstr>Material_of_Tank</vt:lpstr>
      <vt:lpstr>per_Euro</vt:lpstr>
      <vt:lpstr>Procurement_All_Insuramce</vt:lpstr>
      <vt:lpstr>Procurement_Final_Documentation</vt:lpstr>
      <vt:lpstr>Procurement_QC_Inspection</vt:lpstr>
      <vt:lpstr>USD_Change_IRR</vt:lpstr>
      <vt:lpstr>USD_Inflation_Factor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2026-09-13T12:27:35Z</dcterms:modified>
</cp:coreProperties>
</file>
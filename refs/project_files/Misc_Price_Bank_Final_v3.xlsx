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hdi\Desktop\بانک قیمت نمک زدایی\Data Base\Final\"/>
    </mc:Choice>
  </mc:AlternateContent>
  <xr:revisionPtr revIDLastSave="0" documentId="13_ncr:1_{53077AF4-13F5-47FD-BDCB-D9861AD647B4}" xr6:coauthVersionLast="47" xr6:coauthVersionMax="47" xr10:uidLastSave="{00000000-0000-0000-0000-000000000000}"/>
  <bookViews>
    <workbookView xWindow="20370" yWindow="-120" windowWidth="24240" windowHeight="13140" tabRatio="500" xr2:uid="{00000000-000D-0000-FFFF-FFFF00000000}"/>
  </bookViews>
  <sheets>
    <sheet name="Executive Dashboard" sheetId="1" r:id="rId1"/>
    <sheet name="Master Database" sheetId="2" r:id="rId2"/>
    <sheet name="Assumptions &amp; FX Reference" sheetId="3" r:id="rId3"/>
    <sheet name="Change Log" sheetId="4" r:id="rId4"/>
  </sheets>
  <definedNames>
    <definedName name="_xlnm._FilterDatabase" localSheetId="1" hidden="1">'Master Database'!$A$4:$AB$73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3" l="1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F33" i="1"/>
  <c r="E33" i="1"/>
  <c r="D33" i="1"/>
  <c r="C33" i="1"/>
  <c r="F32" i="1"/>
  <c r="E32" i="1"/>
  <c r="D32" i="1"/>
  <c r="C32" i="1"/>
  <c r="F31" i="1"/>
  <c r="E31" i="1"/>
  <c r="D31" i="1"/>
  <c r="C31" i="1"/>
  <c r="F30" i="1"/>
  <c r="E30" i="1"/>
  <c r="D30" i="1"/>
  <c r="C30" i="1"/>
  <c r="F29" i="1"/>
  <c r="E29" i="1"/>
  <c r="D29" i="1"/>
  <c r="C29" i="1"/>
  <c r="F28" i="1"/>
  <c r="E28" i="1"/>
  <c r="D28" i="1"/>
  <c r="C28" i="1"/>
  <c r="F27" i="1"/>
  <c r="E27" i="1"/>
  <c r="D27" i="1"/>
  <c r="C27" i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F34" i="1" s="1"/>
  <c r="E14" i="1"/>
  <c r="E34" i="1" s="1"/>
  <c r="D14" i="1"/>
  <c r="D34" i="1" s="1"/>
  <c r="C14" i="1"/>
  <c r="C34" i="1" s="1"/>
  <c r="G5" i="1"/>
  <c r="E5" i="1"/>
  <c r="C5" i="1"/>
  <c r="A5" i="1"/>
  <c r="V73" i="2"/>
  <c r="U73" i="2"/>
  <c r="T73" i="2"/>
  <c r="V72" i="2"/>
  <c r="U72" i="2"/>
  <c r="T72" i="2"/>
  <c r="V71" i="2"/>
  <c r="U71" i="2"/>
  <c r="T71" i="2"/>
  <c r="V70" i="2"/>
  <c r="U70" i="2"/>
  <c r="T70" i="2"/>
  <c r="V69" i="2"/>
  <c r="U69" i="2"/>
  <c r="T69" i="2"/>
  <c r="V68" i="2"/>
  <c r="U68" i="2"/>
  <c r="T68" i="2"/>
  <c r="V67" i="2"/>
  <c r="U67" i="2"/>
  <c r="T67" i="2"/>
  <c r="V66" i="2"/>
  <c r="U66" i="2"/>
  <c r="T66" i="2"/>
  <c r="V65" i="2"/>
  <c r="U65" i="2"/>
  <c r="T65" i="2"/>
  <c r="V64" i="2"/>
  <c r="U64" i="2"/>
  <c r="T64" i="2"/>
  <c r="V63" i="2"/>
  <c r="U63" i="2"/>
  <c r="T63" i="2"/>
  <c r="V62" i="2"/>
  <c r="U62" i="2"/>
  <c r="T62" i="2"/>
  <c r="V61" i="2"/>
  <c r="U61" i="2"/>
  <c r="T61" i="2"/>
  <c r="V60" i="2"/>
  <c r="U60" i="2"/>
  <c r="T60" i="2"/>
  <c r="V59" i="2"/>
  <c r="U59" i="2"/>
  <c r="T59" i="2"/>
  <c r="V58" i="2"/>
  <c r="U58" i="2"/>
  <c r="T58" i="2"/>
  <c r="V57" i="2"/>
  <c r="U57" i="2"/>
  <c r="T57" i="2"/>
  <c r="V56" i="2"/>
  <c r="U56" i="2"/>
  <c r="T56" i="2"/>
  <c r="V55" i="2"/>
  <c r="U55" i="2"/>
  <c r="T55" i="2"/>
  <c r="V54" i="2"/>
  <c r="U54" i="2"/>
  <c r="T54" i="2"/>
  <c r="V53" i="2"/>
  <c r="U53" i="2"/>
  <c r="T53" i="2"/>
  <c r="V52" i="2"/>
  <c r="U52" i="2"/>
  <c r="T52" i="2"/>
  <c r="V51" i="2"/>
  <c r="U51" i="2"/>
  <c r="T51" i="2"/>
  <c r="V50" i="2"/>
  <c r="U50" i="2"/>
  <c r="T50" i="2"/>
  <c r="V49" i="2"/>
  <c r="U49" i="2"/>
  <c r="T49" i="2"/>
  <c r="V48" i="2"/>
  <c r="U48" i="2"/>
  <c r="T48" i="2"/>
  <c r="V47" i="2"/>
  <c r="U47" i="2"/>
  <c r="T47" i="2"/>
  <c r="V46" i="2"/>
  <c r="U46" i="2"/>
  <c r="T46" i="2"/>
  <c r="V45" i="2"/>
  <c r="U45" i="2"/>
  <c r="T45" i="2"/>
  <c r="V44" i="2"/>
  <c r="U44" i="2"/>
  <c r="T44" i="2"/>
  <c r="V43" i="2"/>
  <c r="U43" i="2"/>
  <c r="T43" i="2"/>
  <c r="V42" i="2"/>
  <c r="U42" i="2"/>
  <c r="T42" i="2"/>
  <c r="V41" i="2"/>
  <c r="U41" i="2"/>
  <c r="T41" i="2"/>
  <c r="V40" i="2"/>
  <c r="U40" i="2"/>
  <c r="T40" i="2"/>
  <c r="V39" i="2"/>
  <c r="U39" i="2"/>
  <c r="T39" i="2"/>
  <c r="V38" i="2"/>
  <c r="U38" i="2"/>
  <c r="T38" i="2"/>
  <c r="V37" i="2"/>
  <c r="U37" i="2"/>
  <c r="T37" i="2"/>
  <c r="V36" i="2"/>
  <c r="U36" i="2"/>
  <c r="T36" i="2"/>
  <c r="V35" i="2"/>
  <c r="U35" i="2"/>
  <c r="T35" i="2"/>
  <c r="V34" i="2"/>
  <c r="U34" i="2"/>
  <c r="T34" i="2"/>
  <c r="V33" i="2"/>
  <c r="U33" i="2"/>
  <c r="T33" i="2"/>
  <c r="V32" i="2"/>
  <c r="U32" i="2"/>
  <c r="T32" i="2"/>
  <c r="V31" i="2"/>
  <c r="U31" i="2"/>
  <c r="T31" i="2"/>
  <c r="V30" i="2"/>
  <c r="U30" i="2"/>
  <c r="T30" i="2"/>
  <c r="V29" i="2"/>
  <c r="U29" i="2"/>
  <c r="T29" i="2"/>
  <c r="V28" i="2"/>
  <c r="U28" i="2"/>
  <c r="T28" i="2"/>
  <c r="V27" i="2"/>
  <c r="U27" i="2"/>
  <c r="T27" i="2"/>
  <c r="V26" i="2"/>
  <c r="U26" i="2"/>
  <c r="T26" i="2"/>
  <c r="V25" i="2"/>
  <c r="U25" i="2"/>
  <c r="T25" i="2"/>
  <c r="V24" i="2"/>
  <c r="U24" i="2"/>
  <c r="T24" i="2"/>
  <c r="V23" i="2"/>
  <c r="U23" i="2"/>
  <c r="T23" i="2"/>
  <c r="V22" i="2"/>
  <c r="U22" i="2"/>
  <c r="T22" i="2"/>
  <c r="V21" i="2"/>
  <c r="U21" i="2"/>
  <c r="T21" i="2"/>
  <c r="V20" i="2"/>
  <c r="U20" i="2"/>
  <c r="T20" i="2"/>
  <c r="V19" i="2"/>
  <c r="U19" i="2"/>
  <c r="T19" i="2"/>
  <c r="V18" i="2"/>
  <c r="U18" i="2"/>
  <c r="T18" i="2"/>
  <c r="V17" i="2"/>
  <c r="U17" i="2"/>
  <c r="T17" i="2"/>
  <c r="V16" i="2"/>
  <c r="U16" i="2"/>
  <c r="T16" i="2"/>
  <c r="V15" i="2"/>
  <c r="U15" i="2"/>
  <c r="T15" i="2"/>
  <c r="V14" i="2"/>
  <c r="U14" i="2"/>
  <c r="T14" i="2"/>
  <c r="V13" i="2"/>
  <c r="U13" i="2"/>
  <c r="T13" i="2"/>
  <c r="V12" i="2"/>
  <c r="U12" i="2"/>
  <c r="T12" i="2"/>
  <c r="V11" i="2"/>
  <c r="U11" i="2"/>
  <c r="T11" i="2"/>
  <c r="V10" i="2"/>
  <c r="U10" i="2"/>
  <c r="T10" i="2"/>
  <c r="V9" i="2"/>
  <c r="U9" i="2"/>
  <c r="T9" i="2"/>
  <c r="V8" i="2"/>
  <c r="U8" i="2"/>
  <c r="T8" i="2"/>
  <c r="V7" i="2"/>
  <c r="U7" i="2"/>
  <c r="T7" i="2"/>
  <c r="V6" i="2"/>
  <c r="U6" i="2"/>
  <c r="T6" i="2"/>
  <c r="V5" i="2"/>
  <c r="U5" i="2"/>
  <c r="T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Mehdi</author>
    <author>Unknown Author</author>
  </authors>
  <commentList>
    <comment ref="C13" authorId="0" shapeId="0" xr:uid="{41A12286-F324-4954-A8A5-9B56DC64D558}">
      <text>
        <r>
          <rPr>
            <b/>
            <sz val="9"/>
            <color indexed="81"/>
            <rFont val="Tahoma"/>
            <family val="2"/>
          </rPr>
          <t>Mehdi:</t>
        </r>
        <r>
          <rPr>
            <sz val="9"/>
            <color indexed="81"/>
            <rFont val="Tahoma"/>
            <family val="2"/>
          </rPr>
          <t xml:space="preserve">
تعداد ردیف‌هایی از آن زیرگروه که Include = Y هستند و Tag No. واقعی دارند.</t>
        </r>
      </text>
    </comment>
    <comment ref="D13" authorId="0" shapeId="0" xr:uid="{14F1ADBE-5246-4DEF-AE3B-1ABDAFF89C6C}">
      <text>
        <r>
          <rPr>
            <b/>
            <sz val="9"/>
            <color indexed="81"/>
            <rFont val="Tahoma"/>
            <family val="2"/>
          </rPr>
          <t>Mehdi:</t>
        </r>
        <r>
          <rPr>
            <sz val="9"/>
            <color indexed="81"/>
            <rFont val="Tahoma"/>
            <family val="2"/>
          </rPr>
          <t xml:space="preserve">
تعداد همه ردیف‌های آن زیرگروه که Include = Y هستند، چه Tag داشته باشند چه نه.</t>
        </r>
      </text>
    </comment>
    <comment ref="E13" authorId="0" shapeId="0" xr:uid="{9DA7FCFC-36F3-414D-9E19-42A187966BFD}">
      <text>
        <r>
          <rPr>
            <b/>
            <sz val="9"/>
            <color indexed="81"/>
            <rFont val="Tahoma"/>
            <family val="2"/>
          </rPr>
          <t>Mehdi:</t>
        </r>
        <r>
          <rPr>
            <sz val="9"/>
            <color indexed="81"/>
            <rFont val="Tahoma"/>
            <family val="2"/>
          </rPr>
          <t xml:space="preserve">
مجموع ستون Quantity برای ردیف‌های Include = Y آن زیرگروه.</t>
        </r>
      </text>
    </comment>
    <comment ref="F13" authorId="0" shapeId="0" xr:uid="{426FD52F-0BE0-43CA-A84B-67221C83D23D}">
      <text>
        <r>
          <rPr>
            <b/>
            <sz val="9"/>
            <color indexed="81"/>
            <rFont val="Tahoma"/>
            <family val="2"/>
          </rPr>
          <t>Mehdi:</t>
        </r>
        <r>
          <rPr>
            <sz val="9"/>
            <color indexed="81"/>
            <rFont val="Tahoma"/>
            <family val="2"/>
          </rPr>
          <t xml:space="preserve">
تعداد ردیف‌های آن زیرگروه که Include = N هستند.</t>
        </r>
      </text>
    </comment>
    <comment ref="A14" authorId="1" shapeId="0" xr:uid="{00000000-0006-0000-0000-000001000000}">
      <text>
        <r>
          <rPr>
            <sz val="10"/>
            <rFont val="Arial"/>
            <family val="2"/>
          </rPr>
          <t>PKG-STR = Stripping Packages (Stripper Towers)</t>
        </r>
      </text>
    </comment>
    <comment ref="A15" authorId="1" shapeId="0" xr:uid="{00000000-0006-0000-0000-000002000000}">
      <text>
        <r>
          <rPr>
            <sz val="10"/>
            <rFont val="Arial"/>
            <family val="2"/>
          </rPr>
          <t>PKG-RO = Reverse Osmosis Packages</t>
        </r>
      </text>
    </comment>
    <comment ref="A16" authorId="1" shapeId="0" xr:uid="{00000000-0006-0000-0000-000003000000}">
      <text>
        <r>
          <rPr>
            <sz val="10"/>
            <rFont val="Arial"/>
            <family val="2"/>
          </rPr>
          <t>PKG-PIG = Pig Launcher &amp; Receiver</t>
        </r>
      </text>
    </comment>
    <comment ref="A17" authorId="1" shapeId="0" xr:uid="{00000000-0006-0000-0000-000004000000}">
      <text>
        <r>
          <rPr>
            <sz val="10"/>
            <rFont val="Arial"/>
            <family val="2"/>
          </rPr>
          <t>SEP-OWS = Oily Water / API Separators</t>
        </r>
      </text>
    </comment>
    <comment ref="A18" authorId="1" shapeId="0" xr:uid="{00000000-0006-0000-0000-000005000000}">
      <text>
        <r>
          <rPr>
            <sz val="10"/>
            <rFont val="Arial"/>
            <family val="2"/>
          </rPr>
          <t>SEP-SKM = Portable Skimmers</t>
        </r>
      </text>
    </comment>
    <comment ref="A19" authorId="1" shapeId="0" xr:uid="{00000000-0006-0000-0000-000006000000}">
      <text>
        <r>
          <rPr>
            <sz val="10"/>
            <rFont val="Arial"/>
            <family val="2"/>
          </rPr>
          <t>ACX-AIR = Air Coolers</t>
        </r>
      </text>
    </comment>
    <comment ref="A20" authorId="1" shapeId="0" xr:uid="{00000000-0006-0000-0000-000007000000}">
      <text>
        <r>
          <rPr>
            <sz val="10"/>
            <rFont val="Arial"/>
            <family val="2"/>
          </rPr>
          <t>HVAC-SYS = HVAC Systems (building sets, bulk, category rollups)</t>
        </r>
      </text>
    </comment>
    <comment ref="A21" authorId="1" shapeId="0" xr:uid="{00000000-0006-0000-0000-000008000000}">
      <text>
        <r>
          <rPr>
            <sz val="10"/>
            <rFont val="Arial"/>
            <family val="2"/>
          </rPr>
          <t>SAF-SHW = Safety Shower &amp; Eye Wash</t>
        </r>
      </text>
    </comment>
    <comment ref="A22" authorId="1" shapeId="0" xr:uid="{00000000-0006-0000-0000-000009000000}">
      <text>
        <r>
          <rPr>
            <sz val="10"/>
            <rFont val="Arial"/>
            <family val="2"/>
          </rPr>
          <t>PKG-EFF = Effluent / Waste Water Treatment Packages</t>
        </r>
      </text>
    </comment>
    <comment ref="A23" authorId="1" shapeId="0" xr:uid="{00000000-0006-0000-0000-00000A000000}">
      <text>
        <r>
          <rPr>
            <sz val="10"/>
            <rFont val="Arial"/>
            <family val="2"/>
          </rPr>
          <t>PKG-WTR = Water Treatment Packages</t>
        </r>
      </text>
    </comment>
    <comment ref="A24" authorId="1" shapeId="0" xr:uid="{00000000-0006-0000-0000-00000B000000}">
      <text>
        <r>
          <rPr>
            <sz val="10"/>
            <rFont val="Arial"/>
            <family val="2"/>
          </rPr>
          <t>PMP-WWP = Waste Water &amp; OWS Pumps</t>
        </r>
      </text>
    </comment>
    <comment ref="A25" authorId="1" shapeId="0" xr:uid="{00000000-0006-0000-0000-00000C000000}">
      <text>
        <r>
          <rPr>
            <sz val="10"/>
            <rFont val="Arial"/>
            <family val="2"/>
          </rPr>
          <t>TNK-SKM = Oil Skimmer Tanks</t>
        </r>
      </text>
    </comment>
    <comment ref="A26" authorId="1" shapeId="0" xr:uid="{00000000-0006-0000-0000-00000D000000}">
      <text>
        <r>
          <rPr>
            <sz val="10"/>
            <rFont val="Arial"/>
            <family val="2"/>
          </rPr>
          <t>VSL-SEP = Process Separator Vessels</t>
        </r>
      </text>
    </comment>
    <comment ref="A27" authorId="1" shapeId="0" xr:uid="{00000000-0006-0000-0000-00000E000000}">
      <text>
        <r>
          <rPr>
            <sz val="10"/>
            <rFont val="Arial"/>
            <family val="2"/>
          </rPr>
          <t>SAF-PKG = Safety &amp; Fire Fighting Packages / Rollups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5" authorId="0" shapeId="0" xr:uid="{00000000-0006-0000-0100-000001000000}">
      <text>
        <r>
          <rPr>
            <sz val="10"/>
            <rFont val="Arial"/>
            <family val="2"/>
          </rPr>
          <t>PKG = Process Package</t>
        </r>
      </text>
    </comment>
    <comment ref="F5" authorId="0" shapeId="0" xr:uid="{00000000-0006-0000-0100-00003E000000}">
      <text>
        <r>
          <rPr>
            <sz val="10"/>
            <rFont val="Arial"/>
            <family val="2"/>
          </rPr>
          <t>PKG-STR = Stripping Packages (Stripper Towers)</t>
        </r>
      </text>
    </comment>
    <comment ref="E6" authorId="0" shapeId="0" xr:uid="{00000000-0006-0000-0100-000002000000}">
      <text>
        <r>
          <rPr>
            <sz val="10"/>
            <rFont val="Arial"/>
            <family val="2"/>
          </rPr>
          <t>PKG = Process Package</t>
        </r>
      </text>
    </comment>
    <comment ref="F6" authorId="0" shapeId="0" xr:uid="{00000000-0006-0000-0100-00003F000000}">
      <text>
        <r>
          <rPr>
            <sz val="10"/>
            <rFont val="Arial"/>
            <family val="2"/>
          </rPr>
          <t>PKG-STR = Stripping Packages (Stripper Towers)</t>
        </r>
      </text>
    </comment>
    <comment ref="E7" authorId="0" shapeId="0" xr:uid="{00000000-0006-0000-0100-000003000000}">
      <text>
        <r>
          <rPr>
            <sz val="10"/>
            <rFont val="Arial"/>
            <family val="2"/>
          </rPr>
          <t>PKG = Process Package</t>
        </r>
      </text>
    </comment>
    <comment ref="F7" authorId="0" shapeId="0" xr:uid="{00000000-0006-0000-0100-000040000000}">
      <text>
        <r>
          <rPr>
            <sz val="10"/>
            <rFont val="Arial"/>
            <family val="2"/>
          </rPr>
          <t>PKG-RO = Reverse Osmosis Packages</t>
        </r>
      </text>
    </comment>
    <comment ref="E8" authorId="0" shapeId="0" xr:uid="{00000000-0006-0000-0100-000004000000}">
      <text>
        <r>
          <rPr>
            <sz val="10"/>
            <rFont val="Arial"/>
            <family val="2"/>
          </rPr>
          <t>PKG = Process Package</t>
        </r>
      </text>
    </comment>
    <comment ref="F8" authorId="0" shapeId="0" xr:uid="{00000000-0006-0000-0100-000041000000}">
      <text>
        <r>
          <rPr>
            <sz val="10"/>
            <rFont val="Arial"/>
            <family val="2"/>
          </rPr>
          <t>PKG-PIG = Pig Launcher &amp; Receiver</t>
        </r>
      </text>
    </comment>
    <comment ref="E9" authorId="0" shapeId="0" xr:uid="{00000000-0006-0000-0100-000005000000}">
      <text>
        <r>
          <rPr>
            <sz val="10"/>
            <rFont val="Arial"/>
            <family val="2"/>
          </rPr>
          <t>PKG = Process Package</t>
        </r>
      </text>
    </comment>
    <comment ref="F9" authorId="0" shapeId="0" xr:uid="{00000000-0006-0000-0100-000042000000}">
      <text>
        <r>
          <rPr>
            <sz val="10"/>
            <rFont val="Arial"/>
            <family val="2"/>
          </rPr>
          <t>PKG-PIG = Pig Launcher &amp; Receiver</t>
        </r>
      </text>
    </comment>
    <comment ref="E10" authorId="0" shapeId="0" xr:uid="{00000000-0006-0000-0100-000006000000}">
      <text>
        <r>
          <rPr>
            <sz val="10"/>
            <rFont val="Arial"/>
            <family val="2"/>
          </rPr>
          <t>SEP = Separators</t>
        </r>
      </text>
    </comment>
    <comment ref="F10" authorId="0" shapeId="0" xr:uid="{00000000-0006-0000-0100-000043000000}">
      <text>
        <r>
          <rPr>
            <sz val="10"/>
            <rFont val="Arial"/>
            <family val="2"/>
          </rPr>
          <t>SEP-OWS = Oily Water / API Separators</t>
        </r>
      </text>
    </comment>
    <comment ref="E11" authorId="0" shapeId="0" xr:uid="{00000000-0006-0000-0100-000007000000}">
      <text>
        <r>
          <rPr>
            <sz val="10"/>
            <rFont val="Arial"/>
            <family val="2"/>
          </rPr>
          <t>SEP = Separators</t>
        </r>
      </text>
    </comment>
    <comment ref="F11" authorId="0" shapeId="0" xr:uid="{00000000-0006-0000-0100-000044000000}">
      <text>
        <r>
          <rPr>
            <sz val="10"/>
            <rFont val="Arial"/>
            <family val="2"/>
          </rPr>
          <t>SEP-SKM = Portable Skimmers</t>
        </r>
      </text>
    </comment>
    <comment ref="E12" authorId="0" shapeId="0" xr:uid="{00000000-0006-0000-0100-000008000000}">
      <text>
        <r>
          <rPr>
            <sz val="10"/>
            <rFont val="Arial"/>
            <family val="2"/>
          </rPr>
          <t>ACX = Air-Cooled Heat Exchangers (Air Coolers)</t>
        </r>
      </text>
    </comment>
    <comment ref="F12" authorId="0" shapeId="0" xr:uid="{00000000-0006-0000-0100-000045000000}">
      <text>
        <r>
          <rPr>
            <sz val="10"/>
            <rFont val="Arial"/>
            <family val="2"/>
          </rPr>
          <t>ACX-AIR = Air Coolers</t>
        </r>
      </text>
    </comment>
    <comment ref="E13" authorId="0" shapeId="0" xr:uid="{00000000-0006-0000-0100-000009000000}">
      <text>
        <r>
          <rPr>
            <sz val="10"/>
            <rFont val="Arial"/>
            <family val="2"/>
          </rPr>
          <t>HVAC = HVAC Systems</t>
        </r>
      </text>
    </comment>
    <comment ref="F13" authorId="0" shapeId="0" xr:uid="{00000000-0006-0000-0100-000046000000}">
      <text>
        <r>
          <rPr>
            <sz val="10"/>
            <rFont val="Arial"/>
            <family val="2"/>
          </rPr>
          <t>HVAC-SYS = HVAC Systems (building sets, bulk, category rollups)</t>
        </r>
      </text>
    </comment>
    <comment ref="E14" authorId="0" shapeId="0" xr:uid="{00000000-0006-0000-0100-00000A000000}">
      <text>
        <r>
          <rPr>
            <sz val="10"/>
            <rFont val="Arial"/>
            <family val="2"/>
          </rPr>
          <t>HVAC = HVAC Systems</t>
        </r>
      </text>
    </comment>
    <comment ref="F14" authorId="0" shapeId="0" xr:uid="{00000000-0006-0000-0100-000047000000}">
      <text>
        <r>
          <rPr>
            <sz val="10"/>
            <rFont val="Arial"/>
            <family val="2"/>
          </rPr>
          <t>HVAC-SYS = HVAC Systems (building sets, bulk, category rollups)</t>
        </r>
      </text>
    </comment>
    <comment ref="E15" authorId="0" shapeId="0" xr:uid="{00000000-0006-0000-0100-00000B000000}">
      <text>
        <r>
          <rPr>
            <sz val="10"/>
            <rFont val="Arial"/>
            <family val="2"/>
          </rPr>
          <t>HVAC = HVAC Systems</t>
        </r>
      </text>
    </comment>
    <comment ref="F15" authorId="0" shapeId="0" xr:uid="{00000000-0006-0000-0100-000048000000}">
      <text>
        <r>
          <rPr>
            <sz val="10"/>
            <rFont val="Arial"/>
            <family val="2"/>
          </rPr>
          <t>HVAC-SYS = HVAC Systems (building sets, bulk, category rollups)</t>
        </r>
      </text>
    </comment>
    <comment ref="E16" authorId="0" shapeId="0" xr:uid="{00000000-0006-0000-0100-00000C000000}">
      <text>
        <r>
          <rPr>
            <sz val="10"/>
            <rFont val="Arial"/>
            <family val="2"/>
          </rPr>
          <t>HVAC = HVAC Systems</t>
        </r>
      </text>
    </comment>
    <comment ref="F16" authorId="0" shapeId="0" xr:uid="{00000000-0006-0000-0100-000049000000}">
      <text>
        <r>
          <rPr>
            <sz val="10"/>
            <rFont val="Arial"/>
            <family val="2"/>
          </rPr>
          <t>HVAC-SYS = HVAC Systems (building sets, bulk, category rollups)</t>
        </r>
      </text>
    </comment>
    <comment ref="E17" authorId="0" shapeId="0" xr:uid="{00000000-0006-0000-0100-00000D000000}">
      <text>
        <r>
          <rPr>
            <sz val="10"/>
            <rFont val="Arial"/>
            <family val="2"/>
          </rPr>
          <t>HVAC = HVAC Systems</t>
        </r>
      </text>
    </comment>
    <comment ref="F17" authorId="0" shapeId="0" xr:uid="{00000000-0006-0000-0100-00004A000000}">
      <text>
        <r>
          <rPr>
            <sz val="10"/>
            <rFont val="Arial"/>
            <family val="2"/>
          </rPr>
          <t>HVAC-SYS = HVAC Systems (building sets, bulk, category rollups)</t>
        </r>
      </text>
    </comment>
    <comment ref="E18" authorId="0" shapeId="0" xr:uid="{00000000-0006-0000-0100-00000E000000}">
      <text>
        <r>
          <rPr>
            <sz val="10"/>
            <rFont val="Arial"/>
            <family val="2"/>
          </rPr>
          <t>HVAC = HVAC Systems</t>
        </r>
      </text>
    </comment>
    <comment ref="F18" authorId="0" shapeId="0" xr:uid="{00000000-0006-0000-0100-00004B000000}">
      <text>
        <r>
          <rPr>
            <sz val="10"/>
            <rFont val="Arial"/>
            <family val="2"/>
          </rPr>
          <t>HVAC-SYS = HVAC Systems (building sets, bulk, category rollups)</t>
        </r>
      </text>
    </comment>
    <comment ref="E19" authorId="0" shapeId="0" xr:uid="{00000000-0006-0000-0100-00000F000000}">
      <text>
        <r>
          <rPr>
            <sz val="10"/>
            <rFont val="Arial"/>
            <family val="2"/>
          </rPr>
          <t>HVAC = HVAC Systems</t>
        </r>
      </text>
    </comment>
    <comment ref="F19" authorId="0" shapeId="0" xr:uid="{00000000-0006-0000-0100-00004C000000}">
      <text>
        <r>
          <rPr>
            <sz val="10"/>
            <rFont val="Arial"/>
            <family val="2"/>
          </rPr>
          <t>HVAC-SYS = HVAC Systems (building sets, bulk, category rollups)</t>
        </r>
      </text>
    </comment>
    <comment ref="E20" authorId="0" shapeId="0" xr:uid="{00000000-0006-0000-0100-000010000000}">
      <text>
        <r>
          <rPr>
            <sz val="10"/>
            <rFont val="Arial"/>
            <family val="2"/>
          </rPr>
          <t>HVAC = HVAC Systems</t>
        </r>
      </text>
    </comment>
    <comment ref="F20" authorId="0" shapeId="0" xr:uid="{00000000-0006-0000-0100-00004D000000}">
      <text>
        <r>
          <rPr>
            <sz val="10"/>
            <rFont val="Arial"/>
            <family val="2"/>
          </rPr>
          <t>HVAC-SYS = HVAC Systems (building sets, bulk, category rollups)</t>
        </r>
      </text>
    </comment>
    <comment ref="E21" authorId="0" shapeId="0" xr:uid="{00000000-0006-0000-0100-000011000000}">
      <text>
        <r>
          <rPr>
            <sz val="10"/>
            <rFont val="Arial"/>
            <family val="2"/>
          </rPr>
          <t>HVAC = HVAC Systems</t>
        </r>
      </text>
    </comment>
    <comment ref="F21" authorId="0" shapeId="0" xr:uid="{00000000-0006-0000-0100-00004E000000}">
      <text>
        <r>
          <rPr>
            <sz val="10"/>
            <rFont val="Arial"/>
            <family val="2"/>
          </rPr>
          <t>HVAC-SYS = HVAC Systems (building sets, bulk, category rollups)</t>
        </r>
      </text>
    </comment>
    <comment ref="E22" authorId="0" shapeId="0" xr:uid="{00000000-0006-0000-0100-000012000000}">
      <text>
        <r>
          <rPr>
            <sz val="10"/>
            <rFont val="Arial"/>
            <family val="2"/>
          </rPr>
          <t>HVAC = HVAC Systems</t>
        </r>
      </text>
    </comment>
    <comment ref="F22" authorId="0" shapeId="0" xr:uid="{00000000-0006-0000-0100-00004F000000}">
      <text>
        <r>
          <rPr>
            <sz val="10"/>
            <rFont val="Arial"/>
            <family val="2"/>
          </rPr>
          <t>HVAC-SYS = HVAC Systems (building sets, bulk, category rollups)</t>
        </r>
      </text>
    </comment>
    <comment ref="E23" authorId="0" shapeId="0" xr:uid="{00000000-0006-0000-0100-000013000000}">
      <text>
        <r>
          <rPr>
            <sz val="10"/>
            <rFont val="Arial"/>
            <family val="2"/>
          </rPr>
          <t>HVAC = HVAC Systems</t>
        </r>
      </text>
    </comment>
    <comment ref="F23" authorId="0" shapeId="0" xr:uid="{00000000-0006-0000-0100-000050000000}">
      <text>
        <r>
          <rPr>
            <sz val="10"/>
            <rFont val="Arial"/>
            <family val="2"/>
          </rPr>
          <t>HVAC-SYS = HVAC Systems (building sets, bulk, category rollups)</t>
        </r>
      </text>
    </comment>
    <comment ref="E24" authorId="0" shapeId="0" xr:uid="{00000000-0006-0000-0100-000014000000}">
      <text>
        <r>
          <rPr>
            <sz val="10"/>
            <rFont val="Arial"/>
            <family val="2"/>
          </rPr>
          <t>SAF = Safety Equipment</t>
        </r>
      </text>
    </comment>
    <comment ref="F24" authorId="0" shapeId="0" xr:uid="{00000000-0006-0000-0100-000051000000}">
      <text>
        <r>
          <rPr>
            <sz val="10"/>
            <rFont val="Arial"/>
            <family val="2"/>
          </rPr>
          <t>SAF-SHW = Safety Shower &amp; Eye Wash</t>
        </r>
      </text>
    </comment>
    <comment ref="E25" authorId="0" shapeId="0" xr:uid="{00000000-0006-0000-0100-000015000000}">
      <text>
        <r>
          <rPr>
            <sz val="10"/>
            <rFont val="Arial"/>
            <family val="2"/>
          </rPr>
          <t>SAF = Safety Equipment</t>
        </r>
      </text>
    </comment>
    <comment ref="F25" authorId="0" shapeId="0" xr:uid="{00000000-0006-0000-0100-000052000000}">
      <text>
        <r>
          <rPr>
            <sz val="10"/>
            <rFont val="Arial"/>
            <family val="2"/>
          </rPr>
          <t>SAF-SHW = Safety Shower &amp; Eye Wash</t>
        </r>
      </text>
    </comment>
    <comment ref="E26" authorId="0" shapeId="0" xr:uid="{00000000-0006-0000-0100-000016000000}">
      <text>
        <r>
          <rPr>
            <sz val="10"/>
            <rFont val="Arial"/>
            <family val="2"/>
          </rPr>
          <t>SAF = Safety Equipment</t>
        </r>
      </text>
    </comment>
    <comment ref="F26" authorId="0" shapeId="0" xr:uid="{00000000-0006-0000-0100-000053000000}">
      <text>
        <r>
          <rPr>
            <sz val="10"/>
            <rFont val="Arial"/>
            <family val="2"/>
          </rPr>
          <t>SAF-SHW = Safety Shower &amp; Eye Wash</t>
        </r>
      </text>
    </comment>
    <comment ref="E27" authorId="0" shapeId="0" xr:uid="{00000000-0006-0000-0100-000017000000}">
      <text>
        <r>
          <rPr>
            <sz val="10"/>
            <rFont val="Arial"/>
            <family val="2"/>
          </rPr>
          <t>SAF = Safety Equipment</t>
        </r>
      </text>
    </comment>
    <comment ref="F27" authorId="0" shapeId="0" xr:uid="{00000000-0006-0000-0100-000054000000}">
      <text>
        <r>
          <rPr>
            <sz val="10"/>
            <rFont val="Arial"/>
            <family val="2"/>
          </rPr>
          <t>SAF-SHW = Safety Shower &amp; Eye Wash</t>
        </r>
      </text>
    </comment>
    <comment ref="E28" authorId="0" shapeId="0" xr:uid="{00000000-0006-0000-0100-000018000000}">
      <text>
        <r>
          <rPr>
            <sz val="10"/>
            <rFont val="Arial"/>
            <family val="2"/>
          </rPr>
          <t>PMP = Pumps (waste water / OWS)</t>
        </r>
      </text>
    </comment>
    <comment ref="F28" authorId="0" shapeId="0" xr:uid="{00000000-0006-0000-0100-000055000000}">
      <text>
        <r>
          <rPr>
            <sz val="10"/>
            <rFont val="Arial"/>
            <family val="2"/>
          </rPr>
          <t>PMP-WWP = Waste Water &amp; OWS Pumps</t>
        </r>
      </text>
    </comment>
    <comment ref="E29" authorId="0" shapeId="0" xr:uid="{00000000-0006-0000-0100-000019000000}">
      <text>
        <r>
          <rPr>
            <sz val="10"/>
            <rFont val="Arial"/>
            <family val="2"/>
          </rPr>
          <t>PMP = Pumps (waste water / OWS)</t>
        </r>
      </text>
    </comment>
    <comment ref="F29" authorId="0" shapeId="0" xr:uid="{00000000-0006-0000-0100-000056000000}">
      <text>
        <r>
          <rPr>
            <sz val="10"/>
            <rFont val="Arial"/>
            <family val="2"/>
          </rPr>
          <t>PMP-WWP = Waste Water &amp; OWS Pumps</t>
        </r>
      </text>
    </comment>
    <comment ref="E30" authorId="0" shapeId="0" xr:uid="{00000000-0006-0000-0100-00001A000000}">
      <text>
        <r>
          <rPr>
            <sz val="10"/>
            <rFont val="Arial"/>
            <family val="2"/>
          </rPr>
          <t>TNK = Tanks</t>
        </r>
      </text>
    </comment>
    <comment ref="F30" authorId="0" shapeId="0" xr:uid="{00000000-0006-0000-0100-000057000000}">
      <text>
        <r>
          <rPr>
            <sz val="10"/>
            <rFont val="Arial"/>
            <family val="2"/>
          </rPr>
          <t>TNK-SKM = Oil Skimmer Tanks</t>
        </r>
      </text>
    </comment>
    <comment ref="E31" authorId="0" shapeId="0" xr:uid="{00000000-0006-0000-0100-00001B000000}">
      <text>
        <r>
          <rPr>
            <sz val="10"/>
            <rFont val="Arial"/>
            <family val="2"/>
          </rPr>
          <t>TNK = Tanks</t>
        </r>
      </text>
    </comment>
    <comment ref="F31" authorId="0" shapeId="0" xr:uid="{00000000-0006-0000-0100-000058000000}">
      <text>
        <r>
          <rPr>
            <sz val="10"/>
            <rFont val="Arial"/>
            <family val="2"/>
          </rPr>
          <t>TNK-SKM = Oil Skimmer Tanks</t>
        </r>
      </text>
    </comment>
    <comment ref="E32" authorId="0" shapeId="0" xr:uid="{00000000-0006-0000-0100-00001C000000}">
      <text>
        <r>
          <rPr>
            <sz val="10"/>
            <rFont val="Arial"/>
            <family val="2"/>
          </rPr>
          <t>VSL = Process Vessels</t>
        </r>
      </text>
    </comment>
    <comment ref="F32" authorId="0" shapeId="0" xr:uid="{00000000-0006-0000-0100-000059000000}">
      <text>
        <r>
          <rPr>
            <sz val="10"/>
            <rFont val="Arial"/>
            <family val="2"/>
          </rPr>
          <t>VSL-SEP = Process Separator Vessels</t>
        </r>
      </text>
    </comment>
    <comment ref="F33" authorId="0" shapeId="0" xr:uid="{00000000-0006-0000-0100-00005A000000}">
      <text>
        <r>
          <rPr>
            <sz val="10"/>
            <rFont val="Arial"/>
            <family val="2"/>
          </rPr>
          <t>PKG-EFF = Effluent / Waste Water Treatment Packages</t>
        </r>
      </text>
    </comment>
    <comment ref="F34" authorId="0" shapeId="0" xr:uid="{00000000-0006-0000-0100-00005B000000}">
      <text>
        <r>
          <rPr>
            <sz val="10"/>
            <rFont val="Arial"/>
            <family val="2"/>
          </rPr>
          <t>PKG-WTR = Water Treatment Packages</t>
        </r>
      </text>
    </comment>
    <comment ref="F36" authorId="0" shapeId="0" xr:uid="{00000000-0006-0000-0100-00005C000000}">
      <text>
        <r>
          <rPr>
            <sz val="10"/>
            <rFont val="Arial"/>
            <family val="2"/>
          </rPr>
          <t>SAF-PKG = Safety &amp; Fire Fighting Packages / Group Rollups</t>
        </r>
      </text>
    </comment>
    <comment ref="F38" authorId="0" shapeId="0" xr:uid="{00000000-0006-0000-0100-00005D000000}">
      <text>
        <r>
          <rPr>
            <sz val="10"/>
            <rFont val="Arial"/>
            <family val="2"/>
          </rPr>
          <t>SAF-PKG = Safety &amp; Fire Fighting Packages / Group Rollups</t>
        </r>
      </text>
    </comment>
    <comment ref="E41" authorId="0" shapeId="0" xr:uid="{00000000-0006-0000-0100-00001D000000}">
      <text>
        <r>
          <rPr>
            <sz val="10"/>
            <rFont val="Arial"/>
            <family val="2"/>
          </rPr>
          <t>SAF = Safety &amp; Fire Fighting Equipment</t>
        </r>
      </text>
    </comment>
    <comment ref="F41" authorId="0" shapeId="0" xr:uid="{00000000-0006-0000-0100-00005E000000}">
      <text>
        <r>
          <rPr>
            <sz val="10"/>
            <rFont val="Arial"/>
            <family val="2"/>
          </rPr>
          <t>SAF-HYD = Fire Water Hydrants, Isolation &amp; Deluge Valves</t>
        </r>
      </text>
    </comment>
    <comment ref="E42" authorId="0" shapeId="0" xr:uid="{00000000-0006-0000-0100-00001E000000}">
      <text>
        <r>
          <rPr>
            <sz val="10"/>
            <rFont val="Arial"/>
            <family val="2"/>
          </rPr>
          <t>SAF = Safety &amp; Fire Fighting Equipment</t>
        </r>
      </text>
    </comment>
    <comment ref="F42" authorId="0" shapeId="0" xr:uid="{00000000-0006-0000-0100-00005F000000}">
      <text>
        <r>
          <rPr>
            <sz val="10"/>
            <rFont val="Arial"/>
            <family val="2"/>
          </rPr>
          <t>SAF-HYD = Fire Water Hydrants, Isolation &amp; Deluge Valves</t>
        </r>
      </text>
    </comment>
    <comment ref="E43" authorId="0" shapeId="0" xr:uid="{00000000-0006-0000-0100-00001F000000}">
      <text>
        <r>
          <rPr>
            <sz val="10"/>
            <rFont val="Arial"/>
            <family val="2"/>
          </rPr>
          <t>SAF = Safety &amp; Fire Fighting Equipment</t>
        </r>
      </text>
    </comment>
    <comment ref="F43" authorId="0" shapeId="0" xr:uid="{00000000-0006-0000-0100-000060000000}">
      <text>
        <r>
          <rPr>
            <sz val="10"/>
            <rFont val="Arial"/>
            <family val="2"/>
          </rPr>
          <t>SAF-HYD = Fire Water Hydrants, Isolation &amp; Deluge Valves</t>
        </r>
      </text>
    </comment>
    <comment ref="E44" authorId="0" shapeId="0" xr:uid="{00000000-0006-0000-0100-000020000000}">
      <text>
        <r>
          <rPr>
            <sz val="10"/>
            <rFont val="Arial"/>
            <family val="2"/>
          </rPr>
          <t>SAF = Safety &amp; Fire Fighting Equipment</t>
        </r>
      </text>
    </comment>
    <comment ref="F44" authorId="0" shapeId="0" xr:uid="{00000000-0006-0000-0100-000061000000}">
      <text>
        <r>
          <rPr>
            <sz val="10"/>
            <rFont val="Arial"/>
            <family val="2"/>
          </rPr>
          <t>SAF-EXT = Fire Extinguishers (portable and wheeled)</t>
        </r>
      </text>
    </comment>
    <comment ref="E45" authorId="0" shapeId="0" xr:uid="{00000000-0006-0000-0100-000021000000}">
      <text>
        <r>
          <rPr>
            <sz val="10"/>
            <rFont val="Arial"/>
            <family val="2"/>
          </rPr>
          <t>SAF = Safety &amp; Fire Fighting Equipment</t>
        </r>
      </text>
    </comment>
    <comment ref="F45" authorId="0" shapeId="0" xr:uid="{00000000-0006-0000-0100-000062000000}">
      <text>
        <r>
          <rPr>
            <sz val="10"/>
            <rFont val="Arial"/>
            <family val="2"/>
          </rPr>
          <t>SAF-EXT = Fire Extinguishers (portable and wheeled)</t>
        </r>
      </text>
    </comment>
    <comment ref="E46" authorId="0" shapeId="0" xr:uid="{00000000-0006-0000-0100-000022000000}">
      <text>
        <r>
          <rPr>
            <sz val="10"/>
            <rFont val="Arial"/>
            <family val="2"/>
          </rPr>
          <t>SAF = Safety &amp; Fire Fighting Equipment</t>
        </r>
      </text>
    </comment>
    <comment ref="F46" authorId="0" shapeId="0" xr:uid="{00000000-0006-0000-0100-000063000000}">
      <text>
        <r>
          <rPr>
            <sz val="10"/>
            <rFont val="Arial"/>
            <family val="2"/>
          </rPr>
          <t>SAF-EXT = Fire Extinguishers (portable and wheeled)</t>
        </r>
      </text>
    </comment>
    <comment ref="E47" authorId="0" shapeId="0" xr:uid="{00000000-0006-0000-0100-000023000000}">
      <text>
        <r>
          <rPr>
            <sz val="10"/>
            <rFont val="Arial"/>
            <family val="2"/>
          </rPr>
          <t>SAF = Safety &amp; Fire Fighting Equipment</t>
        </r>
      </text>
    </comment>
    <comment ref="F47" authorId="0" shapeId="0" xr:uid="{00000000-0006-0000-0100-000064000000}">
      <text>
        <r>
          <rPr>
            <sz val="10"/>
            <rFont val="Arial"/>
            <family val="2"/>
          </rPr>
          <t>SAF-EXT = Fire Extinguishers (portable and wheeled)</t>
        </r>
      </text>
    </comment>
    <comment ref="E48" authorId="0" shapeId="0" xr:uid="{00000000-0006-0000-0100-000024000000}">
      <text>
        <r>
          <rPr>
            <sz val="10"/>
            <rFont val="Arial"/>
            <family val="2"/>
          </rPr>
          <t>SAF = Safety &amp; Fire Fighting Equipment</t>
        </r>
      </text>
    </comment>
    <comment ref="F48" authorId="0" shapeId="0" xr:uid="{00000000-0006-0000-0100-000065000000}">
      <text>
        <r>
          <rPr>
            <sz val="10"/>
            <rFont val="Arial"/>
            <family val="2"/>
          </rPr>
          <t>SAF-EQP = Fire Fighting &amp; Personal Safety Equipment (cabinets, first aid, breathing apparatus, signs, bulks)</t>
        </r>
      </text>
    </comment>
    <comment ref="E49" authorId="0" shapeId="0" xr:uid="{00000000-0006-0000-0100-000025000000}">
      <text>
        <r>
          <rPr>
            <sz val="10"/>
            <rFont val="Arial"/>
            <family val="2"/>
          </rPr>
          <t>SAF = Safety &amp; Fire Fighting Equipment</t>
        </r>
      </text>
    </comment>
    <comment ref="F49" authorId="0" shapeId="0" xr:uid="{00000000-0006-0000-0100-000066000000}">
      <text>
        <r>
          <rPr>
            <sz val="10"/>
            <rFont val="Arial"/>
            <family val="2"/>
          </rPr>
          <t>SAF-HYD = Fire Water Hydrants, Isolation &amp; Deluge Valves</t>
        </r>
      </text>
    </comment>
    <comment ref="E50" authorId="0" shapeId="0" xr:uid="{00000000-0006-0000-0100-000026000000}">
      <text>
        <r>
          <rPr>
            <sz val="10"/>
            <rFont val="Arial"/>
            <family val="2"/>
          </rPr>
          <t>SAF = Safety &amp; Fire Fighting Equipment</t>
        </r>
      </text>
    </comment>
    <comment ref="F50" authorId="0" shapeId="0" xr:uid="{00000000-0006-0000-0100-000067000000}">
      <text>
        <r>
          <rPr>
            <sz val="10"/>
            <rFont val="Arial"/>
            <family val="2"/>
          </rPr>
          <t>SAF-HYD = Fire Water Hydrants, Isolation &amp; Deluge Valves</t>
        </r>
      </text>
    </comment>
    <comment ref="E51" authorId="0" shapeId="0" xr:uid="{00000000-0006-0000-0100-000027000000}">
      <text>
        <r>
          <rPr>
            <sz val="10"/>
            <rFont val="Arial"/>
            <family val="2"/>
          </rPr>
          <t>SAF = Safety &amp; Fire Fighting Equipment</t>
        </r>
      </text>
    </comment>
    <comment ref="F51" authorId="0" shapeId="0" xr:uid="{00000000-0006-0000-0100-000068000000}">
      <text>
        <r>
          <rPr>
            <sz val="10"/>
            <rFont val="Arial"/>
            <family val="2"/>
          </rPr>
          <t>SAF-EXT = Fire Extinguishers (portable and wheeled)</t>
        </r>
      </text>
    </comment>
    <comment ref="E52" authorId="0" shapeId="0" xr:uid="{00000000-0006-0000-0100-000028000000}">
      <text>
        <r>
          <rPr>
            <sz val="10"/>
            <rFont val="Arial"/>
            <family val="2"/>
          </rPr>
          <t>SAF = Safety &amp; Fire Fighting Equipment</t>
        </r>
      </text>
    </comment>
    <comment ref="F52" authorId="0" shapeId="0" xr:uid="{00000000-0006-0000-0100-000069000000}">
      <text>
        <r>
          <rPr>
            <sz val="10"/>
            <rFont val="Arial"/>
            <family val="2"/>
          </rPr>
          <t>SAF-EQP = Fire Fighting &amp; Personal Safety Equipment (cabinets, first aid, breathing apparatus, signs, bulks)</t>
        </r>
      </text>
    </comment>
    <comment ref="E53" authorId="0" shapeId="0" xr:uid="{00000000-0006-0000-0100-000029000000}">
      <text>
        <r>
          <rPr>
            <sz val="10"/>
            <rFont val="Arial"/>
            <family val="2"/>
          </rPr>
          <t>SAF = Safety &amp; Fire Fighting Equipment</t>
        </r>
      </text>
    </comment>
    <comment ref="F53" authorId="0" shapeId="0" xr:uid="{00000000-0006-0000-0100-00006A000000}">
      <text>
        <r>
          <rPr>
            <sz val="10"/>
            <rFont val="Arial"/>
            <family val="2"/>
          </rPr>
          <t>SAF-EQP = Fire Fighting &amp; Personal Safety Equipment (cabinets, first aid, breathing apparatus, signs, bulks)</t>
        </r>
      </text>
    </comment>
    <comment ref="E54" authorId="0" shapeId="0" xr:uid="{00000000-0006-0000-0100-00002A000000}">
      <text>
        <r>
          <rPr>
            <sz val="10"/>
            <rFont val="Arial"/>
            <family val="2"/>
          </rPr>
          <t>SAF = Safety &amp; Fire Fighting Equipment</t>
        </r>
      </text>
    </comment>
    <comment ref="F54" authorId="0" shapeId="0" xr:uid="{00000000-0006-0000-0100-00006B000000}">
      <text>
        <r>
          <rPr>
            <sz val="10"/>
            <rFont val="Arial"/>
            <family val="2"/>
          </rPr>
          <t>SAF-EQP = Fire Fighting &amp; Personal Safety Equipment (cabinets, first aid, breathing apparatus, signs, bulks)</t>
        </r>
      </text>
    </comment>
    <comment ref="E55" authorId="0" shapeId="0" xr:uid="{00000000-0006-0000-0100-00002B000000}">
      <text>
        <r>
          <rPr>
            <sz val="10"/>
            <rFont val="Arial"/>
            <family val="2"/>
          </rPr>
          <t>SAF = Safety &amp; Fire Fighting Equipment</t>
        </r>
      </text>
    </comment>
    <comment ref="F55" authorId="0" shapeId="0" xr:uid="{00000000-0006-0000-0100-00006C000000}">
      <text>
        <r>
          <rPr>
            <sz val="10"/>
            <rFont val="Arial"/>
            <family val="2"/>
          </rPr>
          <t>SAF-EQP = Fire Fighting &amp; Personal Safety Equipment (cabinets, first aid, breathing apparatus, signs, bulks)</t>
        </r>
      </text>
    </comment>
    <comment ref="E56" authorId="0" shapeId="0" xr:uid="{00000000-0006-0000-0100-00002C000000}">
      <text>
        <r>
          <rPr>
            <sz val="10"/>
            <rFont val="Arial"/>
            <family val="2"/>
          </rPr>
          <t>SAF = Safety &amp; Fire Fighting Equipment</t>
        </r>
      </text>
    </comment>
    <comment ref="F56" authorId="0" shapeId="0" xr:uid="{00000000-0006-0000-0100-00006D000000}">
      <text>
        <r>
          <rPr>
            <sz val="10"/>
            <rFont val="Arial"/>
            <family val="2"/>
          </rPr>
          <t>SAF-EQP = Fire Fighting &amp; Personal Safety Equipment (cabinets, first aid, breathing apparatus, signs, bulks)</t>
        </r>
      </text>
    </comment>
    <comment ref="E57" authorId="0" shapeId="0" xr:uid="{00000000-0006-0000-0100-00002D000000}">
      <text>
        <r>
          <rPr>
            <sz val="10"/>
            <rFont val="Arial"/>
            <family val="2"/>
          </rPr>
          <t>SAF = Safety &amp; Fire Fighting Equipment</t>
        </r>
      </text>
    </comment>
    <comment ref="F57" authorId="0" shapeId="0" xr:uid="{00000000-0006-0000-0100-00006E000000}">
      <text>
        <r>
          <rPr>
            <sz val="10"/>
            <rFont val="Arial"/>
            <family val="2"/>
          </rPr>
          <t>SAF-EQP = Fire Fighting &amp; Personal Safety Equipment (cabinets, first aid, breathing apparatus, signs, bulks)</t>
        </r>
      </text>
    </comment>
    <comment ref="E58" authorId="0" shapeId="0" xr:uid="{00000000-0006-0000-0100-00002E000000}">
      <text>
        <r>
          <rPr>
            <sz val="10"/>
            <rFont val="Arial"/>
            <family val="2"/>
          </rPr>
          <t>SAF = Safety &amp; Fire Fighting Equipment</t>
        </r>
      </text>
    </comment>
    <comment ref="F58" authorId="0" shapeId="0" xr:uid="{00000000-0006-0000-0100-00006F000000}">
      <text>
        <r>
          <rPr>
            <sz val="10"/>
            <rFont val="Arial"/>
            <family val="2"/>
          </rPr>
          <t>SAF-HYD = Fire Water Hydrants, Isolation &amp; Deluge Valves</t>
        </r>
      </text>
    </comment>
    <comment ref="E59" authorId="0" shapeId="0" xr:uid="{00000000-0006-0000-0100-00002F000000}">
      <text>
        <r>
          <rPr>
            <sz val="10"/>
            <rFont val="Arial"/>
            <family val="2"/>
          </rPr>
          <t>SAF = Safety &amp; Fire Fighting Equipment</t>
        </r>
      </text>
    </comment>
    <comment ref="F59" authorId="0" shapeId="0" xr:uid="{00000000-0006-0000-0100-000070000000}">
      <text>
        <r>
          <rPr>
            <sz val="10"/>
            <rFont val="Arial"/>
            <family val="2"/>
          </rPr>
          <t>SAF-HYD = Fire Water Hydrants, Isolation &amp; Deluge Valves</t>
        </r>
      </text>
    </comment>
    <comment ref="E60" authorId="0" shapeId="0" xr:uid="{00000000-0006-0000-0100-000030000000}">
      <text>
        <r>
          <rPr>
            <sz val="10"/>
            <rFont val="Arial"/>
            <family val="2"/>
          </rPr>
          <t>SAF = Safety &amp; Fire Fighting Equipment</t>
        </r>
      </text>
    </comment>
    <comment ref="F60" authorId="0" shapeId="0" xr:uid="{00000000-0006-0000-0100-000071000000}">
      <text>
        <r>
          <rPr>
            <sz val="10"/>
            <rFont val="Arial"/>
            <family val="2"/>
          </rPr>
          <t>SAF-EXT = Fire Extinguishers (portable and wheeled)</t>
        </r>
      </text>
    </comment>
    <comment ref="E61" authorId="0" shapeId="0" xr:uid="{00000000-0006-0000-0100-000031000000}">
      <text>
        <r>
          <rPr>
            <sz val="10"/>
            <rFont val="Arial"/>
            <family val="2"/>
          </rPr>
          <t>SAF = Safety &amp; Fire Fighting Equipment</t>
        </r>
      </text>
    </comment>
    <comment ref="F61" authorId="0" shapeId="0" xr:uid="{00000000-0006-0000-0100-000072000000}">
      <text>
        <r>
          <rPr>
            <sz val="10"/>
            <rFont val="Arial"/>
            <family val="2"/>
          </rPr>
          <t>SAF-EXT = Fire Extinguishers (portable and wheeled)</t>
        </r>
      </text>
    </comment>
    <comment ref="E62" authorId="0" shapeId="0" xr:uid="{00000000-0006-0000-0100-000032000000}">
      <text>
        <r>
          <rPr>
            <sz val="10"/>
            <rFont val="Arial"/>
            <family val="2"/>
          </rPr>
          <t>SAF = Safety &amp; Fire Fighting Equipment</t>
        </r>
      </text>
    </comment>
    <comment ref="F62" authorId="0" shapeId="0" xr:uid="{00000000-0006-0000-0100-000073000000}">
      <text>
        <r>
          <rPr>
            <sz val="10"/>
            <rFont val="Arial"/>
            <family val="2"/>
          </rPr>
          <t>SAF-EXT = Fire Extinguishers (portable and wheeled)</t>
        </r>
      </text>
    </comment>
    <comment ref="E63" authorId="0" shapeId="0" xr:uid="{00000000-0006-0000-0100-000033000000}">
      <text>
        <r>
          <rPr>
            <sz val="10"/>
            <rFont val="Arial"/>
            <family val="2"/>
          </rPr>
          <t>SAF = Safety &amp; Fire Fighting Equipment</t>
        </r>
      </text>
    </comment>
    <comment ref="F63" authorId="0" shapeId="0" xr:uid="{00000000-0006-0000-0100-000074000000}">
      <text>
        <r>
          <rPr>
            <sz val="10"/>
            <rFont val="Arial"/>
            <family val="2"/>
          </rPr>
          <t>SAF-EXT = Fire Extinguishers (portable and wheeled)</t>
        </r>
      </text>
    </comment>
    <comment ref="E64" authorId="0" shapeId="0" xr:uid="{00000000-0006-0000-0100-000034000000}">
      <text>
        <r>
          <rPr>
            <sz val="10"/>
            <rFont val="Arial"/>
            <family val="2"/>
          </rPr>
          <t>SAF = Safety &amp; Fire Fighting Equipment</t>
        </r>
      </text>
    </comment>
    <comment ref="F64" authorId="0" shapeId="0" xr:uid="{00000000-0006-0000-0100-000075000000}">
      <text>
        <r>
          <rPr>
            <sz val="10"/>
            <rFont val="Arial"/>
            <family val="2"/>
          </rPr>
          <t>SAF-EXT = Fire Extinguishers (portable and wheeled)</t>
        </r>
      </text>
    </comment>
    <comment ref="E65" authorId="0" shapeId="0" xr:uid="{00000000-0006-0000-0100-000035000000}">
      <text>
        <r>
          <rPr>
            <sz val="10"/>
            <rFont val="Arial"/>
            <family val="2"/>
          </rPr>
          <t>SAF = Safety &amp; Fire Fighting Equipment</t>
        </r>
      </text>
    </comment>
    <comment ref="F65" authorId="0" shapeId="0" xr:uid="{00000000-0006-0000-0100-000076000000}">
      <text>
        <r>
          <rPr>
            <sz val="10"/>
            <rFont val="Arial"/>
            <family val="2"/>
          </rPr>
          <t>SAF-EQP = Fire Fighting &amp; Personal Safety Equipment (cabinets, first aid, breathing apparatus, signs, bulks)</t>
        </r>
      </text>
    </comment>
    <comment ref="E66" authorId="0" shapeId="0" xr:uid="{00000000-0006-0000-0100-000036000000}">
      <text>
        <r>
          <rPr>
            <sz val="10"/>
            <rFont val="Arial"/>
            <family val="2"/>
          </rPr>
          <t>SAF = Safety &amp; Fire Fighting Equipment</t>
        </r>
      </text>
    </comment>
    <comment ref="F66" authorId="0" shapeId="0" xr:uid="{00000000-0006-0000-0100-000077000000}">
      <text>
        <r>
          <rPr>
            <sz val="10"/>
            <rFont val="Arial"/>
            <family val="2"/>
          </rPr>
          <t>SAF-EQP = Fire Fighting &amp; Personal Safety Equipment (cabinets, first aid, breathing apparatus, signs, bulks)</t>
        </r>
      </text>
    </comment>
    <comment ref="E67" authorId="0" shapeId="0" xr:uid="{00000000-0006-0000-0100-000037000000}">
      <text>
        <r>
          <rPr>
            <sz val="10"/>
            <rFont val="Arial"/>
            <family val="2"/>
          </rPr>
          <t>SAF = Safety &amp; Fire Fighting Equipment</t>
        </r>
      </text>
    </comment>
    <comment ref="F67" authorId="0" shapeId="0" xr:uid="{00000000-0006-0000-0100-000078000000}">
      <text>
        <r>
          <rPr>
            <sz val="10"/>
            <rFont val="Arial"/>
            <family val="2"/>
          </rPr>
          <t>SAF-EQP = Fire Fighting &amp; Personal Safety Equipment (cabinets, first aid, breathing apparatus, signs, bulks)</t>
        </r>
      </text>
    </comment>
    <comment ref="E68" authorId="0" shapeId="0" xr:uid="{00000000-0006-0000-0100-000038000000}">
      <text>
        <r>
          <rPr>
            <sz val="10"/>
            <rFont val="Arial"/>
            <family val="2"/>
          </rPr>
          <t>TNK = Tanks</t>
        </r>
      </text>
    </comment>
    <comment ref="F68" authorId="0" shapeId="0" xr:uid="{00000000-0006-0000-0100-000079000000}">
      <text>
        <r>
          <rPr>
            <sz val="10"/>
            <rFont val="Arial"/>
            <family val="2"/>
          </rPr>
          <t>TNK-FWT = Fire Water Tanks</t>
        </r>
      </text>
    </comment>
    <comment ref="E69" authorId="0" shapeId="0" xr:uid="{00000000-0006-0000-0100-000039000000}">
      <text>
        <r>
          <rPr>
            <sz val="10"/>
            <rFont val="Arial"/>
            <family val="2"/>
          </rPr>
          <t>PMP = Pumps</t>
        </r>
      </text>
    </comment>
    <comment ref="F69" authorId="0" shapeId="0" xr:uid="{00000000-0006-0000-0100-00007A000000}">
      <text>
        <r>
          <rPr>
            <sz val="10"/>
            <rFont val="Arial"/>
            <family val="2"/>
          </rPr>
          <t>PMP-FWP = Fire Water Pumps (main, jockey, loading)</t>
        </r>
      </text>
    </comment>
    <comment ref="E70" authorId="0" shapeId="0" xr:uid="{00000000-0006-0000-0100-00003A000000}">
      <text>
        <r>
          <rPr>
            <sz val="10"/>
            <rFont val="Arial"/>
            <family val="2"/>
          </rPr>
          <t>PMP = Pumps</t>
        </r>
      </text>
    </comment>
    <comment ref="F70" authorId="0" shapeId="0" xr:uid="{00000000-0006-0000-0100-00007B000000}">
      <text>
        <r>
          <rPr>
            <sz val="10"/>
            <rFont val="Arial"/>
            <family val="2"/>
          </rPr>
          <t>PMP-FWP = Fire Water Pumps (main, jockey, loading)</t>
        </r>
      </text>
    </comment>
    <comment ref="E71" authorId="0" shapeId="0" xr:uid="{00000000-0006-0000-0100-00003B000000}">
      <text>
        <r>
          <rPr>
            <sz val="10"/>
            <rFont val="Arial"/>
            <family val="2"/>
          </rPr>
          <t>PMP = Pumps</t>
        </r>
      </text>
    </comment>
    <comment ref="F71" authorId="0" shapeId="0" xr:uid="{00000000-0006-0000-0100-00007C000000}">
      <text>
        <r>
          <rPr>
            <sz val="10"/>
            <rFont val="Arial"/>
            <family val="2"/>
          </rPr>
          <t>PMP-FWP = Fire Water Pumps (main, jockey, loading)</t>
        </r>
      </text>
    </comment>
    <comment ref="E72" authorId="0" shapeId="0" xr:uid="{00000000-0006-0000-0100-00003C000000}">
      <text>
        <r>
          <rPr>
            <sz val="10"/>
            <rFont val="Arial"/>
            <family val="2"/>
          </rPr>
          <t>PMP = Pumps</t>
        </r>
      </text>
    </comment>
    <comment ref="F72" authorId="0" shapeId="0" xr:uid="{00000000-0006-0000-0100-00007D000000}">
      <text>
        <r>
          <rPr>
            <sz val="10"/>
            <rFont val="Arial"/>
            <family val="2"/>
          </rPr>
          <t>PMP-FWP = Fire Water Pumps (main, jockey, loading)</t>
        </r>
      </text>
    </comment>
    <comment ref="E73" authorId="0" shapeId="0" xr:uid="{00000000-0006-0000-0100-00003D000000}">
      <text>
        <r>
          <rPr>
            <sz val="10"/>
            <rFont val="Arial"/>
            <family val="2"/>
          </rPr>
          <t>CRN = Cranes</t>
        </r>
      </text>
    </comment>
    <comment ref="F73" authorId="0" shapeId="0" xr:uid="{00000000-0006-0000-0100-00007E000000}">
      <text>
        <r>
          <rPr>
            <sz val="10"/>
            <rFont val="Arial"/>
            <family val="2"/>
          </rPr>
          <t>CRN-FWP = Fire Water Pumps Shelter Crane</t>
        </r>
      </text>
    </comment>
  </commentList>
</comments>
</file>

<file path=xl/sharedStrings.xml><?xml version="1.0" encoding="utf-8"?>
<sst xmlns="http://schemas.openxmlformats.org/spreadsheetml/2006/main" count="1958" uniqueCount="737">
  <si>
    <t>EXECUTIVE SUMMARY DASHBOARD – Misc Database</t>
  </si>
  <si>
    <t>Counts include only records with Include in Totals = Y. Category rollups and untagged price-list items (Tag No. in parentheses) are excluded from Active Tags. No currency totals are shown.</t>
  </si>
  <si>
    <t>ACTIVE TAGS</t>
  </si>
  <si>
    <t>PACKAGES / RECORDS</t>
  </si>
  <si>
    <t>EQUIPMENT UNITS</t>
  </si>
  <si>
    <t>TOTAL RECORDS (incl. excluded)</t>
  </si>
  <si>
    <t>SUB-CATEGORY BREAKDOWN</t>
  </si>
  <si>
    <t>Sub-Category</t>
  </si>
  <si>
    <t>Sub-Category Name</t>
  </si>
  <si>
    <t>Active Tags</t>
  </si>
  <si>
    <t>Records</t>
  </si>
  <si>
    <t>Total Units</t>
  </si>
  <si>
    <t>Records Excluded</t>
  </si>
  <si>
    <t>PKG-STR</t>
  </si>
  <si>
    <t>Stripping Packages (Stripper Towers T-143 A/B)</t>
  </si>
  <si>
    <t>PKG-RO</t>
  </si>
  <si>
    <t>Reverse Osmosis Packages</t>
  </si>
  <si>
    <t>PKG-PIG</t>
  </si>
  <si>
    <t>Pig Launcher &amp; Receiver</t>
  </si>
  <si>
    <t>SEP-OWS</t>
  </si>
  <si>
    <t>Oily Water / API Separators</t>
  </si>
  <si>
    <t>SEP-SKM</t>
  </si>
  <si>
    <t>Portable Skimmers</t>
  </si>
  <si>
    <t>ACX-AIR</t>
  </si>
  <si>
    <t>Air Coolers (Air-Cooled Heat Exchangers)</t>
  </si>
  <si>
    <t>HVAC-SYS</t>
  </si>
  <si>
    <t>HVAC Systems (incl. category rollups)</t>
  </si>
  <si>
    <t>SAF-SHW</t>
  </si>
  <si>
    <t>Safety Shower &amp; Eye Wash</t>
  </si>
  <si>
    <t>PKG-EFF</t>
  </si>
  <si>
    <t>Effluent / Waste Water Treatment Packages</t>
  </si>
  <si>
    <t>PKG-WTR</t>
  </si>
  <si>
    <t>Water Treatment Packages</t>
  </si>
  <si>
    <t>PMP-WWP</t>
  </si>
  <si>
    <t>Waste Water &amp; OWS Pumps</t>
  </si>
  <si>
    <t>TNK-SKM</t>
  </si>
  <si>
    <t>Oil Skimmer Tanks</t>
  </si>
  <si>
    <t>VSL-SEP</t>
  </si>
  <si>
    <t>Process Separator Vessels</t>
  </si>
  <si>
    <t>SAF-PKG</t>
  </si>
  <si>
    <t>Safety &amp; Fire Fighting Packages / Rollups</t>
  </si>
  <si>
    <t>SAF-HYD</t>
  </si>
  <si>
    <t>Fire Water Hydrants, Isolation &amp; Deluge Valves</t>
  </si>
  <si>
    <t>SAF-EXT</t>
  </si>
  <si>
    <t>Fire Extinguishers</t>
  </si>
  <si>
    <t>SAF-EQP</t>
  </si>
  <si>
    <t>Fire Fighting &amp; Personal Safety Equipment</t>
  </si>
  <si>
    <t>TNK-FWT</t>
  </si>
  <si>
    <t>Fire Water Tanks</t>
  </si>
  <si>
    <t>PMP-FWP</t>
  </si>
  <si>
    <t>Fire Water Pumps</t>
  </si>
  <si>
    <t>CRN-FWP</t>
  </si>
  <si>
    <t>Fire Water Pumps Shelter Crane</t>
  </si>
  <si>
    <t>Total</t>
  </si>
  <si>
    <t>NOTES &amp; DATA GAPS</t>
  </si>
  <si>
    <t>• FX table has verified rates for 1392 (EUR only), 1393 (EUR only), 1402 (USD only), 1404 and 1405 only (reused from the Flare / Desalting Price Banks). 1394 (KPL stripping and RO packages, Rev. R03/Jan 2016) has no documented rate, so their converted price columns show "FX rate not entered for this year". Gachsaran 4 (1402) records convert to USD only; Maroon 3 1392 records convert to EUR only.</t>
  </si>
  <si>
    <t>• Unit Price (EUR/USD/IRR) in Master Database are formulas keyed off Cost Year; Unit Price (Reference) sits immediately next to Reference Currency in every sheet.</t>
  </si>
  <si>
    <t>• No Total Price / currency sums appear on this dashboard, per the same instruction used for the Flare database.</t>
  </si>
  <si>
    <t>• Category (PKG / SEP / ACX / HVAC / SAF / PMP / TNK / VSL) and Sub-Category codes carry cell comments spelling out the full names.</t>
  </si>
  <si>
    <t>• Tag No. in parentheses marks a project-wide category rollup or an untagged item taken from a price list. These are excluded from Active Tags but included in Records and Total Records. Real tags counted as Active Tags: PK-143, PK-152, SU-701, X-704 and OS-201.</t>
  </si>
  <si>
    <t>• SU-701 (Oily Water Separator) and X-704 (Portable Skimmer), Gachsaran 4, have process data sheets only: no price exists in P.ME, so their price cells are Not Stated; no value was invented.</t>
  </si>
  <si>
    <t>• v2 additions (from Change Log section C): effluent / water treatment packages 66.9 and 66.10, OS-201 tank, pumps P-148 and OWS pumps, safety &amp; fire fighting package, HVAC / safety / pig group rollups. Records marked 'TO BE FILLED' in Remarks need prices from the project files (not opened in this pass). Pumps and the HVAC rollup are Include = N.</t>
  </si>
  <si>
    <t>• Air Cooler and Pig Launcher (price sample) are reference prices in USD with no cost year or quantity; they sit in Master Database (not on a separate sheet) because they are equipment. No air cooler, pig launcher, HVAC or safety shower record exists in the KPL or Pazanan 2 files.</t>
  </si>
  <si>
    <t>• v3 additions (stages 1-4 plus KPL fire water system; project reference files opened, installation costs excluded): OWS pumps P-703/P-704/P-750, KPL skimmer tanks, First Stage Separator price, rollup amounts, safety items P.ME 67.1-67.19 (Gachsaran 4, 1402) and priced items of SEFTY.p.1392 (Maroon 3, 1392), and KPL fire water tanks, pumps and crane (1394, pumps in EUR). KPL and Pazanan 2 OWS pumps were intentionally not added.</t>
  </si>
  <si>
    <t>MASTER MISC EQUIPMENT &amp; PRICE DATABASE (28-COLUMN AUDIT STRUCTURE)</t>
  </si>
  <si>
    <t>All extracted Misc records: stripping, reverse osmosis, pig launcher/receiver, oily water separator / skimmer, air cooler, HVAC and safety shower. Grey text = not stated in source. Unit Price (EUR/USD/IRR) are formulas keyed off Cost Year and the FX table; a year with no FX rate shows a message, not a number.</t>
  </si>
  <si>
    <t>Row</t>
  </si>
  <si>
    <t>Equipment Name</t>
  </si>
  <si>
    <t>Project Name</t>
  </si>
  <si>
    <t>Tag No.</t>
  </si>
  <si>
    <t>Category</t>
  </si>
  <si>
    <t>Quantity</t>
  </si>
  <si>
    <t>Unit</t>
  </si>
  <si>
    <t>Service Description</t>
  </si>
  <si>
    <t>Capacity / Flow Rate</t>
  </si>
  <si>
    <t>Design Pressure (Barg)</t>
  </si>
  <si>
    <t>Design Temp (°C)</t>
  </si>
  <si>
    <t>Material Class</t>
  </si>
  <si>
    <t>Design Code &amp; Standard</t>
  </si>
  <si>
    <t>Weight / Power</t>
  </si>
  <si>
    <t>Manufacturer / Supplier</t>
  </si>
  <si>
    <t>Cost Year / Date</t>
  </si>
  <si>
    <t>Reference Currency</t>
  </si>
  <si>
    <t>Unit Price (Reference)</t>
  </si>
  <si>
    <t>Unit Price (EUR)</t>
  </si>
  <si>
    <t>Unit Price (USD)</t>
  </si>
  <si>
    <t>Unit Price (IRR)</t>
  </si>
  <si>
    <t>Price Basis</t>
  </si>
  <si>
    <t>Estimate Class</t>
  </si>
  <si>
    <t>Project Phase</t>
  </si>
  <si>
    <t>Source Document / Sheet</t>
  </si>
  <si>
    <t>Remarks &amp; Scope Notes</t>
  </si>
  <si>
    <t>Include in Totals (Y/N)</t>
  </si>
  <si>
    <t>Stripping Package (Bangestan Train)</t>
  </si>
  <si>
    <t>Koopal Asmari/Bangestan Desalting Unit (Proj No. 53-51-91215)</t>
  </si>
  <si>
    <t>PK-143</t>
  </si>
  <si>
    <t>PKG</t>
  </si>
  <si>
    <t>Set</t>
  </si>
  <si>
    <t>Stripping Package including Stripper Towers T-143 A/B, Stripped Waste Water Pumps P-148 A/B/C, related piping, instruments, etc.</t>
  </si>
  <si>
    <t>Towers: lower section 2000 x 2500 mm (ID x L), upper section 800 x 5000 mm (ID x L), total length 9000 mm; internals: packing. Pumps (P-148 A/B/C): 50 m3/hr, 3 barg differential</t>
  </si>
  <si>
    <t>5 (F.V.)</t>
  </si>
  <si>
    <t>-2 / 95</t>
  </si>
  <si>
    <t>Shell/Heads: SA 516 Gr. 70; removable internals: Duplex S.S.; pumps API 610 material class D2</t>
  </si>
  <si>
    <t>ASME VIII Div.1 &amp; IPS-G-ME-150; pumps: API 610 &amp; IPS-G-PM-105</t>
  </si>
  <si>
    <t>Not Stated</t>
  </si>
  <si>
    <t>IRR</t>
  </si>
  <si>
    <t>Class 2 (FEED)</t>
  </si>
  <si>
    <t>FEED Package</t>
  </si>
  <si>
    <t>91215-KPL-ME-RE-476_R03_MTO_and_Cost_Estimation_Report.xlsx (Sheet STRIPPER-B)</t>
  </si>
  <si>
    <t>Rev. R03 dated Jan. 2016 (~1394). Total Price (Euros) = 0 in source (no EUR quote). Lump-sum package price covers the two stripper towers, the stripped waste water pumps P-148 A/B/C (centrifugal, OH2), related piping and instruments; none of these is priced separately. Source sheet is headed BANGESTAN TRAIN; the report has no Asmari stripping sheet. Price basis not labelled in the source.</t>
  </si>
  <si>
    <t>Y</t>
  </si>
  <si>
    <t>Stripper Towers (Bangestan Train)</t>
  </si>
  <si>
    <t>T-143 A/B</t>
  </si>
  <si>
    <t>No.</t>
  </si>
  <si>
    <t>Packed stripper towers T-143 A/B, supplied inside Stripping Package PK-143</t>
  </si>
  <si>
    <t>Lower section 2000 x 2500 mm (ID x L); upper section 800 x 5000 mm (ID x L); total length 9000 mm; internals: packing</t>
  </si>
  <si>
    <t>Shell/Heads: SA 516 Gr. 70; removable internals: Duplex S.S.</t>
  </si>
  <si>
    <t>ASME VIII Div.1 &amp; IPS-G-ME-150</t>
  </si>
  <si>
    <t>91215-KPL-ME-RE-476_R03_MTO_and_Cost_Estimation_Report.xlsx (Sheet STRIPPER-B, row 23)</t>
  </si>
  <si>
    <t>No separate price: the towers are inside the PK-143 lump sum (9,000,000,000 IRR). Record kept only so that tag T-143 A/B (MASTER_TAGS category Tower) stays traceable; excluded from totals to avoid double counting.</t>
  </si>
  <si>
    <t>N</t>
  </si>
  <si>
    <t>Reverse Osmosis Package (Asmari &amp; Bangestan Trains)</t>
  </si>
  <si>
    <t>PK-152</t>
  </si>
  <si>
    <t>Reverse Osmosis Packages including Back Filters, R.O. Unit, C.I.P., Chemical Injection System &amp; U.V. Lamp</t>
  </si>
  <si>
    <t>1 m3/hr</t>
  </si>
  <si>
    <t>91215-KPL-ME-RE-476_R03_MTO_and_Cost_Estimation_Report.xlsx (Sheet R.O.)</t>
  </si>
  <si>
    <t>Rev. R03 dated Jan. 2016 (~1394). Total Price (Euros) = 0 in source (no EUR quote). One package serves both trains (sheet heading 'ASMARI &amp; BANGESTAN TRAINS'), qty 1 Set. Installation sheet INS-PACK-C lists the same tag PK-152. Price basis not labelled in the source.</t>
  </si>
  <si>
    <t>Gachsaran 4 Development Plan (Proj No. 591111)</t>
  </si>
  <si>
    <t>(No Tag - P.ME item 68)</t>
  </si>
  <si>
    <t>SET</t>
  </si>
  <si>
    <t>Pig Launcher &amp; Receiver (pipeline pigging facilities)</t>
  </si>
  <si>
    <t>FOB</t>
  </si>
  <si>
    <t>Class 3 (Basic)</t>
  </si>
  <si>
    <t>Basic Engineering</t>
  </si>
  <si>
    <t>PEP-Rev.140205_عزيزيان_Gachsaran_4.xlsx (Sheet P.ME, row 113)</t>
  </si>
  <si>
    <t>Unit cost without overhead factor (هزینه واحد بدون ضریب). Source formula = 225,000 USD x USD_Change_IRR (420,000 IRR/USD) = 94,500,000,000 IRR. Freight allocation 241,488,427.26 IRR (P.ME col N; = 13,000,000 x IRR_Inflation_Factor) not included in Unit Price Reference; Customs clearance not stated. Same amount appears in the P.ME summary table row 141 (گیرنده و فرستنده توپک). Installation is a separate construction item (C.mECHANICAL 'LUNCHER AND RECEIVER') and is not included.</t>
  </si>
  <si>
    <t>Pig Launcher (Reference Price Sample)</t>
  </si>
  <si>
    <t>Not Stated (reference price sample, file نمونه_قیمتی_نمک_زدایی_overall.xlsx)</t>
  </si>
  <si>
    <t>(No Tag - price sample item 8)</t>
  </si>
  <si>
    <t>PIG Launcher (Type: Piping), from packages list of the price sample</t>
  </si>
  <si>
    <t>Length 4356 mm; diameters 16 / 12 inches</t>
  </si>
  <si>
    <t>8</t>
  </si>
  <si>
    <t>C.S</t>
  </si>
  <si>
    <t>USD</t>
  </si>
  <si>
    <t>نمونه_قیمتی_نمک_زدایی_overall.xlsx (Sheet packages, item 8, row 10)</t>
  </si>
  <si>
    <t>Price ($) = 15,000 USD. Same figure in 18061405_Pump_only_CSV.csv (section packages, item 8, file row 65), where a separate 'Customs and transportation ($)' column = 900 USD (not included in Unit Price Reference). Sample lists a launcher only (no receiver); quantity, cost year and basis not stated.</t>
  </si>
  <si>
    <t>Oily Water Separator (API Separator)</t>
  </si>
  <si>
    <t>SU-701</t>
  </si>
  <si>
    <t>SEP</t>
  </si>
  <si>
    <t>Oily Water Separator SU-701 (Process Data Sheet, E.Process item 7.40)</t>
  </si>
  <si>
    <t>PEP-Rev.140205_عزيزيان_Gachsaran_4.xlsx (Sheet E.Process, row 110)</t>
  </si>
  <si>
    <t>No price in the Gachsaran 4 procurement table. P.ME lists only the Oily Water Separator Pump P-750 (row 55; a pump, out of scope). The separator appears elsewhere only as civil work: C.OTHERS-1 row 18 (API SEPARATOR, civil quantities), E.Civil row 95 (Oily Water Separator Section And Details) and, in Maroon 3, CV1405 row 30 ('OILY WTER SEPARATOR', 12 m x 6 m, 75 m2, 500,000,000 IRR civil base). Those are civil scope, so no price is entered here to avoid inventing one. No mechanical data sheet exists for SU-701 in E.Mechanic. Tag is not present in MASTER_TAGS / SOURCES; found by searching the source workbook.</t>
  </si>
  <si>
    <t>Portable Skimmer</t>
  </si>
  <si>
    <t>X-704</t>
  </si>
  <si>
    <t>Portable Skimmer X-704 (Process Data Sheet, E.Process item 7.57)</t>
  </si>
  <si>
    <t>PEP-Rev.140205_عزيزيان_Gachsaran_4.xlsx (Sheet E.Process, row 127)</t>
  </si>
  <si>
    <t>No price in the Gachsaran 4 procurement table. Only a process data sheet is listed (no mechanical data sheet, no P.ME row). Not to be confused with Oil Skimmer Tank OS-201 (P.ME row 26, a tank priced per kg), which is excluded per the tank/drum scope. Tag is not present in MASTER_TAGS / SOURCES; found by searching the source workbook.</t>
  </si>
  <si>
    <t>Crude Aerial Cooler (Air Cooler)</t>
  </si>
  <si>
    <t>(No Tag - price sample item 1)</t>
  </si>
  <si>
    <t>ACX</t>
  </si>
  <si>
    <t>Air-cooled heat exchanger (crude service); Draft: Forced; fixed pitch, TEFC fan motors, speed control by VFD (per CSV)</t>
  </si>
  <si>
    <t>Duty 2.9 x 1.1 MW; bare area 475.7 m2/unit; 2 bays/unit; 4 fans/unit</t>
  </si>
  <si>
    <t>7</t>
  </si>
  <si>
    <t>100</t>
  </si>
  <si>
    <t>Header: C.S; Tube: C.S</t>
  </si>
  <si>
    <t>104.8 kW total consumed power per unit</t>
  </si>
  <si>
    <t>نمونه_قیمتی_نمک_زدایی_overall.xlsx (Sheet AIR COOLERS, item 1, row 3)</t>
  </si>
  <si>
    <t>Price ($) = 2,200,000 USD. Same row in 18061405_Pump_only_CSV.csv (section AIR COOLERS, file row 43; area 476 m2, 105 kW rounded) with 'Customs and transportation ($)' = 132,000 USD (not included). The 'fixed pitch-TEFC-speed control by VFD' text sits under the Header Type column in the CSV and is blank in the xlsx, so it is recorded as a service note. Duty printed as '2.9 x 1.1' in source. Quantity, cost year and basis not stated. No air cooler found in KPL, Pazanan 2, Gachsaran 4 or Maroon 3 files.</t>
  </si>
  <si>
    <t>HVAC for Accommodation</t>
  </si>
  <si>
    <t>(No Tag - P.ME item 66.1)</t>
  </si>
  <si>
    <t>HVAC</t>
  </si>
  <si>
    <t>HVAC for Accommodation (P.ME item 66.1 under HVAC group item 66)</t>
  </si>
  <si>
    <t>PEP-Rev.140205_عزيزيان_Gachsaran_4.xlsx (Sheet P.ME, row 84)</t>
  </si>
  <si>
    <t>Unit cost without overhead factor (هزینه واحد بدون ضریب). HVAC group header row 83 carries its own freight allocation of 1,207,442,136.32 IRR (not included); Customs clearance not stated. Equipment list / data sheets are in the E.HVAC document set.</t>
  </si>
  <si>
    <t>HVAC for DE4 Switchgear Room</t>
  </si>
  <si>
    <t>(No Tag - P.ME item 66.2)</t>
  </si>
  <si>
    <t>HVAC for DE4 Switchgear Room (P.ME item 66.2 under HVAC group item 66)</t>
  </si>
  <si>
    <t>PEP-Rev.140205_عزيزيان_Gachsaran_4.xlsx (Sheet P.ME, row 85)</t>
  </si>
  <si>
    <t>Unit cost without overhead factor (هزینه واحد بدون ضریب). Source formula = 276,000 USD x USD_Change_IRR (420,000 IRR/USD) = 115,920,000,000 IRR. HVAC group header row 83 carries its own freight allocation of 1,207,442,136.32 IRR (not included); Customs clearance not stated. Equipment list / data sheets are in the E.HVAC document set.</t>
  </si>
  <si>
    <t>HVAC for DE4 Control Room</t>
  </si>
  <si>
    <t>(No Tag - P.ME item 66.3)</t>
  </si>
  <si>
    <t>HVAC for DE4 Control Room (P.ME item 66.3 under HVAC group item 66)</t>
  </si>
  <si>
    <t>PEP-Rev.140205_عزيزيان_Gachsaran_4.xlsx (Sheet P.ME, row 86)</t>
  </si>
  <si>
    <t>Unit cost without overhead factor (هزینه واحد بدون ضریب). Source formula = 336,000 USD x USD_Change_IRR (420,000 IRR/USD) = 141,120,000,000 IRR. HVAC group header row 83 carries its own freight allocation of 1,207,442,136.32 IRR (not included); Customs clearance not stated. Equipment list / data sheets are in the E.HVAC document set.</t>
  </si>
  <si>
    <t>HVAC for 33 kV Station</t>
  </si>
  <si>
    <t>(No Tag - P.ME item 66.4)</t>
  </si>
  <si>
    <t>HVAC for 33 kV Station (P.ME item 66.4 under HVAC group item 66)</t>
  </si>
  <si>
    <t>PEP-Rev.140205_عزيزيان_Gachsaran_4.xlsx (Sheet P.ME, row 87)</t>
  </si>
  <si>
    <t>Unit cost without overhead factor (هزینه واحد بدون ضریب). Source formula = 220,000 USD x USD_Change_IRR (420,000 IRR/USD) = 92,400,000,000 IRR. HVAC group header row 83 carries its own freight allocation of 1,207,442,136.32 IRR (not included); Customs clearance not stated. Equipment list / data sheets are in the E.HVAC document set.</t>
  </si>
  <si>
    <t>HVAC for 33/3.45 Station</t>
  </si>
  <si>
    <t>(No Tag - P.ME item 66.5)</t>
  </si>
  <si>
    <t>HVAC for 33/3.45 Station (P.ME item 66.5 under HVAC group item 66)</t>
  </si>
  <si>
    <t>PEP-Rev.140205_عزيزيان_Gachsaran_4.xlsx (Sheet P.ME, row 88)</t>
  </si>
  <si>
    <t>HVAC for Guard House</t>
  </si>
  <si>
    <t>(No Tag - P.ME item 66.6)</t>
  </si>
  <si>
    <t>HVAC for Guard House (P.ME item 66.6 under HVAC group item 66)</t>
  </si>
  <si>
    <t>PEP-Rev.140205_عزيزيان_Gachsaran_4.xlsx (Sheet P.ME, row 89)</t>
  </si>
  <si>
    <t>HVAC for Laboratory</t>
  </si>
  <si>
    <t>(No Tag - P.ME item 66.7)</t>
  </si>
  <si>
    <t>HVAC for Laboratory (P.ME item 66.7 under HVAC group item 66)</t>
  </si>
  <si>
    <t>PEP-Rev.140205_عزيزيان_Gachsaran_4.xlsx (Sheet P.ME, row 90)</t>
  </si>
  <si>
    <t>HVAC Bulk</t>
  </si>
  <si>
    <t>(No Tag - P.ME item 66.8)</t>
  </si>
  <si>
    <t>HVAC Bulk (P.ME item 66.8 under HVAC group item 66)</t>
  </si>
  <si>
    <t>PEP-Rev.140205_عزيزيان_Gachsaran_4.xlsx (Sheet P.ME, row 91)</t>
  </si>
  <si>
    <t>Unit cost without overhead factor (هزینه واحد بدون ضریب). Freight allocation 603,721,068.16 IRR (row col N; = 32,500,000 x IRR_Inflation_Factor) not included in Unit Price Reference. HVAC group header row 83 carries its own freight allocation of 1,207,442,136.32 IRR (not included); Customs clearance not stated. Equipment list / data sheets are in the E.HVAC document set.</t>
  </si>
  <si>
    <t>HVAC System (Category Cost Rollup - FEED Estimate)</t>
  </si>
  <si>
    <t>Maroon 3 Bangestan Desalting Unit (Doc. Ref. 14050310)</t>
  </si>
  <si>
    <t>(Category Rollup - not a discrete Tag)</t>
  </si>
  <si>
    <t>Lump Sum</t>
  </si>
  <si>
    <t>Aggregated procurement cost for the HVAC system, project-wide; FEED-stage old-vs-new contract comparison</t>
  </si>
  <si>
    <t>Contract Reconciliation Estimate (New Contract Value)</t>
  </si>
  <si>
    <t>Class 4 (FEED Rollup)</t>
  </si>
  <si>
    <t>FEED</t>
  </si>
  <si>
    <t>برآورد_پروژه_نمکزدایی_مارون_3__بنگستان_تاریخ_14050310.xlsx (Sheet ME.p.1392, row 18)</t>
  </si>
  <si>
    <t>Category-level rollup, not a single tag/package; excluded from Active Tags count. Source-native currency is IRR (column J 'ریال' under 1392 = 8,425,000,000; no Euro component). Old-contract value 2,625,392,658 IRR also recorded in source (columns G/H and K).</t>
  </si>
  <si>
    <t>HVAC System (Category Cost Rollup - 1405 Estimate)</t>
  </si>
  <si>
    <t>Aggregated procurement cost for the HVAC system, project-wide; 1405 basic-estimate table</t>
  </si>
  <si>
    <t>Basic Estimate (Category Rollup)</t>
  </si>
  <si>
    <t>Basic Estimate</t>
  </si>
  <si>
    <t>برآورد_پروژه_نمکزدایی_مارون_3__بنگستان_تاریخ_14050310.xlsx (Sheet ME.P.1405, row 20)</t>
  </si>
  <si>
    <t>Category-level rollup, not a single tag/package; excluded from Active Tags count. Item 14 in the 1405 table (item 13 in the 1392 table).</t>
  </si>
  <si>
    <t>HVAC Works (Construction Line - Reference Price Sample)</t>
  </si>
  <si>
    <t>Not Stated (reference price sample, file 18061405_Pump_only_CSV)</t>
  </si>
  <si>
    <t>(No Tag - price sample construction item 11)</t>
  </si>
  <si>
    <t>HVAC Works line of the Construction cost list in the price sample</t>
  </si>
  <si>
    <t>18061405_Pump_only_CSV.csv (section Construction, item 11, file row 128)</t>
  </si>
  <si>
    <t>Construction-works line ('HVAC Works'), not equipment supply; scope, quantity, cost year and basis not stated. Recorded for reference and excluded from totals.</t>
  </si>
  <si>
    <t>(No Tag - P.ME item 67.8)</t>
  </si>
  <si>
    <t>SAF</t>
  </si>
  <si>
    <t>Safety Shower &amp; Eye Wash (Safety Equipment list, P.ME item 67.8)</t>
  </si>
  <si>
    <t>PEP-Rev.140205_عزيزيان_Gachsaran_4.xlsx (Sheet P.ME, row 102)</t>
  </si>
  <si>
    <t>Unit cost without overhead factor (هزینه واحد بدون ضریب). Source formula = 3,000 USD x USD_Change_IRR (420,000 IRR/USD) = 1,260,000,000 IRR per unit; total 8,820,000,000 IRR for 7 No. Data sheet: E.HSE item 4.11 ('Safety shower data sheet', not extracted). No freight allocation on this row; Customs clearance not stated. Installation is a separate construction item (C.mECHANICAL 'SAFETY SHOWER &amp; EYE WASH') and is not included.</t>
  </si>
  <si>
    <t>(No Tag - SEFTY.p.1392 item 10)</t>
  </si>
  <si>
    <t>Safety Shower &amp; Eye Wash (safety list of the 1392 estimate, item 10)</t>
  </si>
  <si>
    <t>برآورد_پروژه_نمکزدایی_مارون_3__بنگستان_تاریخ_14050310.xlsx (Sheet SEFTY.p.1392, row 17)</t>
  </si>
  <si>
    <t>Unit cost without factor (هزینه واحد بدون ضریب), purchase, Rials column = 31,500,000 IRR per unit (total 157,500,000 IRR for 5); Euro columns = 0. An unlabelled helper cell (J17) holds 750, which equals 31,500,000 / 42,000 (free-market euro rate in the same sheet, 'نرخ ازاد یورو'); it is not entered as a price. Unit and price basis not stated.</t>
  </si>
  <si>
    <t>Safety Shower &amp; Eye Wash (Laboratory)</t>
  </si>
  <si>
    <t>(No Tag - p.lab.1392 item 22)</t>
  </si>
  <si>
    <t>Safety shower &amp; eyewash in the laboratory equipment list (item 22)</t>
  </si>
  <si>
    <t>برآورد_پروژه_نمکزدایی_مارون_3__بنگستان_تاریخ_14050310.xlsx (Sheet p.lab.1392, row 28)</t>
  </si>
  <si>
    <t>Price cell reads '(item19)': no separate price, it is bundled with lab item 19, the Industrial Hood set (1,050,000,000 IRR for qty 4, row 25). Excluded from totals (no own price; lab set already priced on item 19).</t>
  </si>
  <si>
    <t>Safety Shower &amp; Eyewash (Laboratory)</t>
  </si>
  <si>
    <t>(No Tag - P.LAB item 21)</t>
  </si>
  <si>
    <t>Safety shower &amp; eyewash in the laboratory equipment list (P.LAB item 21)</t>
  </si>
  <si>
    <t>PEP-Rev.140205_عزيزيان_Gachsaran_4.xlsx (Sheet P.LAB, row 24)</t>
  </si>
  <si>
    <t>Price cells read 'یک قلم در ردیف 19' (one item in row 19): no separate price, bundled with the lab furniture group (item 19 Sink line; the Industrial Hood set on item 18 carries 19,504,834,509.76 IRR). Excluded from totals.</t>
  </si>
  <si>
    <t>Stripped Waste Water Pumps P-148 A/B/C (inside PK-143)</t>
  </si>
  <si>
    <t>P-148 A/B/C</t>
  </si>
  <si>
    <t>PMP</t>
  </si>
  <si>
    <t>Stripped waste water pumps P-148 A/B/C, centrifugal OH2, supplied inside Stripping Package PK-143</t>
  </si>
  <si>
    <t>50 m3/hr, 3 barg differential</t>
  </si>
  <si>
    <t>API 610 material class D2</t>
  </si>
  <si>
    <t>API 610 &amp; IPS-G-PM-105</t>
  </si>
  <si>
    <t>Change Log section C: no separate price, priced inside PK-143 lump sum (9,000,000,000 IRR). Kept for traceability of the waste water disposal train; excluded from totals to avoid double counting.</t>
  </si>
  <si>
    <t>OWS Clean Water Pumps P-703 A/B</t>
  </si>
  <si>
    <t>P-703 A/B</t>
  </si>
  <si>
    <t>Clean water pumps of the oily water separator (OWS) system</t>
  </si>
  <si>
    <t>11 m3/hr, 1.8 bar</t>
  </si>
  <si>
    <t>0.54 kW</t>
  </si>
  <si>
    <t>Purchase unit cost without overhead factor (هزینه واحد بدون ضریب)</t>
  </si>
  <si>
    <t>PEP-Rev.140205_عزيزيان_Gachsaran_4.xlsx (Sheet P.ME, row 53)</t>
  </si>
  <si>
    <t>Unit 13,215,061,000 IRR x 2 No. = 26,430,122,000 IRR (P.ME col. K). Freight (حمل) and customs clearance (ترخیص) are separate P.ME columns and are NOT included here; installation excluded (C.mECHANICAL). CHECK: the unit price is identical to the water/water heat exchanger E-002 (P.ME row 4-7), a possible copy-paste in the source; ask the estimator before relying on it.</t>
  </si>
  <si>
    <t>Oil Skimmer Tank OS-201</t>
  </si>
  <si>
    <t>OS-201</t>
  </si>
  <si>
    <t>TNK</t>
  </si>
  <si>
    <t>Oil skimmer tank OS-201 (oily water / skimming system), priced by weight</t>
  </si>
  <si>
    <t>392.5 m3, H = 5000 mm, D = 10000 mm</t>
  </si>
  <si>
    <t>45,900 kg</t>
  </si>
  <si>
    <t>Per-kg pricing: 45,900 kg x 660,000 IRR/kg = 30,294,000,000 IRR (price per tank)</t>
  </si>
  <si>
    <t>PEP-Rev.140205_عزيزيان_Gachsaran_4.xlsx (Sheet P.ME, row 26)</t>
  </si>
  <si>
    <t>VERIFIED against P.ME row 26: unit Kg, qty 45,900, rate 660,000 IRR/kg, total K = 30,294,000,000 IRR = line total for the one tank (not a rate). Freight 2,414,884,272.64 IRR (col. N) excluded. Installation excluded (C.mECHANICAL).</t>
  </si>
  <si>
    <t>Skimmer Tanks TK-132 / TK-142 (KPL)</t>
  </si>
  <si>
    <t>TK-132 / TK-142</t>
  </si>
  <si>
    <t>Skimmer tanks, Train A (TK-132) and Train B (TK-142)</t>
  </si>
  <si>
    <t>Design &amp; procurement of raw material only (excl. construction &amp; installation)</t>
  </si>
  <si>
    <t>91215-KPL-ME-RE-476_R03_MTO_and_Cost_Estimation_Report.xlsx (Sheets TANKS-A (1) row 43, TANKS-B (2) row 27)</t>
  </si>
  <si>
    <t>1 Set each at 3,000,000,000 IRR (EUR = 0); total 6,000,000,000 IRR for 2. No capacity/size given in the sheet. Source note: cost is for design and procurement of raw material only; installation is in INS-TANK-A (4) / INS-TANK-B (5) and excluded here.</t>
  </si>
  <si>
    <t>First Stage Separator</t>
  </si>
  <si>
    <t>(No Tag - price sample VESSELS item 3)</t>
  </si>
  <si>
    <t>VSL</t>
  </si>
  <si>
    <t>First stage separator, three-phase process vessel from the price sample</t>
  </si>
  <si>
    <t>Horizontal; ID 3000 mm, T/T 14000 mm</t>
  </si>
  <si>
    <t>C.S (internals: demister pad, vortex breaker - S.S)</t>
  </si>
  <si>
    <t>Reference price sample (Price ($) column); basis, cost year and quantity not stated</t>
  </si>
  <si>
    <t>نمونه_قیمتی_نمک_زدایی_overall.xlsx (Sheet VESSELS, row 3)</t>
  </si>
  <si>
    <t>Price ($) = 6,500,000 USD for one first stage separator (price-sample row has no quantity). Design pressure 27 barg (internal), external pressure not given; corrosion allowance 3 mm; no insulation. Cost year not stated, so EUR/IRR columns show no conversion. Described in the Change Log as a three-phase process vessel, not an oily water separator. Installation excluded.</t>
  </si>
  <si>
    <t>Waste Water Treatment Package</t>
  </si>
  <si>
    <t>(No Tag - P.ME item 66.9)</t>
  </si>
  <si>
    <t>Waste water (effluent) treatment package; listed under HVAC group item 66 in P.ME but is a process package</t>
  </si>
  <si>
    <t>PEP-Rev.140205_عزيزيان_Gachsaran_4.xlsx (Sheet P.ME, row 92)</t>
  </si>
  <si>
    <t>Amount from Change Log section C. Price basis, quantity/unit and freight not carried in the Change Log (TO BE VERIFIED in P.ME row 92). Part of the 370,840,000,000 IRR HVAC summary (see Change Log D).</t>
  </si>
  <si>
    <t>Water Treatment Package</t>
  </si>
  <si>
    <t>(No Tag - P.ME item 66.10)</t>
  </si>
  <si>
    <t>Water treatment package; listed under HVAC group item 66 in P.ME but is a process package</t>
  </si>
  <si>
    <t>PEP-Rev.140205_عزيزيان_Gachsaran_4.xlsx (Sheet P.ME, row 93)</t>
  </si>
  <si>
    <t>Amount from Change Log section C. Price basis, quantity/unit and freight not carried in the Change Log (TO BE VERIFIED in P.ME row 93). Part of the 370,840,000,000 IRR HVAC summary.</t>
  </si>
  <si>
    <t>HVAC Group Rollup (Gachsaran 4 Summary)</t>
  </si>
  <si>
    <t>HVAC group summary of P.ME (items 66.1-66.10)</t>
  </si>
  <si>
    <t>PEP-Rev.140205_عزيزيان_Gachsaran_4.xlsx (Sheet P.ME, summary row 138)</t>
  </si>
  <si>
    <t>Equals items 66.1-66.8 (364,740,000,000) + waste water (3,600,000,000) + water treatment (2,500,000,000) packages. Excluded: would double count the itemised rows.</t>
  </si>
  <si>
    <t>Safety Group Rollup (Gachsaran 4 Summary)</t>
  </si>
  <si>
    <t>Safety equipment group summary of P.ME</t>
  </si>
  <si>
    <t>PEP-Rev.140205_عزيزيان_Gachsaran_4.xlsx (Sheet P.ME, summary row 140)</t>
  </si>
  <si>
    <t>Summary table 2.1 row 140 ("خرید اقلام ایمنی و آتش نشانی"), item 15, purchase column = 163,763,000,000 IRR. Itemised P.ME rows 95-112 (items 67.1-67.19, incl. the safety shower of 8,820,000,000 IRR already in Master row 20) sum to 163,762,195,576 IRR; difference ~0.8 million IRR is rounding in the summary. Excluded: would double count the itemised rows. Freight/customs and installation not included.</t>
  </si>
  <si>
    <t>Pig Group Rollup (Gachsaran 4 Summary)</t>
  </si>
  <si>
    <t>Pig launcher &amp; receiver group summary of P.ME</t>
  </si>
  <si>
    <t>PEP-Rev.140205_عزيزيان_Gachsaran_4.xlsx (Sheet P.ME, summary row 141)</t>
  </si>
  <si>
    <t>Summary table 2.1 row 141 ("گیرنده و فرستنده توپک"), item 16, purchase column = 94,500,000,000 IRR; equals P.ME row 113 (item 68, 1 SET, 225,000 USD x 420,000), already in Master row 8. Excluded: would double count. Freight 241,488,427 IRR and installation not included.</t>
  </si>
  <si>
    <t>Safety &amp; Fire Fighting Package</t>
  </si>
  <si>
    <t>(No Tag - price sample CSV row 74)</t>
  </si>
  <si>
    <t>Safety &amp; fire fighting package for the whole fire and safety scope</t>
  </si>
  <si>
    <t>18061405_Pump_only_CSV.csv (file row 74)</t>
  </si>
  <si>
    <t>1,800,000 USD lump sum for the whole fire and safety scope (not a shower line), per Change Log. Cost year, scope split, customs/transport not stated. Quantity 1 = lump sum.</t>
  </si>
  <si>
    <t>OWS Recovered Waste Oil Pumps P-704 A/B</t>
  </si>
  <si>
    <t>P-704 A/B</t>
  </si>
  <si>
    <t>Recovered waste oil pumps of the oily water separator (OWS) system</t>
  </si>
  <si>
    <t>11 m3/hr, 2.7 bar</t>
  </si>
  <si>
    <t>0.8 kW</t>
  </si>
  <si>
    <t>PEP-Rev.140205_عزيزيان_Gachsaran_4.xlsx (Sheet P.ME, row 54)</t>
  </si>
  <si>
    <t>Unit 15,949,212,000 IRR x 2 No. = 31,898,424,000 IRR (P.ME col. K). Freight (حمل) and customs clearance (ترخیص) are separate P.ME columns and are NOT included here; installation excluded (C.mECHANICAL).</t>
  </si>
  <si>
    <t>Oily Water Separator Pump P-750</t>
  </si>
  <si>
    <t>P-750</t>
  </si>
  <si>
    <t>Oily water separator pump (OWS system)</t>
  </si>
  <si>
    <t>1 m3/hr, 0.84 bar</t>
  </si>
  <si>
    <t>0.02 kW</t>
  </si>
  <si>
    <t>PEP-Rev.140205_عزيزيان_Gachsaran_4.xlsx (Sheet P.ME, row 55)</t>
  </si>
  <si>
    <t>Unit 6,083,485,000 IRR x 1 No. = 6,083,485,000 IRR (P.ME col. K). Freight (حمل) and customs clearance (ترخیص) are separate P.ME columns and are NOT included here; installation excluded (C.mECHANICAL). Note: price looks high for a 0.02 kW pump; as stated in source.</t>
  </si>
  <si>
    <t>Water Hydrant 6"</t>
  </si>
  <si>
    <t>(No Tag - P.ME item 67.1)</t>
  </si>
  <si>
    <t>Water Hydrant 6" (Safety Equipment list, P.ME item 67.1)</t>
  </si>
  <si>
    <t>6"</t>
  </si>
  <si>
    <t>PEP-Rev.140205_عزيزيان_Gachsaran_4.xlsx (Sheet P.ME, row 95)</t>
  </si>
  <si>
    <t>Unit 373,071,767.26 IRR x 13 = line total 4,849,932,974.42 IRR (P.ME col. K). No freight/customs given on this row; installation excluded (C.HSE / C.mECHANICAL).</t>
  </si>
  <si>
    <t>Water Hydrant with Monitor 6"</t>
  </si>
  <si>
    <t>(No Tag - P.ME item 67.2)</t>
  </si>
  <si>
    <t>Water Hydrant with Monitor 6" (Safety Equipment list, P.ME item 67.2)</t>
  </si>
  <si>
    <t>PEP-Rev.140205_عزيزيان_Gachsaran_4.xlsx (Sheet P.ME, row 96)</t>
  </si>
  <si>
    <t>Unit 906,031,434.78 IRR x 27 = line total 24,462,848,739.12 IRR (P.ME col. K). No freight/customs given on this row; installation excluded (C.HSE / C.mECHANICAL).</t>
  </si>
  <si>
    <t>Deluge Valve 4"</t>
  </si>
  <si>
    <t>(No Tag - P.ME item 67.3)</t>
  </si>
  <si>
    <t>Deluge Valve 4" (Safety Equipment list, P.ME item 67.3)</t>
  </si>
  <si>
    <t>4"</t>
  </si>
  <si>
    <t>PEP-Rev.140205_عزيزيان_Gachsaran_4.xlsx (Sheet P.ME, row 97)</t>
  </si>
  <si>
    <t>Unit 6,300,000,000 IRR x 2 = line total 12,600,000,000 IRR (P.ME col. K). No freight/customs given on this row; installation excluded (C.HSE / C.mECHANICAL).</t>
  </si>
  <si>
    <t>Dry Powder Portable Fire Extinguisher 12 kg</t>
  </si>
  <si>
    <t>(No Tag - P.ME item 67.4)</t>
  </si>
  <si>
    <t>Dry Powder Portable Fire Extinguisher 12 kg (Safety Equipment list, P.ME item 67.4)</t>
  </si>
  <si>
    <t>12 KG</t>
  </si>
  <si>
    <t>PEP-Rev.140205_عزيزيان_Gachsaran_4.xlsx (Sheet P.ME, row 98)</t>
  </si>
  <si>
    <t>Unit 47,966,370.08 IRR x 32 = line total 1,534,923,842.45 IRR (P.ME col. K). No freight/customs given on this row; installation excluded (C.HSE / C.mECHANICAL).</t>
  </si>
  <si>
    <t>Dry Powder Wheeled Fire Extinguisher 75 kg</t>
  </si>
  <si>
    <t>(No Tag - P.ME item 67.5)</t>
  </si>
  <si>
    <t>Dry Powder Wheeled Fire Extinguisher 75 kg (Safety Equipment list, P.ME item 67.5)</t>
  </si>
  <si>
    <t>75 KG</t>
  </si>
  <si>
    <t>PEP-Rev.140205_عزيزيان_Gachsaran_4.xlsx (Sheet P.ME, row 99)</t>
  </si>
  <si>
    <t>Unit 319,775,800.51 IRR x 12 = line total 3,837,309,606.14 IRR (P.ME col. K). No freight/customs given on this row; installation excluded (C.HSE / C.mECHANICAL).</t>
  </si>
  <si>
    <t>CO2 Portable Fire Extinguisher 5 kg</t>
  </si>
  <si>
    <t>(No Tag - P.ME item 67.6)</t>
  </si>
  <si>
    <t>CO2 Portable Fire Extinguisher 5 kg (Safety Equipment list, P.ME item 67.6)</t>
  </si>
  <si>
    <t>5 KG</t>
  </si>
  <si>
    <t>PEP-Rev.140205_عزيزيان_Gachsaran_4.xlsx (Sheet P.ME, row 100)</t>
  </si>
  <si>
    <t>Unit 37,307,176.73 IRR x 42 = line total 1,566,901,422.51 IRR (P.ME col. K). No freight/customs given on this row; installation excluded (C.HSE / C.mECHANICAL).</t>
  </si>
  <si>
    <t>CO2 Wheeled Fire Extinguisher 30 kg</t>
  </si>
  <si>
    <t>(No Tag - P.ME item 67.7)</t>
  </si>
  <si>
    <t>CO2 Wheeled Fire Extinguisher 30 kg (Safety Equipment list, P.ME item 67.7)</t>
  </si>
  <si>
    <t>30 KG</t>
  </si>
  <si>
    <t>PEP-Rev.140205_عزيزيان_Gachsaran_4.xlsx (Sheet P.ME, row 101)</t>
  </si>
  <si>
    <t>Unit 266,479,833.76 IRR x 24 = line total 6,395,516,010.23 IRR (P.ME col. K). No freight/customs given on this row; installation excluded (C.HSE / C.mECHANICAL).</t>
  </si>
  <si>
    <t>First Aid Kit</t>
  </si>
  <si>
    <t>(No Tag - P.ME item 67.9)</t>
  </si>
  <si>
    <t>First Aid Kit (Safety Equipment list, P.ME item 67.9)</t>
  </si>
  <si>
    <t>PEP-Rev.140205_عزيزيان_Gachsaran_4.xlsx (Sheet P.ME, row 103)</t>
  </si>
  <si>
    <t>Unit 138,569,513.55 IRR x 4 = line total 554,278,054.22 IRR (P.ME col. K). No freight/customs given on this row; installation excluded (C.HSE / C.mECHANICAL).</t>
  </si>
  <si>
    <t>OS&amp;Y Gate Valve - Isolating Valve 12"</t>
  </si>
  <si>
    <t>(No Tag - P.ME item 67.11)</t>
  </si>
  <si>
    <t>OS&amp;Y Gate Valve - Isolating Valve 12" (Safety Equipment list, P.ME item 67.11)</t>
  </si>
  <si>
    <t>PEP-Rev.140205_عزيزيان_Gachsaran_4.xlsx (Sheet P.ME, row 104)</t>
  </si>
  <si>
    <t>Unit 1,680,000,000 IRR x 2 = line total 3,360,000,000 IRR (P.ME col. K). No freight/customs given on this row; installation excluded (C.HSE / C.mECHANICAL).</t>
  </si>
  <si>
    <t>OS&amp;Y Gate Valve - Isolating Valve 6"</t>
  </si>
  <si>
    <t>(No Tag - P.ME item 67.12)</t>
  </si>
  <si>
    <t>OS&amp;Y Gate Valve - Isolating Valve 6" (Safety Equipment list, P.ME item 67.12)</t>
  </si>
  <si>
    <t>PEP-Rev.140205_عزيزيان_Gachsaran_4.xlsx (Sheet P.ME, row 105)</t>
  </si>
  <si>
    <t>Unit 840,000,000 IRR x 19 = line total 15,960,000,000 IRR (P.ME col. K). No freight/customs given on this row; installation excluded (C.HSE / C.mECHANICAL).</t>
  </si>
  <si>
    <t>9 Litre Water Extinguisher</t>
  </si>
  <si>
    <t>(No Tag - P.ME item 67.13)</t>
  </si>
  <si>
    <t>9 Litre Water Extinguisher (Safety Equipment list, P.ME item 67.13)</t>
  </si>
  <si>
    <t>PEP-Rev.140205_عزيزيان_Gachsaran_4.xlsx (Sheet P.ME, row 106)</t>
  </si>
  <si>
    <t>Unit 37,307,176.73 IRR x 8 = line total 298,457,413.81 IRR (P.ME col. K). No freight/customs given on this row; installation excluded (C.HSE / C.mECHANICAL).</t>
  </si>
  <si>
    <t>Emergency Breathing Apparatus with Mask</t>
  </si>
  <si>
    <t>(No Tag - P.ME item 67.14)</t>
  </si>
  <si>
    <t>Emergency Breathing Apparatus with Mask (Safety Equipment list, P.ME item 67.14)</t>
  </si>
  <si>
    <t>PEP-Rev.140205_عزيزيان_Gachsaran_4.xlsx (Sheet P.ME, row 107)</t>
  </si>
  <si>
    <t>Unit 532,959,667.52 IRR x 2 = line total 1,065,919,335.04 IRR (P.ME col. K). No freight/customs given on this row; installation excluded (C.HSE / C.mECHANICAL).</t>
  </si>
  <si>
    <t>Fire Man Cabinet</t>
  </si>
  <si>
    <t>(No Tag - P.ME item 67.15)</t>
  </si>
  <si>
    <t>Fire Man Cabinet (Safety Equipment list, P.ME item 67.15)</t>
  </si>
  <si>
    <t>PEP-Rev.140205_عزيزيان_Gachsaran_4.xlsx (Sheet P.ME, row 108)</t>
  </si>
  <si>
    <t>Unit 5,329,596,675.19 IRR x 2 = line total 10,659,193,350.38 IRR (P.ME col. K). No freight/customs given on this row; installation excluded (C.HSE / C.mECHANICAL).</t>
  </si>
  <si>
    <t>Fire Shed Equipment (foam drums, hoses, nozzles, extinguishers, drum wrench, hose bridge)</t>
  </si>
  <si>
    <t>(No Tag - P.ME item 67.16)</t>
  </si>
  <si>
    <t>Fire Shed Equipment (foam drums, hoses, nozzles, extinguishers, drum wrench, hose bridge) (Safety Equipment list, P.ME item 67.16)</t>
  </si>
  <si>
    <t>PEP-Rev.140205_عزيزيان_Gachsaran_4.xlsx (Sheet P.ME, row 109)</t>
  </si>
  <si>
    <t>Unit 6,300,000,000 IRR x 10 = line total 63,000,000,000 IRR (P.ME col. K). No freight/customs given on this row; installation excluded (C.HSE / C.mECHANICAL).</t>
  </si>
  <si>
    <t>Water Spray System</t>
  </si>
  <si>
    <t>(No Tag - P.ME item 67.17)</t>
  </si>
  <si>
    <t>Water Spray System (Safety Equipment list, P.ME item 67.17)</t>
  </si>
  <si>
    <t>PEP-Rev.140205_عزيزيان_Gachsaran_4.xlsx (Sheet P.ME, row 110)</t>
  </si>
  <si>
    <t>Unit 4,263,677.34 IRR x 40 = line total 170,547,093.61 IRR (P.ME col. K). No freight/customs given on this row; installation excluded (C.HSE / C.mECHANICAL).</t>
  </si>
  <si>
    <t>Safety Sign</t>
  </si>
  <si>
    <t>(No Tag - P.ME item 67.18)</t>
  </si>
  <si>
    <t>Safety Sign (Safety Equipment list, P.ME item 67.18)</t>
  </si>
  <si>
    <t>PEP-Rev.140205_عزيزيان_Gachsaran_4.xlsx (Sheet P.ME, row 111)</t>
  </si>
  <si>
    <t>Unit 2,131,838.67 IRR x 200 = line total 426,367,734.02 IRR (P.ME col. K). No freight/customs given on this row; installation excluded (C.HSE / C.mECHANICAL).</t>
  </si>
  <si>
    <t>Safety Bulks (valves, wind sock, hose reel, emergency box, stretcher, axe, flashlight, breathing devices etc.)</t>
  </si>
  <si>
    <t>(No Tag - P.ME item 67.19)</t>
  </si>
  <si>
    <t>a lot</t>
  </si>
  <si>
    <t>Safety Bulks (valves, wind sock, hose reel, emergency box, stretcher, axe, flashlight, breathing devices etc.) (Safety Equipment list, P.ME item 67.19)</t>
  </si>
  <si>
    <t>PEP-Rev.140205_عزيزيان_Gachsaran_4.xlsx (Sheet P.ME, row 112)</t>
  </si>
  <si>
    <t>Unit 4,200,000,000 IRR x 1 = line total 4,200,000,000 IRR (P.ME col. K). No freight/customs given on this row; installation excluded (C.HSE / C.mECHANICAL).</t>
  </si>
  <si>
    <t>Water Hydrant 6" (Maroon 3)</t>
  </si>
  <si>
    <t>(No Tag - SEFTY.p.1392 item 1)</t>
  </si>
  <si>
    <t>Water Hydrant 6" (safety list of the 1392 estimate, item 1)</t>
  </si>
  <si>
    <t>Unit cost without factor (هزینه واحد بدون ضریب), purchase, Rials column</t>
  </si>
  <si>
    <t>برآورد_پروژه_نمکزدایی_مارون_3__بنگستان_تاریخ_14050310.xlsx (Sheet SEFTY.p.1392, row 8)</t>
  </si>
  <si>
    <t>Unit 29,400,000 IRR x 13 = 382,200,000 IRR (col. G); Euro columns = 0. Unit and price basis not stated; installation excluded.</t>
  </si>
  <si>
    <t>Water Hydrant with Monitor 6" (Maroon 3)</t>
  </si>
  <si>
    <t>(No Tag - SEFTY.p.1392 item 2)</t>
  </si>
  <si>
    <t>Water Hydrant with Monitor 6" (safety list of the 1392 estimate, item 2)</t>
  </si>
  <si>
    <t>برآورد_پروژه_نمکزدایی_مارون_3__بنگستان_تاریخ_14050310.xlsx (Sheet SEFTY.p.1392, row 9)</t>
  </si>
  <si>
    <t>Unit 44,100,000 IRR x 15 = 661,500,000 IRR (col. G); Euro columns = 0. Unit and price basis not stated; installation excluded.</t>
  </si>
  <si>
    <t>Dry Powder Portable Fire Extinguisher 12 kg (Maroon 3)</t>
  </si>
  <si>
    <t>(No Tag - SEFTY.p.1392 item 6)</t>
  </si>
  <si>
    <t>Dry Powder Portable Fire Extinguisher 12 kg (safety list of the 1392 estimate, item 6)</t>
  </si>
  <si>
    <t>برآورد_پروژه_نمکزدایی_مارون_3__بنگستان_تاریخ_14050310.xlsx (Sheet SEFTY.p.1392, row 13)</t>
  </si>
  <si>
    <t>Unit 2,520,000 IRR x 20 = 50,400,000 IRR (col. G); Euro columns = 0. Unit and price basis not stated; installation excluded.</t>
  </si>
  <si>
    <t>Dry Powder Wheeled Fire Extinguisher 75 kg (Maroon 3)</t>
  </si>
  <si>
    <t>(No Tag - SEFTY.p.1392 item 7)</t>
  </si>
  <si>
    <t>Dry Powder Wheeled Fire Extinguisher 75 kg (safety list of the 1392 estimate, item 7)</t>
  </si>
  <si>
    <t>برآورد_پروژه_نمکزدایی_مارون_3__بنگستان_تاریخ_14050310.xlsx (Sheet SEFTY.p.1392, row 14)</t>
  </si>
  <si>
    <t>Unit 31,500,000 IRR x 8 = 252,000,000 IRR (col. G); Euro columns = 0. Unit and price basis not stated; installation excluded.</t>
  </si>
  <si>
    <t>CO2 Portable Fire Extinguisher 5 kg (Maroon 3)</t>
  </si>
  <si>
    <t>(No Tag - SEFTY.p.1392 item 8)</t>
  </si>
  <si>
    <t>CO2 Portable Fire Extinguisher 5 kg (safety list of the 1392 estimate, item 8)</t>
  </si>
  <si>
    <t>برآورد_پروژه_نمکزدایی_مارون_3__بنگستان_تاریخ_14050310.xlsx (Sheet SEFTY.p.1392, row 15)</t>
  </si>
  <si>
    <t>Unit 1,890,000 IRR x 20 = 37,800,000 IRR (col. G); Euro columns = 0. Unit and price basis not stated; installation excluded.</t>
  </si>
  <si>
    <t>CO2 Wheeled Fire Extinguisher 30 kg (Maroon 3)</t>
  </si>
  <si>
    <t>(No Tag - SEFTY.p.1392 item 9)</t>
  </si>
  <si>
    <t>CO2 Wheeled Fire Extinguisher 30 kg (safety list of the 1392 estimate, item 9)</t>
  </si>
  <si>
    <t>برآورد_پروژه_نمکزدایی_مارون_3__بنگستان_تاریخ_14050310.xlsx (Sheet SEFTY.p.1392, row 16)</t>
  </si>
  <si>
    <t>Unit 18,900,000 IRR x 12 = 226,800,000 IRR (col. G); Euro columns = 0. Unit and price basis not stated; installation excluded.</t>
  </si>
  <si>
    <t>9 Litre Water Extinguisher (Maroon 3)</t>
  </si>
  <si>
    <t>(No Tag - SEFTY.p.1392 item 21)</t>
  </si>
  <si>
    <t>9 Litre Water Extinguisher (safety list of the 1392 estimate, item 21)</t>
  </si>
  <si>
    <t>برآورد_پروژه_نمکزدایی_مارون_3__بنگستان_تاریخ_14050310.xlsx (Sheet SEFTY.p.1392, row 28)</t>
  </si>
  <si>
    <t>Unit 1,890,000 IRR x 8 = 15,120,000 IRR (col. G); Euro columns = 0. Unit and price basis not stated; installation excluded.</t>
  </si>
  <si>
    <t>First Aid Kit (Maroon 3)</t>
  </si>
  <si>
    <t>(No Tag - SEFTY.p.1392 item 13)</t>
  </si>
  <si>
    <t>First Aid Kit (safety list of the 1392 estimate, item 13)</t>
  </si>
  <si>
    <t>برآورد_پروژه_نمکزدایی_مارون_3__بنگستان_تاریخ_14050310.xlsx (Sheet SEFTY.p.1392, row 20)</t>
  </si>
  <si>
    <t>Unit 3,150,000 IRR x 3 = 9,450,000 IRR (col. G); Euro columns = 0. Unit and price basis not stated; installation excluded.</t>
  </si>
  <si>
    <t>CO2 Total Flooding System (Maroon 3)</t>
  </si>
  <si>
    <t>(No Tag - SEFTY.p.1392 item 18)</t>
  </si>
  <si>
    <t>CO2 Total Flooding System (safety list of the 1392 estimate, item 18)</t>
  </si>
  <si>
    <t>برآورد_پروژه_نمکزدایی_مارون_3__بنگستان_تاریخ_14050310.xlsx (Sheet SEFTY.p.1392, row 25)</t>
  </si>
  <si>
    <t>Unit 840,000,000 IRR x 3 = 0 IRR (col. G); Euro columns = 0. Unit and price basis not stated; installation excluded. Excluded: unit price is entered but the sheet total (col. G) is 0, so it is not part of the source estimate; euro helper 20,000 = 840,000,000 / 42,000.</t>
  </si>
  <si>
    <t>Fire Shed Equipment (Maroon 3)</t>
  </si>
  <si>
    <t>(No Tag - SEFTY.p.1392 item 19)</t>
  </si>
  <si>
    <t>Fire shed equipment set (100 L foam drums, fire hoses, foam and water nozzles, extinguishers, in-line inductor, drum wrench, hose bridge) - safety list of the 1392 estimate, item 19</t>
  </si>
  <si>
    <t>برآورد_پروژه_نمکزدایی_مارون_3__بنگستان_تاریخ_14050310.xlsx (Sheet SEFTY.p.1392, row 26)</t>
  </si>
  <si>
    <t>Unit 168,000,000 IRR x 7 = 1,176,000,000 IRR (col. G); euro helper 4,000 = 168,000,000 / 42,000. Unit and price basis not stated; installation excluded.</t>
  </si>
  <si>
    <t>Fire Water Tanks TK-270 A/B</t>
  </si>
  <si>
    <t>TK-270 A/B</t>
  </si>
  <si>
    <t>Fire water tanks TK-270 A/B (fire water system)</t>
  </si>
  <si>
    <t>91215-KPL-ME-RE-476_R03_MTO_and_Cost_Estimation_Report.xlsx (Sheet TANKS-C, row 27)</t>
  </si>
  <si>
    <t>2 Set x 6,000,000,000 IRR = 12,000,000,000 IRR; Euro = 0. Source note: cost is for design and procurement of raw material only; construction and installation excluded. No capacity given in the sheet.</t>
  </si>
  <si>
    <t>Fire Water Pump - Electric Motor Driven P-270</t>
  </si>
  <si>
    <t>P-270</t>
  </si>
  <si>
    <t>Fire water pump, electric motor driven</t>
  </si>
  <si>
    <t>EUR</t>
  </si>
  <si>
    <t>Unit price (Euros)</t>
  </si>
  <si>
    <t>91215-KPL-ME-RE-476_R03_MTO_and_Cost_Estimation_Report.xlsx (Sheet PUMPS-C (2), row 27)</t>
  </si>
  <si>
    <t>1 Set x 70,000 EUR = 70,000 EUR. Euro-priced line: Unit Price (Euros) column; Rials column = 0. Installation excluded (INS-PUMP sheets).</t>
  </si>
  <si>
    <t>Fire Water Pump - Diesel Engine Driven P-271</t>
  </si>
  <si>
    <t>P-271</t>
  </si>
  <si>
    <t>Fire water pump, diesel engine driven</t>
  </si>
  <si>
    <t>91215-KPL-ME-RE-476_R03_MTO_and_Cost_Estimation_Report.xlsx (Sheet PUMPS-C (2), row 36)</t>
  </si>
  <si>
    <t>1 Set x 90,000 EUR = 90,000 EUR. Euro-priced line: Unit Price (Euros) column; Rials column = 0. Installation excluded (INS-PUMP sheets).</t>
  </si>
  <si>
    <t>Fire Water Jockey Pumps P-272 A/B</t>
  </si>
  <si>
    <t>P-272 A/B</t>
  </si>
  <si>
    <t>Fire water jockey pumps</t>
  </si>
  <si>
    <t>91215-KPL-ME-RE-476_R03_MTO_and_Cost_Estimation_Report.xlsx (Sheet PUMPS-C (3), row 19)</t>
  </si>
  <si>
    <t>2 Set x 15,000 EUR = 30,000 EUR. Euro-priced line: Unit Price (Euros) column; Rials column = 0. Installation excluded (INS-PUMP sheets).</t>
  </si>
  <si>
    <t>Fire Water Loading Pump P-273</t>
  </si>
  <si>
    <t>P-273</t>
  </si>
  <si>
    <t>Fire water loading pump</t>
  </si>
  <si>
    <t>91215-KPL-ME-RE-476_R03_MTO_and_Cost_Estimation_Report.xlsx (Sheet PUMPS-C (3), row 28)</t>
  </si>
  <si>
    <t>1 Set x 6,500 EUR = 6,500 EUR. Euro-priced line: Unit Price (Euros) column; Rials column = 0. Installation excluded (INS-PUMP sheets).</t>
  </si>
  <si>
    <t>Fire Water Pumps Shelter Crane CN-271</t>
  </si>
  <si>
    <t>CN-271</t>
  </si>
  <si>
    <t>CRN</t>
  </si>
  <si>
    <t>Fire water pumps shelter crane (overhead crane)</t>
  </si>
  <si>
    <t>Unit price (Rials)</t>
  </si>
  <si>
    <t>91215-KPL-ME-RE-476_R03_MTO_and_Cost_Estimation_Report.xlsx (Sheet CRANES (2), row 35)</t>
  </si>
  <si>
    <t>1 Set x 950,000,000 IRR = 950,000,000 IRR; Euro = 0. Capacity not stated; installation excluded (INS-CRANE).</t>
  </si>
  <si>
    <t>JALALI FX RATES TABLE (1385 – 1405, full 21-year range)</t>
  </si>
  <si>
    <t>Reused from the Flare / Desalting Price Bank FX table (same verified source documents); only rates for 1392, 1393, 1402, 1404 and 1405 are documented in the project source files — all other years are blank until a source is found.</t>
  </si>
  <si>
    <t>Jalali Year</t>
  </si>
  <si>
    <t>USD → IRR</t>
  </si>
  <si>
    <t>EUR → IRR</t>
  </si>
  <si>
    <t>EUR / USD Ratio</t>
  </si>
  <si>
    <t>Basis / Document Reference Source</t>
  </si>
  <si>
    <t>(not found in the source files – add if needed)</t>
  </si>
  <si>
    <t>EUR: free-market euro rate 42,000 (label 'نرخ آزاد یورو', Maroon3 sheets p.lab.1392 / SEFTY.p.1392).</t>
  </si>
  <si>
    <t>EUR: 40,530.8 – Maroon3 sheet Inflation, label 'نرخ تسعیر ارز سال 93' (currency not written in the label; presumed EUR – verify).</t>
  </si>
  <si>
    <t>USD: 420,000 – Gachsaran4 sheet Procurement 'ارز مرجع' (PEP Rev. 1402/05).</t>
  </si>
  <si>
    <t>USD: 658,533 = cached external-link value used by Pazanan2 formulas (assumed IRR per USD; verify). EUR = USD x 1.0558 (cached ratio) – derived.</t>
  </si>
  <si>
    <t>EUR: 2,000,000 – Maroon3 sheet Inflation, label 'یورو به ریال' (1405 estimate). USD = EUR / 1.1 (same sheet) – derived.</t>
  </si>
  <si>
    <t>NOTES</t>
  </si>
  <si>
    <t>• Unit Price (EUR/USD/IRR) formulas in Master Database look up the Cost Year in this table: USD → IRR (column B) and EUR → IRR (column C); a year without a rate shows a message instead of a number.</t>
  </si>
  <si>
    <t>• Only 1392, 1393, 1402, 1404 and 1405 have a rate found in the project source files; yellow/blue cells are inputs, grey cells are not found in the sources – add if needed.</t>
  </si>
  <si>
    <t>• Where only one of the two rates is documented, the other is derived by formula from the EUR / USD ratio (1404: EUR = USD x ratio; 1405: USD = EUR / ratio) – see column E.</t>
  </si>
  <si>
    <t>• Unit Price (Reference) sits immediately next to Reference Currency in every sheet. Cost Years used in this Misc database: 1392 (Maroon 3 HVAC rollup and safety shower; EUR rate only), 1394 (KPL stripping / RO; no documented rate), 1402 (Gachsaran 4; USD rate only), 1405 (Maroon 3 HVAC rollup; both rates). Price-sample rows have no Cost Year, so their converted columns show a message.</t>
  </si>
  <si>
    <t>• Category (PKG / SEP / ACX / HVAC / SAF) and Sub-Category (PKG-STR, PKG-RO, PKG-PIG, SEP-OWS, SEP-SKM, ACX-AIR, HVAC-SYS, SAF-SHW) codes carry cell comments with the full names in Master Database and Executive Dashboard. v2 adds: PKG-EFF, PKG-WTR, PMP-WWP, TNK-SKM, VSL-SEP, SAF-PKG (comments on each code).</t>
  </si>
  <si>
    <t>• Gachsaran 4 (1402) prices are stored in IRR because the source cells are IRR (several are formulas of USD x 420,000). The 1402 row has only the USD rate, so EUR conversion of those records shows 'FX rate not entered for this year'.</t>
  </si>
  <si>
    <t>CHANGE LOG, VERIFICATION &amp; OPEN QUESTIONS</t>
  </si>
  <si>
    <t>New database built from the project reference files and MASTER_TAGS / SOURCES (587 tag records, 5 projects), using the Flare Price Bank (Flare_Price_Bank_Final_v2) as the structural template. Every priced value was re-read from the source workbook while building the file.</t>
  </si>
  <si>
    <t>A. Records created (no existing content was changed)</t>
  </si>
  <si>
    <t>Type</t>
  </si>
  <si>
    <t>Record</t>
  </si>
  <si>
    <t>Field</t>
  </si>
  <si>
    <t>Old value</t>
  </si>
  <si>
    <t>New value</t>
  </si>
  <si>
    <t>Evidence in reference files</t>
  </si>
  <si>
    <t>Added</t>
  </si>
  <si>
    <t>New record</t>
  </si>
  <si>
    <t>—</t>
  </si>
  <si>
    <t>KPL Stripping Package</t>
  </si>
  <si>
    <t>Sheet STRIPPER-B; tower tag T-143 A/B in cell F23; MASTER_TAGS category Package / Skid and Tower.</t>
  </si>
  <si>
    <t>KPL Stripper Towers (Include = N)</t>
  </si>
  <si>
    <t>Same sheet; price is inside PK-143.</t>
  </si>
  <si>
    <t>KPL Reverse Osmosis Package</t>
  </si>
  <si>
    <t>Sheet R.O.; installation sheet INS-PACK-C.</t>
  </si>
  <si>
    <t>Gachsaran 4</t>
  </si>
  <si>
    <t>P.ME row 113 (item 68); summary table row 141.</t>
  </si>
  <si>
    <t>Pig Launcher (sample)</t>
  </si>
  <si>
    <t>Price sample</t>
  </si>
  <si>
    <t>Sheet packages row 10; CSV row 65.</t>
  </si>
  <si>
    <t>Gachsaran 4 Oily Water Separator</t>
  </si>
  <si>
    <t>E.Process row 110 (process data sheet only).</t>
  </si>
  <si>
    <t>Gachsaran 4 Portable Skimmer</t>
  </si>
  <si>
    <t>E.Process row 127 (process data sheet only).</t>
  </si>
  <si>
    <t>Crude Aerial Cooler</t>
  </si>
  <si>
    <t>Sheet AIR COOLERS row 3; CSV row 43.</t>
  </si>
  <si>
    <t>HVAC items 66.1 to 66.8</t>
  </si>
  <si>
    <t>Gachsaran 4 (8 records)</t>
  </si>
  <si>
    <t>P.ME rows 84 to 91.</t>
  </si>
  <si>
    <t>HVAC rollups 1392 / 1405</t>
  </si>
  <si>
    <t>Maroon 3 (2 records)</t>
  </si>
  <si>
    <t>ME.p.1392 row 18; ME.P.1405 row 20.</t>
  </si>
  <si>
    <t>HVAC Works</t>
  </si>
  <si>
    <t>Price sample (Include = N)</t>
  </si>
  <si>
    <t>CSV construction section, row 128.</t>
  </si>
  <si>
    <t>Gachsaran 4 (7 No.), Maroon 3 1392 (5)</t>
  </si>
  <si>
    <t>P.ME row 102; SEFTY.p.1392 row 17.</t>
  </si>
  <si>
    <t>Lab Safety Shower &amp; Eyewash</t>
  </si>
  <si>
    <t>Maroon 3 and Gachsaran 4 (Include = N)</t>
  </si>
  <si>
    <t>p.lab.1392 row 28; P.LAB row 24.</t>
  </si>
  <si>
    <t>B. Verification of records vs. project reference files</t>
  </si>
  <si>
    <t>Tag</t>
  </si>
  <si>
    <t>What was checked</t>
  </si>
  <si>
    <t>Result</t>
  </si>
  <si>
    <t>KPL stripping</t>
  </si>
  <si>
    <t>Qty 1 Set; 9,000,000,000 IRR; EUR = 0; towers 2000 x 2500 / 800 x 5000 mm, 9000 mm total; 5 (F.V.) barg; -2 / 95 C; SA 516 Gr. 70; ASME VIII Div.1 &amp; IPS-G-ME-150</t>
  </si>
  <si>
    <t>Matches STRIPPER-B.</t>
  </si>
  <si>
    <t>KPL reverse osmosis</t>
  </si>
  <si>
    <t>Qty 1 Set; 800,000,000 IRR; EUR = 0; 1 m3/hr; back filters, RO unit, CIP, chemical injection, UV lamp</t>
  </si>
  <si>
    <t>Matches R.O.</t>
  </si>
  <si>
    <t>Pig</t>
  </si>
  <si>
    <t>1 SET; 94,500,000,000 IRR (= 225,000 USD x 420,000); freight 241,488,427.26 IRR</t>
  </si>
  <si>
    <t>Matches P.ME row 113.</t>
  </si>
  <si>
    <t>Pig / Air Cooler</t>
  </si>
  <si>
    <t>15,000 USD; 2,200,000 USD; air cooler duty, pressure, temperature, area, bays, fans, power</t>
  </si>
  <si>
    <t>Match xlsx and CSV (CSV rounds area and power).</t>
  </si>
  <si>
    <t>HVAC 66.1 to 66.8</t>
  </si>
  <si>
    <t>Eight IRR amounts; three are USD x 420,000 formulas (276,000, 336,000, 220,000 USD)</t>
  </si>
  <si>
    <t>Match P.ME rows 84 to 91. Their sum is 364,740,000,000 IRR.</t>
  </si>
  <si>
    <t>HVAC rollups</t>
  </si>
  <si>
    <t>Maroon 3</t>
  </si>
  <si>
    <t>1392 new-contract 8,425,000,000 IRR (old 2,625,392,658); 1405 419,475,728,208.74 IRR</t>
  </si>
  <si>
    <t>Match ME.p.1392 row 18 and ME.P.1405 row 20.</t>
  </si>
  <si>
    <t>Safety shower</t>
  </si>
  <si>
    <t>Gachsaran 4 / Maroon 3</t>
  </si>
  <si>
    <t>7 No. x 1,260,000,000 IRR (= 3,000 USD x 420,000); 5 x 31,500,000 IRR (helper 750 x 42,000 euro rate)</t>
  </si>
  <si>
    <t>Match P.ME row 102 and SEFTY.p.1392 row 17.</t>
  </si>
  <si>
    <t>SU-701 / X-704</t>
  </si>
  <si>
    <t>Searched every sheet of all six reference files for a price</t>
  </si>
  <si>
    <t>None found; price cells left Not Stated.</t>
  </si>
  <si>
    <t>C. Items searched but not added / out of scope</t>
  </si>
  <si>
    <t>Item</t>
  </si>
  <si>
    <t>Project</t>
  </si>
  <si>
    <t>Source</t>
  </si>
  <si>
    <t>Status</t>
  </si>
  <si>
    <t>Note</t>
  </si>
  <si>
    <t>P-148 A/B/C stripped waste water pumps</t>
  </si>
  <si>
    <t>KPL</t>
  </si>
  <si>
    <t>STRIPPER-B</t>
  </si>
  <si>
    <t>Added v2 (Include = N)</t>
  </si>
  <si>
    <t>Pumps out of scope; priced inside PK-143.</t>
  </si>
  <si>
    <t>OS-201 Oil Skimmer Tank</t>
  </si>
  <si>
    <t>P.ME row 26</t>
  </si>
  <si>
    <t>Updated v3 (stage 1: OS-201 verified)</t>
  </si>
  <si>
    <t>OS-201: 45,900 kg x 660,000 IRR/kg = 30,294,000,000 IRR (line total, verified). KPL skimmer tanks TK-132 / TK-142: 3,000,000,000 IRR each, Include = Y.</t>
  </si>
  <si>
    <t>OWS pumps P-703 / P-704 / P-750</t>
  </si>
  <si>
    <t>Gachsaran 4 / KPL</t>
  </si>
  <si>
    <t>P.ME rows 53, 54, 55</t>
  </si>
  <si>
    <t>Updated v3 (stage 1: priced, Include = Y)</t>
  </si>
  <si>
    <t>Gachsaran 4 P.ME rows 53-55 priced and split into three records (P-703 A/B, P-704 A/B, P-750).</t>
  </si>
  <si>
    <t>VESSELS row 3</t>
  </si>
  <si>
    <t>Updated v3 (stage 2: priced, Include = Y)</t>
  </si>
  <si>
    <t>6,500,000 USD from VESSELS row 3 (horizontal, ID 3000 x T/T 14000 mm, 27 barg, C.S). Cost year and quantity not stated.</t>
  </si>
  <si>
    <t>HVAC 66.9 / 66.10 (waste water and water treatment packages)</t>
  </si>
  <si>
    <t>P.ME rows 92, 93</t>
  </si>
  <si>
    <t>Added v2 (Include = Y)</t>
  </si>
  <si>
    <t>Sit under the HVAC group in P.ME but are process packages (3,600,000,000 and 2,500,000,000 IRR).</t>
  </si>
  <si>
    <t>Group rollups: HVAC, safety, pig</t>
  </si>
  <si>
    <t>P.ME summary rows 138, 140, 141</t>
  </si>
  <si>
    <t>Updated v3 (stage 3: amounts filled, Include = N)</t>
  </si>
  <si>
    <t>HVAC rollup 370,840,000,000 IRR (N); safety rollup 163,763,000,000 IRR (N); pig rollup 94,500,000,000 IRR (N).</t>
  </si>
  <si>
    <t>Safety &amp; Fire Fighting package</t>
  </si>
  <si>
    <t>CSV row 74</t>
  </si>
  <si>
    <t>1,800,000 USD lump sum for the whole fire and safety scope, not a shower line.</t>
  </si>
  <si>
    <t>Pazanan 2</t>
  </si>
  <si>
    <t>All sheets</t>
  </si>
  <si>
    <t>No records</t>
  </si>
  <si>
    <t>No air cooler, pig launcher, HVAC, separator or safety shower line found.</t>
  </si>
  <si>
    <t>D. Observations</t>
  </si>
  <si>
    <t>Topic</t>
  </si>
  <si>
    <t>Tags missing from MASTER_TAGS</t>
  </si>
  <si>
    <t>SU-701 and X-704 exist only as titles in E.Process (rows 110 and 127) of the Gachsaran 4 workbook and are not in MASTER_TAGS / SOURCES. Air Cooler, Pig, HVAC and Safety Shower categories are also absent from MASTER_TAGS.</t>
  </si>
  <si>
    <t>HVAC rollup reconciliation</t>
  </si>
  <si>
    <t>Gachsaran 4 HVAC summary of 370,840,000,000 IRR equals items 66.1 to 66.8 (364,740,000,000) plus the waste water (3,600,000,000) and water treatment (2,500,000,000) packages.</t>
  </si>
  <si>
    <t>Pig launcher scale</t>
  </si>
  <si>
    <t>Gachsaran 4 pig launcher and receiver (225,000 USD per set) vs. the sample launcher (15,000 USD, 16 / 12 in). Not reconciled: no size data for the Gachsaran 4 system.</t>
  </si>
  <si>
    <t>Currency reference</t>
  </si>
  <si>
    <t>Gachsaran 4 rows are IRR at 420,000 IRR/USD, matching the FX table (1402). 1394 (KPL) has no documented FX rate.</t>
  </si>
  <si>
    <t>Structure</t>
  </si>
  <si>
    <t>Same 28 columns, formulas, conditional formatting and dashboard as the Flare Price Bank. The Flare Pipelines sheet has no equivalent here because no Misc item needed a separate sheet. Only the flare file was supplied as structural reference; the compressor file mentioned was not available in this session.</t>
  </si>
  <si>
    <t>E. Update v2 - records added from section C (Change Log + chat request only; project reference files NOT opened)</t>
  </si>
  <si>
    <t>Evidence / status</t>
  </si>
  <si>
    <t>New record (Master row 28)</t>
  </si>
  <si>
    <t>Include = N</t>
  </si>
  <si>
    <t>Price: not stated / to fill. 91215-KPL-ME-RE-476_R03_MTO_and_Cost_Estimation_Report.xlsx (Sheet STRIPPER-B)</t>
  </si>
  <si>
    <t>Oily Water Separator Pumps P-703 / P-704 / P-750</t>
  </si>
  <si>
    <t>New record (Master row 29)</t>
  </si>
  <si>
    <t>Price: not stated / to fill. PEP-Rev.140205_عزيزيان_Gachsaran_4.xlsx (Sheet P.ME, rows 53, 54, 55)</t>
  </si>
  <si>
    <t>New record (Master row 30)</t>
  </si>
  <si>
    <t>Include = Y</t>
  </si>
  <si>
    <t>Price: 30,294,000,000 IRR. PEP-Rev.140205_عزيزيان_Gachsaran_4.xlsx (Sheet P.ME, row 26)</t>
  </si>
  <si>
    <t>Skimmer Tanks (KPL TANKS-A / TANKS-B)</t>
  </si>
  <si>
    <t>New record (Master row 31)</t>
  </si>
  <si>
    <t>Price: not stated / to fill. 91215-KPL-ME-RE-476_R03_MTO_and_Cost_Estimation_Report.xlsx (Sheets TANKS-A row 43, TANKS-B row 27)</t>
  </si>
  <si>
    <t>New record (Master row 32)</t>
  </si>
  <si>
    <t>Price: not stated / to fill. نمونه_قیمتی_نمک_زدایی_overall.xlsx (Sheet VESSELS, row 3)</t>
  </si>
  <si>
    <t>New record (Master row 33)</t>
  </si>
  <si>
    <t>Price: 3,600,000,000 IRR. PEP-Rev.140205_عزيزيان_Gachsaran_4.xlsx (Sheet P.ME, row 92)</t>
  </si>
  <si>
    <t>New record (Master row 34)</t>
  </si>
  <si>
    <t>Price: 2,500,000,000 IRR. PEP-Rev.140205_عزيزيان_Gachsaran_4.xlsx (Sheet P.ME, row 93)</t>
  </si>
  <si>
    <t>New record (Master row 35)</t>
  </si>
  <si>
    <t>Price: 370,840,000,000 IRR. PEP-Rev.140205_عزيزيان_Gachsaran_4.xlsx (Sheet P.ME, summary row 138)</t>
  </si>
  <si>
    <t>New record (Master row 36)</t>
  </si>
  <si>
    <t>Price: not stated / to fill. PEP-Rev.140205_عزيزيان_Gachsaran_4.xlsx (Sheet P.ME, summary row 140)</t>
  </si>
  <si>
    <t>New record (Master row 37)</t>
  </si>
  <si>
    <t>Price: not stated / to fill. PEP-Rev.140205_عزيزيان_Gachsaran_4.xlsx (Sheet P.ME, summary row 141)</t>
  </si>
  <si>
    <t>New record (Master row 38)</t>
  </si>
  <si>
    <t>Price: 1,800,000 USD. 18061405_Pump_only_CSV.csv (file row 74)</t>
  </si>
  <si>
    <t>Still needed from project files (access required)</t>
  </si>
  <si>
    <t>Open item 1</t>
  </si>
  <si>
    <t>No price gaps left from the original open list. Remaining: cost years of price-sample rows (left Not Stated by user); packages 66.9/66.10 basis check.</t>
  </si>
  <si>
    <t>Open item 2</t>
  </si>
  <si>
    <t>Packages 66.9 and 66.10: price basis/quantity still to verify in P.ME rows 92, 93. (OS-201 verified in v3.)</t>
  </si>
  <si>
    <t>Open item 3</t>
  </si>
  <si>
    <t>Other safety items (P.ME 67.1-67.19 hydrant, extinguishers, first aid etc.; SEFTY.p.1392), installation sheets (INS-PACK-B/C, C.mECHANICAL) and Pazanan 2: not in the Change Log, not added.</t>
  </si>
  <si>
    <t>F. Update v3 - Stage 1 (OWS pumps and KPL skimmer tanks; project reference files opened; installation costs excluded by instruction)</t>
  </si>
  <si>
    <t>Updated</t>
  </si>
  <si>
    <t>OS-201 (Master row 26)</t>
  </si>
  <si>
    <t>Quantity / Unit / Basis</t>
  </si>
  <si>
    <t>Not Stated; VERIFY</t>
  </si>
  <si>
    <t>1 No.; per-kg basis resolved</t>
  </si>
  <si>
    <t>P.ME row 26: G = 45,900 Kg, H = 660,000, K = 30,294,000,000 = G x H, so K is the line total. Weight and capacity filled.</t>
  </si>
  <si>
    <t>P-703 A/B (Master row 25)</t>
  </si>
  <si>
    <t>Prices</t>
  </si>
  <si>
    <t>Not Stated, Include = N</t>
  </si>
  <si>
    <t>2 x 13,215,061,000 IRR, Include = Y</t>
  </si>
  <si>
    <t>P.ME row 53. Unit price equals the water/water heat exchanger E-002 price: possible source copy error (flagged).</t>
  </si>
  <si>
    <t>P-704 A/B (Master row 35)</t>
  </si>
  <si>
    <t>2 x 15,949,212,000 IRR, Include = Y</t>
  </si>
  <si>
    <t>P.ME row 54.</t>
  </si>
  <si>
    <t>P-750 (Master row 36)</t>
  </si>
  <si>
    <t>1 x 6,083,485,000 IRR, Include = Y</t>
  </si>
  <si>
    <t>P.ME row 55.</t>
  </si>
  <si>
    <t>KPL Skimmer Tanks TK-132 / TK-142 (Master row 27)</t>
  </si>
  <si>
    <t>2 x 3,000,000,000 IRR, Include = Y</t>
  </si>
  <si>
    <t>TANKS-A (1) row 43 and TANKS-B (2) row 27; cost year 1394; design + raw material only.</t>
  </si>
  <si>
    <t>First Stage Separator (Master row 28)</t>
  </si>
  <si>
    <t>Price / Include</t>
  </si>
  <si>
    <t>6,500,000 USD, Include = Y</t>
  </si>
  <si>
    <t>Sheet VESSELS row 3 of the price sample (stage 2). Dimensions, pressure and material filled; no cost year, so no conversion to EUR/IRR.</t>
  </si>
  <si>
    <t>Stage 3 (rollups)</t>
  </si>
  <si>
    <t>Safety Group Rollup (Master row 32)</t>
  </si>
  <si>
    <t>Price</t>
  </si>
  <si>
    <t>163,763,000,000 IRR (Include = N)</t>
  </si>
  <si>
    <t>P.ME summary row 140. Items 67.1-67.19 sum to 163,762,195,576 IRR (diff ~0.8 million, rounding). Safety shower (67.8) is already in Master row 20.</t>
  </si>
  <si>
    <t>Pig Group Rollup (Master row 33)</t>
  </si>
  <si>
    <t>94,500,000,000 IRR (Include = N)</t>
  </si>
  <si>
    <t>P.ME summary row 141 = P.ME row 113 (item 68), already in Master row 8.</t>
  </si>
  <si>
    <t>Stage 4 (other safety items)</t>
  </si>
  <si>
    <t>Safety items P.ME 67.1-67.7, 67.9, 67.11-67.19 (Master rows 37-53)</t>
  </si>
  <si>
    <t>New records (17, Include = Y)</t>
  </si>
  <si>
    <t>Separate records, 1402, IRR</t>
  </si>
  <si>
    <t>Gachsaran 4 P.ME rows 95-112. Item 67.8 (shower) already in Master row 20; item 67.10 does not exist in the source. Their sum equals the safety rollup (Master row 32, Include = N) within rounding.</t>
  </si>
  <si>
    <t>Maroon 3 safety items priced in SEFTY.p.1392 (Master rows 54-63)</t>
  </si>
  <si>
    <t>New records (10: 9 Y, 1 N)</t>
  </si>
  <si>
    <t>Separate records, 1392, IRR</t>
  </si>
  <si>
    <t>Hydrants, extinguishers, first aid kit, fire shed (Y). CO2 total flooding (N): unit price entered but sheet total = 0.</t>
  </si>
  <si>
    <t>Maroon 3 unpriced safety items</t>
  </si>
  <si>
    <t>Not added</t>
  </si>
  <si>
    <t>Valves, deluge, wind sock, hose reel, emergency box, breathing apparatus, cabinet, stretcher, hose system, water spray, signs, axe, flashlight, breathing recovery: price cells are 0 or empty in SEFTY.p.1392.</t>
  </si>
  <si>
    <t>KPL fire water system</t>
  </si>
  <si>
    <t>Fire water tank (TANKS-C), fire water pumps/jockey/loading pumps (PUMPS-C) and crane exist in the KPL report; not requested in stage 4.</t>
  </si>
  <si>
    <t>Fire water system (KPL)</t>
  </si>
  <si>
    <t>KPL fire water system (Master rows 64-69)</t>
  </si>
  <si>
    <t>New records (6, Include = Y)</t>
  </si>
  <si>
    <t>TK-270 A/B 12,000,000,000 IRR; P-270 70,000 EUR; P-271 90,000 EUR; P-272 A/B 30,000 EUR; P-273 6,500 EUR; CN-271 950,000,000 IRR</t>
  </si>
  <si>
    <t>KPL report: TANKS-C row 27, PUMPS-C (2) rows 27 and 36, PUMPS-C (3) rows 19 and 28, CRANES (2) row 35. Pumps are EUR-priced (1394); other columns converted with the FX table 1394 rate.</t>
  </si>
  <si>
    <t>KPL (P-231/232/241/242) and Pazanan 2 (P-163/164/165) OWS pumps</t>
  </si>
  <si>
    <t>Decision by user: do not add.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</si>
</sst>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0"/>
  </numFmts>
  <fonts count="21" x14ac:knownFonts="1">
    <font>
      <sz val="11"/>
      <color theme="1"/>
      <name val="Calibri"/>
      <family val="2"/>
      <charset val="1"/>
    </font>
    <font>
      <b/>
      <sz val="16"/>
      <color rgb="FF1F3A5F"/>
      <name val="Arial"/>
      <charset val="1"/>
    </font>
    <font>
      <sz val="10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9"/>
      <name val="Arial"/>
      <charset val="1"/>
    </font>
    <font>
      <sz val="10"/>
      <name val="Arial"/>
      <family val="2"/>
    </font>
    <font>
      <b/>
      <sz val="14"/>
      <color rgb="FF1F3A5F"/>
      <name val="Arial"/>
      <charset val="1"/>
    </font>
    <font>
      <sz val="10"/>
      <color rgb="FF000000"/>
      <name val="Arial"/>
      <charset val="1"/>
    </font>
    <font>
      <sz val="10"/>
      <color rgb="FF808080"/>
      <name val="Arial"/>
      <charset val="1"/>
    </font>
    <font>
      <i/>
      <sz val="9"/>
      <color rgb="FFC00000"/>
      <name val="Arial"/>
      <charset val="1"/>
    </font>
    <font>
      <i/>
      <sz val="10"/>
      <color rgb="FF808080"/>
      <name val="Arial"/>
      <charset val="1"/>
    </font>
    <font>
      <sz val="10"/>
      <color rgb="FF0000FF"/>
      <name val="Arial"/>
      <charset val="1"/>
    </font>
    <font>
      <b/>
      <sz val="11"/>
      <color rgb="FF1F3A5F"/>
      <name val="Arial"/>
      <charset val="1"/>
    </font>
    <font>
      <sz val="11"/>
      <color theme="1"/>
      <name val="Calibri"/>
      <family val="2"/>
      <charset val="1"/>
    </font>
    <font>
      <b/>
      <sz val="16"/>
      <color rgb="FF1F3A5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BF1F8"/>
        <bgColor rgb="FFF2F5F8"/>
      </patternFill>
    </fill>
    <fill>
      <patternFill patternType="solid">
        <fgColor rgb="FFF2F5F8"/>
        <bgColor rgb="FFEBF1F8"/>
      </patternFill>
    </fill>
    <fill>
      <patternFill patternType="solid">
        <fgColor rgb="FFE2EFDA"/>
        <bgColor rgb="FFEBF1F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17" fillId="0" borderId="0"/>
    <xf numFmtId="0" fontId="17" fillId="0" borderId="0"/>
  </cellStyleXfs>
  <cellXfs count="39">
    <xf numFmtId="0" fontId="0" fillId="0" borderId="0" xfId="0"/>
    <xf numFmtId="0" fontId="2" fillId="0" borderId="4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7" fillId="4" borderId="1" xfId="0" applyFont="1" applyFill="1" applyBorder="1"/>
    <xf numFmtId="3" fontId="1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3" fontId="7" fillId="4" borderId="1" xfId="0" applyNumberFormat="1" applyFont="1" applyFill="1" applyBorder="1"/>
    <xf numFmtId="0" fontId="7" fillId="0" borderId="0" xfId="0" applyFont="1"/>
    <xf numFmtId="0" fontId="10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/>
    </xf>
    <xf numFmtId="0" fontId="11" fillId="0" borderId="2" xfId="0" applyFont="1" applyBorder="1" applyAlignment="1">
      <alignment horizontal="left" vertical="top" wrapText="1"/>
    </xf>
    <xf numFmtId="3" fontId="11" fillId="0" borderId="2" xfId="0" applyNumberFormat="1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1" fillId="4" borderId="2" xfId="0" applyFont="1" applyFill="1" applyBorder="1" applyAlignment="1">
      <alignment horizontal="left" vertical="top" wrapText="1"/>
    </xf>
    <xf numFmtId="0" fontId="11" fillId="5" borderId="2" xfId="0" applyFont="1" applyFill="1" applyBorder="1" applyAlignment="1">
      <alignment horizontal="left" vertical="top" wrapText="1"/>
    </xf>
    <xf numFmtId="4" fontId="2" fillId="0" borderId="2" xfId="0" applyNumberFormat="1" applyFont="1" applyBorder="1" applyAlignment="1">
      <alignment horizontal="left" vertical="top" wrapText="1"/>
    </xf>
    <xf numFmtId="0" fontId="13" fillId="0" borderId="0" xfId="0" applyFont="1"/>
    <xf numFmtId="0" fontId="2" fillId="0" borderId="1" xfId="0" applyFont="1" applyBorder="1" applyAlignment="1">
      <alignment horizontal="center"/>
    </xf>
    <xf numFmtId="164" fontId="12" fillId="6" borderId="1" xfId="0" applyNumberFormat="1" applyFont="1" applyFill="1" applyBorder="1"/>
    <xf numFmtId="0" fontId="14" fillId="0" borderId="1" xfId="0" applyFont="1" applyBorder="1" applyAlignment="1">
      <alignment horizontal="left" vertical="top" wrapText="1"/>
    </xf>
    <xf numFmtId="164" fontId="15" fillId="6" borderId="1" xfId="0" applyNumberFormat="1" applyFont="1" applyFill="1" applyBorder="1"/>
    <xf numFmtId="0" fontId="11" fillId="0" borderId="1" xfId="0" applyFont="1" applyBorder="1" applyAlignment="1">
      <alignment horizontal="left" vertical="top" wrapText="1"/>
    </xf>
    <xf numFmtId="165" fontId="0" fillId="0" borderId="0" xfId="0" applyNumberFormat="1"/>
    <xf numFmtId="0" fontId="8" fillId="0" borderId="0" xfId="0" applyFont="1"/>
    <xf numFmtId="0" fontId="16" fillId="0" borderId="0" xfId="0" applyFont="1"/>
    <xf numFmtId="0" fontId="4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3" fontId="2" fillId="0" borderId="2" xfId="0" applyNumberFormat="1" applyFont="1" applyBorder="1" applyAlignment="1">
      <alignment horizontal="left" vertical="top" wrapText="1"/>
    </xf>
    <xf numFmtId="0" fontId="18" fillId="0" borderId="0" xfId="0" applyFont="1"/>
    <xf numFmtId="0" fontId="6" fillId="2" borderId="1" xfId="0" applyFont="1" applyFill="1" applyBorder="1" applyAlignment="1">
      <alignment horizontal="right" vertical="center" wrapText="1"/>
    </xf>
  </cellXfs>
  <cellStyles count="3">
    <cellStyle name="Normal" xfId="0" builtinId="0"/>
    <cellStyle name="Normal 2" xfId="1" xr:uid="{00000000-0005-0000-0000-000006000000}"/>
    <cellStyle name="Normal 3" xfId="2" xr:uid="{00000000-0005-0000-0000-000007000000}"/>
  </cellStyles>
  <dxfs count="2">
    <dxf>
      <fill>
        <patternFill>
          <bgColor rgb="FFFCE4D6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5F8"/>
      <rgbColor rgb="FFEBF1F8"/>
      <rgbColor rgb="FF660066"/>
      <rgbColor rgb="FFFF8080"/>
      <rgbColor rgb="FF0066CC"/>
      <rgbColor rgb="FFBFC7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J45"/>
  <sheetViews>
    <sheetView showGridLines="0" tabSelected="1" topLeftCell="A3" zoomScaleNormal="100" workbookViewId="0">
      <selection activeCell="E5" sqref="E5:F5"/>
    </sheetView>
  </sheetViews>
  <sheetFormatPr defaultColWidth="8.7109375" defaultRowHeight="15" x14ac:dyDescent="0.25"/>
  <cols>
    <col min="1" max="1" width="14" customWidth="1"/>
    <col min="2" max="2" width="43.42578125" customWidth="1"/>
    <col min="3" max="5" width="12" customWidth="1"/>
    <col min="6" max="6" width="14" customWidth="1"/>
    <col min="7" max="8" width="10" customWidth="1"/>
  </cols>
  <sheetData>
    <row r="1" spans="1:10" ht="20.25" customHeight="1" x14ac:dyDescent="0.3">
      <c r="A1" s="3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5" customHeight="1" x14ac:dyDescent="0.25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ht="15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 ht="30" customHeight="1" x14ac:dyDescent="0.25">
      <c r="A4" s="7" t="s">
        <v>2</v>
      </c>
      <c r="B4" s="7"/>
      <c r="C4" s="7" t="s">
        <v>3</v>
      </c>
      <c r="D4" s="7"/>
      <c r="E4" s="7" t="s">
        <v>4</v>
      </c>
      <c r="F4" s="7"/>
      <c r="G4" s="7" t="s">
        <v>5</v>
      </c>
      <c r="H4" s="7"/>
      <c r="I4" s="8"/>
      <c r="J4" s="8"/>
    </row>
    <row r="5" spans="1:10" ht="37.5" customHeight="1" x14ac:dyDescent="0.25">
      <c r="A5" s="6">
        <f>SUMPRODUCT(('Master Database'!$AB$5:$AB$100="Y")*(LEFT('Master Database'!$D$5:$D$100,1)&lt;&gt;"("))</f>
        <v>15</v>
      </c>
      <c r="B5" s="6"/>
      <c r="C5" s="6">
        <f>COUNTIF('Master Database'!$AB$5:$AB$100,"Y")</f>
        <v>60</v>
      </c>
      <c r="D5" s="6"/>
      <c r="E5" s="6">
        <f>SUMIF('Master Database'!$AB$5:$AB$100,"Y",'Master Database'!$G$5:$G$100)</f>
        <v>586</v>
      </c>
      <c r="F5" s="6"/>
      <c r="G5" s="6">
        <f>COUNTA('Master Database'!$A$5:$A$100)</f>
        <v>69</v>
      </c>
      <c r="H5" s="6"/>
      <c r="I5" s="8"/>
      <c r="J5" s="8"/>
    </row>
    <row r="6" spans="1:10" ht="1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ht="15" customHeight="1" x14ac:dyDescent="0.25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ht="15" customHeight="1" x14ac:dyDescent="0.25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 ht="15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ht="15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ht="15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ht="15.75" customHeight="1" x14ac:dyDescent="0.25">
      <c r="A12" s="10" t="s">
        <v>6</v>
      </c>
    </row>
    <row r="13" spans="1:10" ht="30" customHeight="1" x14ac:dyDescent="0.25">
      <c r="A13" s="11" t="s">
        <v>7</v>
      </c>
      <c r="B13" s="11" t="s">
        <v>8</v>
      </c>
      <c r="C13" s="11" t="s">
        <v>9</v>
      </c>
      <c r="D13" s="38" t="s">
        <v>10</v>
      </c>
      <c r="E13" s="11" t="s">
        <v>11</v>
      </c>
      <c r="F13" s="11" t="s">
        <v>12</v>
      </c>
    </row>
    <row r="14" spans="1:10" ht="15" customHeight="1" x14ac:dyDescent="0.25">
      <c r="A14" s="12" t="s">
        <v>13</v>
      </c>
      <c r="B14" s="12" t="s">
        <v>14</v>
      </c>
      <c r="C14" s="13">
        <f>SUMPRODUCT(('Master Database'!$F$5:$F$100=A14)*('Master Database'!$AB$5:$AB$100="Y")*(LEFT('Master Database'!$D$5:$D$100,1)&lt;&gt;"("))</f>
        <v>1</v>
      </c>
      <c r="D14" s="13">
        <f>COUNTIFS('Master Database'!$F$5:$F$100,A14,'Master Database'!$AB$5:$AB$100,"Y")</f>
        <v>1</v>
      </c>
      <c r="E14" s="13">
        <f>SUMIFS('Master Database'!$G$5:$G$100,'Master Database'!$F$5:$F$100,A14,'Master Database'!$AB$5:$AB$100,"Y")</f>
        <v>1</v>
      </c>
      <c r="F14" s="13">
        <f>COUNTIFS('Master Database'!$F$5:$F$100,A14,'Master Database'!$AB$5:$AB$100,"N")</f>
        <v>1</v>
      </c>
    </row>
    <row r="15" spans="1:10" ht="15" customHeight="1" x14ac:dyDescent="0.25">
      <c r="A15" s="12" t="s">
        <v>15</v>
      </c>
      <c r="B15" s="12" t="s">
        <v>16</v>
      </c>
      <c r="C15" s="13">
        <f>SUMPRODUCT(('Master Database'!$F$5:$F$100=A15)*('Master Database'!$AB$5:$AB$100="Y")*(LEFT('Master Database'!$D$5:$D$100,1)&lt;&gt;"("))</f>
        <v>1</v>
      </c>
      <c r="D15" s="13">
        <f>COUNTIFS('Master Database'!$F$5:$F$100,A15,'Master Database'!$AB$5:$AB$100,"Y")</f>
        <v>1</v>
      </c>
      <c r="E15" s="13">
        <f>SUMIFS('Master Database'!$G$5:$G$100,'Master Database'!$F$5:$F$100,A15,'Master Database'!$AB$5:$AB$100,"Y")</f>
        <v>1</v>
      </c>
      <c r="F15" s="13">
        <f>COUNTIFS('Master Database'!$F$5:$F$100,A15,'Master Database'!$AB$5:$AB$100,"N")</f>
        <v>0</v>
      </c>
    </row>
    <row r="16" spans="1:10" ht="15" customHeight="1" x14ac:dyDescent="0.25">
      <c r="A16" s="12" t="s">
        <v>17</v>
      </c>
      <c r="B16" s="12" t="s">
        <v>18</v>
      </c>
      <c r="C16" s="13">
        <f>SUMPRODUCT(('Master Database'!$F$5:$F$100=A16)*('Master Database'!$AB$5:$AB$100="Y")*(LEFT('Master Database'!$D$5:$D$100,1)&lt;&gt;"("))</f>
        <v>0</v>
      </c>
      <c r="D16" s="13">
        <f>COUNTIFS('Master Database'!$F$5:$F$100,A16,'Master Database'!$AB$5:$AB$100,"Y")</f>
        <v>2</v>
      </c>
      <c r="E16" s="13">
        <f>SUMIFS('Master Database'!$G$5:$G$100,'Master Database'!$F$5:$F$100,A16,'Master Database'!$AB$5:$AB$100,"Y")</f>
        <v>1</v>
      </c>
      <c r="F16" s="13">
        <f>COUNTIFS('Master Database'!$F$5:$F$100,A16,'Master Database'!$AB$5:$AB$100,"N")</f>
        <v>1</v>
      </c>
    </row>
    <row r="17" spans="1:6" ht="15" customHeight="1" x14ac:dyDescent="0.25">
      <c r="A17" s="12" t="s">
        <v>19</v>
      </c>
      <c r="B17" s="12" t="s">
        <v>20</v>
      </c>
      <c r="C17" s="13">
        <f>SUMPRODUCT(('Master Database'!$F$5:$F$100=A17)*('Master Database'!$AB$5:$AB$100="Y")*(LEFT('Master Database'!$D$5:$D$100,1)&lt;&gt;"("))</f>
        <v>1</v>
      </c>
      <c r="D17" s="13">
        <f>COUNTIFS('Master Database'!$F$5:$F$100,A17,'Master Database'!$AB$5:$AB$100,"Y")</f>
        <v>1</v>
      </c>
      <c r="E17" s="13">
        <f>SUMIFS('Master Database'!$G$5:$G$100,'Master Database'!$F$5:$F$100,A17,'Master Database'!$AB$5:$AB$100,"Y")</f>
        <v>0</v>
      </c>
      <c r="F17" s="13">
        <f>COUNTIFS('Master Database'!$F$5:$F$100,A17,'Master Database'!$AB$5:$AB$100,"N")</f>
        <v>0</v>
      </c>
    </row>
    <row r="18" spans="1:6" ht="15" customHeight="1" x14ac:dyDescent="0.25">
      <c r="A18" s="12" t="s">
        <v>21</v>
      </c>
      <c r="B18" s="12" t="s">
        <v>22</v>
      </c>
      <c r="C18" s="13">
        <f>SUMPRODUCT(('Master Database'!$F$5:$F$100=A18)*('Master Database'!$AB$5:$AB$100="Y")*(LEFT('Master Database'!$D$5:$D$100,1)&lt;&gt;"("))</f>
        <v>1</v>
      </c>
      <c r="D18" s="13">
        <f>COUNTIFS('Master Database'!$F$5:$F$100,A18,'Master Database'!$AB$5:$AB$100,"Y")</f>
        <v>1</v>
      </c>
      <c r="E18" s="13">
        <f>SUMIFS('Master Database'!$G$5:$G$100,'Master Database'!$F$5:$F$100,A18,'Master Database'!$AB$5:$AB$100,"Y")</f>
        <v>0</v>
      </c>
      <c r="F18" s="13">
        <f>COUNTIFS('Master Database'!$F$5:$F$100,A18,'Master Database'!$AB$5:$AB$100,"N")</f>
        <v>0</v>
      </c>
    </row>
    <row r="19" spans="1:6" ht="15" customHeight="1" x14ac:dyDescent="0.25">
      <c r="A19" s="12" t="s">
        <v>23</v>
      </c>
      <c r="B19" s="12" t="s">
        <v>24</v>
      </c>
      <c r="C19" s="13">
        <f>SUMPRODUCT(('Master Database'!$F$5:$F$100=A19)*('Master Database'!$AB$5:$AB$100="Y")*(LEFT('Master Database'!$D$5:$D$100,1)&lt;&gt;"("))</f>
        <v>0</v>
      </c>
      <c r="D19" s="13">
        <f>COUNTIFS('Master Database'!$F$5:$F$100,A19,'Master Database'!$AB$5:$AB$100,"Y")</f>
        <v>1</v>
      </c>
      <c r="E19" s="13">
        <f>SUMIFS('Master Database'!$G$5:$G$100,'Master Database'!$F$5:$F$100,A19,'Master Database'!$AB$5:$AB$100,"Y")</f>
        <v>0</v>
      </c>
      <c r="F19" s="13">
        <f>COUNTIFS('Master Database'!$F$5:$F$100,A19,'Master Database'!$AB$5:$AB$100,"N")</f>
        <v>0</v>
      </c>
    </row>
    <row r="20" spans="1:6" ht="15" customHeight="1" x14ac:dyDescent="0.25">
      <c r="A20" s="12" t="s">
        <v>25</v>
      </c>
      <c r="B20" s="12" t="s">
        <v>26</v>
      </c>
      <c r="C20" s="13">
        <f>SUMPRODUCT(('Master Database'!$F$5:$F$100=A20)*('Master Database'!$AB$5:$AB$100="Y")*(LEFT('Master Database'!$D$5:$D$100,1)&lt;&gt;"("))</f>
        <v>0</v>
      </c>
      <c r="D20" s="13">
        <f>COUNTIFS('Master Database'!$F$5:$F$100,A20,'Master Database'!$AB$5:$AB$100,"Y")</f>
        <v>10</v>
      </c>
      <c r="E20" s="13">
        <f>SUMIFS('Master Database'!$G$5:$G$100,'Master Database'!$F$5:$F$100,A20,'Master Database'!$AB$5:$AB$100,"Y")</f>
        <v>8</v>
      </c>
      <c r="F20" s="13">
        <f>COUNTIFS('Master Database'!$F$5:$F$100,A20,'Master Database'!$AB$5:$AB$100,"N")</f>
        <v>2</v>
      </c>
    </row>
    <row r="21" spans="1:6" ht="15" customHeight="1" x14ac:dyDescent="0.25">
      <c r="A21" s="12" t="s">
        <v>27</v>
      </c>
      <c r="B21" s="12" t="s">
        <v>28</v>
      </c>
      <c r="C21" s="13">
        <f>SUMPRODUCT(('Master Database'!$F$5:$F$100=A21)*('Master Database'!$AB$5:$AB$100="Y")*(LEFT('Master Database'!$D$5:$D$100,1)&lt;&gt;"("))</f>
        <v>0</v>
      </c>
      <c r="D21" s="13">
        <f>COUNTIFS('Master Database'!$F$5:$F$100,A21,'Master Database'!$AB$5:$AB$100,"Y")</f>
        <v>2</v>
      </c>
      <c r="E21" s="13">
        <f>SUMIFS('Master Database'!$G$5:$G$100,'Master Database'!$F$5:$F$100,A21,'Master Database'!$AB$5:$AB$100,"Y")</f>
        <v>12</v>
      </c>
      <c r="F21" s="13">
        <f>COUNTIFS('Master Database'!$F$5:$F$100,A21,'Master Database'!$AB$5:$AB$100,"N")</f>
        <v>2</v>
      </c>
    </row>
    <row r="22" spans="1:6" ht="15" customHeight="1" x14ac:dyDescent="0.25">
      <c r="A22" s="12" t="s">
        <v>29</v>
      </c>
      <c r="B22" s="12" t="s">
        <v>30</v>
      </c>
      <c r="C22" s="13">
        <f>SUMPRODUCT(('Master Database'!$F$5:$F$100=A22)*('Master Database'!$AB$5:$AB$100="Y")*(LEFT('Master Database'!$D$5:$D$100,1)&lt;&gt;"("))</f>
        <v>0</v>
      </c>
      <c r="D22" s="13">
        <f>COUNTIFS('Master Database'!$F$5:$F$100,A22,'Master Database'!$AB$5:$AB$100,"Y")</f>
        <v>1</v>
      </c>
      <c r="E22" s="13">
        <f>SUMIFS('Master Database'!$G$5:$G$100,'Master Database'!$F$5:$F$100,A22,'Master Database'!$AB$5:$AB$100,"Y")</f>
        <v>0</v>
      </c>
      <c r="F22" s="13">
        <f>COUNTIFS('Master Database'!$F$5:$F$100,A22,'Master Database'!$AB$5:$AB$100,"N")</f>
        <v>0</v>
      </c>
    </row>
    <row r="23" spans="1:6" ht="15" customHeight="1" x14ac:dyDescent="0.25">
      <c r="A23" s="12" t="s">
        <v>31</v>
      </c>
      <c r="B23" s="12" t="s">
        <v>32</v>
      </c>
      <c r="C23" s="13">
        <f>SUMPRODUCT(('Master Database'!$F$5:$F$100=A23)*('Master Database'!$AB$5:$AB$100="Y")*(LEFT('Master Database'!$D$5:$D$100,1)&lt;&gt;"("))</f>
        <v>0</v>
      </c>
      <c r="D23" s="13">
        <f>COUNTIFS('Master Database'!$F$5:$F$100,A23,'Master Database'!$AB$5:$AB$100,"Y")</f>
        <v>1</v>
      </c>
      <c r="E23" s="13">
        <f>SUMIFS('Master Database'!$G$5:$G$100,'Master Database'!$F$5:$F$100,A23,'Master Database'!$AB$5:$AB$100,"Y")</f>
        <v>0</v>
      </c>
      <c r="F23" s="13">
        <f>COUNTIFS('Master Database'!$F$5:$F$100,A23,'Master Database'!$AB$5:$AB$100,"N")</f>
        <v>0</v>
      </c>
    </row>
    <row r="24" spans="1:6" ht="15" customHeight="1" x14ac:dyDescent="0.25">
      <c r="A24" s="12" t="s">
        <v>33</v>
      </c>
      <c r="B24" s="12" t="s">
        <v>34</v>
      </c>
      <c r="C24" s="13">
        <f>SUMPRODUCT(('Master Database'!$F$5:$F$100=A24)*('Master Database'!$AB$5:$AB$100="Y")*(LEFT('Master Database'!$D$5:$D$100,1)&lt;&gt;"("))</f>
        <v>3</v>
      </c>
      <c r="D24" s="13">
        <f>COUNTIFS('Master Database'!$F$5:$F$100,A24,'Master Database'!$AB$5:$AB$100,"Y")</f>
        <v>3</v>
      </c>
      <c r="E24" s="13">
        <f>SUMIFS('Master Database'!$G$5:$G$100,'Master Database'!$F$5:$F$100,A24,'Master Database'!$AB$5:$AB$100,"Y")</f>
        <v>5</v>
      </c>
      <c r="F24" s="13">
        <f>COUNTIFS('Master Database'!$F$5:$F$100,A24,'Master Database'!$AB$5:$AB$100,"N")</f>
        <v>1</v>
      </c>
    </row>
    <row r="25" spans="1:6" ht="15" customHeight="1" x14ac:dyDescent="0.25">
      <c r="A25" s="12" t="s">
        <v>35</v>
      </c>
      <c r="B25" s="12" t="s">
        <v>36</v>
      </c>
      <c r="C25" s="13">
        <f>SUMPRODUCT(('Master Database'!$F$5:$F$100=A25)*('Master Database'!$AB$5:$AB$100="Y")*(LEFT('Master Database'!$D$5:$D$100,1)&lt;&gt;"("))</f>
        <v>2</v>
      </c>
      <c r="D25" s="13">
        <f>COUNTIFS('Master Database'!$F$5:$F$100,A25,'Master Database'!$AB$5:$AB$100,"Y")</f>
        <v>2</v>
      </c>
      <c r="E25" s="13">
        <f>SUMIFS('Master Database'!$G$5:$G$100,'Master Database'!$F$5:$F$100,A25,'Master Database'!$AB$5:$AB$100,"Y")</f>
        <v>3</v>
      </c>
      <c r="F25" s="13">
        <f>COUNTIFS('Master Database'!$F$5:$F$100,A25,'Master Database'!$AB$5:$AB$100,"N")</f>
        <v>0</v>
      </c>
    </row>
    <row r="26" spans="1:6" ht="15" customHeight="1" x14ac:dyDescent="0.25">
      <c r="A26" s="12" t="s">
        <v>37</v>
      </c>
      <c r="B26" s="12" t="s">
        <v>38</v>
      </c>
      <c r="C26" s="13">
        <f>SUMPRODUCT(('Master Database'!$F$5:$F$100=A26)*('Master Database'!$AB$5:$AB$100="Y")*(LEFT('Master Database'!$D$5:$D$100,1)&lt;&gt;"("))</f>
        <v>0</v>
      </c>
      <c r="D26" s="13">
        <f>COUNTIFS('Master Database'!$F$5:$F$100,A26,'Master Database'!$AB$5:$AB$100,"Y")</f>
        <v>1</v>
      </c>
      <c r="E26" s="13">
        <f>SUMIFS('Master Database'!$G$5:$G$100,'Master Database'!$F$5:$F$100,A26,'Master Database'!$AB$5:$AB$100,"Y")</f>
        <v>0</v>
      </c>
      <c r="F26" s="13">
        <f>COUNTIFS('Master Database'!$F$5:$F$100,A26,'Master Database'!$AB$5:$AB$100,"N")</f>
        <v>0</v>
      </c>
    </row>
    <row r="27" spans="1:6" ht="15" customHeight="1" x14ac:dyDescent="0.25">
      <c r="A27" s="12" t="s">
        <v>39</v>
      </c>
      <c r="B27" s="12" t="s">
        <v>40</v>
      </c>
      <c r="C27" s="13">
        <f>SUMPRODUCT(('Master Database'!$F$5:$F$100=A27)*('Master Database'!$AB$5:$AB$100="Y")*(LEFT('Master Database'!$D$5:$D$100,1)&lt;&gt;"("))</f>
        <v>0</v>
      </c>
      <c r="D27" s="13">
        <f>COUNTIFS('Master Database'!$F$5:$F$100,A27,'Master Database'!$AB$5:$AB$100,"Y")</f>
        <v>1</v>
      </c>
      <c r="E27" s="13">
        <f>SUMIFS('Master Database'!$G$5:$G$100,'Master Database'!$F$5:$F$100,A27,'Master Database'!$AB$5:$AB$100,"Y")</f>
        <v>1</v>
      </c>
      <c r="F27" s="13">
        <f>COUNTIFS('Master Database'!$F$5:$F$100,A27,'Master Database'!$AB$5:$AB$100,"N")</f>
        <v>1</v>
      </c>
    </row>
    <row r="28" spans="1:6" ht="15" customHeight="1" x14ac:dyDescent="0.25">
      <c r="A28" s="12" t="s">
        <v>41</v>
      </c>
      <c r="B28" s="12" t="s">
        <v>42</v>
      </c>
      <c r="C28" s="13">
        <f>SUMPRODUCT(('Master Database'!$F$5:$F$100=A28)*('Master Database'!$AB$5:$AB$100="Y")*(LEFT('Master Database'!$D$5:$D$100,1)&lt;&gt;"("))</f>
        <v>0</v>
      </c>
      <c r="D28" s="13">
        <f>COUNTIFS('Master Database'!$F$5:$F$100,A28,'Master Database'!$AB$5:$AB$100,"Y")</f>
        <v>7</v>
      </c>
      <c r="E28" s="13">
        <f>SUMIFS('Master Database'!$G$5:$G$100,'Master Database'!$F$5:$F$100,A28,'Master Database'!$AB$5:$AB$100,"Y")</f>
        <v>91</v>
      </c>
      <c r="F28" s="13">
        <f>COUNTIFS('Master Database'!$F$5:$F$100,A28,'Master Database'!$AB$5:$AB$100,"N")</f>
        <v>0</v>
      </c>
    </row>
    <row r="29" spans="1:6" ht="15" customHeight="1" x14ac:dyDescent="0.25">
      <c r="A29" s="12" t="s">
        <v>43</v>
      </c>
      <c r="B29" s="12" t="s">
        <v>44</v>
      </c>
      <c r="C29" s="13">
        <f>SUMPRODUCT(('Master Database'!$F$5:$F$100=A29)*('Master Database'!$AB$5:$AB$100="Y")*(LEFT('Master Database'!$D$5:$D$100,1)&lt;&gt;"("))</f>
        <v>0</v>
      </c>
      <c r="D29" s="13">
        <f>COUNTIFS('Master Database'!$F$5:$F$100,A29,'Master Database'!$AB$5:$AB$100,"Y")</f>
        <v>10</v>
      </c>
      <c r="E29" s="13">
        <f>SUMIFS('Master Database'!$G$5:$G$100,'Master Database'!$F$5:$F$100,A29,'Master Database'!$AB$5:$AB$100,"Y")</f>
        <v>186</v>
      </c>
      <c r="F29" s="13">
        <f>COUNTIFS('Master Database'!$F$5:$F$100,A29,'Master Database'!$AB$5:$AB$100,"N")</f>
        <v>0</v>
      </c>
    </row>
    <row r="30" spans="1:6" ht="15" customHeight="1" x14ac:dyDescent="0.25">
      <c r="A30" s="12" t="s">
        <v>45</v>
      </c>
      <c r="B30" s="12" t="s">
        <v>46</v>
      </c>
      <c r="C30" s="13">
        <f>SUMPRODUCT(('Master Database'!$F$5:$F$100=A30)*('Master Database'!$AB$5:$AB$100="Y")*(LEFT('Master Database'!$D$5:$D$100,1)&lt;&gt;"("))</f>
        <v>0</v>
      </c>
      <c r="D30" s="13">
        <f>COUNTIFS('Master Database'!$F$5:$F$100,A30,'Master Database'!$AB$5:$AB$100,"Y")</f>
        <v>9</v>
      </c>
      <c r="E30" s="13">
        <f>SUMIFS('Master Database'!$G$5:$G$100,'Master Database'!$F$5:$F$100,A30,'Master Database'!$AB$5:$AB$100,"Y")</f>
        <v>269</v>
      </c>
      <c r="F30" s="13">
        <f>COUNTIFS('Master Database'!$F$5:$F$100,A30,'Master Database'!$AB$5:$AB$100,"N")</f>
        <v>1</v>
      </c>
    </row>
    <row r="31" spans="1:6" ht="15" customHeight="1" x14ac:dyDescent="0.25">
      <c r="A31" s="12" t="s">
        <v>47</v>
      </c>
      <c r="B31" s="12" t="s">
        <v>48</v>
      </c>
      <c r="C31" s="13">
        <f>SUMPRODUCT(('Master Database'!$F$5:$F$100=A31)*('Master Database'!$AB$5:$AB$100="Y")*(LEFT('Master Database'!$D$5:$D$100,1)&lt;&gt;"("))</f>
        <v>1</v>
      </c>
      <c r="D31" s="13">
        <f>COUNTIFS('Master Database'!$F$5:$F$100,A31,'Master Database'!$AB$5:$AB$100,"Y")</f>
        <v>1</v>
      </c>
      <c r="E31" s="13">
        <f>SUMIFS('Master Database'!$G$5:$G$100,'Master Database'!$F$5:$F$100,A31,'Master Database'!$AB$5:$AB$100,"Y")</f>
        <v>2</v>
      </c>
      <c r="F31" s="13">
        <f>COUNTIFS('Master Database'!$F$5:$F$100,A31,'Master Database'!$AB$5:$AB$100,"N")</f>
        <v>0</v>
      </c>
    </row>
    <row r="32" spans="1:6" ht="15" customHeight="1" x14ac:dyDescent="0.25">
      <c r="A32" s="12" t="s">
        <v>49</v>
      </c>
      <c r="B32" s="12" t="s">
        <v>50</v>
      </c>
      <c r="C32" s="13">
        <f>SUMPRODUCT(('Master Database'!$F$5:$F$100=A32)*('Master Database'!$AB$5:$AB$100="Y")*(LEFT('Master Database'!$D$5:$D$100,1)&lt;&gt;"("))</f>
        <v>4</v>
      </c>
      <c r="D32" s="13">
        <f>COUNTIFS('Master Database'!$F$5:$F$100,A32,'Master Database'!$AB$5:$AB$100,"Y")</f>
        <v>4</v>
      </c>
      <c r="E32" s="13">
        <f>SUMIFS('Master Database'!$G$5:$G$100,'Master Database'!$F$5:$F$100,A32,'Master Database'!$AB$5:$AB$100,"Y")</f>
        <v>5</v>
      </c>
      <c r="F32" s="13">
        <f>COUNTIFS('Master Database'!$F$5:$F$100,A32,'Master Database'!$AB$5:$AB$100,"N")</f>
        <v>0</v>
      </c>
    </row>
    <row r="33" spans="1:8" ht="15" customHeight="1" x14ac:dyDescent="0.25">
      <c r="A33" s="12" t="s">
        <v>51</v>
      </c>
      <c r="B33" s="12" t="s">
        <v>52</v>
      </c>
      <c r="C33" s="13">
        <f>SUMPRODUCT(('Master Database'!$F$5:$F$100=A33)*('Master Database'!$AB$5:$AB$100="Y")*(LEFT('Master Database'!$D$5:$D$100,1)&lt;&gt;"("))</f>
        <v>1</v>
      </c>
      <c r="D33" s="13">
        <f>COUNTIFS('Master Database'!$F$5:$F$100,A33,'Master Database'!$AB$5:$AB$100,"Y")</f>
        <v>1</v>
      </c>
      <c r="E33" s="13">
        <f>SUMIFS('Master Database'!$G$5:$G$100,'Master Database'!$F$5:$F$100,A33,'Master Database'!$AB$5:$AB$100,"Y")</f>
        <v>1</v>
      </c>
      <c r="F33" s="13">
        <f>COUNTIFS('Master Database'!$F$5:$F$100,A33,'Master Database'!$AB$5:$AB$100,"N")</f>
        <v>0</v>
      </c>
    </row>
    <row r="34" spans="1:8" ht="15" customHeight="1" x14ac:dyDescent="0.25">
      <c r="A34" s="5" t="s">
        <v>53</v>
      </c>
      <c r="B34" s="5"/>
      <c r="C34" s="14">
        <f>SUM(C14:C33)</f>
        <v>15</v>
      </c>
      <c r="D34" s="14">
        <f>SUM(D14:D33)</f>
        <v>60</v>
      </c>
      <c r="E34" s="14">
        <f>SUM(E14:E33)</f>
        <v>586</v>
      </c>
      <c r="F34" s="14">
        <f>SUM(F14:F33)</f>
        <v>9</v>
      </c>
    </row>
    <row r="36" spans="1:8" ht="15" customHeight="1" x14ac:dyDescent="0.25">
      <c r="A36" s="15" t="s">
        <v>54</v>
      </c>
    </row>
    <row r="37" spans="1:8" ht="54" customHeight="1" x14ac:dyDescent="0.25">
      <c r="A37" s="4" t="s">
        <v>55</v>
      </c>
      <c r="B37" s="4"/>
      <c r="C37" s="4"/>
      <c r="D37" s="4"/>
      <c r="E37" s="4"/>
      <c r="F37" s="4"/>
      <c r="G37" s="4"/>
      <c r="H37" s="4"/>
    </row>
    <row r="38" spans="1:8" ht="28.5" customHeight="1" x14ac:dyDescent="0.25">
      <c r="A38" s="4" t="s">
        <v>56</v>
      </c>
      <c r="B38" s="4"/>
      <c r="C38" s="4"/>
      <c r="D38" s="4"/>
      <c r="E38" s="4"/>
      <c r="F38" s="4"/>
      <c r="G38" s="4"/>
      <c r="H38" s="4"/>
    </row>
    <row r="39" spans="1:8" ht="25.5" customHeight="1" x14ac:dyDescent="0.25">
      <c r="A39" s="4" t="s">
        <v>57</v>
      </c>
      <c r="B39" s="4"/>
      <c r="C39" s="4"/>
      <c r="D39" s="4"/>
      <c r="E39" s="4"/>
      <c r="F39" s="4"/>
      <c r="G39" s="4"/>
      <c r="H39" s="4"/>
    </row>
    <row r="40" spans="1:8" ht="25.5" customHeight="1" x14ac:dyDescent="0.25">
      <c r="A40" s="4" t="s">
        <v>58</v>
      </c>
      <c r="B40" s="4"/>
      <c r="C40" s="4"/>
      <c r="D40" s="4"/>
      <c r="E40" s="4"/>
      <c r="F40" s="4"/>
      <c r="G40" s="4"/>
      <c r="H40" s="4"/>
    </row>
    <row r="41" spans="1:8" ht="41.25" customHeight="1" x14ac:dyDescent="0.25">
      <c r="A41" s="4" t="s">
        <v>59</v>
      </c>
      <c r="B41" s="4"/>
      <c r="C41" s="4"/>
      <c r="D41" s="4"/>
      <c r="E41" s="4"/>
      <c r="F41" s="4"/>
      <c r="G41" s="4"/>
      <c r="H41" s="4"/>
    </row>
    <row r="42" spans="1:8" ht="40.5" customHeight="1" x14ac:dyDescent="0.25">
      <c r="A42" s="4" t="s">
        <v>60</v>
      </c>
      <c r="B42" s="4"/>
      <c r="C42" s="4"/>
      <c r="D42" s="4"/>
      <c r="E42" s="4"/>
      <c r="F42" s="4"/>
      <c r="G42" s="4"/>
      <c r="H42" s="4"/>
    </row>
    <row r="43" spans="1:8" ht="54" customHeight="1" x14ac:dyDescent="0.25">
      <c r="A43" s="4" t="s">
        <v>61</v>
      </c>
      <c r="B43" s="4"/>
      <c r="C43" s="4"/>
      <c r="D43" s="4"/>
      <c r="E43" s="4"/>
      <c r="F43" s="4"/>
      <c r="G43" s="4"/>
      <c r="H43" s="4"/>
    </row>
    <row r="44" spans="1:8" ht="41.25" customHeight="1" x14ac:dyDescent="0.25">
      <c r="A44" s="4" t="s">
        <v>62</v>
      </c>
      <c r="B44" s="4"/>
      <c r="C44" s="4"/>
      <c r="D44" s="4"/>
      <c r="E44" s="4"/>
      <c r="F44" s="4"/>
      <c r="G44" s="4"/>
      <c r="H44" s="4"/>
    </row>
    <row r="45" spans="1:8" ht="41.25" customHeight="1" x14ac:dyDescent="0.25">
      <c r="A45" s="4" t="s">
        <v>63</v>
      </c>
      <c r="B45" s="4"/>
      <c r="C45" s="4"/>
      <c r="D45" s="4"/>
      <c r="E45" s="4"/>
      <c r="F45" s="4"/>
      <c r="G45" s="4"/>
      <c r="H45" s="4"/>
    </row>
  </sheetData>
  <mergeCells count="18">
    <mergeCell ref="A41:H41"/>
    <mergeCell ref="A42:H42"/>
    <mergeCell ref="A43:H43"/>
    <mergeCell ref="A44:H44"/>
    <mergeCell ref="A45:H45"/>
    <mergeCell ref="A34:B34"/>
    <mergeCell ref="A37:H37"/>
    <mergeCell ref="A38:H38"/>
    <mergeCell ref="A39:H39"/>
    <mergeCell ref="A40:H40"/>
    <mergeCell ref="A4:B4"/>
    <mergeCell ref="C4:D4"/>
    <mergeCell ref="E4:F4"/>
    <mergeCell ref="G4:H4"/>
    <mergeCell ref="A5:B5"/>
    <mergeCell ref="C5:D5"/>
    <mergeCell ref="E5:F5"/>
    <mergeCell ref="G5:H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548235"/>
  </sheetPr>
  <dimension ref="A1:AB73"/>
  <sheetViews>
    <sheetView showGridLines="0" zoomScaleNormal="100" workbookViewId="0">
      <pane xSplit="4" ySplit="4" topLeftCell="E24" activePane="bottomRight" state="frozen"/>
      <selection pane="topRight" activeCell="I1" sqref="I1"/>
      <selection pane="bottomLeft" activeCell="A5" sqref="A5"/>
      <selection pane="bottomRight" activeCell="F24" sqref="F24"/>
    </sheetView>
  </sheetViews>
  <sheetFormatPr defaultColWidth="8.7109375" defaultRowHeight="15" x14ac:dyDescent="0.25"/>
  <cols>
    <col min="1" max="1" width="6" customWidth="1"/>
    <col min="2" max="2" width="30" customWidth="1"/>
    <col min="3" max="3" width="32" customWidth="1"/>
    <col min="4" max="4" width="12" customWidth="1"/>
    <col min="5" max="5" width="10" customWidth="1"/>
    <col min="6" max="6" width="12" customWidth="1"/>
    <col min="7" max="8" width="9" customWidth="1"/>
    <col min="9" max="9" width="30" customWidth="1"/>
    <col min="10" max="10" width="20.28515625" customWidth="1"/>
    <col min="11" max="12" width="13" customWidth="1"/>
    <col min="13" max="13" width="14" customWidth="1"/>
    <col min="14" max="14" width="20" customWidth="1"/>
    <col min="15" max="15" width="16" customWidth="1"/>
    <col min="16" max="16" width="26" customWidth="1"/>
    <col min="17" max="17" width="13" customWidth="1"/>
    <col min="18" max="18" width="12" customWidth="1"/>
    <col min="19" max="19" width="22" customWidth="1"/>
    <col min="20" max="21" width="16" customWidth="1"/>
    <col min="22" max="22" width="24" customWidth="1"/>
    <col min="23" max="23" width="26" customWidth="1"/>
    <col min="24" max="24" width="12" customWidth="1"/>
    <col min="25" max="25" width="15" customWidth="1"/>
    <col min="26" max="26" width="43.5703125" customWidth="1"/>
    <col min="27" max="27" width="58" customWidth="1"/>
    <col min="28" max="28" width="12" customWidth="1"/>
  </cols>
  <sheetData>
    <row r="1" spans="1:28" ht="18" customHeight="1" x14ac:dyDescent="0.25">
      <c r="A1" s="16" t="s">
        <v>64</v>
      </c>
    </row>
    <row r="2" spans="1:28" ht="15" customHeight="1" x14ac:dyDescent="0.25">
      <c r="A2" s="9" t="s">
        <v>65</v>
      </c>
    </row>
    <row r="3" spans="1:28" ht="15" customHeight="1" x14ac:dyDescent="0.25"/>
    <row r="4" spans="1:28" ht="38.25" customHeight="1" x14ac:dyDescent="0.25">
      <c r="A4" s="17" t="s">
        <v>66</v>
      </c>
      <c r="B4" s="17" t="s">
        <v>67</v>
      </c>
      <c r="C4" s="17" t="s">
        <v>68</v>
      </c>
      <c r="D4" s="17" t="s">
        <v>69</v>
      </c>
      <c r="E4" s="17" t="s">
        <v>70</v>
      </c>
      <c r="F4" s="17" t="s">
        <v>7</v>
      </c>
      <c r="G4" s="17" t="s">
        <v>71</v>
      </c>
      <c r="H4" s="17" t="s">
        <v>72</v>
      </c>
      <c r="I4" s="17" t="s">
        <v>73</v>
      </c>
      <c r="J4" s="17" t="s">
        <v>74</v>
      </c>
      <c r="K4" s="17" t="s">
        <v>75</v>
      </c>
      <c r="L4" s="17" t="s">
        <v>76</v>
      </c>
      <c r="M4" s="17" t="s">
        <v>77</v>
      </c>
      <c r="N4" s="17" t="s">
        <v>78</v>
      </c>
      <c r="O4" s="17" t="s">
        <v>79</v>
      </c>
      <c r="P4" s="17" t="s">
        <v>80</v>
      </c>
      <c r="Q4" s="17" t="s">
        <v>81</v>
      </c>
      <c r="R4" s="17" t="s">
        <v>82</v>
      </c>
      <c r="S4" s="17" t="s">
        <v>83</v>
      </c>
      <c r="T4" s="17" t="s">
        <v>84</v>
      </c>
      <c r="U4" s="17" t="s">
        <v>85</v>
      </c>
      <c r="V4" s="17" t="s">
        <v>86</v>
      </c>
      <c r="W4" s="17" t="s">
        <v>87</v>
      </c>
      <c r="X4" s="17" t="s">
        <v>88</v>
      </c>
      <c r="Y4" s="17" t="s">
        <v>89</v>
      </c>
      <c r="Z4" s="17" t="s">
        <v>90</v>
      </c>
      <c r="AA4" s="17" t="s">
        <v>91</v>
      </c>
      <c r="AB4" s="17" t="s">
        <v>92</v>
      </c>
    </row>
    <row r="5" spans="1:28" ht="119.25" hidden="1" customHeight="1" x14ac:dyDescent="0.25">
      <c r="A5" s="18">
        <v>1</v>
      </c>
      <c r="B5" s="19" t="s">
        <v>93</v>
      </c>
      <c r="C5" s="19" t="s">
        <v>94</v>
      </c>
      <c r="D5" s="19" t="s">
        <v>95</v>
      </c>
      <c r="E5" s="19" t="s">
        <v>96</v>
      </c>
      <c r="F5" s="19" t="s">
        <v>13</v>
      </c>
      <c r="G5" s="20">
        <v>1</v>
      </c>
      <c r="H5" s="19" t="s">
        <v>97</v>
      </c>
      <c r="I5" s="19" t="s">
        <v>98</v>
      </c>
      <c r="J5" s="19" t="s">
        <v>99</v>
      </c>
      <c r="K5" s="19" t="s">
        <v>100</v>
      </c>
      <c r="L5" s="19" t="s">
        <v>101</v>
      </c>
      <c r="M5" s="19" t="s">
        <v>102</v>
      </c>
      <c r="N5" s="19" t="s">
        <v>103</v>
      </c>
      <c r="O5" s="21" t="s">
        <v>104</v>
      </c>
      <c r="P5" s="19" t="s">
        <v>104</v>
      </c>
      <c r="Q5" s="22">
        <v>1394</v>
      </c>
      <c r="R5" s="23" t="s">
        <v>105</v>
      </c>
      <c r="S5" s="20">
        <v>9000000000</v>
      </c>
      <c r="T5" s="24">
        <f>IF(NOT(ISNUMBER(S5)),"(Not stated)",IF(NOT(ISNUMBER(Q5)),"(Cost year not stated / not a Jalali year)",IFERROR(IF(N(IF(R5="EUR",S5,IF(R5="IRR",S5/INDEX('Assumptions &amp; FX Reference'!$C$5:$C$25,MATCH(Q5,'Assumptions &amp; FX Reference'!$A$5:$A$25,0)),IF(R5="USD",S5*INDEX('Assumptions &amp; FX Reference'!$B$5:$B$25,MATCH(Q5,'Assumptions &amp; FX Reference'!$A$5:$A$25,0))/INDEX('Assumptions &amp; FX Reference'!$C$5:$C$25,MATCH(Q5,'Assumptions &amp; FX Reference'!$A$5:$A$25,0)),"(Not stated)"))))&gt;0,IF(R5="EUR",S5,IF(R5="IRR",S5/INDEX('Assumptions &amp; FX Reference'!$C$5:$C$25,MATCH(Q5,'Assumptions &amp; FX Reference'!$A$5:$A$25,0)),IF(R5="USD",S5*INDEX('Assumptions &amp; FX Reference'!$B$5:$B$25,MATCH(Q5,'Assumptions &amp; FX Reference'!$A$5:$A$25,0))/INDEX('Assumptions &amp; FX Reference'!$C$5:$C$25,MATCH(Q5,'Assumptions &amp; FX Reference'!$A$5:$A$25,0)),"(Not stated)"))),"(FX rate not entered for this year)"),"(FX rate not entered for this year)")))</f>
        <v>244897.95918367346</v>
      </c>
      <c r="U5" s="24">
        <f>IF(NOT(ISNUMBER(S5)),"(Not stated)",IF(NOT(ISNUMBER(Q5)),"(Cost year not stated / not a Jalali year)",IFERROR(IF(N(IF(R5="USD",S5,IF(R5="IRR",S5/INDEX('Assumptions &amp; FX Reference'!$B$5:$B$25,MATCH(Q5,'Assumptions &amp; FX Reference'!$A$5:$A$25,0)),IF(R5="EUR",S5*INDEX('Assumptions &amp; FX Reference'!$C$5:$C$25,MATCH(Q5,'Assumptions &amp; FX Reference'!$A$5:$A$25,0))/INDEX('Assumptions &amp; FX Reference'!$B$5:$B$25,MATCH(Q5,'Assumptions &amp; FX Reference'!$A$5:$A$25,0)),"(Not stated)"))))&gt;0,IF(R5="USD",S5,IF(R5="IRR",S5/INDEX('Assumptions &amp; FX Reference'!$B$5:$B$25,MATCH(Q5,'Assumptions &amp; FX Reference'!$A$5:$A$25,0)),IF(R5="EUR",S5*INDEX('Assumptions &amp; FX Reference'!$C$5:$C$25,MATCH(Q5,'Assumptions &amp; FX Reference'!$A$5:$A$25,0))/INDEX('Assumptions &amp; FX Reference'!$B$5:$B$25,MATCH(Q5,'Assumptions &amp; FX Reference'!$A$5:$A$25,0)),"(Not stated)"))),"(FX rate not entered for this year)"),"(FX rate not entered for this year)")))</f>
        <v>268256.33383010433</v>
      </c>
      <c r="V5" s="24">
        <f>IF(NOT(ISNUMBER(S5)),"(Not stated)",IF(NOT(ISNUMBER(Q5)),"(Cost year not stated / not a Jalali year)",IFERROR(IF(N(IF(R5="IRR",S5,IF(R5="USD",S5*INDEX('Assumptions &amp; FX Reference'!$B$5:$B$25,MATCH(Q5,'Assumptions &amp; FX Reference'!$A$5:$A$25,0)),IF(R5="EUR",S5*INDEX('Assumptions &amp; FX Reference'!$C$5:$C$25,MATCH(Q5,'Assumptions &amp; FX Reference'!$A$5:$A$25,0)),"(Not stated)"))))&gt;0,IF(R5="IRR",S5,IF(R5="USD",S5*INDEX('Assumptions &amp; FX Reference'!$B$5:$B$25,MATCH(Q5,'Assumptions &amp; FX Reference'!$A$5:$A$25,0)),IF(R5="EUR",S5*INDEX('Assumptions &amp; FX Reference'!$C$5:$C$25,MATCH(Q5,'Assumptions &amp; FX Reference'!$A$5:$A$25,0)),"(Not stated)"))),"(FX rate not entered for this year)"),"(FX rate not entered for this year)")))</f>
        <v>9000000000</v>
      </c>
      <c r="W5" s="19" t="s">
        <v>104</v>
      </c>
      <c r="X5" s="19" t="s">
        <v>106</v>
      </c>
      <c r="Y5" s="19" t="s">
        <v>107</v>
      </c>
      <c r="Z5" s="19" t="s">
        <v>108</v>
      </c>
      <c r="AA5" s="19" t="s">
        <v>109</v>
      </c>
      <c r="AB5" s="19" t="s">
        <v>110</v>
      </c>
    </row>
    <row r="6" spans="1:28" ht="81" hidden="1" customHeight="1" x14ac:dyDescent="0.25">
      <c r="A6" s="18">
        <v>2</v>
      </c>
      <c r="B6" s="19" t="s">
        <v>111</v>
      </c>
      <c r="C6" s="19" t="s">
        <v>94</v>
      </c>
      <c r="D6" s="19" t="s">
        <v>112</v>
      </c>
      <c r="E6" s="19" t="s">
        <v>96</v>
      </c>
      <c r="F6" s="19" t="s">
        <v>13</v>
      </c>
      <c r="G6" s="20">
        <v>2</v>
      </c>
      <c r="H6" s="19" t="s">
        <v>113</v>
      </c>
      <c r="I6" s="19" t="s">
        <v>114</v>
      </c>
      <c r="J6" s="19" t="s">
        <v>115</v>
      </c>
      <c r="K6" s="19" t="s">
        <v>100</v>
      </c>
      <c r="L6" s="19" t="s">
        <v>101</v>
      </c>
      <c r="M6" s="19" t="s">
        <v>116</v>
      </c>
      <c r="N6" s="19" t="s">
        <v>117</v>
      </c>
      <c r="O6" s="21" t="s">
        <v>104</v>
      </c>
      <c r="P6" s="19" t="s">
        <v>104</v>
      </c>
      <c r="Q6" s="22">
        <v>1394</v>
      </c>
      <c r="R6" s="23" t="s">
        <v>105</v>
      </c>
      <c r="S6" s="20" t="s">
        <v>104</v>
      </c>
      <c r="T6" s="24" t="str">
        <f>IF(NOT(ISNUMBER(S6)),"(Not stated)",IF(NOT(ISNUMBER(Q6)),"(Cost year not stated / not a Jalali year)",IFERROR(IF(N(IF(R6="EUR",S6,IF(R6="IRR",S6/INDEX('Assumptions &amp; FX Reference'!$C$5:$C$25,MATCH(Q6,'Assumptions &amp; FX Reference'!$A$5:$A$25,0)),IF(R6="USD",S6*INDEX('Assumptions &amp; FX Reference'!$B$5:$B$25,MATCH(Q6,'Assumptions &amp; FX Reference'!$A$5:$A$25,0))/INDEX('Assumptions &amp; FX Reference'!$C$5:$C$25,MATCH(Q6,'Assumptions &amp; FX Reference'!$A$5:$A$25,0)),"(Not stated)"))))&gt;0,IF(R6="EUR",S6,IF(R6="IRR",S6/INDEX('Assumptions &amp; FX Reference'!$C$5:$C$25,MATCH(Q6,'Assumptions &amp; FX Reference'!$A$5:$A$25,0)),IF(R6="USD",S6*INDEX('Assumptions &amp; FX Reference'!$B$5:$B$25,MATCH(Q6,'Assumptions &amp; FX Reference'!$A$5:$A$25,0))/INDEX('Assumptions &amp; FX Reference'!$C$5:$C$25,MATCH(Q6,'Assumptions &amp; FX Reference'!$A$5:$A$25,0)),"(Not stated)"))),"(FX rate not entered for this year)"),"(FX rate not entered for this year)")))</f>
        <v>(Not stated)</v>
      </c>
      <c r="U6" s="24" t="str">
        <f>IF(NOT(ISNUMBER(S6)),"(Not stated)",IF(NOT(ISNUMBER(Q6)),"(Cost year not stated / not a Jalali year)",IFERROR(IF(N(IF(R6="USD",S6,IF(R6="IRR",S6/INDEX('Assumptions &amp; FX Reference'!$B$5:$B$25,MATCH(Q6,'Assumptions &amp; FX Reference'!$A$5:$A$25,0)),IF(R6="EUR",S6*INDEX('Assumptions &amp; FX Reference'!$C$5:$C$25,MATCH(Q6,'Assumptions &amp; FX Reference'!$A$5:$A$25,0))/INDEX('Assumptions &amp; FX Reference'!$B$5:$B$25,MATCH(Q6,'Assumptions &amp; FX Reference'!$A$5:$A$25,0)),"(Not stated)"))))&gt;0,IF(R6="USD",S6,IF(R6="IRR",S6/INDEX('Assumptions &amp; FX Reference'!$B$5:$B$25,MATCH(Q6,'Assumptions &amp; FX Reference'!$A$5:$A$25,0)),IF(R6="EUR",S6*INDEX('Assumptions &amp; FX Reference'!$C$5:$C$25,MATCH(Q6,'Assumptions &amp; FX Reference'!$A$5:$A$25,0))/INDEX('Assumptions &amp; FX Reference'!$B$5:$B$25,MATCH(Q6,'Assumptions &amp; FX Reference'!$A$5:$A$25,0)),"(Not stated)"))),"(FX rate not entered for this year)"),"(FX rate not entered for this year)")))</f>
        <v>(Not stated)</v>
      </c>
      <c r="V6" s="24" t="str">
        <f>IF(NOT(ISNUMBER(S6)),"(Not stated)",IF(NOT(ISNUMBER(Q6)),"(Cost year not stated / not a Jalali year)",IFERROR(IF(N(IF(R6="IRR",S6,IF(R6="USD",S6*INDEX('Assumptions &amp; FX Reference'!$B$5:$B$25,MATCH(Q6,'Assumptions &amp; FX Reference'!$A$5:$A$25,0)),IF(R6="EUR",S6*INDEX('Assumptions &amp; FX Reference'!$C$5:$C$25,MATCH(Q6,'Assumptions &amp; FX Reference'!$A$5:$A$25,0)),"(Not stated)"))))&gt;0,IF(R6="IRR",S6,IF(R6="USD",S6*INDEX('Assumptions &amp; FX Reference'!$B$5:$B$25,MATCH(Q6,'Assumptions &amp; FX Reference'!$A$5:$A$25,0)),IF(R6="EUR",S6*INDEX('Assumptions &amp; FX Reference'!$C$5:$C$25,MATCH(Q6,'Assumptions &amp; FX Reference'!$A$5:$A$25,0)),"(Not stated)"))),"(FX rate not entered for this year)"),"(FX rate not entered for this year)")))</f>
        <v>(Not stated)</v>
      </c>
      <c r="W6" s="19" t="s">
        <v>104</v>
      </c>
      <c r="X6" s="19" t="s">
        <v>106</v>
      </c>
      <c r="Y6" s="19" t="s">
        <v>107</v>
      </c>
      <c r="Z6" s="19" t="s">
        <v>118</v>
      </c>
      <c r="AA6" s="19" t="s">
        <v>119</v>
      </c>
      <c r="AB6" s="19" t="s">
        <v>120</v>
      </c>
    </row>
    <row r="7" spans="1:28" ht="69" hidden="1" customHeight="1" x14ac:dyDescent="0.25">
      <c r="A7" s="18">
        <v>3</v>
      </c>
      <c r="B7" s="19" t="s">
        <v>121</v>
      </c>
      <c r="C7" s="19" t="s">
        <v>94</v>
      </c>
      <c r="D7" s="19" t="s">
        <v>122</v>
      </c>
      <c r="E7" s="19" t="s">
        <v>96</v>
      </c>
      <c r="F7" s="19" t="s">
        <v>15</v>
      </c>
      <c r="G7" s="20">
        <v>1</v>
      </c>
      <c r="H7" s="19" t="s">
        <v>97</v>
      </c>
      <c r="I7" s="19" t="s">
        <v>123</v>
      </c>
      <c r="J7" s="19" t="s">
        <v>124</v>
      </c>
      <c r="K7" s="19" t="s">
        <v>104</v>
      </c>
      <c r="L7" s="19" t="s">
        <v>104</v>
      </c>
      <c r="M7" s="19" t="s">
        <v>104</v>
      </c>
      <c r="N7" s="19" t="s">
        <v>104</v>
      </c>
      <c r="O7" s="21" t="s">
        <v>104</v>
      </c>
      <c r="P7" s="19" t="s">
        <v>104</v>
      </c>
      <c r="Q7" s="22">
        <v>1394</v>
      </c>
      <c r="R7" s="23" t="s">
        <v>105</v>
      </c>
      <c r="S7" s="20">
        <v>800000000</v>
      </c>
      <c r="T7" s="24">
        <f>IF(NOT(ISNUMBER(S7)),"(Not stated)",IF(NOT(ISNUMBER(Q7)),"(Cost year not stated / not a Jalali year)",IFERROR(IF(N(IF(R7="EUR",S7,IF(R7="IRR",S7/INDEX('Assumptions &amp; FX Reference'!$C$5:$C$25,MATCH(Q7,'Assumptions &amp; FX Reference'!$A$5:$A$25,0)),IF(R7="USD",S7*INDEX('Assumptions &amp; FX Reference'!$B$5:$B$25,MATCH(Q7,'Assumptions &amp; FX Reference'!$A$5:$A$25,0))/INDEX('Assumptions &amp; FX Reference'!$C$5:$C$25,MATCH(Q7,'Assumptions &amp; FX Reference'!$A$5:$A$25,0)),"(Not stated)"))))&gt;0,IF(R7="EUR",S7,IF(R7="IRR",S7/INDEX('Assumptions &amp; FX Reference'!$C$5:$C$25,MATCH(Q7,'Assumptions &amp; FX Reference'!$A$5:$A$25,0)),IF(R7="USD",S7*INDEX('Assumptions &amp; FX Reference'!$B$5:$B$25,MATCH(Q7,'Assumptions &amp; FX Reference'!$A$5:$A$25,0))/INDEX('Assumptions &amp; FX Reference'!$C$5:$C$25,MATCH(Q7,'Assumptions &amp; FX Reference'!$A$5:$A$25,0)),"(Not stated)"))),"(FX rate not entered for this year)"),"(FX rate not entered for this year)")))</f>
        <v>21768.707482993199</v>
      </c>
      <c r="U7" s="24">
        <f>IF(NOT(ISNUMBER(S7)),"(Not stated)",IF(NOT(ISNUMBER(Q7)),"(Cost year not stated / not a Jalali year)",IFERROR(IF(N(IF(R7="USD",S7,IF(R7="IRR",S7/INDEX('Assumptions &amp; FX Reference'!$B$5:$B$25,MATCH(Q7,'Assumptions &amp; FX Reference'!$A$5:$A$25,0)),IF(R7="EUR",S7*INDEX('Assumptions &amp; FX Reference'!$C$5:$C$25,MATCH(Q7,'Assumptions &amp; FX Reference'!$A$5:$A$25,0))/INDEX('Assumptions &amp; FX Reference'!$B$5:$B$25,MATCH(Q7,'Assumptions &amp; FX Reference'!$A$5:$A$25,0)),"(Not stated)"))))&gt;0,IF(R7="USD",S7,IF(R7="IRR",S7/INDEX('Assumptions &amp; FX Reference'!$B$5:$B$25,MATCH(Q7,'Assumptions &amp; FX Reference'!$A$5:$A$25,0)),IF(R7="EUR",S7*INDEX('Assumptions &amp; FX Reference'!$C$5:$C$25,MATCH(Q7,'Assumptions &amp; FX Reference'!$A$5:$A$25,0))/INDEX('Assumptions &amp; FX Reference'!$B$5:$B$25,MATCH(Q7,'Assumptions &amp; FX Reference'!$A$5:$A$25,0)),"(Not stated)"))),"(FX rate not entered for this year)"),"(FX rate not entered for this year)")))</f>
        <v>23845.00745156483</v>
      </c>
      <c r="V7" s="24">
        <f>IF(NOT(ISNUMBER(S7)),"(Not stated)",IF(NOT(ISNUMBER(Q7)),"(Cost year not stated / not a Jalali year)",IFERROR(IF(N(IF(R7="IRR",S7,IF(R7="USD",S7*INDEX('Assumptions &amp; FX Reference'!$B$5:$B$25,MATCH(Q7,'Assumptions &amp; FX Reference'!$A$5:$A$25,0)),IF(R7="EUR",S7*INDEX('Assumptions &amp; FX Reference'!$C$5:$C$25,MATCH(Q7,'Assumptions &amp; FX Reference'!$A$5:$A$25,0)),"(Not stated)"))))&gt;0,IF(R7="IRR",S7,IF(R7="USD",S7*INDEX('Assumptions &amp; FX Reference'!$B$5:$B$25,MATCH(Q7,'Assumptions &amp; FX Reference'!$A$5:$A$25,0)),IF(R7="EUR",S7*INDEX('Assumptions &amp; FX Reference'!$C$5:$C$25,MATCH(Q7,'Assumptions &amp; FX Reference'!$A$5:$A$25,0)),"(Not stated)"))),"(FX rate not entered for this year)"),"(FX rate not entered for this year)")))</f>
        <v>800000000</v>
      </c>
      <c r="W7" s="19" t="s">
        <v>104</v>
      </c>
      <c r="X7" s="19" t="s">
        <v>106</v>
      </c>
      <c r="Y7" s="19" t="s">
        <v>107</v>
      </c>
      <c r="Z7" s="19" t="s">
        <v>125</v>
      </c>
      <c r="AA7" s="19" t="s">
        <v>126</v>
      </c>
      <c r="AB7" s="19" t="s">
        <v>110</v>
      </c>
    </row>
    <row r="8" spans="1:28" ht="106.5" hidden="1" customHeight="1" x14ac:dyDescent="0.25">
      <c r="A8" s="18">
        <v>4</v>
      </c>
      <c r="B8" s="19" t="s">
        <v>18</v>
      </c>
      <c r="C8" s="19" t="s">
        <v>127</v>
      </c>
      <c r="D8" s="19" t="s">
        <v>128</v>
      </c>
      <c r="E8" s="19" t="s">
        <v>96</v>
      </c>
      <c r="F8" s="19" t="s">
        <v>17</v>
      </c>
      <c r="G8" s="20">
        <v>1</v>
      </c>
      <c r="H8" s="19" t="s">
        <v>129</v>
      </c>
      <c r="I8" s="19" t="s">
        <v>130</v>
      </c>
      <c r="J8" s="19" t="s">
        <v>104</v>
      </c>
      <c r="K8" s="19" t="s">
        <v>104</v>
      </c>
      <c r="L8" s="19" t="s">
        <v>104</v>
      </c>
      <c r="M8" s="19" t="s">
        <v>104</v>
      </c>
      <c r="N8" s="19" t="s">
        <v>104</v>
      </c>
      <c r="O8" s="21" t="s">
        <v>104</v>
      </c>
      <c r="P8" s="19" t="s">
        <v>104</v>
      </c>
      <c r="Q8" s="22">
        <v>1402</v>
      </c>
      <c r="R8" s="23" t="s">
        <v>105</v>
      </c>
      <c r="S8" s="20">
        <v>94500000000</v>
      </c>
      <c r="T8" s="24">
        <f>IF(NOT(ISNUMBER(S8)),"(Not stated)",IF(NOT(ISNUMBER(Q8)),"(Cost year not stated / not a Jalali year)",IFERROR(IF(N(IF(R8="EUR",S8,IF(R8="IRR",S8/INDEX('Assumptions &amp; FX Reference'!$C$5:$C$25,MATCH(Q8,'Assumptions &amp; FX Reference'!$A$5:$A$25,0)),IF(R8="USD",S8*INDEX('Assumptions &amp; FX Reference'!$B$5:$B$25,MATCH(Q8,'Assumptions &amp; FX Reference'!$A$5:$A$25,0))/INDEX('Assumptions &amp; FX Reference'!$C$5:$C$25,MATCH(Q8,'Assumptions &amp; FX Reference'!$A$5:$A$25,0)),"(Not stated)"))))&gt;0,IF(R8="EUR",S8,IF(R8="IRR",S8/INDEX('Assumptions &amp; FX Reference'!$C$5:$C$25,MATCH(Q8,'Assumptions &amp; FX Reference'!$A$5:$A$25,0)),IF(R8="USD",S8*INDEX('Assumptions &amp; FX Reference'!$B$5:$B$25,MATCH(Q8,'Assumptions &amp; FX Reference'!$A$5:$A$25,0))/INDEX('Assumptions &amp; FX Reference'!$C$5:$C$25,MATCH(Q8,'Assumptions &amp; FX Reference'!$A$5:$A$25,0)),"(Not stated)"))),"(FX rate not entered for this year)"),"(FX rate not entered for this year)")))</f>
        <v>178470.25495750707</v>
      </c>
      <c r="U8" s="24">
        <f>IF(NOT(ISNUMBER(S8)),"(Not stated)",IF(NOT(ISNUMBER(Q8)),"(Cost year not stated / not a Jalali year)",IFERROR(IF(N(IF(R8="USD",S8,IF(R8="IRR",S8/INDEX('Assumptions &amp; FX Reference'!$B$5:$B$25,MATCH(Q8,'Assumptions &amp; FX Reference'!$A$5:$A$25,0)),IF(R8="EUR",S8*INDEX('Assumptions &amp; FX Reference'!$C$5:$C$25,MATCH(Q8,'Assumptions &amp; FX Reference'!$A$5:$A$25,0))/INDEX('Assumptions &amp; FX Reference'!$B$5:$B$25,MATCH(Q8,'Assumptions &amp; FX Reference'!$A$5:$A$25,0)),"(Not stated)"))))&gt;0,IF(R8="USD",S8,IF(R8="IRR",S8/INDEX('Assumptions &amp; FX Reference'!$B$5:$B$25,MATCH(Q8,'Assumptions &amp; FX Reference'!$A$5:$A$25,0)),IF(R8="EUR",S8*INDEX('Assumptions &amp; FX Reference'!$C$5:$C$25,MATCH(Q8,'Assumptions &amp; FX Reference'!$A$5:$A$25,0))/INDEX('Assumptions &amp; FX Reference'!$B$5:$B$25,MATCH(Q8,'Assumptions &amp; FX Reference'!$A$5:$A$25,0)),"(Not stated)"))),"(FX rate not entered for this year)"),"(FX rate not entered for this year)")))</f>
        <v>225000</v>
      </c>
      <c r="V8" s="24">
        <f>IF(NOT(ISNUMBER(S8)),"(Not stated)",IF(NOT(ISNUMBER(Q8)),"(Cost year not stated / not a Jalali year)",IFERROR(IF(N(IF(R8="IRR",S8,IF(R8="USD",S8*INDEX('Assumptions &amp; FX Reference'!$B$5:$B$25,MATCH(Q8,'Assumptions &amp; FX Reference'!$A$5:$A$25,0)),IF(R8="EUR",S8*INDEX('Assumptions &amp; FX Reference'!$C$5:$C$25,MATCH(Q8,'Assumptions &amp; FX Reference'!$A$5:$A$25,0)),"(Not stated)"))))&gt;0,IF(R8="IRR",S8,IF(R8="USD",S8*INDEX('Assumptions &amp; FX Reference'!$B$5:$B$25,MATCH(Q8,'Assumptions &amp; FX Reference'!$A$5:$A$25,0)),IF(R8="EUR",S8*INDEX('Assumptions &amp; FX Reference'!$C$5:$C$25,MATCH(Q8,'Assumptions &amp; FX Reference'!$A$5:$A$25,0)),"(Not stated)"))),"(FX rate not entered for this year)"),"(FX rate not entered for this year)")))</f>
        <v>94500000000</v>
      </c>
      <c r="W8" s="19" t="s">
        <v>131</v>
      </c>
      <c r="X8" s="19" t="s">
        <v>132</v>
      </c>
      <c r="Y8" s="19" t="s">
        <v>133</v>
      </c>
      <c r="Z8" s="19" t="s">
        <v>134</v>
      </c>
      <c r="AA8" s="19" t="s">
        <v>135</v>
      </c>
      <c r="AB8" s="19" t="s">
        <v>110</v>
      </c>
    </row>
    <row r="9" spans="1:28" ht="69" hidden="1" customHeight="1" x14ac:dyDescent="0.25">
      <c r="A9" s="18">
        <v>5</v>
      </c>
      <c r="B9" s="19" t="s">
        <v>136</v>
      </c>
      <c r="C9" s="19" t="s">
        <v>137</v>
      </c>
      <c r="D9" s="19" t="s">
        <v>138</v>
      </c>
      <c r="E9" s="19" t="s">
        <v>96</v>
      </c>
      <c r="F9" s="19" t="s">
        <v>17</v>
      </c>
      <c r="G9" s="20" t="s">
        <v>104</v>
      </c>
      <c r="H9" s="19" t="s">
        <v>104</v>
      </c>
      <c r="I9" s="19" t="s">
        <v>139</v>
      </c>
      <c r="J9" s="19" t="s">
        <v>140</v>
      </c>
      <c r="K9" s="19" t="s">
        <v>141</v>
      </c>
      <c r="L9" s="19" t="s">
        <v>104</v>
      </c>
      <c r="M9" s="19" t="s">
        <v>142</v>
      </c>
      <c r="N9" s="19" t="s">
        <v>104</v>
      </c>
      <c r="O9" s="21" t="s">
        <v>104</v>
      </c>
      <c r="P9" s="19" t="s">
        <v>104</v>
      </c>
      <c r="Q9" s="22" t="s">
        <v>104</v>
      </c>
      <c r="R9" s="23" t="s">
        <v>143</v>
      </c>
      <c r="S9" s="20">
        <v>15000</v>
      </c>
      <c r="T9" s="24" t="str">
        <f>IF(NOT(ISNUMBER(S9)),"(Not stated)",IF(NOT(ISNUMBER(Q9)),"(Cost year not stated / not a Jalali year)",IFERROR(IF(N(IF(R9="EUR",S9,IF(R9="IRR",S9/INDEX('Assumptions &amp; FX Reference'!$C$5:$C$25,MATCH(Q9,'Assumptions &amp; FX Reference'!$A$5:$A$25,0)),IF(R9="USD",S9*INDEX('Assumptions &amp; FX Reference'!$B$5:$B$25,MATCH(Q9,'Assumptions &amp; FX Reference'!$A$5:$A$25,0))/INDEX('Assumptions &amp; FX Reference'!$C$5:$C$25,MATCH(Q9,'Assumptions &amp; FX Reference'!$A$5:$A$25,0)),"(Not stated)"))))&gt;0,IF(R9="EUR",S9,IF(R9="IRR",S9/INDEX('Assumptions &amp; FX Reference'!$C$5:$C$25,MATCH(Q9,'Assumptions &amp; FX Reference'!$A$5:$A$25,0)),IF(R9="USD",S9*INDEX('Assumptions &amp; FX Reference'!$B$5:$B$25,MATCH(Q9,'Assumptions &amp; FX Reference'!$A$5:$A$25,0))/INDEX('Assumptions &amp; FX Reference'!$C$5:$C$25,MATCH(Q9,'Assumptions &amp; FX Reference'!$A$5:$A$25,0)),"(Not stated)"))),"(FX rate not entered for this year)"),"(FX rate not entered for this year)")))</f>
        <v>(Cost year not stated / not a Jalali year)</v>
      </c>
      <c r="U9" s="24" t="str">
        <f>IF(NOT(ISNUMBER(S9)),"(Not stated)",IF(NOT(ISNUMBER(Q9)),"(Cost year not stated / not a Jalali year)",IFERROR(IF(N(IF(R9="USD",S9,IF(R9="IRR",S9/INDEX('Assumptions &amp; FX Reference'!$B$5:$B$25,MATCH(Q9,'Assumptions &amp; FX Reference'!$A$5:$A$25,0)),IF(R9="EUR",S9*INDEX('Assumptions &amp; FX Reference'!$C$5:$C$25,MATCH(Q9,'Assumptions &amp; FX Reference'!$A$5:$A$25,0))/INDEX('Assumptions &amp; FX Reference'!$B$5:$B$25,MATCH(Q9,'Assumptions &amp; FX Reference'!$A$5:$A$25,0)),"(Not stated)"))))&gt;0,IF(R9="USD",S9,IF(R9="IRR",S9/INDEX('Assumptions &amp; FX Reference'!$B$5:$B$25,MATCH(Q9,'Assumptions &amp; FX Reference'!$A$5:$A$25,0)),IF(R9="EUR",S9*INDEX('Assumptions &amp; FX Reference'!$C$5:$C$25,MATCH(Q9,'Assumptions &amp; FX Reference'!$A$5:$A$25,0))/INDEX('Assumptions &amp; FX Reference'!$B$5:$B$25,MATCH(Q9,'Assumptions &amp; FX Reference'!$A$5:$A$25,0)),"(Not stated)"))),"(FX rate not entered for this year)"),"(FX rate not entered for this year)")))</f>
        <v>(Cost year not stated / not a Jalali year)</v>
      </c>
      <c r="V9" s="24" t="str">
        <f>IF(NOT(ISNUMBER(S9)),"(Not stated)",IF(NOT(ISNUMBER(Q9)),"(Cost year not stated / not a Jalali year)",IFERROR(IF(N(IF(R9="IRR",S9,IF(R9="USD",S9*INDEX('Assumptions &amp; FX Reference'!$B$5:$B$25,MATCH(Q9,'Assumptions &amp; FX Reference'!$A$5:$A$25,0)),IF(R9="EUR",S9*INDEX('Assumptions &amp; FX Reference'!$C$5:$C$25,MATCH(Q9,'Assumptions &amp; FX Reference'!$A$5:$A$25,0)),"(Not stated)"))))&gt;0,IF(R9="IRR",S9,IF(R9="USD",S9*INDEX('Assumptions &amp; FX Reference'!$B$5:$B$25,MATCH(Q9,'Assumptions &amp; FX Reference'!$A$5:$A$25,0)),IF(R9="EUR",S9*INDEX('Assumptions &amp; FX Reference'!$C$5:$C$25,MATCH(Q9,'Assumptions &amp; FX Reference'!$A$5:$A$25,0)),"(Not stated)"))),"(FX rate not entered for this year)"),"(FX rate not entered for this year)")))</f>
        <v>(Cost year not stated / not a Jalali year)</v>
      </c>
      <c r="W9" s="19" t="s">
        <v>104</v>
      </c>
      <c r="X9" s="19" t="s">
        <v>104</v>
      </c>
      <c r="Y9" s="19" t="s">
        <v>104</v>
      </c>
      <c r="Z9" s="19" t="s">
        <v>144</v>
      </c>
      <c r="AA9" s="19" t="s">
        <v>145</v>
      </c>
      <c r="AB9" s="19" t="s">
        <v>110</v>
      </c>
    </row>
    <row r="10" spans="1:28" ht="144" hidden="1" customHeight="1" x14ac:dyDescent="0.25">
      <c r="A10" s="18">
        <v>6</v>
      </c>
      <c r="B10" s="19" t="s">
        <v>146</v>
      </c>
      <c r="C10" s="19" t="s">
        <v>127</v>
      </c>
      <c r="D10" s="19" t="s">
        <v>147</v>
      </c>
      <c r="E10" s="19" t="s">
        <v>148</v>
      </c>
      <c r="F10" s="19" t="s">
        <v>19</v>
      </c>
      <c r="G10" s="20" t="s">
        <v>104</v>
      </c>
      <c r="H10" s="19" t="s">
        <v>104</v>
      </c>
      <c r="I10" s="19" t="s">
        <v>149</v>
      </c>
      <c r="J10" s="19" t="s">
        <v>104</v>
      </c>
      <c r="K10" s="19" t="s">
        <v>104</v>
      </c>
      <c r="L10" s="19" t="s">
        <v>104</v>
      </c>
      <c r="M10" s="19" t="s">
        <v>104</v>
      </c>
      <c r="N10" s="19" t="s">
        <v>104</v>
      </c>
      <c r="O10" s="21" t="s">
        <v>104</v>
      </c>
      <c r="P10" s="19" t="s">
        <v>104</v>
      </c>
      <c r="Q10" s="22">
        <v>1402</v>
      </c>
      <c r="R10" s="23" t="s">
        <v>105</v>
      </c>
      <c r="S10" s="20" t="s">
        <v>104</v>
      </c>
      <c r="T10" s="24" t="str">
        <f>IF(NOT(ISNUMBER(S10)),"(Not stated)",IF(NOT(ISNUMBER(Q10)),"(Cost year not stated / not a Jalali year)",IFERROR(IF(N(IF(R10="EUR",S10,IF(R10="IRR",S10/INDEX('Assumptions &amp; FX Reference'!$C$5:$C$25,MATCH(Q10,'Assumptions &amp; FX Reference'!$A$5:$A$25,0)),IF(R10="USD",S10*INDEX('Assumptions &amp; FX Reference'!$B$5:$B$25,MATCH(Q10,'Assumptions &amp; FX Reference'!$A$5:$A$25,0))/INDEX('Assumptions &amp; FX Reference'!$C$5:$C$25,MATCH(Q10,'Assumptions &amp; FX Reference'!$A$5:$A$25,0)),"(Not stated)"))))&gt;0,IF(R10="EUR",S10,IF(R10="IRR",S10/INDEX('Assumptions &amp; FX Reference'!$C$5:$C$25,MATCH(Q10,'Assumptions &amp; FX Reference'!$A$5:$A$25,0)),IF(R10="USD",S10*INDEX('Assumptions &amp; FX Reference'!$B$5:$B$25,MATCH(Q10,'Assumptions &amp; FX Reference'!$A$5:$A$25,0))/INDEX('Assumptions &amp; FX Reference'!$C$5:$C$25,MATCH(Q10,'Assumptions &amp; FX Reference'!$A$5:$A$25,0)),"(Not stated)"))),"(FX rate not entered for this year)"),"(FX rate not entered for this year)")))</f>
        <v>(Not stated)</v>
      </c>
      <c r="U10" s="24" t="str">
        <f>IF(NOT(ISNUMBER(S10)),"(Not stated)",IF(NOT(ISNUMBER(Q10)),"(Cost year not stated / not a Jalali year)",IFERROR(IF(N(IF(R10="USD",S10,IF(R10="IRR",S10/INDEX('Assumptions &amp; FX Reference'!$B$5:$B$25,MATCH(Q10,'Assumptions &amp; FX Reference'!$A$5:$A$25,0)),IF(R10="EUR",S10*INDEX('Assumptions &amp; FX Reference'!$C$5:$C$25,MATCH(Q10,'Assumptions &amp; FX Reference'!$A$5:$A$25,0))/INDEX('Assumptions &amp; FX Reference'!$B$5:$B$25,MATCH(Q10,'Assumptions &amp; FX Reference'!$A$5:$A$25,0)),"(Not stated)"))))&gt;0,IF(R10="USD",S10,IF(R10="IRR",S10/INDEX('Assumptions &amp; FX Reference'!$B$5:$B$25,MATCH(Q10,'Assumptions &amp; FX Reference'!$A$5:$A$25,0)),IF(R10="EUR",S10*INDEX('Assumptions &amp; FX Reference'!$C$5:$C$25,MATCH(Q10,'Assumptions &amp; FX Reference'!$A$5:$A$25,0))/INDEX('Assumptions &amp; FX Reference'!$B$5:$B$25,MATCH(Q10,'Assumptions &amp; FX Reference'!$A$5:$A$25,0)),"(Not stated)"))),"(FX rate not entered for this year)"),"(FX rate not entered for this year)")))</f>
        <v>(Not stated)</v>
      </c>
      <c r="V10" s="24" t="str">
        <f>IF(NOT(ISNUMBER(S10)),"(Not stated)",IF(NOT(ISNUMBER(Q10)),"(Cost year not stated / not a Jalali year)",IFERROR(IF(N(IF(R10="IRR",S10,IF(R10="USD",S10*INDEX('Assumptions &amp; FX Reference'!$B$5:$B$25,MATCH(Q10,'Assumptions &amp; FX Reference'!$A$5:$A$25,0)),IF(R10="EUR",S10*INDEX('Assumptions &amp; FX Reference'!$C$5:$C$25,MATCH(Q10,'Assumptions &amp; FX Reference'!$A$5:$A$25,0)),"(Not stated)"))))&gt;0,IF(R10="IRR",S10,IF(R10="USD",S10*INDEX('Assumptions &amp; FX Reference'!$B$5:$B$25,MATCH(Q10,'Assumptions &amp; FX Reference'!$A$5:$A$25,0)),IF(R10="EUR",S10*INDEX('Assumptions &amp; FX Reference'!$C$5:$C$25,MATCH(Q10,'Assumptions &amp; FX Reference'!$A$5:$A$25,0)),"(Not stated)"))),"(FX rate not entered for this year)"),"(FX rate not entered for this year)")))</f>
        <v>(Not stated)</v>
      </c>
      <c r="W10" s="19" t="s">
        <v>104</v>
      </c>
      <c r="X10" s="19" t="s">
        <v>132</v>
      </c>
      <c r="Y10" s="19" t="s">
        <v>133</v>
      </c>
      <c r="Z10" s="19" t="s">
        <v>150</v>
      </c>
      <c r="AA10" s="19" t="s">
        <v>151</v>
      </c>
      <c r="AB10" s="19" t="s">
        <v>110</v>
      </c>
    </row>
    <row r="11" spans="1:28" ht="81" hidden="1" customHeight="1" x14ac:dyDescent="0.25">
      <c r="A11" s="18">
        <v>7</v>
      </c>
      <c r="B11" s="19" t="s">
        <v>152</v>
      </c>
      <c r="C11" s="19" t="s">
        <v>127</v>
      </c>
      <c r="D11" s="19" t="s">
        <v>153</v>
      </c>
      <c r="E11" s="19" t="s">
        <v>148</v>
      </c>
      <c r="F11" s="19" t="s">
        <v>21</v>
      </c>
      <c r="G11" s="20" t="s">
        <v>104</v>
      </c>
      <c r="H11" s="19" t="s">
        <v>104</v>
      </c>
      <c r="I11" s="19" t="s">
        <v>154</v>
      </c>
      <c r="J11" s="19" t="s">
        <v>104</v>
      </c>
      <c r="K11" s="19" t="s">
        <v>104</v>
      </c>
      <c r="L11" s="19" t="s">
        <v>104</v>
      </c>
      <c r="M11" s="19" t="s">
        <v>104</v>
      </c>
      <c r="N11" s="19" t="s">
        <v>104</v>
      </c>
      <c r="O11" s="21" t="s">
        <v>104</v>
      </c>
      <c r="P11" s="19" t="s">
        <v>104</v>
      </c>
      <c r="Q11" s="22">
        <v>1402</v>
      </c>
      <c r="R11" s="23" t="s">
        <v>105</v>
      </c>
      <c r="S11" s="20" t="s">
        <v>104</v>
      </c>
      <c r="T11" s="24" t="str">
        <f>IF(NOT(ISNUMBER(S11)),"(Not stated)",IF(NOT(ISNUMBER(Q11)),"(Cost year not stated / not a Jalali year)",IFERROR(IF(N(IF(R11="EUR",S11,IF(R11="IRR",S11/INDEX('Assumptions &amp; FX Reference'!$C$5:$C$25,MATCH(Q11,'Assumptions &amp; FX Reference'!$A$5:$A$25,0)),IF(R11="USD",S11*INDEX('Assumptions &amp; FX Reference'!$B$5:$B$25,MATCH(Q11,'Assumptions &amp; FX Reference'!$A$5:$A$25,0))/INDEX('Assumptions &amp; FX Reference'!$C$5:$C$25,MATCH(Q11,'Assumptions &amp; FX Reference'!$A$5:$A$25,0)),"(Not stated)"))))&gt;0,IF(R11="EUR",S11,IF(R11="IRR",S11/INDEX('Assumptions &amp; FX Reference'!$C$5:$C$25,MATCH(Q11,'Assumptions &amp; FX Reference'!$A$5:$A$25,0)),IF(R11="USD",S11*INDEX('Assumptions &amp; FX Reference'!$B$5:$B$25,MATCH(Q11,'Assumptions &amp; FX Reference'!$A$5:$A$25,0))/INDEX('Assumptions &amp; FX Reference'!$C$5:$C$25,MATCH(Q11,'Assumptions &amp; FX Reference'!$A$5:$A$25,0)),"(Not stated)"))),"(FX rate not entered for this year)"),"(FX rate not entered for this year)")))</f>
        <v>(Not stated)</v>
      </c>
      <c r="U11" s="24" t="str">
        <f>IF(NOT(ISNUMBER(S11)),"(Not stated)",IF(NOT(ISNUMBER(Q11)),"(Cost year not stated / not a Jalali year)",IFERROR(IF(N(IF(R11="USD",S11,IF(R11="IRR",S11/INDEX('Assumptions &amp; FX Reference'!$B$5:$B$25,MATCH(Q11,'Assumptions &amp; FX Reference'!$A$5:$A$25,0)),IF(R11="EUR",S11*INDEX('Assumptions &amp; FX Reference'!$C$5:$C$25,MATCH(Q11,'Assumptions &amp; FX Reference'!$A$5:$A$25,0))/INDEX('Assumptions &amp; FX Reference'!$B$5:$B$25,MATCH(Q11,'Assumptions &amp; FX Reference'!$A$5:$A$25,0)),"(Not stated)"))))&gt;0,IF(R11="USD",S11,IF(R11="IRR",S11/INDEX('Assumptions &amp; FX Reference'!$B$5:$B$25,MATCH(Q11,'Assumptions &amp; FX Reference'!$A$5:$A$25,0)),IF(R11="EUR",S11*INDEX('Assumptions &amp; FX Reference'!$C$5:$C$25,MATCH(Q11,'Assumptions &amp; FX Reference'!$A$5:$A$25,0))/INDEX('Assumptions &amp; FX Reference'!$B$5:$B$25,MATCH(Q11,'Assumptions &amp; FX Reference'!$A$5:$A$25,0)),"(Not stated)"))),"(FX rate not entered for this year)"),"(FX rate not entered for this year)")))</f>
        <v>(Not stated)</v>
      </c>
      <c r="V11" s="24" t="str">
        <f>IF(NOT(ISNUMBER(S11)),"(Not stated)",IF(NOT(ISNUMBER(Q11)),"(Cost year not stated / not a Jalali year)",IFERROR(IF(N(IF(R11="IRR",S11,IF(R11="USD",S11*INDEX('Assumptions &amp; FX Reference'!$B$5:$B$25,MATCH(Q11,'Assumptions &amp; FX Reference'!$A$5:$A$25,0)),IF(R11="EUR",S11*INDEX('Assumptions &amp; FX Reference'!$C$5:$C$25,MATCH(Q11,'Assumptions &amp; FX Reference'!$A$5:$A$25,0)),"(Not stated)"))))&gt;0,IF(R11="IRR",S11,IF(R11="USD",S11*INDEX('Assumptions &amp; FX Reference'!$B$5:$B$25,MATCH(Q11,'Assumptions &amp; FX Reference'!$A$5:$A$25,0)),IF(R11="EUR",S11*INDEX('Assumptions &amp; FX Reference'!$C$5:$C$25,MATCH(Q11,'Assumptions &amp; FX Reference'!$A$5:$A$25,0)),"(Not stated)"))),"(FX rate not entered for this year)"),"(FX rate not entered for this year)")))</f>
        <v>(Not stated)</v>
      </c>
      <c r="W11" s="19" t="s">
        <v>104</v>
      </c>
      <c r="X11" s="19" t="s">
        <v>132</v>
      </c>
      <c r="Y11" s="19" t="s">
        <v>133</v>
      </c>
      <c r="Z11" s="19" t="s">
        <v>155</v>
      </c>
      <c r="AA11" s="19" t="s">
        <v>156</v>
      </c>
      <c r="AB11" s="19" t="s">
        <v>110</v>
      </c>
    </row>
    <row r="12" spans="1:28" ht="119.25" hidden="1" customHeight="1" x14ac:dyDescent="0.25">
      <c r="A12" s="18">
        <v>8</v>
      </c>
      <c r="B12" s="19" t="s">
        <v>157</v>
      </c>
      <c r="C12" s="19" t="s">
        <v>137</v>
      </c>
      <c r="D12" s="19" t="s">
        <v>158</v>
      </c>
      <c r="E12" s="19" t="s">
        <v>159</v>
      </c>
      <c r="F12" s="19" t="s">
        <v>23</v>
      </c>
      <c r="G12" s="20" t="s">
        <v>104</v>
      </c>
      <c r="H12" s="19" t="s">
        <v>104</v>
      </c>
      <c r="I12" s="19" t="s">
        <v>160</v>
      </c>
      <c r="J12" s="19" t="s">
        <v>161</v>
      </c>
      <c r="K12" s="19" t="s">
        <v>162</v>
      </c>
      <c r="L12" s="19" t="s">
        <v>163</v>
      </c>
      <c r="M12" s="19" t="s">
        <v>164</v>
      </c>
      <c r="N12" s="19" t="s">
        <v>104</v>
      </c>
      <c r="O12" s="21" t="s">
        <v>165</v>
      </c>
      <c r="P12" s="19" t="s">
        <v>104</v>
      </c>
      <c r="Q12" s="22" t="s">
        <v>104</v>
      </c>
      <c r="R12" s="23" t="s">
        <v>143</v>
      </c>
      <c r="S12" s="20">
        <v>2200000</v>
      </c>
      <c r="T12" s="24" t="str">
        <f>IF(NOT(ISNUMBER(S12)),"(Not stated)",IF(NOT(ISNUMBER(Q12)),"(Cost year not stated / not a Jalali year)",IFERROR(IF(N(IF(R12="EUR",S12,IF(R12="IRR",S12/INDEX('Assumptions &amp; FX Reference'!$C$5:$C$25,MATCH(Q12,'Assumptions &amp; FX Reference'!$A$5:$A$25,0)),IF(R12="USD",S12*INDEX('Assumptions &amp; FX Reference'!$B$5:$B$25,MATCH(Q12,'Assumptions &amp; FX Reference'!$A$5:$A$25,0))/INDEX('Assumptions &amp; FX Reference'!$C$5:$C$25,MATCH(Q12,'Assumptions &amp; FX Reference'!$A$5:$A$25,0)),"(Not stated)"))))&gt;0,IF(R12="EUR",S12,IF(R12="IRR",S12/INDEX('Assumptions &amp; FX Reference'!$C$5:$C$25,MATCH(Q12,'Assumptions &amp; FX Reference'!$A$5:$A$25,0)),IF(R12="USD",S12*INDEX('Assumptions &amp; FX Reference'!$B$5:$B$25,MATCH(Q12,'Assumptions &amp; FX Reference'!$A$5:$A$25,0))/INDEX('Assumptions &amp; FX Reference'!$C$5:$C$25,MATCH(Q12,'Assumptions &amp; FX Reference'!$A$5:$A$25,0)),"(Not stated)"))),"(FX rate not entered for this year)"),"(FX rate not entered for this year)")))</f>
        <v>(Cost year not stated / not a Jalali year)</v>
      </c>
      <c r="U12" s="24" t="str">
        <f>IF(NOT(ISNUMBER(S12)),"(Not stated)",IF(NOT(ISNUMBER(Q12)),"(Cost year not stated / not a Jalali year)",IFERROR(IF(N(IF(R12="USD",S12,IF(R12="IRR",S12/INDEX('Assumptions &amp; FX Reference'!$B$5:$B$25,MATCH(Q12,'Assumptions &amp; FX Reference'!$A$5:$A$25,0)),IF(R12="EUR",S12*INDEX('Assumptions &amp; FX Reference'!$C$5:$C$25,MATCH(Q12,'Assumptions &amp; FX Reference'!$A$5:$A$25,0))/INDEX('Assumptions &amp; FX Reference'!$B$5:$B$25,MATCH(Q12,'Assumptions &amp; FX Reference'!$A$5:$A$25,0)),"(Not stated)"))))&gt;0,IF(R12="USD",S12,IF(R12="IRR",S12/INDEX('Assumptions &amp; FX Reference'!$B$5:$B$25,MATCH(Q12,'Assumptions &amp; FX Reference'!$A$5:$A$25,0)),IF(R12="EUR",S12*INDEX('Assumptions &amp; FX Reference'!$C$5:$C$25,MATCH(Q12,'Assumptions &amp; FX Reference'!$A$5:$A$25,0))/INDEX('Assumptions &amp; FX Reference'!$B$5:$B$25,MATCH(Q12,'Assumptions &amp; FX Reference'!$A$5:$A$25,0)),"(Not stated)"))),"(FX rate not entered for this year)"),"(FX rate not entered for this year)")))</f>
        <v>(Cost year not stated / not a Jalali year)</v>
      </c>
      <c r="V12" s="24" t="str">
        <f>IF(NOT(ISNUMBER(S12)),"(Not stated)",IF(NOT(ISNUMBER(Q12)),"(Cost year not stated / not a Jalali year)",IFERROR(IF(N(IF(R12="IRR",S12,IF(R12="USD",S12*INDEX('Assumptions &amp; FX Reference'!$B$5:$B$25,MATCH(Q12,'Assumptions &amp; FX Reference'!$A$5:$A$25,0)),IF(R12="EUR",S12*INDEX('Assumptions &amp; FX Reference'!$C$5:$C$25,MATCH(Q12,'Assumptions &amp; FX Reference'!$A$5:$A$25,0)),"(Not stated)"))))&gt;0,IF(R12="IRR",S12,IF(R12="USD",S12*INDEX('Assumptions &amp; FX Reference'!$B$5:$B$25,MATCH(Q12,'Assumptions &amp; FX Reference'!$A$5:$A$25,0)),IF(R12="EUR",S12*INDEX('Assumptions &amp; FX Reference'!$C$5:$C$25,MATCH(Q12,'Assumptions &amp; FX Reference'!$A$5:$A$25,0)),"(Not stated)"))),"(FX rate not entered for this year)"),"(FX rate not entered for this year)")))</f>
        <v>(Cost year not stated / not a Jalali year)</v>
      </c>
      <c r="W12" s="19" t="s">
        <v>104</v>
      </c>
      <c r="X12" s="19" t="s">
        <v>104</v>
      </c>
      <c r="Y12" s="19" t="s">
        <v>104</v>
      </c>
      <c r="Z12" s="19" t="s">
        <v>166</v>
      </c>
      <c r="AA12" s="19" t="s">
        <v>167</v>
      </c>
      <c r="AB12" s="19" t="s">
        <v>110</v>
      </c>
    </row>
    <row r="13" spans="1:28" ht="69" hidden="1" customHeight="1" x14ac:dyDescent="0.25">
      <c r="A13" s="18">
        <v>9</v>
      </c>
      <c r="B13" s="19" t="s">
        <v>168</v>
      </c>
      <c r="C13" s="19" t="s">
        <v>127</v>
      </c>
      <c r="D13" s="19" t="s">
        <v>169</v>
      </c>
      <c r="E13" s="19" t="s">
        <v>170</v>
      </c>
      <c r="F13" s="19" t="s">
        <v>25</v>
      </c>
      <c r="G13" s="20">
        <v>1</v>
      </c>
      <c r="H13" s="19" t="s">
        <v>129</v>
      </c>
      <c r="I13" s="19" t="s">
        <v>171</v>
      </c>
      <c r="J13" s="19" t="s">
        <v>104</v>
      </c>
      <c r="K13" s="19" t="s">
        <v>104</v>
      </c>
      <c r="L13" s="19" t="s">
        <v>104</v>
      </c>
      <c r="M13" s="19" t="s">
        <v>104</v>
      </c>
      <c r="N13" s="19" t="s">
        <v>104</v>
      </c>
      <c r="O13" s="21" t="s">
        <v>104</v>
      </c>
      <c r="P13" s="19" t="s">
        <v>104</v>
      </c>
      <c r="Q13" s="22">
        <v>1402</v>
      </c>
      <c r="R13" s="23" t="s">
        <v>105</v>
      </c>
      <c r="S13" s="20">
        <v>1300000000</v>
      </c>
      <c r="T13" s="24">
        <f>IF(NOT(ISNUMBER(S13)),"(Not stated)",IF(NOT(ISNUMBER(Q13)),"(Cost year not stated / not a Jalali year)",IFERROR(IF(N(IF(R13="EUR",S13,IF(R13="IRR",S13/INDEX('Assumptions &amp; FX Reference'!$C$5:$C$25,MATCH(Q13,'Assumptions &amp; FX Reference'!$A$5:$A$25,0)),IF(R13="USD",S13*INDEX('Assumptions &amp; FX Reference'!$B$5:$B$25,MATCH(Q13,'Assumptions &amp; FX Reference'!$A$5:$A$25,0))/INDEX('Assumptions &amp; FX Reference'!$C$5:$C$25,MATCH(Q13,'Assumptions &amp; FX Reference'!$A$5:$A$25,0)),"(Not stated)"))))&gt;0,IF(R13="EUR",S13,IF(R13="IRR",S13/INDEX('Assumptions &amp; FX Reference'!$C$5:$C$25,MATCH(Q13,'Assumptions &amp; FX Reference'!$A$5:$A$25,0)),IF(R13="USD",S13*INDEX('Assumptions &amp; FX Reference'!$B$5:$B$25,MATCH(Q13,'Assumptions &amp; FX Reference'!$A$5:$A$25,0))/INDEX('Assumptions &amp; FX Reference'!$C$5:$C$25,MATCH(Q13,'Assumptions &amp; FX Reference'!$A$5:$A$25,0)),"(Not stated)"))),"(FX rate not entered for this year)"),"(FX rate not entered for this year)")))</f>
        <v>2455.1463644948062</v>
      </c>
      <c r="U13" s="24">
        <f>IF(NOT(ISNUMBER(S13)),"(Not stated)",IF(NOT(ISNUMBER(Q13)),"(Cost year not stated / not a Jalali year)",IFERROR(IF(N(IF(R13="USD",S13,IF(R13="IRR",S13/INDEX('Assumptions &amp; FX Reference'!$B$5:$B$25,MATCH(Q13,'Assumptions &amp; FX Reference'!$A$5:$A$25,0)),IF(R13="EUR",S13*INDEX('Assumptions &amp; FX Reference'!$C$5:$C$25,MATCH(Q13,'Assumptions &amp; FX Reference'!$A$5:$A$25,0))/INDEX('Assumptions &amp; FX Reference'!$B$5:$B$25,MATCH(Q13,'Assumptions &amp; FX Reference'!$A$5:$A$25,0)),"(Not stated)"))))&gt;0,IF(R13="USD",S13,IF(R13="IRR",S13/INDEX('Assumptions &amp; FX Reference'!$B$5:$B$25,MATCH(Q13,'Assumptions &amp; FX Reference'!$A$5:$A$25,0)),IF(R13="EUR",S13*INDEX('Assumptions &amp; FX Reference'!$C$5:$C$25,MATCH(Q13,'Assumptions &amp; FX Reference'!$A$5:$A$25,0))/INDEX('Assumptions &amp; FX Reference'!$B$5:$B$25,MATCH(Q13,'Assumptions &amp; FX Reference'!$A$5:$A$25,0)),"(Not stated)"))),"(FX rate not entered for this year)"),"(FX rate not entered for this year)")))</f>
        <v>3095.2380952380954</v>
      </c>
      <c r="V13" s="24">
        <f>IF(NOT(ISNUMBER(S13)),"(Not stated)",IF(NOT(ISNUMBER(Q13)),"(Cost year not stated / not a Jalali year)",IFERROR(IF(N(IF(R13="IRR",S13,IF(R13="USD",S13*INDEX('Assumptions &amp; FX Reference'!$B$5:$B$25,MATCH(Q13,'Assumptions &amp; FX Reference'!$A$5:$A$25,0)),IF(R13="EUR",S13*INDEX('Assumptions &amp; FX Reference'!$C$5:$C$25,MATCH(Q13,'Assumptions &amp; FX Reference'!$A$5:$A$25,0)),"(Not stated)"))))&gt;0,IF(R13="IRR",S13,IF(R13="USD",S13*INDEX('Assumptions &amp; FX Reference'!$B$5:$B$25,MATCH(Q13,'Assumptions &amp; FX Reference'!$A$5:$A$25,0)),IF(R13="EUR",S13*INDEX('Assumptions &amp; FX Reference'!$C$5:$C$25,MATCH(Q13,'Assumptions &amp; FX Reference'!$A$5:$A$25,0)),"(Not stated)"))),"(FX rate not entered for this year)"),"(FX rate not entered for this year)")))</f>
        <v>1300000000</v>
      </c>
      <c r="W13" s="19" t="s">
        <v>131</v>
      </c>
      <c r="X13" s="19" t="s">
        <v>132</v>
      </c>
      <c r="Y13" s="19" t="s">
        <v>133</v>
      </c>
      <c r="Z13" s="19" t="s">
        <v>172</v>
      </c>
      <c r="AA13" s="19" t="s">
        <v>173</v>
      </c>
      <c r="AB13" s="19" t="s">
        <v>110</v>
      </c>
    </row>
    <row r="14" spans="1:28" ht="81" hidden="1" customHeight="1" x14ac:dyDescent="0.25">
      <c r="A14" s="18">
        <v>10</v>
      </c>
      <c r="B14" s="19" t="s">
        <v>174</v>
      </c>
      <c r="C14" s="19" t="s">
        <v>127</v>
      </c>
      <c r="D14" s="19" t="s">
        <v>175</v>
      </c>
      <c r="E14" s="19" t="s">
        <v>170</v>
      </c>
      <c r="F14" s="19" t="s">
        <v>25</v>
      </c>
      <c r="G14" s="20">
        <v>1</v>
      </c>
      <c r="H14" s="19" t="s">
        <v>129</v>
      </c>
      <c r="I14" s="19" t="s">
        <v>176</v>
      </c>
      <c r="J14" s="19" t="s">
        <v>104</v>
      </c>
      <c r="K14" s="19" t="s">
        <v>104</v>
      </c>
      <c r="L14" s="19" t="s">
        <v>104</v>
      </c>
      <c r="M14" s="19" t="s">
        <v>104</v>
      </c>
      <c r="N14" s="19" t="s">
        <v>104</v>
      </c>
      <c r="O14" s="21" t="s">
        <v>104</v>
      </c>
      <c r="P14" s="19" t="s">
        <v>104</v>
      </c>
      <c r="Q14" s="22">
        <v>1402</v>
      </c>
      <c r="R14" s="23" t="s">
        <v>105</v>
      </c>
      <c r="S14" s="20">
        <v>115920000000</v>
      </c>
      <c r="T14" s="36">
        <f>IF(NOT(ISNUMBER(S14)),"(Not stated)",IF(NOT(ISNUMBER(Q14)),"(Cost year not stated / not a Jalali year)",IFERROR(IF(N(IF(R14="EUR",S14,IF(R14="IRR",S14/INDEX('Assumptions &amp; FX Reference'!$C$5:$C$25,MATCH(Q14,'Assumptions &amp; FX Reference'!$A$5:$A$25,0)),IF(R14="USD",S14*INDEX('Assumptions &amp; FX Reference'!$B$5:$B$25,MATCH(Q14,'Assumptions &amp; FX Reference'!$A$5:$A$25,0))/INDEX('Assumptions &amp; FX Reference'!$C$5:$C$25,MATCH(Q14,'Assumptions &amp; FX Reference'!$A$5:$A$25,0)),"(Not stated)"))))&gt;0,IF(R14="EUR",S14,IF(R14="IRR",S14/INDEX('Assumptions &amp; FX Reference'!$C$5:$C$25,MATCH(Q14,'Assumptions &amp; FX Reference'!$A$5:$A$25,0)),IF(R14="USD",S14*INDEX('Assumptions &amp; FX Reference'!$B$5:$B$25,MATCH(Q14,'Assumptions &amp; FX Reference'!$A$5:$A$25,0))/INDEX('Assumptions &amp; FX Reference'!$C$5:$C$25,MATCH(Q14,'Assumptions &amp; FX Reference'!$A$5:$A$25,0)),"(Not stated)"))),"(FX rate not entered for this year)"),"(FX rate not entered for this year)")))</f>
        <v>218923.51274787536</v>
      </c>
      <c r="U14" s="36">
        <f>IF(NOT(ISNUMBER(S14)),"(Not stated)",IF(NOT(ISNUMBER(Q14)),"(Cost year not stated / not a Jalali year)",IFERROR(IF(N(IF(R14="USD",S14,IF(R14="IRR",S14/INDEX('Assumptions &amp; FX Reference'!$B$5:$B$25,MATCH(Q14,'Assumptions &amp; FX Reference'!$A$5:$A$25,0)),IF(R14="EUR",S14*INDEX('Assumptions &amp; FX Reference'!$C$5:$C$25,MATCH(Q14,'Assumptions &amp; FX Reference'!$A$5:$A$25,0))/INDEX('Assumptions &amp; FX Reference'!$B$5:$B$25,MATCH(Q14,'Assumptions &amp; FX Reference'!$A$5:$A$25,0)),"(Not stated)"))))&gt;0,IF(R14="USD",S14,IF(R14="IRR",S14/INDEX('Assumptions &amp; FX Reference'!$B$5:$B$25,MATCH(Q14,'Assumptions &amp; FX Reference'!$A$5:$A$25,0)),IF(R14="EUR",S14*INDEX('Assumptions &amp; FX Reference'!$C$5:$C$25,MATCH(Q14,'Assumptions &amp; FX Reference'!$A$5:$A$25,0))/INDEX('Assumptions &amp; FX Reference'!$B$5:$B$25,MATCH(Q14,'Assumptions &amp; FX Reference'!$A$5:$A$25,0)),"(Not stated)"))),"(FX rate not entered for this year)"),"(FX rate not entered for this year)")))</f>
        <v>276000</v>
      </c>
      <c r="V14" s="36">
        <f>IF(NOT(ISNUMBER(S14)),"(Not stated)",IF(NOT(ISNUMBER(Q14)),"(Cost year not stated / not a Jalali year)",IFERROR(IF(N(IF(R14="IRR",S14,IF(R14="USD",S14*INDEX('Assumptions &amp; FX Reference'!$B$5:$B$25,MATCH(Q14,'Assumptions &amp; FX Reference'!$A$5:$A$25,0)),IF(R14="EUR",S14*INDEX('Assumptions &amp; FX Reference'!$C$5:$C$25,MATCH(Q14,'Assumptions &amp; FX Reference'!$A$5:$A$25,0)),"(Not stated)"))))&gt;0,IF(R14="IRR",S14,IF(R14="USD",S14*INDEX('Assumptions &amp; FX Reference'!$B$5:$B$25,MATCH(Q14,'Assumptions &amp; FX Reference'!$A$5:$A$25,0)),IF(R14="EUR",S14*INDEX('Assumptions &amp; FX Reference'!$C$5:$C$25,MATCH(Q14,'Assumptions &amp; FX Reference'!$A$5:$A$25,0)),"(Not stated)"))),"(FX rate not entered for this year)"),"(FX rate not entered for this year)")))</f>
        <v>115920000000</v>
      </c>
      <c r="W14" s="19" t="s">
        <v>131</v>
      </c>
      <c r="X14" s="19" t="s">
        <v>132</v>
      </c>
      <c r="Y14" s="19" t="s">
        <v>133</v>
      </c>
      <c r="Z14" s="19" t="s">
        <v>177</v>
      </c>
      <c r="AA14" s="19" t="s">
        <v>178</v>
      </c>
      <c r="AB14" s="19" t="s">
        <v>110</v>
      </c>
    </row>
    <row r="15" spans="1:28" ht="81" hidden="1" customHeight="1" x14ac:dyDescent="0.25">
      <c r="A15" s="18">
        <v>11</v>
      </c>
      <c r="B15" s="19" t="s">
        <v>179</v>
      </c>
      <c r="C15" s="19" t="s">
        <v>127</v>
      </c>
      <c r="D15" s="19" t="s">
        <v>180</v>
      </c>
      <c r="E15" s="19" t="s">
        <v>170</v>
      </c>
      <c r="F15" s="19" t="s">
        <v>25</v>
      </c>
      <c r="G15" s="20">
        <v>1</v>
      </c>
      <c r="H15" s="19" t="s">
        <v>129</v>
      </c>
      <c r="I15" s="19" t="s">
        <v>181</v>
      </c>
      <c r="J15" s="19" t="s">
        <v>104</v>
      </c>
      <c r="K15" s="19" t="s">
        <v>104</v>
      </c>
      <c r="L15" s="19" t="s">
        <v>104</v>
      </c>
      <c r="M15" s="19" t="s">
        <v>104</v>
      </c>
      <c r="N15" s="19" t="s">
        <v>104</v>
      </c>
      <c r="O15" s="21" t="s">
        <v>104</v>
      </c>
      <c r="P15" s="19" t="s">
        <v>104</v>
      </c>
      <c r="Q15" s="22">
        <v>1402</v>
      </c>
      <c r="R15" s="23" t="s">
        <v>105</v>
      </c>
      <c r="S15" s="20">
        <v>141120000000</v>
      </c>
      <c r="T15" s="36">
        <f>IF(NOT(ISNUMBER(S15)),"(Not stated)",IF(NOT(ISNUMBER(Q15)),"(Cost year not stated / not a Jalali year)",IFERROR(IF(N(IF(R15="EUR",S15,IF(R15="IRR",S15/INDEX('Assumptions &amp; FX Reference'!$C$5:$C$25,MATCH(Q15,'Assumptions &amp; FX Reference'!$A$5:$A$25,0)),IF(R15="USD",S15*INDEX('Assumptions &amp; FX Reference'!$B$5:$B$25,MATCH(Q15,'Assumptions &amp; FX Reference'!$A$5:$A$25,0))/INDEX('Assumptions &amp; FX Reference'!$C$5:$C$25,MATCH(Q15,'Assumptions &amp; FX Reference'!$A$5:$A$25,0)),"(Not stated)"))))&gt;0,IF(R15="EUR",S15,IF(R15="IRR",S15/INDEX('Assumptions &amp; FX Reference'!$C$5:$C$25,MATCH(Q15,'Assumptions &amp; FX Reference'!$A$5:$A$25,0)),IF(R15="USD",S15*INDEX('Assumptions &amp; FX Reference'!$B$5:$B$25,MATCH(Q15,'Assumptions &amp; FX Reference'!$A$5:$A$25,0))/INDEX('Assumptions &amp; FX Reference'!$C$5:$C$25,MATCH(Q15,'Assumptions &amp; FX Reference'!$A$5:$A$25,0)),"(Not stated)"))),"(FX rate not entered for this year)"),"(FX rate not entered for this year)")))</f>
        <v>266515.58073654393</v>
      </c>
      <c r="U15" s="36">
        <f>IF(NOT(ISNUMBER(S15)),"(Not stated)",IF(NOT(ISNUMBER(Q15)),"(Cost year not stated / not a Jalali year)",IFERROR(IF(N(IF(R15="USD",S15,IF(R15="IRR",S15/INDEX('Assumptions &amp; FX Reference'!$B$5:$B$25,MATCH(Q15,'Assumptions &amp; FX Reference'!$A$5:$A$25,0)),IF(R15="EUR",S15*INDEX('Assumptions &amp; FX Reference'!$C$5:$C$25,MATCH(Q15,'Assumptions &amp; FX Reference'!$A$5:$A$25,0))/INDEX('Assumptions &amp; FX Reference'!$B$5:$B$25,MATCH(Q15,'Assumptions &amp; FX Reference'!$A$5:$A$25,0)),"(Not stated)"))))&gt;0,IF(R15="USD",S15,IF(R15="IRR",S15/INDEX('Assumptions &amp; FX Reference'!$B$5:$B$25,MATCH(Q15,'Assumptions &amp; FX Reference'!$A$5:$A$25,0)),IF(R15="EUR",S15*INDEX('Assumptions &amp; FX Reference'!$C$5:$C$25,MATCH(Q15,'Assumptions &amp; FX Reference'!$A$5:$A$25,0))/INDEX('Assumptions &amp; FX Reference'!$B$5:$B$25,MATCH(Q15,'Assumptions &amp; FX Reference'!$A$5:$A$25,0)),"(Not stated)"))),"(FX rate not entered for this year)"),"(FX rate not entered for this year)")))</f>
        <v>336000</v>
      </c>
      <c r="V15" s="36">
        <f>IF(NOT(ISNUMBER(S15)),"(Not stated)",IF(NOT(ISNUMBER(Q15)),"(Cost year not stated / not a Jalali year)",IFERROR(IF(N(IF(R15="IRR",S15,IF(R15="USD",S15*INDEX('Assumptions &amp; FX Reference'!$B$5:$B$25,MATCH(Q15,'Assumptions &amp; FX Reference'!$A$5:$A$25,0)),IF(R15="EUR",S15*INDEX('Assumptions &amp; FX Reference'!$C$5:$C$25,MATCH(Q15,'Assumptions &amp; FX Reference'!$A$5:$A$25,0)),"(Not stated)"))))&gt;0,IF(R15="IRR",S15,IF(R15="USD",S15*INDEX('Assumptions &amp; FX Reference'!$B$5:$B$25,MATCH(Q15,'Assumptions &amp; FX Reference'!$A$5:$A$25,0)),IF(R15="EUR",S15*INDEX('Assumptions &amp; FX Reference'!$C$5:$C$25,MATCH(Q15,'Assumptions &amp; FX Reference'!$A$5:$A$25,0)),"(Not stated)"))),"(FX rate not entered for this year)"),"(FX rate not entered for this year)")))</f>
        <v>141120000000</v>
      </c>
      <c r="W15" s="19" t="s">
        <v>131</v>
      </c>
      <c r="X15" s="19" t="s">
        <v>132</v>
      </c>
      <c r="Y15" s="19" t="s">
        <v>133</v>
      </c>
      <c r="Z15" s="19" t="s">
        <v>182</v>
      </c>
      <c r="AA15" s="19" t="s">
        <v>183</v>
      </c>
      <c r="AB15" s="19" t="s">
        <v>110</v>
      </c>
    </row>
    <row r="16" spans="1:28" ht="81" hidden="1" customHeight="1" x14ac:dyDescent="0.25">
      <c r="A16" s="18">
        <v>12</v>
      </c>
      <c r="B16" s="19" t="s">
        <v>184</v>
      </c>
      <c r="C16" s="19" t="s">
        <v>127</v>
      </c>
      <c r="D16" s="19" t="s">
        <v>185</v>
      </c>
      <c r="E16" s="19" t="s">
        <v>170</v>
      </c>
      <c r="F16" s="19" t="s">
        <v>25</v>
      </c>
      <c r="G16" s="20">
        <v>1</v>
      </c>
      <c r="H16" s="19" t="s">
        <v>129</v>
      </c>
      <c r="I16" s="19" t="s">
        <v>186</v>
      </c>
      <c r="J16" s="19" t="s">
        <v>104</v>
      </c>
      <c r="K16" s="19" t="s">
        <v>104</v>
      </c>
      <c r="L16" s="19" t="s">
        <v>104</v>
      </c>
      <c r="M16" s="19" t="s">
        <v>104</v>
      </c>
      <c r="N16" s="19" t="s">
        <v>104</v>
      </c>
      <c r="O16" s="21" t="s">
        <v>104</v>
      </c>
      <c r="P16" s="19" t="s">
        <v>104</v>
      </c>
      <c r="Q16" s="22">
        <v>1402</v>
      </c>
      <c r="R16" s="23" t="s">
        <v>105</v>
      </c>
      <c r="S16" s="20">
        <v>92400000000</v>
      </c>
      <c r="T16" s="36">
        <f>IF(NOT(ISNUMBER(S16)),"(Not stated)",IF(NOT(ISNUMBER(Q16)),"(Cost year not stated / not a Jalali year)",IFERROR(IF(N(IF(R16="EUR",S16,IF(R16="IRR",S16/INDEX('Assumptions &amp; FX Reference'!$C$5:$C$25,MATCH(Q16,'Assumptions &amp; FX Reference'!$A$5:$A$25,0)),IF(R16="USD",S16*INDEX('Assumptions &amp; FX Reference'!$B$5:$B$25,MATCH(Q16,'Assumptions &amp; FX Reference'!$A$5:$A$25,0))/INDEX('Assumptions &amp; FX Reference'!$C$5:$C$25,MATCH(Q16,'Assumptions &amp; FX Reference'!$A$5:$A$25,0)),"(Not stated)"))))&gt;0,IF(R16="EUR",S16,IF(R16="IRR",S16/INDEX('Assumptions &amp; FX Reference'!$C$5:$C$25,MATCH(Q16,'Assumptions &amp; FX Reference'!$A$5:$A$25,0)),IF(R16="USD",S16*INDEX('Assumptions &amp; FX Reference'!$B$5:$B$25,MATCH(Q16,'Assumptions &amp; FX Reference'!$A$5:$A$25,0))/INDEX('Assumptions &amp; FX Reference'!$C$5:$C$25,MATCH(Q16,'Assumptions &amp; FX Reference'!$A$5:$A$25,0)),"(Not stated)"))),"(FX rate not entered for this year)"),"(FX rate not entered for this year)")))</f>
        <v>174504.24929178471</v>
      </c>
      <c r="U16" s="36">
        <f>IF(NOT(ISNUMBER(S16)),"(Not stated)",IF(NOT(ISNUMBER(Q16)),"(Cost year not stated / not a Jalali year)",IFERROR(IF(N(IF(R16="USD",S16,IF(R16="IRR",S16/INDEX('Assumptions &amp; FX Reference'!$B$5:$B$25,MATCH(Q16,'Assumptions &amp; FX Reference'!$A$5:$A$25,0)),IF(R16="EUR",S16*INDEX('Assumptions &amp; FX Reference'!$C$5:$C$25,MATCH(Q16,'Assumptions &amp; FX Reference'!$A$5:$A$25,0))/INDEX('Assumptions &amp; FX Reference'!$B$5:$B$25,MATCH(Q16,'Assumptions &amp; FX Reference'!$A$5:$A$25,0)),"(Not stated)"))))&gt;0,IF(R16="USD",S16,IF(R16="IRR",S16/INDEX('Assumptions &amp; FX Reference'!$B$5:$B$25,MATCH(Q16,'Assumptions &amp; FX Reference'!$A$5:$A$25,0)),IF(R16="EUR",S16*INDEX('Assumptions &amp; FX Reference'!$C$5:$C$25,MATCH(Q16,'Assumptions &amp; FX Reference'!$A$5:$A$25,0))/INDEX('Assumptions &amp; FX Reference'!$B$5:$B$25,MATCH(Q16,'Assumptions &amp; FX Reference'!$A$5:$A$25,0)),"(Not stated)"))),"(FX rate not entered for this year)"),"(FX rate not entered for this year)")))</f>
        <v>220000</v>
      </c>
      <c r="V16" s="36">
        <f>IF(NOT(ISNUMBER(S16)),"(Not stated)",IF(NOT(ISNUMBER(Q16)),"(Cost year not stated / not a Jalali year)",IFERROR(IF(N(IF(R16="IRR",S16,IF(R16="USD",S16*INDEX('Assumptions &amp; FX Reference'!$B$5:$B$25,MATCH(Q16,'Assumptions &amp; FX Reference'!$A$5:$A$25,0)),IF(R16="EUR",S16*INDEX('Assumptions &amp; FX Reference'!$C$5:$C$25,MATCH(Q16,'Assumptions &amp; FX Reference'!$A$5:$A$25,0)),"(Not stated)"))))&gt;0,IF(R16="IRR",S16,IF(R16="USD",S16*INDEX('Assumptions &amp; FX Reference'!$B$5:$B$25,MATCH(Q16,'Assumptions &amp; FX Reference'!$A$5:$A$25,0)),IF(R16="EUR",S16*INDEX('Assumptions &amp; FX Reference'!$C$5:$C$25,MATCH(Q16,'Assumptions &amp; FX Reference'!$A$5:$A$25,0)),"(Not stated)"))),"(FX rate not entered for this year)"),"(FX rate not entered for this year)")))</f>
        <v>92400000000</v>
      </c>
      <c r="W16" s="19" t="s">
        <v>131</v>
      </c>
      <c r="X16" s="19" t="s">
        <v>132</v>
      </c>
      <c r="Y16" s="19" t="s">
        <v>133</v>
      </c>
      <c r="Z16" s="19" t="s">
        <v>187</v>
      </c>
      <c r="AA16" s="19" t="s">
        <v>188</v>
      </c>
      <c r="AB16" s="19" t="s">
        <v>110</v>
      </c>
    </row>
    <row r="17" spans="1:28" ht="69" hidden="1" customHeight="1" x14ac:dyDescent="0.25">
      <c r="A17" s="18">
        <v>13</v>
      </c>
      <c r="B17" s="19" t="s">
        <v>189</v>
      </c>
      <c r="C17" s="19" t="s">
        <v>127</v>
      </c>
      <c r="D17" s="19" t="s">
        <v>190</v>
      </c>
      <c r="E17" s="19" t="s">
        <v>170</v>
      </c>
      <c r="F17" s="19" t="s">
        <v>25</v>
      </c>
      <c r="G17" s="20">
        <v>1</v>
      </c>
      <c r="H17" s="19" t="s">
        <v>129</v>
      </c>
      <c r="I17" s="19" t="s">
        <v>191</v>
      </c>
      <c r="J17" s="19" t="s">
        <v>104</v>
      </c>
      <c r="K17" s="19" t="s">
        <v>104</v>
      </c>
      <c r="L17" s="19" t="s">
        <v>104</v>
      </c>
      <c r="M17" s="19" t="s">
        <v>104</v>
      </c>
      <c r="N17" s="19" t="s">
        <v>104</v>
      </c>
      <c r="O17" s="21" t="s">
        <v>104</v>
      </c>
      <c r="P17" s="19" t="s">
        <v>104</v>
      </c>
      <c r="Q17" s="22">
        <v>1402</v>
      </c>
      <c r="R17" s="23" t="s">
        <v>105</v>
      </c>
      <c r="S17" s="20">
        <v>3700000000</v>
      </c>
      <c r="T17" s="36">
        <f>IF(NOT(ISNUMBER(S17)),"(Not stated)",IF(NOT(ISNUMBER(Q17)),"(Cost year not stated / not a Jalali year)",IFERROR(IF(N(IF(R17="EUR",S17,IF(R17="IRR",S17/INDEX('Assumptions &amp; FX Reference'!$C$5:$C$25,MATCH(Q17,'Assumptions &amp; FX Reference'!$A$5:$A$25,0)),IF(R17="USD",S17*INDEX('Assumptions &amp; FX Reference'!$B$5:$B$25,MATCH(Q17,'Assumptions &amp; FX Reference'!$A$5:$A$25,0))/INDEX('Assumptions &amp; FX Reference'!$C$5:$C$25,MATCH(Q17,'Assumptions &amp; FX Reference'!$A$5:$A$25,0)),"(Not stated)"))))&gt;0,IF(R17="EUR",S17,IF(R17="IRR",S17/INDEX('Assumptions &amp; FX Reference'!$C$5:$C$25,MATCH(Q17,'Assumptions &amp; FX Reference'!$A$5:$A$25,0)),IF(R17="USD",S17*INDEX('Assumptions &amp; FX Reference'!$B$5:$B$25,MATCH(Q17,'Assumptions &amp; FX Reference'!$A$5:$A$25,0))/INDEX('Assumptions &amp; FX Reference'!$C$5:$C$25,MATCH(Q17,'Assumptions &amp; FX Reference'!$A$5:$A$25,0)),"(Not stated)"))),"(FX rate not entered for this year)"),"(FX rate not entered for this year)")))</f>
        <v>6987.724268177526</v>
      </c>
      <c r="U17" s="36">
        <f>IF(NOT(ISNUMBER(S17)),"(Not stated)",IF(NOT(ISNUMBER(Q17)),"(Cost year not stated / not a Jalali year)",IFERROR(IF(N(IF(R17="USD",S17,IF(R17="IRR",S17/INDEX('Assumptions &amp; FX Reference'!$B$5:$B$25,MATCH(Q17,'Assumptions &amp; FX Reference'!$A$5:$A$25,0)),IF(R17="EUR",S17*INDEX('Assumptions &amp; FX Reference'!$C$5:$C$25,MATCH(Q17,'Assumptions &amp; FX Reference'!$A$5:$A$25,0))/INDEX('Assumptions &amp; FX Reference'!$B$5:$B$25,MATCH(Q17,'Assumptions &amp; FX Reference'!$A$5:$A$25,0)),"(Not stated)"))))&gt;0,IF(R17="USD",S17,IF(R17="IRR",S17/INDEX('Assumptions &amp; FX Reference'!$B$5:$B$25,MATCH(Q17,'Assumptions &amp; FX Reference'!$A$5:$A$25,0)),IF(R17="EUR",S17*INDEX('Assumptions &amp; FX Reference'!$C$5:$C$25,MATCH(Q17,'Assumptions &amp; FX Reference'!$A$5:$A$25,0))/INDEX('Assumptions &amp; FX Reference'!$B$5:$B$25,MATCH(Q17,'Assumptions &amp; FX Reference'!$A$5:$A$25,0)),"(Not stated)"))),"(FX rate not entered for this year)"),"(FX rate not entered for this year)")))</f>
        <v>8809.5238095238092</v>
      </c>
      <c r="V17" s="36">
        <f>IF(NOT(ISNUMBER(S17)),"(Not stated)",IF(NOT(ISNUMBER(Q17)),"(Cost year not stated / not a Jalali year)",IFERROR(IF(N(IF(R17="IRR",S17,IF(R17="USD",S17*INDEX('Assumptions &amp; FX Reference'!$B$5:$B$25,MATCH(Q17,'Assumptions &amp; FX Reference'!$A$5:$A$25,0)),IF(R17="EUR",S17*INDEX('Assumptions &amp; FX Reference'!$C$5:$C$25,MATCH(Q17,'Assumptions &amp; FX Reference'!$A$5:$A$25,0)),"(Not stated)"))))&gt;0,IF(R17="IRR",S17,IF(R17="USD",S17*INDEX('Assumptions &amp; FX Reference'!$B$5:$B$25,MATCH(Q17,'Assumptions &amp; FX Reference'!$A$5:$A$25,0)),IF(R17="EUR",S17*INDEX('Assumptions &amp; FX Reference'!$C$5:$C$25,MATCH(Q17,'Assumptions &amp; FX Reference'!$A$5:$A$25,0)),"(Not stated)"))),"(FX rate not entered for this year)"),"(FX rate not entered for this year)")))</f>
        <v>3700000000</v>
      </c>
      <c r="W17" s="19" t="s">
        <v>131</v>
      </c>
      <c r="X17" s="19" t="s">
        <v>132</v>
      </c>
      <c r="Y17" s="19" t="s">
        <v>133</v>
      </c>
      <c r="Z17" s="19" t="s">
        <v>192</v>
      </c>
      <c r="AA17" s="19" t="s">
        <v>173</v>
      </c>
      <c r="AB17" s="19" t="s">
        <v>110</v>
      </c>
    </row>
    <row r="18" spans="1:28" ht="69" hidden="1" customHeight="1" x14ac:dyDescent="0.25">
      <c r="A18" s="18">
        <v>14</v>
      </c>
      <c r="B18" s="19" t="s">
        <v>193</v>
      </c>
      <c r="C18" s="19" t="s">
        <v>127</v>
      </c>
      <c r="D18" s="19" t="s">
        <v>194</v>
      </c>
      <c r="E18" s="19" t="s">
        <v>170</v>
      </c>
      <c r="F18" s="19" t="s">
        <v>25</v>
      </c>
      <c r="G18" s="20">
        <v>1</v>
      </c>
      <c r="H18" s="19" t="s">
        <v>129</v>
      </c>
      <c r="I18" s="19" t="s">
        <v>195</v>
      </c>
      <c r="J18" s="19" t="s">
        <v>104</v>
      </c>
      <c r="K18" s="19" t="s">
        <v>104</v>
      </c>
      <c r="L18" s="19" t="s">
        <v>104</v>
      </c>
      <c r="M18" s="19" t="s">
        <v>104</v>
      </c>
      <c r="N18" s="19" t="s">
        <v>104</v>
      </c>
      <c r="O18" s="21" t="s">
        <v>104</v>
      </c>
      <c r="P18" s="19" t="s">
        <v>104</v>
      </c>
      <c r="Q18" s="22">
        <v>1402</v>
      </c>
      <c r="R18" s="23" t="s">
        <v>105</v>
      </c>
      <c r="S18" s="20">
        <v>1300000000</v>
      </c>
      <c r="T18" s="36">
        <f>IF(NOT(ISNUMBER(S18)),"(Not stated)",IF(NOT(ISNUMBER(Q18)),"(Cost year not stated / not a Jalali year)",IFERROR(IF(N(IF(R18="EUR",S18,IF(R18="IRR",S18/INDEX('Assumptions &amp; FX Reference'!$C$5:$C$25,MATCH(Q18,'Assumptions &amp; FX Reference'!$A$5:$A$25,0)),IF(R18="USD",S18*INDEX('Assumptions &amp; FX Reference'!$B$5:$B$25,MATCH(Q18,'Assumptions &amp; FX Reference'!$A$5:$A$25,0))/INDEX('Assumptions &amp; FX Reference'!$C$5:$C$25,MATCH(Q18,'Assumptions &amp; FX Reference'!$A$5:$A$25,0)),"(Not stated)"))))&gt;0,IF(R18="EUR",S18,IF(R18="IRR",S18/INDEX('Assumptions &amp; FX Reference'!$C$5:$C$25,MATCH(Q18,'Assumptions &amp; FX Reference'!$A$5:$A$25,0)),IF(R18="USD",S18*INDEX('Assumptions &amp; FX Reference'!$B$5:$B$25,MATCH(Q18,'Assumptions &amp; FX Reference'!$A$5:$A$25,0))/INDEX('Assumptions &amp; FX Reference'!$C$5:$C$25,MATCH(Q18,'Assumptions &amp; FX Reference'!$A$5:$A$25,0)),"(Not stated)"))),"(FX rate not entered for this year)"),"(FX rate not entered for this year)")))</f>
        <v>2455.1463644948062</v>
      </c>
      <c r="U18" s="36">
        <f>IF(NOT(ISNUMBER(S18)),"(Not stated)",IF(NOT(ISNUMBER(Q18)),"(Cost year not stated / not a Jalali year)",IFERROR(IF(N(IF(R18="USD",S18,IF(R18="IRR",S18/INDEX('Assumptions &amp; FX Reference'!$B$5:$B$25,MATCH(Q18,'Assumptions &amp; FX Reference'!$A$5:$A$25,0)),IF(R18="EUR",S18*INDEX('Assumptions &amp; FX Reference'!$C$5:$C$25,MATCH(Q18,'Assumptions &amp; FX Reference'!$A$5:$A$25,0))/INDEX('Assumptions &amp; FX Reference'!$B$5:$B$25,MATCH(Q18,'Assumptions &amp; FX Reference'!$A$5:$A$25,0)),"(Not stated)"))))&gt;0,IF(R18="USD",S18,IF(R18="IRR",S18/INDEX('Assumptions &amp; FX Reference'!$B$5:$B$25,MATCH(Q18,'Assumptions &amp; FX Reference'!$A$5:$A$25,0)),IF(R18="EUR",S18*INDEX('Assumptions &amp; FX Reference'!$C$5:$C$25,MATCH(Q18,'Assumptions &amp; FX Reference'!$A$5:$A$25,0))/INDEX('Assumptions &amp; FX Reference'!$B$5:$B$25,MATCH(Q18,'Assumptions &amp; FX Reference'!$A$5:$A$25,0)),"(Not stated)"))),"(FX rate not entered for this year)"),"(FX rate not entered for this year)")))</f>
        <v>3095.2380952380954</v>
      </c>
      <c r="V18" s="36">
        <f>IF(NOT(ISNUMBER(S18)),"(Not stated)",IF(NOT(ISNUMBER(Q18)),"(Cost year not stated / not a Jalali year)",IFERROR(IF(N(IF(R18="IRR",S18,IF(R18="USD",S18*INDEX('Assumptions &amp; FX Reference'!$B$5:$B$25,MATCH(Q18,'Assumptions &amp; FX Reference'!$A$5:$A$25,0)),IF(R18="EUR",S18*INDEX('Assumptions &amp; FX Reference'!$C$5:$C$25,MATCH(Q18,'Assumptions &amp; FX Reference'!$A$5:$A$25,0)),"(Not stated)"))))&gt;0,IF(R18="IRR",S18,IF(R18="USD",S18*INDEX('Assumptions &amp; FX Reference'!$B$5:$B$25,MATCH(Q18,'Assumptions &amp; FX Reference'!$A$5:$A$25,0)),IF(R18="EUR",S18*INDEX('Assumptions &amp; FX Reference'!$C$5:$C$25,MATCH(Q18,'Assumptions &amp; FX Reference'!$A$5:$A$25,0)),"(Not stated)"))),"(FX rate not entered for this year)"),"(FX rate not entered for this year)")))</f>
        <v>1300000000</v>
      </c>
      <c r="W18" s="19" t="s">
        <v>131</v>
      </c>
      <c r="X18" s="19" t="s">
        <v>132</v>
      </c>
      <c r="Y18" s="19" t="s">
        <v>133</v>
      </c>
      <c r="Z18" s="19" t="s">
        <v>196</v>
      </c>
      <c r="AA18" s="19" t="s">
        <v>173</v>
      </c>
      <c r="AB18" s="19" t="s">
        <v>110</v>
      </c>
    </row>
    <row r="19" spans="1:28" ht="69" hidden="1" customHeight="1" x14ac:dyDescent="0.25">
      <c r="A19" s="18">
        <v>15</v>
      </c>
      <c r="B19" s="19" t="s">
        <v>197</v>
      </c>
      <c r="C19" s="19" t="s">
        <v>127</v>
      </c>
      <c r="D19" s="19" t="s">
        <v>198</v>
      </c>
      <c r="E19" s="19" t="s">
        <v>170</v>
      </c>
      <c r="F19" s="19" t="s">
        <v>25</v>
      </c>
      <c r="G19" s="20">
        <v>1</v>
      </c>
      <c r="H19" s="19" t="s">
        <v>129</v>
      </c>
      <c r="I19" s="19" t="s">
        <v>199</v>
      </c>
      <c r="J19" s="19" t="s">
        <v>104</v>
      </c>
      <c r="K19" s="19" t="s">
        <v>104</v>
      </c>
      <c r="L19" s="19" t="s">
        <v>104</v>
      </c>
      <c r="M19" s="19" t="s">
        <v>104</v>
      </c>
      <c r="N19" s="19" t="s">
        <v>104</v>
      </c>
      <c r="O19" s="21" t="s">
        <v>104</v>
      </c>
      <c r="P19" s="19" t="s">
        <v>104</v>
      </c>
      <c r="Q19" s="22">
        <v>1402</v>
      </c>
      <c r="R19" s="23" t="s">
        <v>105</v>
      </c>
      <c r="S19" s="20">
        <v>3000000000</v>
      </c>
      <c r="T19" s="36">
        <f>IF(NOT(ISNUMBER(S19)),"(Not stated)",IF(NOT(ISNUMBER(Q19)),"(Cost year not stated / not a Jalali year)",IFERROR(IF(N(IF(R19="EUR",S19,IF(R19="IRR",S19/INDEX('Assumptions &amp; FX Reference'!$C$5:$C$25,MATCH(Q19,'Assumptions &amp; FX Reference'!$A$5:$A$25,0)),IF(R19="USD",S19*INDEX('Assumptions &amp; FX Reference'!$B$5:$B$25,MATCH(Q19,'Assumptions &amp; FX Reference'!$A$5:$A$25,0))/INDEX('Assumptions &amp; FX Reference'!$C$5:$C$25,MATCH(Q19,'Assumptions &amp; FX Reference'!$A$5:$A$25,0)),"(Not stated)"))))&gt;0,IF(R19="EUR",S19,IF(R19="IRR",S19/INDEX('Assumptions &amp; FX Reference'!$C$5:$C$25,MATCH(Q19,'Assumptions &amp; FX Reference'!$A$5:$A$25,0)),IF(R19="USD",S19*INDEX('Assumptions &amp; FX Reference'!$B$5:$B$25,MATCH(Q19,'Assumptions &amp; FX Reference'!$A$5:$A$25,0))/INDEX('Assumptions &amp; FX Reference'!$C$5:$C$25,MATCH(Q19,'Assumptions &amp; FX Reference'!$A$5:$A$25,0)),"(Not stated)"))),"(FX rate not entered for this year)"),"(FX rate not entered for this year)")))</f>
        <v>5665.7223796033995</v>
      </c>
      <c r="U19" s="36">
        <f>IF(NOT(ISNUMBER(S19)),"(Not stated)",IF(NOT(ISNUMBER(Q19)),"(Cost year not stated / not a Jalali year)",IFERROR(IF(N(IF(R19="USD",S19,IF(R19="IRR",S19/INDEX('Assumptions &amp; FX Reference'!$B$5:$B$25,MATCH(Q19,'Assumptions &amp; FX Reference'!$A$5:$A$25,0)),IF(R19="EUR",S19*INDEX('Assumptions &amp; FX Reference'!$C$5:$C$25,MATCH(Q19,'Assumptions &amp; FX Reference'!$A$5:$A$25,0))/INDEX('Assumptions &amp; FX Reference'!$B$5:$B$25,MATCH(Q19,'Assumptions &amp; FX Reference'!$A$5:$A$25,0)),"(Not stated)"))))&gt;0,IF(R19="USD",S19,IF(R19="IRR",S19/INDEX('Assumptions &amp; FX Reference'!$B$5:$B$25,MATCH(Q19,'Assumptions &amp; FX Reference'!$A$5:$A$25,0)),IF(R19="EUR",S19*INDEX('Assumptions &amp; FX Reference'!$C$5:$C$25,MATCH(Q19,'Assumptions &amp; FX Reference'!$A$5:$A$25,0))/INDEX('Assumptions &amp; FX Reference'!$B$5:$B$25,MATCH(Q19,'Assumptions &amp; FX Reference'!$A$5:$A$25,0)),"(Not stated)"))),"(FX rate not entered for this year)"),"(FX rate not entered for this year)")))</f>
        <v>7142.8571428571431</v>
      </c>
      <c r="V19" s="36">
        <f>IF(NOT(ISNUMBER(S19)),"(Not stated)",IF(NOT(ISNUMBER(Q19)),"(Cost year not stated / not a Jalali year)",IFERROR(IF(N(IF(R19="IRR",S19,IF(R19="USD",S19*INDEX('Assumptions &amp; FX Reference'!$B$5:$B$25,MATCH(Q19,'Assumptions &amp; FX Reference'!$A$5:$A$25,0)),IF(R19="EUR",S19*INDEX('Assumptions &amp; FX Reference'!$C$5:$C$25,MATCH(Q19,'Assumptions &amp; FX Reference'!$A$5:$A$25,0)),"(Not stated)"))))&gt;0,IF(R19="IRR",S19,IF(R19="USD",S19*INDEX('Assumptions &amp; FX Reference'!$B$5:$B$25,MATCH(Q19,'Assumptions &amp; FX Reference'!$A$5:$A$25,0)),IF(R19="EUR",S19*INDEX('Assumptions &amp; FX Reference'!$C$5:$C$25,MATCH(Q19,'Assumptions &amp; FX Reference'!$A$5:$A$25,0)),"(Not stated)"))),"(FX rate not entered for this year)"),"(FX rate not entered for this year)")))</f>
        <v>3000000000</v>
      </c>
      <c r="W19" s="19" t="s">
        <v>131</v>
      </c>
      <c r="X19" s="19" t="s">
        <v>132</v>
      </c>
      <c r="Y19" s="19" t="s">
        <v>133</v>
      </c>
      <c r="Z19" s="19" t="s">
        <v>200</v>
      </c>
      <c r="AA19" s="19" t="s">
        <v>173</v>
      </c>
      <c r="AB19" s="19" t="s">
        <v>110</v>
      </c>
    </row>
    <row r="20" spans="1:28" ht="93.75" hidden="1" customHeight="1" x14ac:dyDescent="0.25">
      <c r="A20" s="18">
        <v>16</v>
      </c>
      <c r="B20" s="19" t="s">
        <v>201</v>
      </c>
      <c r="C20" s="19" t="s">
        <v>127</v>
      </c>
      <c r="D20" s="19" t="s">
        <v>202</v>
      </c>
      <c r="E20" s="19" t="s">
        <v>170</v>
      </c>
      <c r="F20" s="19" t="s">
        <v>25</v>
      </c>
      <c r="G20" s="20">
        <v>1</v>
      </c>
      <c r="H20" s="19" t="s">
        <v>113</v>
      </c>
      <c r="I20" s="19" t="s">
        <v>203</v>
      </c>
      <c r="J20" s="19" t="s">
        <v>104</v>
      </c>
      <c r="K20" s="19" t="s">
        <v>104</v>
      </c>
      <c r="L20" s="19" t="s">
        <v>104</v>
      </c>
      <c r="M20" s="19" t="s">
        <v>104</v>
      </c>
      <c r="N20" s="19" t="s">
        <v>104</v>
      </c>
      <c r="O20" s="21" t="s">
        <v>104</v>
      </c>
      <c r="P20" s="19" t="s">
        <v>104</v>
      </c>
      <c r="Q20" s="22">
        <v>1402</v>
      </c>
      <c r="R20" s="23" t="s">
        <v>105</v>
      </c>
      <c r="S20" s="20">
        <v>6000000000</v>
      </c>
      <c r="T20" s="36">
        <f>IF(NOT(ISNUMBER(S20)),"(Not stated)",IF(NOT(ISNUMBER(Q20)),"(Cost year not stated / not a Jalali year)",IFERROR(IF(N(IF(R20="EUR",S20,IF(R20="IRR",S20/INDEX('Assumptions &amp; FX Reference'!$C$5:$C$25,MATCH(Q20,'Assumptions &amp; FX Reference'!$A$5:$A$25,0)),IF(R20="USD",S20*INDEX('Assumptions &amp; FX Reference'!$B$5:$B$25,MATCH(Q20,'Assumptions &amp; FX Reference'!$A$5:$A$25,0))/INDEX('Assumptions &amp; FX Reference'!$C$5:$C$25,MATCH(Q20,'Assumptions &amp; FX Reference'!$A$5:$A$25,0)),"(Not stated)"))))&gt;0,IF(R20="EUR",S20,IF(R20="IRR",S20/INDEX('Assumptions &amp; FX Reference'!$C$5:$C$25,MATCH(Q20,'Assumptions &amp; FX Reference'!$A$5:$A$25,0)),IF(R20="USD",S20*INDEX('Assumptions &amp; FX Reference'!$B$5:$B$25,MATCH(Q20,'Assumptions &amp; FX Reference'!$A$5:$A$25,0))/INDEX('Assumptions &amp; FX Reference'!$C$5:$C$25,MATCH(Q20,'Assumptions &amp; FX Reference'!$A$5:$A$25,0)),"(Not stated)"))),"(FX rate not entered for this year)"),"(FX rate not entered for this year)")))</f>
        <v>11331.444759206799</v>
      </c>
      <c r="U20" s="36">
        <f>IF(NOT(ISNUMBER(S20)),"(Not stated)",IF(NOT(ISNUMBER(Q20)),"(Cost year not stated / not a Jalali year)",IFERROR(IF(N(IF(R20="USD",S20,IF(R20="IRR",S20/INDEX('Assumptions &amp; FX Reference'!$B$5:$B$25,MATCH(Q20,'Assumptions &amp; FX Reference'!$A$5:$A$25,0)),IF(R20="EUR",S20*INDEX('Assumptions &amp; FX Reference'!$C$5:$C$25,MATCH(Q20,'Assumptions &amp; FX Reference'!$A$5:$A$25,0))/INDEX('Assumptions &amp; FX Reference'!$B$5:$B$25,MATCH(Q20,'Assumptions &amp; FX Reference'!$A$5:$A$25,0)),"(Not stated)"))))&gt;0,IF(R20="USD",S20,IF(R20="IRR",S20/INDEX('Assumptions &amp; FX Reference'!$B$5:$B$25,MATCH(Q20,'Assumptions &amp; FX Reference'!$A$5:$A$25,0)),IF(R20="EUR",S20*INDEX('Assumptions &amp; FX Reference'!$C$5:$C$25,MATCH(Q20,'Assumptions &amp; FX Reference'!$A$5:$A$25,0))/INDEX('Assumptions &amp; FX Reference'!$B$5:$B$25,MATCH(Q20,'Assumptions &amp; FX Reference'!$A$5:$A$25,0)),"(Not stated)"))),"(FX rate not entered for this year)"),"(FX rate not entered for this year)")))</f>
        <v>14285.714285714286</v>
      </c>
      <c r="V20" s="36">
        <f>IF(NOT(ISNUMBER(S20)),"(Not stated)",IF(NOT(ISNUMBER(Q20)),"(Cost year not stated / not a Jalali year)",IFERROR(IF(N(IF(R20="IRR",S20,IF(R20="USD",S20*INDEX('Assumptions &amp; FX Reference'!$B$5:$B$25,MATCH(Q20,'Assumptions &amp; FX Reference'!$A$5:$A$25,0)),IF(R20="EUR",S20*INDEX('Assumptions &amp; FX Reference'!$C$5:$C$25,MATCH(Q20,'Assumptions &amp; FX Reference'!$A$5:$A$25,0)),"(Not stated)"))))&gt;0,IF(R20="IRR",S20,IF(R20="USD",S20*INDEX('Assumptions &amp; FX Reference'!$B$5:$B$25,MATCH(Q20,'Assumptions &amp; FX Reference'!$A$5:$A$25,0)),IF(R20="EUR",S20*INDEX('Assumptions &amp; FX Reference'!$C$5:$C$25,MATCH(Q20,'Assumptions &amp; FX Reference'!$A$5:$A$25,0)),"(Not stated)"))),"(FX rate not entered for this year)"),"(FX rate not entered for this year)")))</f>
        <v>6000000000</v>
      </c>
      <c r="W20" s="19" t="s">
        <v>131</v>
      </c>
      <c r="X20" s="19" t="s">
        <v>132</v>
      </c>
      <c r="Y20" s="19" t="s">
        <v>133</v>
      </c>
      <c r="Z20" s="19" t="s">
        <v>204</v>
      </c>
      <c r="AA20" s="19" t="s">
        <v>205</v>
      </c>
      <c r="AB20" s="19" t="s">
        <v>110</v>
      </c>
    </row>
    <row r="21" spans="1:28" ht="69" hidden="1" customHeight="1" x14ac:dyDescent="0.25">
      <c r="A21" s="18">
        <v>17</v>
      </c>
      <c r="B21" s="19" t="s">
        <v>206</v>
      </c>
      <c r="C21" s="19" t="s">
        <v>207</v>
      </c>
      <c r="D21" s="19" t="s">
        <v>208</v>
      </c>
      <c r="E21" s="19" t="s">
        <v>170</v>
      </c>
      <c r="F21" s="19" t="s">
        <v>25</v>
      </c>
      <c r="G21" s="20" t="s">
        <v>104</v>
      </c>
      <c r="H21" s="19" t="s">
        <v>209</v>
      </c>
      <c r="I21" s="19" t="s">
        <v>210</v>
      </c>
      <c r="J21" s="19" t="s">
        <v>104</v>
      </c>
      <c r="K21" s="19" t="s">
        <v>104</v>
      </c>
      <c r="L21" s="19" t="s">
        <v>104</v>
      </c>
      <c r="M21" s="19" t="s">
        <v>104</v>
      </c>
      <c r="N21" s="19" t="s">
        <v>104</v>
      </c>
      <c r="O21" s="21" t="s">
        <v>104</v>
      </c>
      <c r="P21" s="19" t="s">
        <v>104</v>
      </c>
      <c r="Q21" s="22">
        <v>1392</v>
      </c>
      <c r="R21" s="23" t="s">
        <v>105</v>
      </c>
      <c r="S21" s="20">
        <v>8425000000</v>
      </c>
      <c r="T21" s="36">
        <f>IF(NOT(ISNUMBER(S21)),"(Not stated)",IF(NOT(ISNUMBER(Q21)),"(Cost year not stated / not a Jalali year)",IFERROR(IF(N(IF(R21="EUR",S21,IF(R21="IRR",S21/INDEX('Assumptions &amp; FX Reference'!$C$5:$C$25,MATCH(Q21,'Assumptions &amp; FX Reference'!$A$5:$A$25,0)),IF(R21="USD",S21*INDEX('Assumptions &amp; FX Reference'!$B$5:$B$25,MATCH(Q21,'Assumptions &amp; FX Reference'!$A$5:$A$25,0))/INDEX('Assumptions &amp; FX Reference'!$C$5:$C$25,MATCH(Q21,'Assumptions &amp; FX Reference'!$A$5:$A$25,0)),"(Not stated)"))))&gt;0,IF(R21="EUR",S21,IF(R21="IRR",S21/INDEX('Assumptions &amp; FX Reference'!$C$5:$C$25,MATCH(Q21,'Assumptions &amp; FX Reference'!$A$5:$A$25,0)),IF(R21="USD",S21*INDEX('Assumptions &amp; FX Reference'!$B$5:$B$25,MATCH(Q21,'Assumptions &amp; FX Reference'!$A$5:$A$25,0))/INDEX('Assumptions &amp; FX Reference'!$C$5:$C$25,MATCH(Q21,'Assumptions &amp; FX Reference'!$A$5:$A$25,0)),"(Not stated)"))),"(FX rate not entered for this year)"),"(FX rate not entered for this year)")))</f>
        <v>200595.23809523811</v>
      </c>
      <c r="U21" s="36">
        <f>IF(NOT(ISNUMBER(S21)),"(Not stated)",IF(NOT(ISNUMBER(Q21)),"(Cost year not stated / not a Jalali year)",IFERROR(IF(N(IF(R21="USD",S21,IF(R21="IRR",S21/INDEX('Assumptions &amp; FX Reference'!$B$5:$B$25,MATCH(Q21,'Assumptions &amp; FX Reference'!$A$5:$A$25,0)),IF(R21="EUR",S21*INDEX('Assumptions &amp; FX Reference'!$C$5:$C$25,MATCH(Q21,'Assumptions &amp; FX Reference'!$A$5:$A$25,0))/INDEX('Assumptions &amp; FX Reference'!$B$5:$B$25,MATCH(Q21,'Assumptions &amp; FX Reference'!$A$5:$A$25,0)),"(Not stated)"))))&gt;0,IF(R21="USD",S21,IF(R21="IRR",S21/INDEX('Assumptions &amp; FX Reference'!$B$5:$B$25,MATCH(Q21,'Assumptions &amp; FX Reference'!$A$5:$A$25,0)),IF(R21="EUR",S21*INDEX('Assumptions &amp; FX Reference'!$C$5:$C$25,MATCH(Q21,'Assumptions &amp; FX Reference'!$A$5:$A$25,0))/INDEX('Assumptions &amp; FX Reference'!$B$5:$B$25,MATCH(Q21,'Assumptions &amp; FX Reference'!$A$5:$A$25,0)),"(Not stated)"))),"(FX rate not entered for this year)"),"(FX rate not entered for this year)")))</f>
        <v>232093.66391184574</v>
      </c>
      <c r="V21" s="36">
        <f>IF(NOT(ISNUMBER(S21)),"(Not stated)",IF(NOT(ISNUMBER(Q21)),"(Cost year not stated / not a Jalali year)",IFERROR(IF(N(IF(R21="IRR",S21,IF(R21="USD",S21*INDEX('Assumptions &amp; FX Reference'!$B$5:$B$25,MATCH(Q21,'Assumptions &amp; FX Reference'!$A$5:$A$25,0)),IF(R21="EUR",S21*INDEX('Assumptions &amp; FX Reference'!$C$5:$C$25,MATCH(Q21,'Assumptions &amp; FX Reference'!$A$5:$A$25,0)),"(Not stated)"))))&gt;0,IF(R21="IRR",S21,IF(R21="USD",S21*INDEX('Assumptions &amp; FX Reference'!$B$5:$B$25,MATCH(Q21,'Assumptions &amp; FX Reference'!$A$5:$A$25,0)),IF(R21="EUR",S21*INDEX('Assumptions &amp; FX Reference'!$C$5:$C$25,MATCH(Q21,'Assumptions &amp; FX Reference'!$A$5:$A$25,0)),"(Not stated)"))),"(FX rate not entered for this year)"),"(FX rate not entered for this year)")))</f>
        <v>8425000000</v>
      </c>
      <c r="W21" s="19" t="s">
        <v>211</v>
      </c>
      <c r="X21" s="19" t="s">
        <v>212</v>
      </c>
      <c r="Y21" s="19" t="s">
        <v>213</v>
      </c>
      <c r="Z21" s="19" t="s">
        <v>214</v>
      </c>
      <c r="AA21" s="19" t="s">
        <v>215</v>
      </c>
      <c r="AB21" s="19" t="s">
        <v>110</v>
      </c>
    </row>
    <row r="22" spans="1:28" ht="56.25" hidden="1" customHeight="1" x14ac:dyDescent="0.25">
      <c r="A22" s="18">
        <v>18</v>
      </c>
      <c r="B22" s="19" t="s">
        <v>216</v>
      </c>
      <c r="C22" s="19" t="s">
        <v>207</v>
      </c>
      <c r="D22" s="19" t="s">
        <v>208</v>
      </c>
      <c r="E22" s="19" t="s">
        <v>170</v>
      </c>
      <c r="F22" s="19" t="s">
        <v>25</v>
      </c>
      <c r="G22" s="20" t="s">
        <v>104</v>
      </c>
      <c r="H22" s="19" t="s">
        <v>209</v>
      </c>
      <c r="I22" s="19" t="s">
        <v>217</v>
      </c>
      <c r="J22" s="19" t="s">
        <v>104</v>
      </c>
      <c r="K22" s="19" t="s">
        <v>104</v>
      </c>
      <c r="L22" s="19" t="s">
        <v>104</v>
      </c>
      <c r="M22" s="19" t="s">
        <v>104</v>
      </c>
      <c r="N22" s="19" t="s">
        <v>104</v>
      </c>
      <c r="O22" s="21" t="s">
        <v>104</v>
      </c>
      <c r="P22" s="19" t="s">
        <v>104</v>
      </c>
      <c r="Q22" s="22">
        <v>1405</v>
      </c>
      <c r="R22" s="23" t="s">
        <v>105</v>
      </c>
      <c r="S22" s="20">
        <v>419475728208.73999</v>
      </c>
      <c r="T22" s="36">
        <f>IF(NOT(ISNUMBER(S22)),"(Not stated)",IF(NOT(ISNUMBER(Q22)),"(Cost year not stated / not a Jalali year)",IFERROR(IF(N(IF(R22="EUR",S22,IF(R22="IRR",S22/INDEX('Assumptions &amp; FX Reference'!$C$5:$C$25,MATCH(Q22,'Assumptions &amp; FX Reference'!$A$5:$A$25,0)),IF(R22="USD",S22*INDEX('Assumptions &amp; FX Reference'!$B$5:$B$25,MATCH(Q22,'Assumptions &amp; FX Reference'!$A$5:$A$25,0))/INDEX('Assumptions &amp; FX Reference'!$C$5:$C$25,MATCH(Q22,'Assumptions &amp; FX Reference'!$A$5:$A$25,0)),"(Not stated)"))))&gt;0,IF(R22="EUR",S22,IF(R22="IRR",S22/INDEX('Assumptions &amp; FX Reference'!$C$5:$C$25,MATCH(Q22,'Assumptions &amp; FX Reference'!$A$5:$A$25,0)),IF(R22="USD",S22*INDEX('Assumptions &amp; FX Reference'!$B$5:$B$25,MATCH(Q22,'Assumptions &amp; FX Reference'!$A$5:$A$25,0))/INDEX('Assumptions &amp; FX Reference'!$C$5:$C$25,MATCH(Q22,'Assumptions &amp; FX Reference'!$A$5:$A$25,0)),"(Not stated)"))),"(FX rate not entered for this year)"),"(FX rate not entered for this year)")))</f>
        <v>209737.86410437</v>
      </c>
      <c r="U22" s="36">
        <f>IF(NOT(ISNUMBER(S22)),"(Not stated)",IF(NOT(ISNUMBER(Q22)),"(Cost year not stated / not a Jalali year)",IFERROR(IF(N(IF(R22="USD",S22,IF(R22="IRR",S22/INDEX('Assumptions &amp; FX Reference'!$B$5:$B$25,MATCH(Q22,'Assumptions &amp; FX Reference'!$A$5:$A$25,0)),IF(R22="EUR",S22*INDEX('Assumptions &amp; FX Reference'!$C$5:$C$25,MATCH(Q22,'Assumptions &amp; FX Reference'!$A$5:$A$25,0))/INDEX('Assumptions &amp; FX Reference'!$B$5:$B$25,MATCH(Q22,'Assumptions &amp; FX Reference'!$A$5:$A$25,0)),"(Not stated)"))))&gt;0,IF(R22="USD",S22,IF(R22="IRR",S22/INDEX('Assumptions &amp; FX Reference'!$B$5:$B$25,MATCH(Q22,'Assumptions &amp; FX Reference'!$A$5:$A$25,0)),IF(R22="EUR",S22*INDEX('Assumptions &amp; FX Reference'!$C$5:$C$25,MATCH(Q22,'Assumptions &amp; FX Reference'!$A$5:$A$25,0))/INDEX('Assumptions &amp; FX Reference'!$B$5:$B$25,MATCH(Q22,'Assumptions &amp; FX Reference'!$A$5:$A$25,0)),"(Not stated)"))),"(FX rate not entered for this year)"),"(FX rate not entered for this year)")))</f>
        <v>230711.650514807</v>
      </c>
      <c r="V22" s="36">
        <f>IF(NOT(ISNUMBER(S22)),"(Not stated)",IF(NOT(ISNUMBER(Q22)),"(Cost year not stated / not a Jalali year)",IFERROR(IF(N(IF(R22="IRR",S22,IF(R22="USD",S22*INDEX('Assumptions &amp; FX Reference'!$B$5:$B$25,MATCH(Q22,'Assumptions &amp; FX Reference'!$A$5:$A$25,0)),IF(R22="EUR",S22*INDEX('Assumptions &amp; FX Reference'!$C$5:$C$25,MATCH(Q22,'Assumptions &amp; FX Reference'!$A$5:$A$25,0)),"(Not stated)"))))&gt;0,IF(R22="IRR",S22,IF(R22="USD",S22*INDEX('Assumptions &amp; FX Reference'!$B$5:$B$25,MATCH(Q22,'Assumptions &amp; FX Reference'!$A$5:$A$25,0)),IF(R22="EUR",S22*INDEX('Assumptions &amp; FX Reference'!$C$5:$C$25,MATCH(Q22,'Assumptions &amp; FX Reference'!$A$5:$A$25,0)),"(Not stated)"))),"(FX rate not entered for this year)"),"(FX rate not entered for this year)")))</f>
        <v>419475728208.73999</v>
      </c>
      <c r="W22" s="19" t="s">
        <v>218</v>
      </c>
      <c r="X22" s="19" t="s">
        <v>212</v>
      </c>
      <c r="Y22" s="19" t="s">
        <v>219</v>
      </c>
      <c r="Z22" s="19" t="s">
        <v>220</v>
      </c>
      <c r="AA22" s="19" t="s">
        <v>221</v>
      </c>
      <c r="AB22" s="19" t="s">
        <v>110</v>
      </c>
    </row>
    <row r="23" spans="1:28" ht="56.25" hidden="1" customHeight="1" x14ac:dyDescent="0.25">
      <c r="A23" s="18">
        <v>19</v>
      </c>
      <c r="B23" s="19" t="s">
        <v>222</v>
      </c>
      <c r="C23" s="19" t="s">
        <v>223</v>
      </c>
      <c r="D23" s="19" t="s">
        <v>224</v>
      </c>
      <c r="E23" s="19" t="s">
        <v>170</v>
      </c>
      <c r="F23" s="19" t="s">
        <v>25</v>
      </c>
      <c r="G23" s="20" t="s">
        <v>104</v>
      </c>
      <c r="H23" s="19" t="s">
        <v>209</v>
      </c>
      <c r="I23" s="19" t="s">
        <v>225</v>
      </c>
      <c r="J23" s="19" t="s">
        <v>104</v>
      </c>
      <c r="K23" s="19" t="s">
        <v>104</v>
      </c>
      <c r="L23" s="19" t="s">
        <v>104</v>
      </c>
      <c r="M23" s="19" t="s">
        <v>104</v>
      </c>
      <c r="N23" s="19" t="s">
        <v>104</v>
      </c>
      <c r="O23" s="21" t="s">
        <v>104</v>
      </c>
      <c r="P23" s="19" t="s">
        <v>104</v>
      </c>
      <c r="Q23" s="22" t="s">
        <v>104</v>
      </c>
      <c r="R23" s="23" t="s">
        <v>143</v>
      </c>
      <c r="S23" s="20">
        <v>15000</v>
      </c>
      <c r="T23" s="36" t="str">
        <f>IF(NOT(ISNUMBER(S23)),"(Not stated)",IF(NOT(ISNUMBER(Q23)),"(Cost year not stated / not a Jalali year)",IFERROR(IF(N(IF(R23="EUR",S23,IF(R23="IRR",S23/INDEX('Assumptions &amp; FX Reference'!$C$5:$C$25,MATCH(Q23,'Assumptions &amp; FX Reference'!$A$5:$A$25,0)),IF(R23="USD",S23*INDEX('Assumptions &amp; FX Reference'!$B$5:$B$25,MATCH(Q23,'Assumptions &amp; FX Reference'!$A$5:$A$25,0))/INDEX('Assumptions &amp; FX Reference'!$C$5:$C$25,MATCH(Q23,'Assumptions &amp; FX Reference'!$A$5:$A$25,0)),"(Not stated)"))))&gt;0,IF(R23="EUR",S23,IF(R23="IRR",S23/INDEX('Assumptions &amp; FX Reference'!$C$5:$C$25,MATCH(Q23,'Assumptions &amp; FX Reference'!$A$5:$A$25,0)),IF(R23="USD",S23*INDEX('Assumptions &amp; FX Reference'!$B$5:$B$25,MATCH(Q23,'Assumptions &amp; FX Reference'!$A$5:$A$25,0))/INDEX('Assumptions &amp; FX Reference'!$C$5:$C$25,MATCH(Q23,'Assumptions &amp; FX Reference'!$A$5:$A$25,0)),"(Not stated)"))),"(FX rate not entered for this year)"),"(FX rate not entered for this year)")))</f>
        <v>(Cost year not stated / not a Jalali year)</v>
      </c>
      <c r="U23" s="36" t="str">
        <f>IF(NOT(ISNUMBER(S23)),"(Not stated)",IF(NOT(ISNUMBER(Q23)),"(Cost year not stated / not a Jalali year)",IFERROR(IF(N(IF(R23="USD",S23,IF(R23="IRR",S23/INDEX('Assumptions &amp; FX Reference'!$B$5:$B$25,MATCH(Q23,'Assumptions &amp; FX Reference'!$A$5:$A$25,0)),IF(R23="EUR",S23*INDEX('Assumptions &amp; FX Reference'!$C$5:$C$25,MATCH(Q23,'Assumptions &amp; FX Reference'!$A$5:$A$25,0))/INDEX('Assumptions &amp; FX Reference'!$B$5:$B$25,MATCH(Q23,'Assumptions &amp; FX Reference'!$A$5:$A$25,0)),"(Not stated)"))))&gt;0,IF(R23="USD",S23,IF(R23="IRR",S23/INDEX('Assumptions &amp; FX Reference'!$B$5:$B$25,MATCH(Q23,'Assumptions &amp; FX Reference'!$A$5:$A$25,0)),IF(R23="EUR",S23*INDEX('Assumptions &amp; FX Reference'!$C$5:$C$25,MATCH(Q23,'Assumptions &amp; FX Reference'!$A$5:$A$25,0))/INDEX('Assumptions &amp; FX Reference'!$B$5:$B$25,MATCH(Q23,'Assumptions &amp; FX Reference'!$A$5:$A$25,0)),"(Not stated)"))),"(FX rate not entered for this year)"),"(FX rate not entered for this year)")))</f>
        <v>(Cost year not stated / not a Jalali year)</v>
      </c>
      <c r="V23" s="36" t="str">
        <f>IF(NOT(ISNUMBER(S23)),"(Not stated)",IF(NOT(ISNUMBER(Q23)),"(Cost year not stated / not a Jalali year)",IFERROR(IF(N(IF(R23="IRR",S23,IF(R23="USD",S23*INDEX('Assumptions &amp; FX Reference'!$B$5:$B$25,MATCH(Q23,'Assumptions &amp; FX Reference'!$A$5:$A$25,0)),IF(R23="EUR",S23*INDEX('Assumptions &amp; FX Reference'!$C$5:$C$25,MATCH(Q23,'Assumptions &amp; FX Reference'!$A$5:$A$25,0)),"(Not stated)"))))&gt;0,IF(R23="IRR",S23,IF(R23="USD",S23*INDEX('Assumptions &amp; FX Reference'!$B$5:$B$25,MATCH(Q23,'Assumptions &amp; FX Reference'!$A$5:$A$25,0)),IF(R23="EUR",S23*INDEX('Assumptions &amp; FX Reference'!$C$5:$C$25,MATCH(Q23,'Assumptions &amp; FX Reference'!$A$5:$A$25,0)),"(Not stated)"))),"(FX rate not entered for this year)"),"(FX rate not entered for this year)")))</f>
        <v>(Cost year not stated / not a Jalali year)</v>
      </c>
      <c r="W23" s="19" t="s">
        <v>104</v>
      </c>
      <c r="X23" s="19" t="s">
        <v>104</v>
      </c>
      <c r="Y23" s="19" t="s">
        <v>104</v>
      </c>
      <c r="Z23" s="19" t="s">
        <v>226</v>
      </c>
      <c r="AA23" s="19" t="s">
        <v>227</v>
      </c>
      <c r="AB23" s="19" t="s">
        <v>120</v>
      </c>
    </row>
    <row r="24" spans="1:28" ht="106.5" customHeight="1" x14ac:dyDescent="0.25">
      <c r="A24" s="18">
        <v>20</v>
      </c>
      <c r="B24" s="19" t="s">
        <v>28</v>
      </c>
      <c r="C24" s="19" t="s">
        <v>127</v>
      </c>
      <c r="D24" s="19" t="s">
        <v>228</v>
      </c>
      <c r="E24" s="19" t="s">
        <v>229</v>
      </c>
      <c r="F24" s="19" t="s">
        <v>27</v>
      </c>
      <c r="G24" s="20">
        <v>7</v>
      </c>
      <c r="H24" s="19" t="s">
        <v>113</v>
      </c>
      <c r="I24" s="19" t="s">
        <v>230</v>
      </c>
      <c r="J24" s="19" t="s">
        <v>104</v>
      </c>
      <c r="K24" s="19" t="s">
        <v>104</v>
      </c>
      <c r="L24" s="19" t="s">
        <v>104</v>
      </c>
      <c r="M24" s="19" t="s">
        <v>104</v>
      </c>
      <c r="N24" s="19" t="s">
        <v>104</v>
      </c>
      <c r="O24" s="21" t="s">
        <v>104</v>
      </c>
      <c r="P24" s="19" t="s">
        <v>104</v>
      </c>
      <c r="Q24" s="22">
        <v>1402</v>
      </c>
      <c r="R24" s="23" t="s">
        <v>105</v>
      </c>
      <c r="S24" s="20">
        <v>1260000000</v>
      </c>
      <c r="T24" s="36">
        <f>IF(NOT(ISNUMBER(S24)),"(Not stated)",IF(NOT(ISNUMBER(Q24)),"(Cost year not stated / not a Jalali year)",IFERROR(IF(N(IF(R24="EUR",S24,IF(R24="IRR",S24/INDEX('Assumptions &amp; FX Reference'!$C$5:$C$25,MATCH(Q24,'Assumptions &amp; FX Reference'!$A$5:$A$25,0)),IF(R24="USD",S24*INDEX('Assumptions &amp; FX Reference'!$B$5:$B$25,MATCH(Q24,'Assumptions &amp; FX Reference'!$A$5:$A$25,0))/INDEX('Assumptions &amp; FX Reference'!$C$5:$C$25,MATCH(Q24,'Assumptions &amp; FX Reference'!$A$5:$A$25,0)),"(Not stated)"))))&gt;0,IF(R24="EUR",S24,IF(R24="IRR",S24/INDEX('Assumptions &amp; FX Reference'!$C$5:$C$25,MATCH(Q24,'Assumptions &amp; FX Reference'!$A$5:$A$25,0)),IF(R24="USD",S24*INDEX('Assumptions &amp; FX Reference'!$B$5:$B$25,MATCH(Q24,'Assumptions &amp; FX Reference'!$A$5:$A$25,0))/INDEX('Assumptions &amp; FX Reference'!$C$5:$C$25,MATCH(Q24,'Assumptions &amp; FX Reference'!$A$5:$A$25,0)),"(Not stated)"))),"(FX rate not entered for this year)"),"(FX rate not entered for this year)")))</f>
        <v>2379.603399433428</v>
      </c>
      <c r="U24" s="36">
        <f>IF(NOT(ISNUMBER(S24)),"(Not stated)",IF(NOT(ISNUMBER(Q24)),"(Cost year not stated / not a Jalali year)",IFERROR(IF(N(IF(R24="USD",S24,IF(R24="IRR",S24/INDEX('Assumptions &amp; FX Reference'!$B$5:$B$25,MATCH(Q24,'Assumptions &amp; FX Reference'!$A$5:$A$25,0)),IF(R24="EUR",S24*INDEX('Assumptions &amp; FX Reference'!$C$5:$C$25,MATCH(Q24,'Assumptions &amp; FX Reference'!$A$5:$A$25,0))/INDEX('Assumptions &amp; FX Reference'!$B$5:$B$25,MATCH(Q24,'Assumptions &amp; FX Reference'!$A$5:$A$25,0)),"(Not stated)"))))&gt;0,IF(R24="USD",S24,IF(R24="IRR",S24/INDEX('Assumptions &amp; FX Reference'!$B$5:$B$25,MATCH(Q24,'Assumptions &amp; FX Reference'!$A$5:$A$25,0)),IF(R24="EUR",S24*INDEX('Assumptions &amp; FX Reference'!$C$5:$C$25,MATCH(Q24,'Assumptions &amp; FX Reference'!$A$5:$A$25,0))/INDEX('Assumptions &amp; FX Reference'!$B$5:$B$25,MATCH(Q24,'Assumptions &amp; FX Reference'!$A$5:$A$25,0)),"(Not stated)"))),"(FX rate not entered for this year)"),"(FX rate not entered for this year)")))</f>
        <v>3000</v>
      </c>
      <c r="V24" s="36">
        <f>IF(NOT(ISNUMBER(S24)),"(Not stated)",IF(NOT(ISNUMBER(Q24)),"(Cost year not stated / not a Jalali year)",IFERROR(IF(N(IF(R24="IRR",S24,IF(R24="USD",S24*INDEX('Assumptions &amp; FX Reference'!$B$5:$B$25,MATCH(Q24,'Assumptions &amp; FX Reference'!$A$5:$A$25,0)),IF(R24="EUR",S24*INDEX('Assumptions &amp; FX Reference'!$C$5:$C$25,MATCH(Q24,'Assumptions &amp; FX Reference'!$A$5:$A$25,0)),"(Not stated)"))))&gt;0,IF(R24="IRR",S24,IF(R24="USD",S24*INDEX('Assumptions &amp; FX Reference'!$B$5:$B$25,MATCH(Q24,'Assumptions &amp; FX Reference'!$A$5:$A$25,0)),IF(R24="EUR",S24*INDEX('Assumptions &amp; FX Reference'!$C$5:$C$25,MATCH(Q24,'Assumptions &amp; FX Reference'!$A$5:$A$25,0)),"(Not stated)"))),"(FX rate not entered for this year)"),"(FX rate not entered for this year)")))</f>
        <v>1260000000</v>
      </c>
      <c r="W24" s="19" t="s">
        <v>131</v>
      </c>
      <c r="X24" s="19" t="s">
        <v>132</v>
      </c>
      <c r="Y24" s="19" t="s">
        <v>133</v>
      </c>
      <c r="Z24" s="19" t="s">
        <v>231</v>
      </c>
      <c r="AA24" s="19" t="s">
        <v>232</v>
      </c>
      <c r="AB24" s="19" t="s">
        <v>110</v>
      </c>
    </row>
    <row r="25" spans="1:28" ht="81" customHeight="1" x14ac:dyDescent="0.25">
      <c r="A25" s="18">
        <v>21</v>
      </c>
      <c r="B25" s="19" t="s">
        <v>28</v>
      </c>
      <c r="C25" s="19" t="s">
        <v>207</v>
      </c>
      <c r="D25" s="19" t="s">
        <v>233</v>
      </c>
      <c r="E25" s="19" t="s">
        <v>229</v>
      </c>
      <c r="F25" s="19" t="s">
        <v>27</v>
      </c>
      <c r="G25" s="20">
        <v>5</v>
      </c>
      <c r="H25" s="19" t="s">
        <v>104</v>
      </c>
      <c r="I25" s="19" t="s">
        <v>234</v>
      </c>
      <c r="J25" s="19" t="s">
        <v>104</v>
      </c>
      <c r="K25" s="19" t="s">
        <v>104</v>
      </c>
      <c r="L25" s="19" t="s">
        <v>104</v>
      </c>
      <c r="M25" s="19" t="s">
        <v>104</v>
      </c>
      <c r="N25" s="19" t="s">
        <v>104</v>
      </c>
      <c r="O25" s="21" t="s">
        <v>104</v>
      </c>
      <c r="P25" s="19" t="s">
        <v>104</v>
      </c>
      <c r="Q25" s="22">
        <v>1392</v>
      </c>
      <c r="R25" s="23" t="s">
        <v>105</v>
      </c>
      <c r="S25" s="20">
        <v>31500000</v>
      </c>
      <c r="T25" s="36">
        <f>IF(NOT(ISNUMBER(S25)),"(Not stated)",IF(NOT(ISNUMBER(Q25)),"(Cost year not stated / not a Jalali year)",IFERROR(IF(N(IF(R25="EUR",S25,IF(R25="IRR",S25/INDEX('Assumptions &amp; FX Reference'!$C$5:$C$25,MATCH(Q25,'Assumptions &amp; FX Reference'!$A$5:$A$25,0)),IF(R25="USD",S25*INDEX('Assumptions &amp; FX Reference'!$B$5:$B$25,MATCH(Q25,'Assumptions &amp; FX Reference'!$A$5:$A$25,0))/INDEX('Assumptions &amp; FX Reference'!$C$5:$C$25,MATCH(Q25,'Assumptions &amp; FX Reference'!$A$5:$A$25,0)),"(Not stated)"))))&gt;0,IF(R25="EUR",S25,IF(R25="IRR",S25/INDEX('Assumptions &amp; FX Reference'!$C$5:$C$25,MATCH(Q25,'Assumptions &amp; FX Reference'!$A$5:$A$25,0)),IF(R25="USD",S25*INDEX('Assumptions &amp; FX Reference'!$B$5:$B$25,MATCH(Q25,'Assumptions &amp; FX Reference'!$A$5:$A$25,0))/INDEX('Assumptions &amp; FX Reference'!$C$5:$C$25,MATCH(Q25,'Assumptions &amp; FX Reference'!$A$5:$A$25,0)),"(Not stated)"))),"(FX rate not entered for this year)"),"(FX rate not entered for this year)")))</f>
        <v>750</v>
      </c>
      <c r="U25" s="36">
        <f>IF(NOT(ISNUMBER(S25)),"(Not stated)",IF(NOT(ISNUMBER(Q25)),"(Cost year not stated / not a Jalali year)",IFERROR(IF(N(IF(R25="USD",S25,IF(R25="IRR",S25/INDEX('Assumptions &amp; FX Reference'!$B$5:$B$25,MATCH(Q25,'Assumptions &amp; FX Reference'!$A$5:$A$25,0)),IF(R25="EUR",S25*INDEX('Assumptions &amp; FX Reference'!$C$5:$C$25,MATCH(Q25,'Assumptions &amp; FX Reference'!$A$5:$A$25,0))/INDEX('Assumptions &amp; FX Reference'!$B$5:$B$25,MATCH(Q25,'Assumptions &amp; FX Reference'!$A$5:$A$25,0)),"(Not stated)"))))&gt;0,IF(R25="USD",S25,IF(R25="IRR",S25/INDEX('Assumptions &amp; FX Reference'!$B$5:$B$25,MATCH(Q25,'Assumptions &amp; FX Reference'!$A$5:$A$25,0)),IF(R25="EUR",S25*INDEX('Assumptions &amp; FX Reference'!$C$5:$C$25,MATCH(Q25,'Assumptions &amp; FX Reference'!$A$5:$A$25,0))/INDEX('Assumptions &amp; FX Reference'!$B$5:$B$25,MATCH(Q25,'Assumptions &amp; FX Reference'!$A$5:$A$25,0)),"(Not stated)"))),"(FX rate not entered for this year)"),"(FX rate not entered for this year)")))</f>
        <v>867.76859504132233</v>
      </c>
      <c r="V25" s="36">
        <f>IF(NOT(ISNUMBER(S25)),"(Not stated)",IF(NOT(ISNUMBER(Q25)),"(Cost year not stated / not a Jalali year)",IFERROR(IF(N(IF(R25="IRR",S25,IF(R25="USD",S25*INDEX('Assumptions &amp; FX Reference'!$B$5:$B$25,MATCH(Q25,'Assumptions &amp; FX Reference'!$A$5:$A$25,0)),IF(R25="EUR",S25*INDEX('Assumptions &amp; FX Reference'!$C$5:$C$25,MATCH(Q25,'Assumptions &amp; FX Reference'!$A$5:$A$25,0)),"(Not stated)"))))&gt;0,IF(R25="IRR",S25,IF(R25="USD",S25*INDEX('Assumptions &amp; FX Reference'!$B$5:$B$25,MATCH(Q25,'Assumptions &amp; FX Reference'!$A$5:$A$25,0)),IF(R25="EUR",S25*INDEX('Assumptions &amp; FX Reference'!$C$5:$C$25,MATCH(Q25,'Assumptions &amp; FX Reference'!$A$5:$A$25,0)),"(Not stated)"))),"(FX rate not entered for this year)"),"(FX rate not entered for this year)")))</f>
        <v>31500000</v>
      </c>
      <c r="W25" s="19" t="s">
        <v>104</v>
      </c>
      <c r="X25" s="19" t="s">
        <v>104</v>
      </c>
      <c r="Y25" s="19" t="s">
        <v>104</v>
      </c>
      <c r="Z25" s="19" t="s">
        <v>235</v>
      </c>
      <c r="AA25" s="19" t="s">
        <v>236</v>
      </c>
      <c r="AB25" s="19" t="s">
        <v>110</v>
      </c>
    </row>
    <row r="26" spans="1:28" ht="56.25" customHeight="1" x14ac:dyDescent="0.25">
      <c r="A26" s="18">
        <v>22</v>
      </c>
      <c r="B26" s="19" t="s">
        <v>237</v>
      </c>
      <c r="C26" s="19" t="s">
        <v>207</v>
      </c>
      <c r="D26" s="19" t="s">
        <v>238</v>
      </c>
      <c r="E26" s="19" t="s">
        <v>229</v>
      </c>
      <c r="F26" s="19" t="s">
        <v>27</v>
      </c>
      <c r="G26" s="20">
        <v>4</v>
      </c>
      <c r="H26" s="19" t="s">
        <v>104</v>
      </c>
      <c r="I26" s="19" t="s">
        <v>239</v>
      </c>
      <c r="J26" s="19" t="s">
        <v>104</v>
      </c>
      <c r="K26" s="19" t="s">
        <v>104</v>
      </c>
      <c r="L26" s="19" t="s">
        <v>104</v>
      </c>
      <c r="M26" s="19" t="s">
        <v>104</v>
      </c>
      <c r="N26" s="19" t="s">
        <v>104</v>
      </c>
      <c r="O26" s="21" t="s">
        <v>104</v>
      </c>
      <c r="P26" s="19" t="s">
        <v>104</v>
      </c>
      <c r="Q26" s="22">
        <v>1392</v>
      </c>
      <c r="R26" s="23" t="s">
        <v>105</v>
      </c>
      <c r="S26" s="20" t="s">
        <v>104</v>
      </c>
      <c r="T26" s="36" t="str">
        <f>IF(NOT(ISNUMBER(S26)),"(Not stated)",IF(NOT(ISNUMBER(Q26)),"(Cost year not stated / not a Jalali year)",IFERROR(IF(N(IF(R26="EUR",S26,IF(R26="IRR",S26/INDEX('Assumptions &amp; FX Reference'!$C$5:$C$25,MATCH(Q26,'Assumptions &amp; FX Reference'!$A$5:$A$25,0)),IF(R26="USD",S26*INDEX('Assumptions &amp; FX Reference'!$B$5:$B$25,MATCH(Q26,'Assumptions &amp; FX Reference'!$A$5:$A$25,0))/INDEX('Assumptions &amp; FX Reference'!$C$5:$C$25,MATCH(Q26,'Assumptions &amp; FX Reference'!$A$5:$A$25,0)),"(Not stated)"))))&gt;0,IF(R26="EUR",S26,IF(R26="IRR",S26/INDEX('Assumptions &amp; FX Reference'!$C$5:$C$25,MATCH(Q26,'Assumptions &amp; FX Reference'!$A$5:$A$25,0)),IF(R26="USD",S26*INDEX('Assumptions &amp; FX Reference'!$B$5:$B$25,MATCH(Q26,'Assumptions &amp; FX Reference'!$A$5:$A$25,0))/INDEX('Assumptions &amp; FX Reference'!$C$5:$C$25,MATCH(Q26,'Assumptions &amp; FX Reference'!$A$5:$A$25,0)),"(Not stated)"))),"(FX rate not entered for this year)"),"(FX rate not entered for this year)")))</f>
        <v>(Not stated)</v>
      </c>
      <c r="U26" s="36" t="str">
        <f>IF(NOT(ISNUMBER(S26)),"(Not stated)",IF(NOT(ISNUMBER(Q26)),"(Cost year not stated / not a Jalali year)",IFERROR(IF(N(IF(R26="USD",S26,IF(R26="IRR",S26/INDEX('Assumptions &amp; FX Reference'!$B$5:$B$25,MATCH(Q26,'Assumptions &amp; FX Reference'!$A$5:$A$25,0)),IF(R26="EUR",S26*INDEX('Assumptions &amp; FX Reference'!$C$5:$C$25,MATCH(Q26,'Assumptions &amp; FX Reference'!$A$5:$A$25,0))/INDEX('Assumptions &amp; FX Reference'!$B$5:$B$25,MATCH(Q26,'Assumptions &amp; FX Reference'!$A$5:$A$25,0)),"(Not stated)"))))&gt;0,IF(R26="USD",S26,IF(R26="IRR",S26/INDEX('Assumptions &amp; FX Reference'!$B$5:$B$25,MATCH(Q26,'Assumptions &amp; FX Reference'!$A$5:$A$25,0)),IF(R26="EUR",S26*INDEX('Assumptions &amp; FX Reference'!$C$5:$C$25,MATCH(Q26,'Assumptions &amp; FX Reference'!$A$5:$A$25,0))/INDEX('Assumptions &amp; FX Reference'!$B$5:$B$25,MATCH(Q26,'Assumptions &amp; FX Reference'!$A$5:$A$25,0)),"(Not stated)"))),"(FX rate not entered for this year)"),"(FX rate not entered for this year)")))</f>
        <v>(Not stated)</v>
      </c>
      <c r="V26" s="36" t="str">
        <f>IF(NOT(ISNUMBER(S26)),"(Not stated)",IF(NOT(ISNUMBER(Q26)),"(Cost year not stated / not a Jalali year)",IFERROR(IF(N(IF(R26="IRR",S26,IF(R26="USD",S26*INDEX('Assumptions &amp; FX Reference'!$B$5:$B$25,MATCH(Q26,'Assumptions &amp; FX Reference'!$A$5:$A$25,0)),IF(R26="EUR",S26*INDEX('Assumptions &amp; FX Reference'!$C$5:$C$25,MATCH(Q26,'Assumptions &amp; FX Reference'!$A$5:$A$25,0)),"(Not stated)"))))&gt;0,IF(R26="IRR",S26,IF(R26="USD",S26*INDEX('Assumptions &amp; FX Reference'!$B$5:$B$25,MATCH(Q26,'Assumptions &amp; FX Reference'!$A$5:$A$25,0)),IF(R26="EUR",S26*INDEX('Assumptions &amp; FX Reference'!$C$5:$C$25,MATCH(Q26,'Assumptions &amp; FX Reference'!$A$5:$A$25,0)),"(Not stated)"))),"(FX rate not entered for this year)"),"(FX rate not entered for this year)")))</f>
        <v>(Not stated)</v>
      </c>
      <c r="W26" s="19" t="s">
        <v>104</v>
      </c>
      <c r="X26" s="19" t="s">
        <v>104</v>
      </c>
      <c r="Y26" s="19" t="s">
        <v>104</v>
      </c>
      <c r="Z26" s="19" t="s">
        <v>240</v>
      </c>
      <c r="AA26" s="19" t="s">
        <v>241</v>
      </c>
      <c r="AB26" s="19" t="s">
        <v>120</v>
      </c>
    </row>
    <row r="27" spans="1:28" ht="56.25" customHeight="1" x14ac:dyDescent="0.25">
      <c r="A27" s="18">
        <v>23</v>
      </c>
      <c r="B27" s="19" t="s">
        <v>242</v>
      </c>
      <c r="C27" s="19" t="s">
        <v>127</v>
      </c>
      <c r="D27" s="19" t="s">
        <v>243</v>
      </c>
      <c r="E27" s="19" t="s">
        <v>229</v>
      </c>
      <c r="F27" s="19" t="s">
        <v>27</v>
      </c>
      <c r="G27" s="20">
        <v>4</v>
      </c>
      <c r="H27" s="19" t="s">
        <v>104</v>
      </c>
      <c r="I27" s="19" t="s">
        <v>244</v>
      </c>
      <c r="J27" s="19" t="s">
        <v>104</v>
      </c>
      <c r="K27" s="19" t="s">
        <v>104</v>
      </c>
      <c r="L27" s="19" t="s">
        <v>104</v>
      </c>
      <c r="M27" s="19" t="s">
        <v>104</v>
      </c>
      <c r="N27" s="19" t="s">
        <v>104</v>
      </c>
      <c r="O27" s="21" t="s">
        <v>104</v>
      </c>
      <c r="P27" s="19" t="s">
        <v>104</v>
      </c>
      <c r="Q27" s="22">
        <v>1402</v>
      </c>
      <c r="R27" s="23" t="s">
        <v>105</v>
      </c>
      <c r="S27" s="20" t="s">
        <v>104</v>
      </c>
      <c r="T27" s="36" t="str">
        <f>IF(NOT(ISNUMBER(S27)),"(Not stated)",IF(NOT(ISNUMBER(Q27)),"(Cost year not stated / not a Jalali year)",IFERROR(IF(N(IF(R27="EUR",S27,IF(R27="IRR",S27/INDEX('Assumptions &amp; FX Reference'!$C$5:$C$25,MATCH(Q27,'Assumptions &amp; FX Reference'!$A$5:$A$25,0)),IF(R27="USD",S27*INDEX('Assumptions &amp; FX Reference'!$B$5:$B$25,MATCH(Q27,'Assumptions &amp; FX Reference'!$A$5:$A$25,0))/INDEX('Assumptions &amp; FX Reference'!$C$5:$C$25,MATCH(Q27,'Assumptions &amp; FX Reference'!$A$5:$A$25,0)),"(Not stated)"))))&gt;0,IF(R27="EUR",S27,IF(R27="IRR",S27/INDEX('Assumptions &amp; FX Reference'!$C$5:$C$25,MATCH(Q27,'Assumptions &amp; FX Reference'!$A$5:$A$25,0)),IF(R27="USD",S27*INDEX('Assumptions &amp; FX Reference'!$B$5:$B$25,MATCH(Q27,'Assumptions &amp; FX Reference'!$A$5:$A$25,0))/INDEX('Assumptions &amp; FX Reference'!$C$5:$C$25,MATCH(Q27,'Assumptions &amp; FX Reference'!$A$5:$A$25,0)),"(Not stated)"))),"(FX rate not entered for this year)"),"(FX rate not entered for this year)")))</f>
        <v>(Not stated)</v>
      </c>
      <c r="U27" s="36" t="str">
        <f>IF(NOT(ISNUMBER(S27)),"(Not stated)",IF(NOT(ISNUMBER(Q27)),"(Cost year not stated / not a Jalali year)",IFERROR(IF(N(IF(R27="USD",S27,IF(R27="IRR",S27/INDEX('Assumptions &amp; FX Reference'!$B$5:$B$25,MATCH(Q27,'Assumptions &amp; FX Reference'!$A$5:$A$25,0)),IF(R27="EUR",S27*INDEX('Assumptions &amp; FX Reference'!$C$5:$C$25,MATCH(Q27,'Assumptions &amp; FX Reference'!$A$5:$A$25,0))/INDEX('Assumptions &amp; FX Reference'!$B$5:$B$25,MATCH(Q27,'Assumptions &amp; FX Reference'!$A$5:$A$25,0)),"(Not stated)"))))&gt;0,IF(R27="USD",S27,IF(R27="IRR",S27/INDEX('Assumptions &amp; FX Reference'!$B$5:$B$25,MATCH(Q27,'Assumptions &amp; FX Reference'!$A$5:$A$25,0)),IF(R27="EUR",S27*INDEX('Assumptions &amp; FX Reference'!$C$5:$C$25,MATCH(Q27,'Assumptions &amp; FX Reference'!$A$5:$A$25,0))/INDEX('Assumptions &amp; FX Reference'!$B$5:$B$25,MATCH(Q27,'Assumptions &amp; FX Reference'!$A$5:$A$25,0)),"(Not stated)"))),"(FX rate not entered for this year)"),"(FX rate not entered for this year)")))</f>
        <v>(Not stated)</v>
      </c>
      <c r="V27" s="36" t="str">
        <f>IF(NOT(ISNUMBER(S27)),"(Not stated)",IF(NOT(ISNUMBER(Q27)),"(Cost year not stated / not a Jalali year)",IFERROR(IF(N(IF(R27="IRR",S27,IF(R27="USD",S27*INDEX('Assumptions &amp; FX Reference'!$B$5:$B$25,MATCH(Q27,'Assumptions &amp; FX Reference'!$A$5:$A$25,0)),IF(R27="EUR",S27*INDEX('Assumptions &amp; FX Reference'!$C$5:$C$25,MATCH(Q27,'Assumptions &amp; FX Reference'!$A$5:$A$25,0)),"(Not stated)"))))&gt;0,IF(R27="IRR",S27,IF(R27="USD",S27*INDEX('Assumptions &amp; FX Reference'!$B$5:$B$25,MATCH(Q27,'Assumptions &amp; FX Reference'!$A$5:$A$25,0)),IF(R27="EUR",S27*INDEX('Assumptions &amp; FX Reference'!$C$5:$C$25,MATCH(Q27,'Assumptions &amp; FX Reference'!$A$5:$A$25,0)),"(Not stated)"))),"(FX rate not entered for this year)"),"(FX rate not entered for this year)")))</f>
        <v>(Not stated)</v>
      </c>
      <c r="W27" s="19" t="s">
        <v>104</v>
      </c>
      <c r="X27" s="19" t="s">
        <v>132</v>
      </c>
      <c r="Y27" s="19" t="s">
        <v>133</v>
      </c>
      <c r="Z27" s="19" t="s">
        <v>245</v>
      </c>
      <c r="AA27" s="19" t="s">
        <v>246</v>
      </c>
      <c r="AB27" s="19" t="s">
        <v>120</v>
      </c>
    </row>
    <row r="28" spans="1:28" ht="109.5" hidden="1" customHeight="1" x14ac:dyDescent="0.25">
      <c r="A28" s="18">
        <v>24</v>
      </c>
      <c r="B28" s="19" t="s">
        <v>247</v>
      </c>
      <c r="C28" s="19" t="s">
        <v>94</v>
      </c>
      <c r="D28" s="19" t="s">
        <v>248</v>
      </c>
      <c r="E28" s="19" t="s">
        <v>249</v>
      </c>
      <c r="F28" s="19" t="s">
        <v>33</v>
      </c>
      <c r="G28" s="20">
        <v>3</v>
      </c>
      <c r="H28" s="19" t="s">
        <v>113</v>
      </c>
      <c r="I28" s="19" t="s">
        <v>250</v>
      </c>
      <c r="J28" s="19" t="s">
        <v>251</v>
      </c>
      <c r="K28" s="19" t="s">
        <v>104</v>
      </c>
      <c r="L28" s="19" t="s">
        <v>104</v>
      </c>
      <c r="M28" s="19" t="s">
        <v>252</v>
      </c>
      <c r="N28" s="19" t="s">
        <v>253</v>
      </c>
      <c r="O28" s="21" t="s">
        <v>104</v>
      </c>
      <c r="P28" s="19" t="s">
        <v>104</v>
      </c>
      <c r="Q28" s="22">
        <v>1394</v>
      </c>
      <c r="R28" s="23" t="s">
        <v>105</v>
      </c>
      <c r="S28" s="20" t="s">
        <v>104</v>
      </c>
      <c r="T28" s="36" t="str">
        <f>IF(NOT(ISNUMBER(S28)),"(Not stated)",IF(NOT(ISNUMBER(Q28)),"(Cost year not stated / not a Jalali year)",IFERROR(IF(N(IF(R28="EUR",S28,IF(R28="IRR",S28/INDEX('Assumptions &amp; FX Reference'!$C$5:$C$25,MATCH(Q28,'Assumptions &amp; FX Reference'!$A$5:$A$25,0)),IF(R28="USD",S28*INDEX('Assumptions &amp; FX Reference'!$B$5:$B$25,MATCH(Q28,'Assumptions &amp; FX Reference'!$A$5:$A$25,0))/INDEX('Assumptions &amp; FX Reference'!$C$5:$C$25,MATCH(Q28,'Assumptions &amp; FX Reference'!$A$5:$A$25,0)),"(Not stated)"))))&gt;0,IF(R28="EUR",S28,IF(R28="IRR",S28/INDEX('Assumptions &amp; FX Reference'!$C$5:$C$25,MATCH(Q28,'Assumptions &amp; FX Reference'!$A$5:$A$25,0)),IF(R28="USD",S28*INDEX('Assumptions &amp; FX Reference'!$B$5:$B$25,MATCH(Q28,'Assumptions &amp; FX Reference'!$A$5:$A$25,0))/INDEX('Assumptions &amp; FX Reference'!$C$5:$C$25,MATCH(Q28,'Assumptions &amp; FX Reference'!$A$5:$A$25,0)),"(Not stated)"))),"(FX rate not entered for this year)"),"(FX rate not entered for this year)")))</f>
        <v>(Not stated)</v>
      </c>
      <c r="U28" s="36" t="str">
        <f>IF(NOT(ISNUMBER(S28)),"(Not stated)",IF(NOT(ISNUMBER(Q28)),"(Cost year not stated / not a Jalali year)",IFERROR(IF(N(IF(R28="USD",S28,IF(R28="IRR",S28/INDEX('Assumptions &amp; FX Reference'!$B$5:$B$25,MATCH(Q28,'Assumptions &amp; FX Reference'!$A$5:$A$25,0)),IF(R28="EUR",S28*INDEX('Assumptions &amp; FX Reference'!$C$5:$C$25,MATCH(Q28,'Assumptions &amp; FX Reference'!$A$5:$A$25,0))/INDEX('Assumptions &amp; FX Reference'!$B$5:$B$25,MATCH(Q28,'Assumptions &amp; FX Reference'!$A$5:$A$25,0)),"(Not stated)"))))&gt;0,IF(R28="USD",S28,IF(R28="IRR",S28/INDEX('Assumptions &amp; FX Reference'!$B$5:$B$25,MATCH(Q28,'Assumptions &amp; FX Reference'!$A$5:$A$25,0)),IF(R28="EUR",S28*INDEX('Assumptions &amp; FX Reference'!$C$5:$C$25,MATCH(Q28,'Assumptions &amp; FX Reference'!$A$5:$A$25,0))/INDEX('Assumptions &amp; FX Reference'!$B$5:$B$25,MATCH(Q28,'Assumptions &amp; FX Reference'!$A$5:$A$25,0)),"(Not stated)"))),"(FX rate not entered for this year)"),"(FX rate not entered for this year)")))</f>
        <v>(Not stated)</v>
      </c>
      <c r="V28" s="36" t="str">
        <f>IF(NOT(ISNUMBER(S28)),"(Not stated)",IF(NOT(ISNUMBER(Q28)),"(Cost year not stated / not a Jalali year)",IFERROR(IF(N(IF(R28="IRR",S28,IF(R28="USD",S28*INDEX('Assumptions &amp; FX Reference'!$B$5:$B$25,MATCH(Q28,'Assumptions &amp; FX Reference'!$A$5:$A$25,0)),IF(R28="EUR",S28*INDEX('Assumptions &amp; FX Reference'!$C$5:$C$25,MATCH(Q28,'Assumptions &amp; FX Reference'!$A$5:$A$25,0)),"(Not stated)"))))&gt;0,IF(R28="IRR",S28,IF(R28="USD",S28*INDEX('Assumptions &amp; FX Reference'!$B$5:$B$25,MATCH(Q28,'Assumptions &amp; FX Reference'!$A$5:$A$25,0)),IF(R28="EUR",S28*INDEX('Assumptions &amp; FX Reference'!$C$5:$C$25,MATCH(Q28,'Assumptions &amp; FX Reference'!$A$5:$A$25,0)),"(Not stated)"))),"(FX rate not entered for this year)"),"(FX rate not entered for this year)")))</f>
        <v>(Not stated)</v>
      </c>
      <c r="W28" s="19" t="s">
        <v>104</v>
      </c>
      <c r="X28" s="19" t="s">
        <v>106</v>
      </c>
      <c r="Y28" s="19" t="s">
        <v>107</v>
      </c>
      <c r="Z28" s="19" t="s">
        <v>108</v>
      </c>
      <c r="AA28" s="19" t="s">
        <v>254</v>
      </c>
      <c r="AB28" s="19" t="s">
        <v>120</v>
      </c>
    </row>
    <row r="29" spans="1:28" ht="109.5" hidden="1" customHeight="1" x14ac:dyDescent="0.25">
      <c r="A29" s="18">
        <v>25</v>
      </c>
      <c r="B29" s="19" t="s">
        <v>255</v>
      </c>
      <c r="C29" s="19" t="s">
        <v>127</v>
      </c>
      <c r="D29" s="19" t="s">
        <v>256</v>
      </c>
      <c r="E29" s="19" t="s">
        <v>249</v>
      </c>
      <c r="F29" s="19" t="s">
        <v>33</v>
      </c>
      <c r="G29" s="20">
        <v>2</v>
      </c>
      <c r="H29" s="19" t="s">
        <v>113</v>
      </c>
      <c r="I29" s="19" t="s">
        <v>257</v>
      </c>
      <c r="J29" s="19" t="s">
        <v>258</v>
      </c>
      <c r="K29" s="19" t="s">
        <v>104</v>
      </c>
      <c r="L29" s="19" t="s">
        <v>104</v>
      </c>
      <c r="M29" s="19" t="s">
        <v>104</v>
      </c>
      <c r="N29" s="19" t="s">
        <v>104</v>
      </c>
      <c r="O29" s="21" t="s">
        <v>259</v>
      </c>
      <c r="P29" s="19" t="s">
        <v>104</v>
      </c>
      <c r="Q29" s="22">
        <v>1402</v>
      </c>
      <c r="R29" s="23" t="s">
        <v>105</v>
      </c>
      <c r="S29" s="20">
        <v>13215061000</v>
      </c>
      <c r="T29" s="36">
        <f>IF(NOT(ISNUMBER(S29)),"(Not stated)",IF(NOT(ISNUMBER(Q29)),"(Cost year not stated / not a Jalali year)",IFERROR(IF(N(IF(R29="EUR",S29,IF(R29="IRR",S29/INDEX('Assumptions &amp; FX Reference'!$C$5:$C$25,MATCH(Q29,'Assumptions &amp; FX Reference'!$A$5:$A$25,0)),IF(R29="USD",S29*INDEX('Assumptions &amp; FX Reference'!$B$5:$B$25,MATCH(Q29,'Assumptions &amp; FX Reference'!$A$5:$A$25,0))/INDEX('Assumptions &amp; FX Reference'!$C$5:$C$25,MATCH(Q29,'Assumptions &amp; FX Reference'!$A$5:$A$25,0)),"(Not stated)"))))&gt;0,IF(R29="EUR",S29,IF(R29="IRR",S29/INDEX('Assumptions &amp; FX Reference'!$C$5:$C$25,MATCH(Q29,'Assumptions &amp; FX Reference'!$A$5:$A$25,0)),IF(R29="USD",S29*INDEX('Assumptions &amp; FX Reference'!$B$5:$B$25,MATCH(Q29,'Assumptions &amp; FX Reference'!$A$5:$A$25,0))/INDEX('Assumptions &amp; FX Reference'!$C$5:$C$25,MATCH(Q29,'Assumptions &amp; FX Reference'!$A$5:$A$25,0)),"(Not stated)"))),"(FX rate not entered for this year)"),"(FX rate not entered for this year)")))</f>
        <v>24957.622285174693</v>
      </c>
      <c r="U29" s="36">
        <f>IF(NOT(ISNUMBER(S29)),"(Not stated)",IF(NOT(ISNUMBER(Q29)),"(Cost year not stated / not a Jalali year)",IFERROR(IF(N(IF(R29="USD",S29,IF(R29="IRR",S29/INDEX('Assumptions &amp; FX Reference'!$B$5:$B$25,MATCH(Q29,'Assumptions &amp; FX Reference'!$A$5:$A$25,0)),IF(R29="EUR",S29*INDEX('Assumptions &amp; FX Reference'!$C$5:$C$25,MATCH(Q29,'Assumptions &amp; FX Reference'!$A$5:$A$25,0))/INDEX('Assumptions &amp; FX Reference'!$B$5:$B$25,MATCH(Q29,'Assumptions &amp; FX Reference'!$A$5:$A$25,0)),"(Not stated)"))))&gt;0,IF(R29="USD",S29,IF(R29="IRR",S29/INDEX('Assumptions &amp; FX Reference'!$B$5:$B$25,MATCH(Q29,'Assumptions &amp; FX Reference'!$A$5:$A$25,0)),IF(R29="EUR",S29*INDEX('Assumptions &amp; FX Reference'!$C$5:$C$25,MATCH(Q29,'Assumptions &amp; FX Reference'!$A$5:$A$25,0))/INDEX('Assumptions &amp; FX Reference'!$B$5:$B$25,MATCH(Q29,'Assumptions &amp; FX Reference'!$A$5:$A$25,0)),"(Not stated)"))),"(FX rate not entered for this year)"),"(FX rate not entered for this year)")))</f>
        <v>31464.430952380953</v>
      </c>
      <c r="V29" s="36">
        <f>IF(NOT(ISNUMBER(S29)),"(Not stated)",IF(NOT(ISNUMBER(Q29)),"(Cost year not stated / not a Jalali year)",IFERROR(IF(N(IF(R29="IRR",S29,IF(R29="USD",S29*INDEX('Assumptions &amp; FX Reference'!$B$5:$B$25,MATCH(Q29,'Assumptions &amp; FX Reference'!$A$5:$A$25,0)),IF(R29="EUR",S29*INDEX('Assumptions &amp; FX Reference'!$C$5:$C$25,MATCH(Q29,'Assumptions &amp; FX Reference'!$A$5:$A$25,0)),"(Not stated)"))))&gt;0,IF(R29="IRR",S29,IF(R29="USD",S29*INDEX('Assumptions &amp; FX Reference'!$B$5:$B$25,MATCH(Q29,'Assumptions &amp; FX Reference'!$A$5:$A$25,0)),IF(R29="EUR",S29*INDEX('Assumptions &amp; FX Reference'!$C$5:$C$25,MATCH(Q29,'Assumptions &amp; FX Reference'!$A$5:$A$25,0)),"(Not stated)"))),"(FX rate not entered for this year)"),"(FX rate not entered for this year)")))</f>
        <v>13215061000</v>
      </c>
      <c r="W29" s="19" t="s">
        <v>260</v>
      </c>
      <c r="X29" s="19" t="s">
        <v>132</v>
      </c>
      <c r="Y29" s="19" t="s">
        <v>133</v>
      </c>
      <c r="Z29" s="19" t="s">
        <v>261</v>
      </c>
      <c r="AA29" s="19" t="s">
        <v>262</v>
      </c>
      <c r="AB29" s="19" t="s">
        <v>110</v>
      </c>
    </row>
    <row r="30" spans="1:28" ht="109.5" hidden="1" customHeight="1" x14ac:dyDescent="0.25">
      <c r="A30" s="18">
        <v>26</v>
      </c>
      <c r="B30" s="19" t="s">
        <v>263</v>
      </c>
      <c r="C30" s="19" t="s">
        <v>127</v>
      </c>
      <c r="D30" s="19" t="s">
        <v>264</v>
      </c>
      <c r="E30" s="19" t="s">
        <v>265</v>
      </c>
      <c r="F30" s="19" t="s">
        <v>35</v>
      </c>
      <c r="G30" s="20">
        <v>1</v>
      </c>
      <c r="H30" s="19" t="s">
        <v>113</v>
      </c>
      <c r="I30" s="19" t="s">
        <v>266</v>
      </c>
      <c r="J30" s="19" t="s">
        <v>267</v>
      </c>
      <c r="K30" s="19" t="s">
        <v>104</v>
      </c>
      <c r="L30" s="19" t="s">
        <v>104</v>
      </c>
      <c r="M30" s="19" t="s">
        <v>104</v>
      </c>
      <c r="N30" s="19" t="s">
        <v>104</v>
      </c>
      <c r="O30" s="21" t="s">
        <v>268</v>
      </c>
      <c r="P30" s="19" t="s">
        <v>104</v>
      </c>
      <c r="Q30" s="22">
        <v>1402</v>
      </c>
      <c r="R30" s="23" t="s">
        <v>105</v>
      </c>
      <c r="S30" s="20">
        <v>30294000000</v>
      </c>
      <c r="T30" s="36">
        <f>IF(NOT(ISNUMBER(S30)),"(Not stated)",IF(NOT(ISNUMBER(Q30)),"(Cost year not stated / not a Jalali year)",IFERROR(IF(N(IF(R30="EUR",S30,IF(R30="IRR",S30/INDEX('Assumptions &amp; FX Reference'!$C$5:$C$25,MATCH(Q30,'Assumptions &amp; FX Reference'!$A$5:$A$25,0)),IF(R30="USD",S30*INDEX('Assumptions &amp; FX Reference'!$B$5:$B$25,MATCH(Q30,'Assumptions &amp; FX Reference'!$A$5:$A$25,0))/INDEX('Assumptions &amp; FX Reference'!$C$5:$C$25,MATCH(Q30,'Assumptions &amp; FX Reference'!$A$5:$A$25,0)),"(Not stated)"))))&gt;0,IF(R30="EUR",S30,IF(R30="IRR",S30/INDEX('Assumptions &amp; FX Reference'!$C$5:$C$25,MATCH(Q30,'Assumptions &amp; FX Reference'!$A$5:$A$25,0)),IF(R30="USD",S30*INDEX('Assumptions &amp; FX Reference'!$B$5:$B$25,MATCH(Q30,'Assumptions &amp; FX Reference'!$A$5:$A$25,0))/INDEX('Assumptions &amp; FX Reference'!$C$5:$C$25,MATCH(Q30,'Assumptions &amp; FX Reference'!$A$5:$A$25,0)),"(Not stated)"))),"(FX rate not entered for this year)"),"(FX rate not entered for this year)")))</f>
        <v>57212.464589235125</v>
      </c>
      <c r="U30" s="36">
        <f>IF(NOT(ISNUMBER(S30)),"(Not stated)",IF(NOT(ISNUMBER(Q30)),"(Cost year not stated / not a Jalali year)",IFERROR(IF(N(IF(R30="USD",S30,IF(R30="IRR",S30/INDEX('Assumptions &amp; FX Reference'!$B$5:$B$25,MATCH(Q30,'Assumptions &amp; FX Reference'!$A$5:$A$25,0)),IF(R30="EUR",S30*INDEX('Assumptions &amp; FX Reference'!$C$5:$C$25,MATCH(Q30,'Assumptions &amp; FX Reference'!$A$5:$A$25,0))/INDEX('Assumptions &amp; FX Reference'!$B$5:$B$25,MATCH(Q30,'Assumptions &amp; FX Reference'!$A$5:$A$25,0)),"(Not stated)"))))&gt;0,IF(R30="USD",S30,IF(R30="IRR",S30/INDEX('Assumptions &amp; FX Reference'!$B$5:$B$25,MATCH(Q30,'Assumptions &amp; FX Reference'!$A$5:$A$25,0)),IF(R30="EUR",S30*INDEX('Assumptions &amp; FX Reference'!$C$5:$C$25,MATCH(Q30,'Assumptions &amp; FX Reference'!$A$5:$A$25,0))/INDEX('Assumptions &amp; FX Reference'!$B$5:$B$25,MATCH(Q30,'Assumptions &amp; FX Reference'!$A$5:$A$25,0)),"(Not stated)"))),"(FX rate not entered for this year)"),"(FX rate not entered for this year)")))</f>
        <v>72128.571428571435</v>
      </c>
      <c r="V30" s="36">
        <f>IF(NOT(ISNUMBER(S30)),"(Not stated)",IF(NOT(ISNUMBER(Q30)),"(Cost year not stated / not a Jalali year)",IFERROR(IF(N(IF(R30="IRR",S30,IF(R30="USD",S30*INDEX('Assumptions &amp; FX Reference'!$B$5:$B$25,MATCH(Q30,'Assumptions &amp; FX Reference'!$A$5:$A$25,0)),IF(R30="EUR",S30*INDEX('Assumptions &amp; FX Reference'!$C$5:$C$25,MATCH(Q30,'Assumptions &amp; FX Reference'!$A$5:$A$25,0)),"(Not stated)"))))&gt;0,IF(R30="IRR",S30,IF(R30="USD",S30*INDEX('Assumptions &amp; FX Reference'!$B$5:$B$25,MATCH(Q30,'Assumptions &amp; FX Reference'!$A$5:$A$25,0)),IF(R30="EUR",S30*INDEX('Assumptions &amp; FX Reference'!$C$5:$C$25,MATCH(Q30,'Assumptions &amp; FX Reference'!$A$5:$A$25,0)),"(Not stated)"))),"(FX rate not entered for this year)"),"(FX rate not entered for this year)")))</f>
        <v>30294000000</v>
      </c>
      <c r="W30" s="19" t="s">
        <v>269</v>
      </c>
      <c r="X30" s="19" t="s">
        <v>132</v>
      </c>
      <c r="Y30" s="19" t="s">
        <v>133</v>
      </c>
      <c r="Z30" s="19" t="s">
        <v>270</v>
      </c>
      <c r="AA30" s="19" t="s">
        <v>271</v>
      </c>
      <c r="AB30" s="19" t="s">
        <v>110</v>
      </c>
    </row>
    <row r="31" spans="1:28" ht="109.5" hidden="1" customHeight="1" x14ac:dyDescent="0.25">
      <c r="A31" s="18">
        <v>27</v>
      </c>
      <c r="B31" s="19" t="s">
        <v>272</v>
      </c>
      <c r="C31" s="19" t="s">
        <v>94</v>
      </c>
      <c r="D31" s="19" t="s">
        <v>273</v>
      </c>
      <c r="E31" s="19" t="s">
        <v>265</v>
      </c>
      <c r="F31" s="19" t="s">
        <v>35</v>
      </c>
      <c r="G31" s="20">
        <v>2</v>
      </c>
      <c r="H31" s="19" t="s">
        <v>97</v>
      </c>
      <c r="I31" s="19" t="s">
        <v>274</v>
      </c>
      <c r="J31" s="19" t="s">
        <v>104</v>
      </c>
      <c r="K31" s="19" t="s">
        <v>104</v>
      </c>
      <c r="L31" s="19" t="s">
        <v>104</v>
      </c>
      <c r="M31" s="19" t="s">
        <v>104</v>
      </c>
      <c r="N31" s="19" t="s">
        <v>104</v>
      </c>
      <c r="O31" s="21" t="s">
        <v>104</v>
      </c>
      <c r="P31" s="19" t="s">
        <v>104</v>
      </c>
      <c r="Q31" s="22">
        <v>1394</v>
      </c>
      <c r="R31" s="23" t="s">
        <v>105</v>
      </c>
      <c r="S31" s="20">
        <v>3000000000</v>
      </c>
      <c r="T31" s="36">
        <f>IF(NOT(ISNUMBER(S31)),"(Not stated)",IF(NOT(ISNUMBER(Q31)),"(Cost year not stated / not a Jalali year)",IFERROR(IF(N(IF(R31="EUR",S31,IF(R31="IRR",S31/INDEX('Assumptions &amp; FX Reference'!$C$5:$C$25,MATCH(Q31,'Assumptions &amp; FX Reference'!$A$5:$A$25,0)),IF(R31="USD",S31*INDEX('Assumptions &amp; FX Reference'!$B$5:$B$25,MATCH(Q31,'Assumptions &amp; FX Reference'!$A$5:$A$25,0))/INDEX('Assumptions &amp; FX Reference'!$C$5:$C$25,MATCH(Q31,'Assumptions &amp; FX Reference'!$A$5:$A$25,0)),"(Not stated)"))))&gt;0,IF(R31="EUR",S31,IF(R31="IRR",S31/INDEX('Assumptions &amp; FX Reference'!$C$5:$C$25,MATCH(Q31,'Assumptions &amp; FX Reference'!$A$5:$A$25,0)),IF(R31="USD",S31*INDEX('Assumptions &amp; FX Reference'!$B$5:$B$25,MATCH(Q31,'Assumptions &amp; FX Reference'!$A$5:$A$25,0))/INDEX('Assumptions &amp; FX Reference'!$C$5:$C$25,MATCH(Q31,'Assumptions &amp; FX Reference'!$A$5:$A$25,0)),"(Not stated)"))),"(FX rate not entered for this year)"),"(FX rate not entered for this year)")))</f>
        <v>81632.653061224497</v>
      </c>
      <c r="U31" s="36">
        <f>IF(NOT(ISNUMBER(S31)),"(Not stated)",IF(NOT(ISNUMBER(Q31)),"(Cost year not stated / not a Jalali year)",IFERROR(IF(N(IF(R31="USD",S31,IF(R31="IRR",S31/INDEX('Assumptions &amp; FX Reference'!$B$5:$B$25,MATCH(Q31,'Assumptions &amp; FX Reference'!$A$5:$A$25,0)),IF(R31="EUR",S31*INDEX('Assumptions &amp; FX Reference'!$C$5:$C$25,MATCH(Q31,'Assumptions &amp; FX Reference'!$A$5:$A$25,0))/INDEX('Assumptions &amp; FX Reference'!$B$5:$B$25,MATCH(Q31,'Assumptions &amp; FX Reference'!$A$5:$A$25,0)),"(Not stated)"))))&gt;0,IF(R31="USD",S31,IF(R31="IRR",S31/INDEX('Assumptions &amp; FX Reference'!$B$5:$B$25,MATCH(Q31,'Assumptions &amp; FX Reference'!$A$5:$A$25,0)),IF(R31="EUR",S31*INDEX('Assumptions &amp; FX Reference'!$C$5:$C$25,MATCH(Q31,'Assumptions &amp; FX Reference'!$A$5:$A$25,0))/INDEX('Assumptions &amp; FX Reference'!$B$5:$B$25,MATCH(Q31,'Assumptions &amp; FX Reference'!$A$5:$A$25,0)),"(Not stated)"))),"(FX rate not entered for this year)"),"(FX rate not entered for this year)")))</f>
        <v>89418.777943368113</v>
      </c>
      <c r="V31" s="36">
        <f>IF(NOT(ISNUMBER(S31)),"(Not stated)",IF(NOT(ISNUMBER(Q31)),"(Cost year not stated / not a Jalali year)",IFERROR(IF(N(IF(R31="IRR",S31,IF(R31="USD",S31*INDEX('Assumptions &amp; FX Reference'!$B$5:$B$25,MATCH(Q31,'Assumptions &amp; FX Reference'!$A$5:$A$25,0)),IF(R31="EUR",S31*INDEX('Assumptions &amp; FX Reference'!$C$5:$C$25,MATCH(Q31,'Assumptions &amp; FX Reference'!$A$5:$A$25,0)),"(Not stated)"))))&gt;0,IF(R31="IRR",S31,IF(R31="USD",S31*INDEX('Assumptions &amp; FX Reference'!$B$5:$B$25,MATCH(Q31,'Assumptions &amp; FX Reference'!$A$5:$A$25,0)),IF(R31="EUR",S31*INDEX('Assumptions &amp; FX Reference'!$C$5:$C$25,MATCH(Q31,'Assumptions &amp; FX Reference'!$A$5:$A$25,0)),"(Not stated)"))),"(FX rate not entered for this year)"),"(FX rate not entered for this year)")))</f>
        <v>3000000000</v>
      </c>
      <c r="W31" s="19" t="s">
        <v>275</v>
      </c>
      <c r="X31" s="19" t="s">
        <v>106</v>
      </c>
      <c r="Y31" s="19" t="s">
        <v>107</v>
      </c>
      <c r="Z31" s="19" t="s">
        <v>276</v>
      </c>
      <c r="AA31" s="19" t="s">
        <v>277</v>
      </c>
      <c r="AB31" s="19" t="s">
        <v>110</v>
      </c>
    </row>
    <row r="32" spans="1:28" ht="109.5" hidden="1" customHeight="1" x14ac:dyDescent="0.25">
      <c r="A32" s="18">
        <v>28</v>
      </c>
      <c r="B32" s="19" t="s">
        <v>278</v>
      </c>
      <c r="C32" s="19" t="s">
        <v>137</v>
      </c>
      <c r="D32" s="19" t="s">
        <v>279</v>
      </c>
      <c r="E32" s="19" t="s">
        <v>280</v>
      </c>
      <c r="F32" s="19" t="s">
        <v>37</v>
      </c>
      <c r="G32" s="20" t="s">
        <v>104</v>
      </c>
      <c r="H32" s="19" t="s">
        <v>104</v>
      </c>
      <c r="I32" s="19" t="s">
        <v>281</v>
      </c>
      <c r="J32" s="19" t="s">
        <v>282</v>
      </c>
      <c r="K32" s="19">
        <v>27</v>
      </c>
      <c r="L32" s="19" t="s">
        <v>104</v>
      </c>
      <c r="M32" s="19" t="s">
        <v>283</v>
      </c>
      <c r="N32" s="19" t="s">
        <v>104</v>
      </c>
      <c r="O32" s="21" t="s">
        <v>104</v>
      </c>
      <c r="P32" s="19" t="s">
        <v>104</v>
      </c>
      <c r="Q32" s="22" t="s">
        <v>104</v>
      </c>
      <c r="R32" s="23" t="s">
        <v>143</v>
      </c>
      <c r="S32" s="20">
        <v>6500000</v>
      </c>
      <c r="T32" s="36" t="str">
        <f>IF(NOT(ISNUMBER(S32)),"(Not stated)",IF(NOT(ISNUMBER(Q32)),"(Cost year not stated / not a Jalali year)",IFERROR(IF(N(IF(R32="EUR",S32,IF(R32="IRR",S32/INDEX('Assumptions &amp; FX Reference'!$C$5:$C$25,MATCH(Q32,'Assumptions &amp; FX Reference'!$A$5:$A$25,0)),IF(R32="USD",S32*INDEX('Assumptions &amp; FX Reference'!$B$5:$B$25,MATCH(Q32,'Assumptions &amp; FX Reference'!$A$5:$A$25,0))/INDEX('Assumptions &amp; FX Reference'!$C$5:$C$25,MATCH(Q32,'Assumptions &amp; FX Reference'!$A$5:$A$25,0)),"(Not stated)"))))&gt;0,IF(R32="EUR",S32,IF(R32="IRR",S32/INDEX('Assumptions &amp; FX Reference'!$C$5:$C$25,MATCH(Q32,'Assumptions &amp; FX Reference'!$A$5:$A$25,0)),IF(R32="USD",S32*INDEX('Assumptions &amp; FX Reference'!$B$5:$B$25,MATCH(Q32,'Assumptions &amp; FX Reference'!$A$5:$A$25,0))/INDEX('Assumptions &amp; FX Reference'!$C$5:$C$25,MATCH(Q32,'Assumptions &amp; FX Reference'!$A$5:$A$25,0)),"(Not stated)"))),"(FX rate not entered for this year)"),"(FX rate not entered for this year)")))</f>
        <v>(Cost year not stated / not a Jalali year)</v>
      </c>
      <c r="U32" s="36" t="str">
        <f>IF(NOT(ISNUMBER(S32)),"(Not stated)",IF(NOT(ISNUMBER(Q32)),"(Cost year not stated / not a Jalali year)",IFERROR(IF(N(IF(R32="USD",S32,IF(R32="IRR",S32/INDEX('Assumptions &amp; FX Reference'!$B$5:$B$25,MATCH(Q32,'Assumptions &amp; FX Reference'!$A$5:$A$25,0)),IF(R32="EUR",S32*INDEX('Assumptions &amp; FX Reference'!$C$5:$C$25,MATCH(Q32,'Assumptions &amp; FX Reference'!$A$5:$A$25,0))/INDEX('Assumptions &amp; FX Reference'!$B$5:$B$25,MATCH(Q32,'Assumptions &amp; FX Reference'!$A$5:$A$25,0)),"(Not stated)"))))&gt;0,IF(R32="USD",S32,IF(R32="IRR",S32/INDEX('Assumptions &amp; FX Reference'!$B$5:$B$25,MATCH(Q32,'Assumptions &amp; FX Reference'!$A$5:$A$25,0)),IF(R32="EUR",S32*INDEX('Assumptions &amp; FX Reference'!$C$5:$C$25,MATCH(Q32,'Assumptions &amp; FX Reference'!$A$5:$A$25,0))/INDEX('Assumptions &amp; FX Reference'!$B$5:$B$25,MATCH(Q32,'Assumptions &amp; FX Reference'!$A$5:$A$25,0)),"(Not stated)"))),"(FX rate not entered for this year)"),"(FX rate not entered for this year)")))</f>
        <v>(Cost year not stated / not a Jalali year)</v>
      </c>
      <c r="V32" s="36" t="str">
        <f>IF(NOT(ISNUMBER(S32)),"(Not stated)",IF(NOT(ISNUMBER(Q32)),"(Cost year not stated / not a Jalali year)",IFERROR(IF(N(IF(R32="IRR",S32,IF(R32="USD",S32*INDEX('Assumptions &amp; FX Reference'!$B$5:$B$25,MATCH(Q32,'Assumptions &amp; FX Reference'!$A$5:$A$25,0)),IF(R32="EUR",S32*INDEX('Assumptions &amp; FX Reference'!$C$5:$C$25,MATCH(Q32,'Assumptions &amp; FX Reference'!$A$5:$A$25,0)),"(Not stated)"))))&gt;0,IF(R32="IRR",S32,IF(R32="USD",S32*INDEX('Assumptions &amp; FX Reference'!$B$5:$B$25,MATCH(Q32,'Assumptions &amp; FX Reference'!$A$5:$A$25,0)),IF(R32="EUR",S32*INDEX('Assumptions &amp; FX Reference'!$C$5:$C$25,MATCH(Q32,'Assumptions &amp; FX Reference'!$A$5:$A$25,0)),"(Not stated)"))),"(FX rate not entered for this year)"),"(FX rate not entered for this year)")))</f>
        <v>(Cost year not stated / not a Jalali year)</v>
      </c>
      <c r="W32" s="19" t="s">
        <v>284</v>
      </c>
      <c r="X32" s="19" t="s">
        <v>104</v>
      </c>
      <c r="Y32" s="19" t="s">
        <v>104</v>
      </c>
      <c r="Z32" s="19" t="s">
        <v>285</v>
      </c>
      <c r="AA32" s="19" t="s">
        <v>286</v>
      </c>
      <c r="AB32" s="19" t="s">
        <v>110</v>
      </c>
    </row>
    <row r="33" spans="1:28" ht="109.5" hidden="1" customHeight="1" x14ac:dyDescent="0.25">
      <c r="A33" s="18">
        <v>29</v>
      </c>
      <c r="B33" s="19" t="s">
        <v>287</v>
      </c>
      <c r="C33" s="19" t="s">
        <v>127</v>
      </c>
      <c r="D33" s="19" t="s">
        <v>288</v>
      </c>
      <c r="E33" s="19" t="s">
        <v>96</v>
      </c>
      <c r="F33" s="19" t="s">
        <v>29</v>
      </c>
      <c r="G33" s="20" t="s">
        <v>104</v>
      </c>
      <c r="H33" s="19" t="s">
        <v>104</v>
      </c>
      <c r="I33" s="19" t="s">
        <v>289</v>
      </c>
      <c r="J33" s="19" t="s">
        <v>104</v>
      </c>
      <c r="K33" s="19" t="s">
        <v>104</v>
      </c>
      <c r="L33" s="19" t="s">
        <v>104</v>
      </c>
      <c r="M33" s="19" t="s">
        <v>104</v>
      </c>
      <c r="N33" s="19" t="s">
        <v>104</v>
      </c>
      <c r="O33" s="21" t="s">
        <v>104</v>
      </c>
      <c r="P33" s="19" t="s">
        <v>104</v>
      </c>
      <c r="Q33" s="22">
        <v>1402</v>
      </c>
      <c r="R33" s="23" t="s">
        <v>105</v>
      </c>
      <c r="S33" s="20">
        <v>3600000000</v>
      </c>
      <c r="T33" s="36">
        <f>IF(NOT(ISNUMBER(S33)),"(Not stated)",IF(NOT(ISNUMBER(Q33)),"(Cost year not stated / not a Jalali year)",IFERROR(IF(N(IF(R33="EUR",S33,IF(R33="IRR",S33/INDEX('Assumptions &amp; FX Reference'!$C$5:$C$25,MATCH(Q33,'Assumptions &amp; FX Reference'!$A$5:$A$25,0)),IF(R33="USD",S33*INDEX('Assumptions &amp; FX Reference'!$B$5:$B$25,MATCH(Q33,'Assumptions &amp; FX Reference'!$A$5:$A$25,0))/INDEX('Assumptions &amp; FX Reference'!$C$5:$C$25,MATCH(Q33,'Assumptions &amp; FX Reference'!$A$5:$A$25,0)),"(Not stated)"))))&gt;0,IF(R33="EUR",S33,IF(R33="IRR",S33/INDEX('Assumptions &amp; FX Reference'!$C$5:$C$25,MATCH(Q33,'Assumptions &amp; FX Reference'!$A$5:$A$25,0)),IF(R33="USD",S33*INDEX('Assumptions &amp; FX Reference'!$B$5:$B$25,MATCH(Q33,'Assumptions &amp; FX Reference'!$A$5:$A$25,0))/INDEX('Assumptions &amp; FX Reference'!$C$5:$C$25,MATCH(Q33,'Assumptions &amp; FX Reference'!$A$5:$A$25,0)),"(Not stated)"))),"(FX rate not entered for this year)"),"(FX rate not entered for this year)")))</f>
        <v>6798.8668555240793</v>
      </c>
      <c r="U33" s="36">
        <f>IF(NOT(ISNUMBER(S33)),"(Not stated)",IF(NOT(ISNUMBER(Q33)),"(Cost year not stated / not a Jalali year)",IFERROR(IF(N(IF(R33="USD",S33,IF(R33="IRR",S33/INDEX('Assumptions &amp; FX Reference'!$B$5:$B$25,MATCH(Q33,'Assumptions &amp; FX Reference'!$A$5:$A$25,0)),IF(R33="EUR",S33*INDEX('Assumptions &amp; FX Reference'!$C$5:$C$25,MATCH(Q33,'Assumptions &amp; FX Reference'!$A$5:$A$25,0))/INDEX('Assumptions &amp; FX Reference'!$B$5:$B$25,MATCH(Q33,'Assumptions &amp; FX Reference'!$A$5:$A$25,0)),"(Not stated)"))))&gt;0,IF(R33="USD",S33,IF(R33="IRR",S33/INDEX('Assumptions &amp; FX Reference'!$B$5:$B$25,MATCH(Q33,'Assumptions &amp; FX Reference'!$A$5:$A$25,0)),IF(R33="EUR",S33*INDEX('Assumptions &amp; FX Reference'!$C$5:$C$25,MATCH(Q33,'Assumptions &amp; FX Reference'!$A$5:$A$25,0))/INDEX('Assumptions &amp; FX Reference'!$B$5:$B$25,MATCH(Q33,'Assumptions &amp; FX Reference'!$A$5:$A$25,0)),"(Not stated)"))),"(FX rate not entered for this year)"),"(FX rate not entered for this year)")))</f>
        <v>8571.4285714285706</v>
      </c>
      <c r="V33" s="36">
        <f>IF(NOT(ISNUMBER(S33)),"(Not stated)",IF(NOT(ISNUMBER(Q33)),"(Cost year not stated / not a Jalali year)",IFERROR(IF(N(IF(R33="IRR",S33,IF(R33="USD",S33*INDEX('Assumptions &amp; FX Reference'!$B$5:$B$25,MATCH(Q33,'Assumptions &amp; FX Reference'!$A$5:$A$25,0)),IF(R33="EUR",S33*INDEX('Assumptions &amp; FX Reference'!$C$5:$C$25,MATCH(Q33,'Assumptions &amp; FX Reference'!$A$5:$A$25,0)),"(Not stated)"))))&gt;0,IF(R33="IRR",S33,IF(R33="USD",S33*INDEX('Assumptions &amp; FX Reference'!$B$5:$B$25,MATCH(Q33,'Assumptions &amp; FX Reference'!$A$5:$A$25,0)),IF(R33="EUR",S33*INDEX('Assumptions &amp; FX Reference'!$C$5:$C$25,MATCH(Q33,'Assumptions &amp; FX Reference'!$A$5:$A$25,0)),"(Not stated)"))),"(FX rate not entered for this year)"),"(FX rate not entered for this year)")))</f>
        <v>3600000000</v>
      </c>
      <c r="W33" s="19" t="s">
        <v>104</v>
      </c>
      <c r="X33" s="19" t="s">
        <v>132</v>
      </c>
      <c r="Y33" s="19" t="s">
        <v>133</v>
      </c>
      <c r="Z33" s="19" t="s">
        <v>290</v>
      </c>
      <c r="AA33" s="19" t="s">
        <v>291</v>
      </c>
      <c r="AB33" s="19" t="s">
        <v>110</v>
      </c>
    </row>
    <row r="34" spans="1:28" ht="109.5" hidden="1" customHeight="1" x14ac:dyDescent="0.25">
      <c r="A34" s="18">
        <v>30</v>
      </c>
      <c r="B34" s="19" t="s">
        <v>292</v>
      </c>
      <c r="C34" s="19" t="s">
        <v>127</v>
      </c>
      <c r="D34" s="19" t="s">
        <v>293</v>
      </c>
      <c r="E34" s="19" t="s">
        <v>96</v>
      </c>
      <c r="F34" s="19" t="s">
        <v>31</v>
      </c>
      <c r="G34" s="20" t="s">
        <v>104</v>
      </c>
      <c r="H34" s="19" t="s">
        <v>104</v>
      </c>
      <c r="I34" s="19" t="s">
        <v>294</v>
      </c>
      <c r="J34" s="19" t="s">
        <v>104</v>
      </c>
      <c r="K34" s="19" t="s">
        <v>104</v>
      </c>
      <c r="L34" s="19" t="s">
        <v>104</v>
      </c>
      <c r="M34" s="19" t="s">
        <v>104</v>
      </c>
      <c r="N34" s="19" t="s">
        <v>104</v>
      </c>
      <c r="O34" s="21" t="s">
        <v>104</v>
      </c>
      <c r="P34" s="19" t="s">
        <v>104</v>
      </c>
      <c r="Q34" s="22">
        <v>1402</v>
      </c>
      <c r="R34" s="23" t="s">
        <v>105</v>
      </c>
      <c r="S34" s="20">
        <v>2500000000</v>
      </c>
      <c r="T34" s="36">
        <f>IF(NOT(ISNUMBER(S34)),"(Not stated)",IF(NOT(ISNUMBER(Q34)),"(Cost year not stated / not a Jalali year)",IFERROR(IF(N(IF(R34="EUR",S34,IF(R34="IRR",S34/INDEX('Assumptions &amp; FX Reference'!$C$5:$C$25,MATCH(Q34,'Assumptions &amp; FX Reference'!$A$5:$A$25,0)),IF(R34="USD",S34*INDEX('Assumptions &amp; FX Reference'!$B$5:$B$25,MATCH(Q34,'Assumptions &amp; FX Reference'!$A$5:$A$25,0))/INDEX('Assumptions &amp; FX Reference'!$C$5:$C$25,MATCH(Q34,'Assumptions &amp; FX Reference'!$A$5:$A$25,0)),"(Not stated)"))))&gt;0,IF(R34="EUR",S34,IF(R34="IRR",S34/INDEX('Assumptions &amp; FX Reference'!$C$5:$C$25,MATCH(Q34,'Assumptions &amp; FX Reference'!$A$5:$A$25,0)),IF(R34="USD",S34*INDEX('Assumptions &amp; FX Reference'!$B$5:$B$25,MATCH(Q34,'Assumptions &amp; FX Reference'!$A$5:$A$25,0))/INDEX('Assumptions &amp; FX Reference'!$C$5:$C$25,MATCH(Q34,'Assumptions &amp; FX Reference'!$A$5:$A$25,0)),"(Not stated)"))),"(FX rate not entered for this year)"),"(FX rate not entered for this year)")))</f>
        <v>4721.4353163361666</v>
      </c>
      <c r="U34" s="36">
        <f>IF(NOT(ISNUMBER(S34)),"(Not stated)",IF(NOT(ISNUMBER(Q34)),"(Cost year not stated / not a Jalali year)",IFERROR(IF(N(IF(R34="USD",S34,IF(R34="IRR",S34/INDEX('Assumptions &amp; FX Reference'!$B$5:$B$25,MATCH(Q34,'Assumptions &amp; FX Reference'!$A$5:$A$25,0)),IF(R34="EUR",S34*INDEX('Assumptions &amp; FX Reference'!$C$5:$C$25,MATCH(Q34,'Assumptions &amp; FX Reference'!$A$5:$A$25,0))/INDEX('Assumptions &amp; FX Reference'!$B$5:$B$25,MATCH(Q34,'Assumptions &amp; FX Reference'!$A$5:$A$25,0)),"(Not stated)"))))&gt;0,IF(R34="USD",S34,IF(R34="IRR",S34/INDEX('Assumptions &amp; FX Reference'!$B$5:$B$25,MATCH(Q34,'Assumptions &amp; FX Reference'!$A$5:$A$25,0)),IF(R34="EUR",S34*INDEX('Assumptions &amp; FX Reference'!$C$5:$C$25,MATCH(Q34,'Assumptions &amp; FX Reference'!$A$5:$A$25,0))/INDEX('Assumptions &amp; FX Reference'!$B$5:$B$25,MATCH(Q34,'Assumptions &amp; FX Reference'!$A$5:$A$25,0)),"(Not stated)"))),"(FX rate not entered for this year)"),"(FX rate not entered for this year)")))</f>
        <v>5952.3809523809523</v>
      </c>
      <c r="V34" s="36">
        <f>IF(NOT(ISNUMBER(S34)),"(Not stated)",IF(NOT(ISNUMBER(Q34)),"(Cost year not stated / not a Jalali year)",IFERROR(IF(N(IF(R34="IRR",S34,IF(R34="USD",S34*INDEX('Assumptions &amp; FX Reference'!$B$5:$B$25,MATCH(Q34,'Assumptions &amp; FX Reference'!$A$5:$A$25,0)),IF(R34="EUR",S34*INDEX('Assumptions &amp; FX Reference'!$C$5:$C$25,MATCH(Q34,'Assumptions &amp; FX Reference'!$A$5:$A$25,0)),"(Not stated)"))))&gt;0,IF(R34="IRR",S34,IF(R34="USD",S34*INDEX('Assumptions &amp; FX Reference'!$B$5:$B$25,MATCH(Q34,'Assumptions &amp; FX Reference'!$A$5:$A$25,0)),IF(R34="EUR",S34*INDEX('Assumptions &amp; FX Reference'!$C$5:$C$25,MATCH(Q34,'Assumptions &amp; FX Reference'!$A$5:$A$25,0)),"(Not stated)"))),"(FX rate not entered for this year)"),"(FX rate not entered for this year)")))</f>
        <v>2500000000</v>
      </c>
      <c r="W34" s="19" t="s">
        <v>104</v>
      </c>
      <c r="X34" s="19" t="s">
        <v>132</v>
      </c>
      <c r="Y34" s="19" t="s">
        <v>133</v>
      </c>
      <c r="Z34" s="19" t="s">
        <v>295</v>
      </c>
      <c r="AA34" s="19" t="s">
        <v>296</v>
      </c>
      <c r="AB34" s="19" t="s">
        <v>110</v>
      </c>
    </row>
    <row r="35" spans="1:28" ht="109.5" hidden="1" customHeight="1" x14ac:dyDescent="0.25">
      <c r="A35" s="18">
        <v>31</v>
      </c>
      <c r="B35" s="19" t="s">
        <v>297</v>
      </c>
      <c r="C35" s="19" t="s">
        <v>127</v>
      </c>
      <c r="D35" s="19" t="s">
        <v>208</v>
      </c>
      <c r="E35" s="19" t="s">
        <v>170</v>
      </c>
      <c r="F35" s="19" t="s">
        <v>25</v>
      </c>
      <c r="G35" s="20" t="s">
        <v>104</v>
      </c>
      <c r="H35" s="19" t="s">
        <v>209</v>
      </c>
      <c r="I35" s="19" t="s">
        <v>298</v>
      </c>
      <c r="J35" s="19" t="s">
        <v>104</v>
      </c>
      <c r="K35" s="19" t="s">
        <v>104</v>
      </c>
      <c r="L35" s="19" t="s">
        <v>104</v>
      </c>
      <c r="M35" s="19" t="s">
        <v>104</v>
      </c>
      <c r="N35" s="19" t="s">
        <v>104</v>
      </c>
      <c r="O35" s="21" t="s">
        <v>104</v>
      </c>
      <c r="P35" s="19" t="s">
        <v>104</v>
      </c>
      <c r="Q35" s="22">
        <v>1402</v>
      </c>
      <c r="R35" s="23" t="s">
        <v>105</v>
      </c>
      <c r="S35" s="20">
        <v>370840000000</v>
      </c>
      <c r="T35" s="36">
        <f>IF(NOT(ISNUMBER(S35)),"(Not stated)",IF(NOT(ISNUMBER(Q35)),"(Cost year not stated / not a Jalali year)",IFERROR(IF(N(IF(R35="EUR",S35,IF(R35="IRR",S35/INDEX('Assumptions &amp; FX Reference'!$C$5:$C$25,MATCH(Q35,'Assumptions &amp; FX Reference'!$A$5:$A$25,0)),IF(R35="USD",S35*INDEX('Assumptions &amp; FX Reference'!$B$5:$B$25,MATCH(Q35,'Assumptions &amp; FX Reference'!$A$5:$A$25,0))/INDEX('Assumptions &amp; FX Reference'!$C$5:$C$25,MATCH(Q35,'Assumptions &amp; FX Reference'!$A$5:$A$25,0)),"(Not stated)"))))&gt;0,IF(R35="EUR",S35,IF(R35="IRR",S35/INDEX('Assumptions &amp; FX Reference'!$C$5:$C$25,MATCH(Q35,'Assumptions &amp; FX Reference'!$A$5:$A$25,0)),IF(R35="USD",S35*INDEX('Assumptions &amp; FX Reference'!$B$5:$B$25,MATCH(Q35,'Assumptions &amp; FX Reference'!$A$5:$A$25,0))/INDEX('Assumptions &amp; FX Reference'!$C$5:$C$25,MATCH(Q35,'Assumptions &amp; FX Reference'!$A$5:$A$25,0)),"(Not stated)"))),"(FX rate not entered for this year)"),"(FX rate not entered for this year)")))</f>
        <v>700358.82908404153</v>
      </c>
      <c r="U35" s="36">
        <f>IF(NOT(ISNUMBER(S35)),"(Not stated)",IF(NOT(ISNUMBER(Q35)),"(Cost year not stated / not a Jalali year)",IFERROR(IF(N(IF(R35="USD",S35,IF(R35="IRR",S35/INDEX('Assumptions &amp; FX Reference'!$B$5:$B$25,MATCH(Q35,'Assumptions &amp; FX Reference'!$A$5:$A$25,0)),IF(R35="EUR",S35*INDEX('Assumptions &amp; FX Reference'!$C$5:$C$25,MATCH(Q35,'Assumptions &amp; FX Reference'!$A$5:$A$25,0))/INDEX('Assumptions &amp; FX Reference'!$B$5:$B$25,MATCH(Q35,'Assumptions &amp; FX Reference'!$A$5:$A$25,0)),"(Not stated)"))))&gt;0,IF(R35="USD",S35,IF(R35="IRR",S35/INDEX('Assumptions &amp; FX Reference'!$B$5:$B$25,MATCH(Q35,'Assumptions &amp; FX Reference'!$A$5:$A$25,0)),IF(R35="EUR",S35*INDEX('Assumptions &amp; FX Reference'!$C$5:$C$25,MATCH(Q35,'Assumptions &amp; FX Reference'!$A$5:$A$25,0))/INDEX('Assumptions &amp; FX Reference'!$B$5:$B$25,MATCH(Q35,'Assumptions &amp; FX Reference'!$A$5:$A$25,0)),"(Not stated)"))),"(FX rate not entered for this year)"),"(FX rate not entered for this year)")))</f>
        <v>882952.38095238095</v>
      </c>
      <c r="V35" s="36">
        <f>IF(NOT(ISNUMBER(S35)),"(Not stated)",IF(NOT(ISNUMBER(Q35)),"(Cost year not stated / not a Jalali year)",IFERROR(IF(N(IF(R35="IRR",S35,IF(R35="USD",S35*INDEX('Assumptions &amp; FX Reference'!$B$5:$B$25,MATCH(Q35,'Assumptions &amp; FX Reference'!$A$5:$A$25,0)),IF(R35="EUR",S35*INDEX('Assumptions &amp; FX Reference'!$C$5:$C$25,MATCH(Q35,'Assumptions &amp; FX Reference'!$A$5:$A$25,0)),"(Not stated)"))))&gt;0,IF(R35="IRR",S35,IF(R35="USD",S35*INDEX('Assumptions &amp; FX Reference'!$B$5:$B$25,MATCH(Q35,'Assumptions &amp; FX Reference'!$A$5:$A$25,0)),IF(R35="EUR",S35*INDEX('Assumptions &amp; FX Reference'!$C$5:$C$25,MATCH(Q35,'Assumptions &amp; FX Reference'!$A$5:$A$25,0)),"(Not stated)"))),"(FX rate not entered for this year)"),"(FX rate not entered for this year)")))</f>
        <v>370840000000</v>
      </c>
      <c r="W35" s="19" t="s">
        <v>104</v>
      </c>
      <c r="X35" s="19" t="s">
        <v>132</v>
      </c>
      <c r="Y35" s="19" t="s">
        <v>133</v>
      </c>
      <c r="Z35" s="19" t="s">
        <v>299</v>
      </c>
      <c r="AA35" s="19" t="s">
        <v>300</v>
      </c>
      <c r="AB35" s="19" t="s">
        <v>120</v>
      </c>
    </row>
    <row r="36" spans="1:28" ht="109.5" hidden="1" customHeight="1" x14ac:dyDescent="0.25">
      <c r="A36" s="18">
        <v>32</v>
      </c>
      <c r="B36" s="19" t="s">
        <v>301</v>
      </c>
      <c r="C36" s="19" t="s">
        <v>127</v>
      </c>
      <c r="D36" s="19" t="s">
        <v>208</v>
      </c>
      <c r="E36" s="19" t="s">
        <v>229</v>
      </c>
      <c r="F36" s="19" t="s">
        <v>39</v>
      </c>
      <c r="G36" s="20" t="s">
        <v>104</v>
      </c>
      <c r="H36" s="19" t="s">
        <v>209</v>
      </c>
      <c r="I36" s="19" t="s">
        <v>302</v>
      </c>
      <c r="J36" s="19" t="s">
        <v>104</v>
      </c>
      <c r="K36" s="19" t="s">
        <v>104</v>
      </c>
      <c r="L36" s="19" t="s">
        <v>104</v>
      </c>
      <c r="M36" s="19" t="s">
        <v>104</v>
      </c>
      <c r="N36" s="19" t="s">
        <v>104</v>
      </c>
      <c r="O36" s="21" t="s">
        <v>104</v>
      </c>
      <c r="P36" s="19" t="s">
        <v>104</v>
      </c>
      <c r="Q36" s="22">
        <v>1402</v>
      </c>
      <c r="R36" s="23" t="s">
        <v>105</v>
      </c>
      <c r="S36" s="20">
        <v>163763000000</v>
      </c>
      <c r="T36" s="36">
        <f>IF(NOT(ISNUMBER(S36)),"(Not stated)",IF(NOT(ISNUMBER(Q36)),"(Cost year not stated / not a Jalali year)",IFERROR(IF(N(IF(R36="EUR",S36,IF(R36="IRR",S36/INDEX('Assumptions &amp; FX Reference'!$C$5:$C$25,MATCH(Q36,'Assumptions &amp; FX Reference'!$A$5:$A$25,0)),IF(R36="USD",S36*INDEX('Assumptions &amp; FX Reference'!$B$5:$B$25,MATCH(Q36,'Assumptions &amp; FX Reference'!$A$5:$A$25,0))/INDEX('Assumptions &amp; FX Reference'!$C$5:$C$25,MATCH(Q36,'Assumptions &amp; FX Reference'!$A$5:$A$25,0)),"(Not stated)"))))&gt;0,IF(R36="EUR",S36,IF(R36="IRR",S36/INDEX('Assumptions &amp; FX Reference'!$C$5:$C$25,MATCH(Q36,'Assumptions &amp; FX Reference'!$A$5:$A$25,0)),IF(R36="USD",S36*INDEX('Assumptions &amp; FX Reference'!$B$5:$B$25,MATCH(Q36,'Assumptions &amp; FX Reference'!$A$5:$A$25,0))/INDEX('Assumptions &amp; FX Reference'!$C$5:$C$25,MATCH(Q36,'Assumptions &amp; FX Reference'!$A$5:$A$25,0)),"(Not stated)"))),"(FX rate not entered for this year)"),"(FX rate not entered for this year)")))</f>
        <v>309278.56468366383</v>
      </c>
      <c r="U36" s="36">
        <f>IF(NOT(ISNUMBER(S36)),"(Not stated)",IF(NOT(ISNUMBER(Q36)),"(Cost year not stated / not a Jalali year)",IFERROR(IF(N(IF(R36="USD",S36,IF(R36="IRR",S36/INDEX('Assumptions &amp; FX Reference'!$B$5:$B$25,MATCH(Q36,'Assumptions &amp; FX Reference'!$A$5:$A$25,0)),IF(R36="EUR",S36*INDEX('Assumptions &amp; FX Reference'!$C$5:$C$25,MATCH(Q36,'Assumptions &amp; FX Reference'!$A$5:$A$25,0))/INDEX('Assumptions &amp; FX Reference'!$B$5:$B$25,MATCH(Q36,'Assumptions &amp; FX Reference'!$A$5:$A$25,0)),"(Not stated)"))))&gt;0,IF(R36="USD",S36,IF(R36="IRR",S36/INDEX('Assumptions &amp; FX Reference'!$B$5:$B$25,MATCH(Q36,'Assumptions &amp; FX Reference'!$A$5:$A$25,0)),IF(R36="EUR",S36*INDEX('Assumptions &amp; FX Reference'!$C$5:$C$25,MATCH(Q36,'Assumptions &amp; FX Reference'!$A$5:$A$25,0))/INDEX('Assumptions &amp; FX Reference'!$B$5:$B$25,MATCH(Q36,'Assumptions &amp; FX Reference'!$A$5:$A$25,0)),"(Not stated)"))),"(FX rate not entered for this year)"),"(FX rate not entered for this year)")))</f>
        <v>389911.90476190473</v>
      </c>
      <c r="V36" s="36">
        <f>IF(NOT(ISNUMBER(S36)),"(Not stated)",IF(NOT(ISNUMBER(Q36)),"(Cost year not stated / not a Jalali year)",IFERROR(IF(N(IF(R36="IRR",S36,IF(R36="USD",S36*INDEX('Assumptions &amp; FX Reference'!$B$5:$B$25,MATCH(Q36,'Assumptions &amp; FX Reference'!$A$5:$A$25,0)),IF(R36="EUR",S36*INDEX('Assumptions &amp; FX Reference'!$C$5:$C$25,MATCH(Q36,'Assumptions &amp; FX Reference'!$A$5:$A$25,0)),"(Not stated)"))))&gt;0,IF(R36="IRR",S36,IF(R36="USD",S36*INDEX('Assumptions &amp; FX Reference'!$B$5:$B$25,MATCH(Q36,'Assumptions &amp; FX Reference'!$A$5:$A$25,0)),IF(R36="EUR",S36*INDEX('Assumptions &amp; FX Reference'!$C$5:$C$25,MATCH(Q36,'Assumptions &amp; FX Reference'!$A$5:$A$25,0)),"(Not stated)"))),"(FX rate not entered for this year)"),"(FX rate not entered for this year)")))</f>
        <v>163763000000</v>
      </c>
      <c r="W36" s="19" t="s">
        <v>104</v>
      </c>
      <c r="X36" s="19" t="s">
        <v>132</v>
      </c>
      <c r="Y36" s="19" t="s">
        <v>133</v>
      </c>
      <c r="Z36" s="19" t="s">
        <v>303</v>
      </c>
      <c r="AA36" s="19" t="s">
        <v>304</v>
      </c>
      <c r="AB36" s="19" t="s">
        <v>120</v>
      </c>
    </row>
    <row r="37" spans="1:28" ht="109.5" hidden="1" customHeight="1" x14ac:dyDescent="0.25">
      <c r="A37" s="18">
        <v>33</v>
      </c>
      <c r="B37" s="19" t="s">
        <v>305</v>
      </c>
      <c r="C37" s="19" t="s">
        <v>127</v>
      </c>
      <c r="D37" s="19" t="s">
        <v>208</v>
      </c>
      <c r="E37" s="19" t="s">
        <v>96</v>
      </c>
      <c r="F37" s="19" t="s">
        <v>17</v>
      </c>
      <c r="G37" s="20" t="s">
        <v>104</v>
      </c>
      <c r="H37" s="19" t="s">
        <v>209</v>
      </c>
      <c r="I37" s="19" t="s">
        <v>306</v>
      </c>
      <c r="J37" s="19" t="s">
        <v>104</v>
      </c>
      <c r="K37" s="19" t="s">
        <v>104</v>
      </c>
      <c r="L37" s="19" t="s">
        <v>104</v>
      </c>
      <c r="M37" s="19" t="s">
        <v>104</v>
      </c>
      <c r="N37" s="19" t="s">
        <v>104</v>
      </c>
      <c r="O37" s="21" t="s">
        <v>104</v>
      </c>
      <c r="P37" s="19" t="s">
        <v>104</v>
      </c>
      <c r="Q37" s="22">
        <v>1402</v>
      </c>
      <c r="R37" s="23" t="s">
        <v>105</v>
      </c>
      <c r="S37" s="20">
        <v>94500000000</v>
      </c>
      <c r="T37" s="36">
        <f>IF(NOT(ISNUMBER(S37)),"(Not stated)",IF(NOT(ISNUMBER(Q37)),"(Cost year not stated / not a Jalali year)",IFERROR(IF(N(IF(R37="EUR",S37,IF(R37="IRR",S37/INDEX('Assumptions &amp; FX Reference'!$C$5:$C$25,MATCH(Q37,'Assumptions &amp; FX Reference'!$A$5:$A$25,0)),IF(R37="USD",S37*INDEX('Assumptions &amp; FX Reference'!$B$5:$B$25,MATCH(Q37,'Assumptions &amp; FX Reference'!$A$5:$A$25,0))/INDEX('Assumptions &amp; FX Reference'!$C$5:$C$25,MATCH(Q37,'Assumptions &amp; FX Reference'!$A$5:$A$25,0)),"(Not stated)"))))&gt;0,IF(R37="EUR",S37,IF(R37="IRR",S37/INDEX('Assumptions &amp; FX Reference'!$C$5:$C$25,MATCH(Q37,'Assumptions &amp; FX Reference'!$A$5:$A$25,0)),IF(R37="USD",S37*INDEX('Assumptions &amp; FX Reference'!$B$5:$B$25,MATCH(Q37,'Assumptions &amp; FX Reference'!$A$5:$A$25,0))/INDEX('Assumptions &amp; FX Reference'!$C$5:$C$25,MATCH(Q37,'Assumptions &amp; FX Reference'!$A$5:$A$25,0)),"(Not stated)"))),"(FX rate not entered for this year)"),"(FX rate not entered for this year)")))</f>
        <v>178470.25495750707</v>
      </c>
      <c r="U37" s="36">
        <f>IF(NOT(ISNUMBER(S37)),"(Not stated)",IF(NOT(ISNUMBER(Q37)),"(Cost year not stated / not a Jalali year)",IFERROR(IF(N(IF(R37="USD",S37,IF(R37="IRR",S37/INDEX('Assumptions &amp; FX Reference'!$B$5:$B$25,MATCH(Q37,'Assumptions &amp; FX Reference'!$A$5:$A$25,0)),IF(R37="EUR",S37*INDEX('Assumptions &amp; FX Reference'!$C$5:$C$25,MATCH(Q37,'Assumptions &amp; FX Reference'!$A$5:$A$25,0))/INDEX('Assumptions &amp; FX Reference'!$B$5:$B$25,MATCH(Q37,'Assumptions &amp; FX Reference'!$A$5:$A$25,0)),"(Not stated)"))))&gt;0,IF(R37="USD",S37,IF(R37="IRR",S37/INDEX('Assumptions &amp; FX Reference'!$B$5:$B$25,MATCH(Q37,'Assumptions &amp; FX Reference'!$A$5:$A$25,0)),IF(R37="EUR",S37*INDEX('Assumptions &amp; FX Reference'!$C$5:$C$25,MATCH(Q37,'Assumptions &amp; FX Reference'!$A$5:$A$25,0))/INDEX('Assumptions &amp; FX Reference'!$B$5:$B$25,MATCH(Q37,'Assumptions &amp; FX Reference'!$A$5:$A$25,0)),"(Not stated)"))),"(FX rate not entered for this year)"),"(FX rate not entered for this year)")))</f>
        <v>225000</v>
      </c>
      <c r="V37" s="36">
        <f>IF(NOT(ISNUMBER(S37)),"(Not stated)",IF(NOT(ISNUMBER(Q37)),"(Cost year not stated / not a Jalali year)",IFERROR(IF(N(IF(R37="IRR",S37,IF(R37="USD",S37*INDEX('Assumptions &amp; FX Reference'!$B$5:$B$25,MATCH(Q37,'Assumptions &amp; FX Reference'!$A$5:$A$25,0)),IF(R37="EUR",S37*INDEX('Assumptions &amp; FX Reference'!$C$5:$C$25,MATCH(Q37,'Assumptions &amp; FX Reference'!$A$5:$A$25,0)),"(Not stated)"))))&gt;0,IF(R37="IRR",S37,IF(R37="USD",S37*INDEX('Assumptions &amp; FX Reference'!$B$5:$B$25,MATCH(Q37,'Assumptions &amp; FX Reference'!$A$5:$A$25,0)),IF(R37="EUR",S37*INDEX('Assumptions &amp; FX Reference'!$C$5:$C$25,MATCH(Q37,'Assumptions &amp; FX Reference'!$A$5:$A$25,0)),"(Not stated)"))),"(FX rate not entered for this year)"),"(FX rate not entered for this year)")))</f>
        <v>94500000000</v>
      </c>
      <c r="W37" s="19" t="s">
        <v>104</v>
      </c>
      <c r="X37" s="19" t="s">
        <v>132</v>
      </c>
      <c r="Y37" s="19" t="s">
        <v>133</v>
      </c>
      <c r="Z37" s="19" t="s">
        <v>307</v>
      </c>
      <c r="AA37" s="19" t="s">
        <v>308</v>
      </c>
      <c r="AB37" s="19" t="s">
        <v>120</v>
      </c>
    </row>
    <row r="38" spans="1:28" ht="109.5" hidden="1" customHeight="1" x14ac:dyDescent="0.25">
      <c r="A38" s="18">
        <v>34</v>
      </c>
      <c r="B38" s="19" t="s">
        <v>309</v>
      </c>
      <c r="C38" s="19" t="s">
        <v>137</v>
      </c>
      <c r="D38" s="19" t="s">
        <v>310</v>
      </c>
      <c r="E38" s="19" t="s">
        <v>229</v>
      </c>
      <c r="F38" s="19" t="s">
        <v>39</v>
      </c>
      <c r="G38" s="20">
        <v>1</v>
      </c>
      <c r="H38" s="19" t="s">
        <v>209</v>
      </c>
      <c r="I38" s="19" t="s">
        <v>311</v>
      </c>
      <c r="J38" s="19" t="s">
        <v>104</v>
      </c>
      <c r="K38" s="19" t="s">
        <v>104</v>
      </c>
      <c r="L38" s="19" t="s">
        <v>104</v>
      </c>
      <c r="M38" s="19" t="s">
        <v>104</v>
      </c>
      <c r="N38" s="19" t="s">
        <v>104</v>
      </c>
      <c r="O38" s="21" t="s">
        <v>104</v>
      </c>
      <c r="P38" s="19" t="s">
        <v>104</v>
      </c>
      <c r="Q38" s="22" t="s">
        <v>104</v>
      </c>
      <c r="R38" s="23" t="s">
        <v>143</v>
      </c>
      <c r="S38" s="20">
        <v>1800000</v>
      </c>
      <c r="T38" s="36" t="str">
        <f>IF(NOT(ISNUMBER(S38)),"(Not stated)",IF(NOT(ISNUMBER(Q38)),"(Cost year not stated / not a Jalali year)",IFERROR(IF(N(IF(R38="EUR",S38,IF(R38="IRR",S38/INDEX('Assumptions &amp; FX Reference'!$C$5:$C$25,MATCH(Q38,'Assumptions &amp; FX Reference'!$A$5:$A$25,0)),IF(R38="USD",S38*INDEX('Assumptions &amp; FX Reference'!$B$5:$B$25,MATCH(Q38,'Assumptions &amp; FX Reference'!$A$5:$A$25,0))/INDEX('Assumptions &amp; FX Reference'!$C$5:$C$25,MATCH(Q38,'Assumptions &amp; FX Reference'!$A$5:$A$25,0)),"(Not stated)"))))&gt;0,IF(R38="EUR",S38,IF(R38="IRR",S38/INDEX('Assumptions &amp; FX Reference'!$C$5:$C$25,MATCH(Q38,'Assumptions &amp; FX Reference'!$A$5:$A$25,0)),IF(R38="USD",S38*INDEX('Assumptions &amp; FX Reference'!$B$5:$B$25,MATCH(Q38,'Assumptions &amp; FX Reference'!$A$5:$A$25,0))/INDEX('Assumptions &amp; FX Reference'!$C$5:$C$25,MATCH(Q38,'Assumptions &amp; FX Reference'!$A$5:$A$25,0)),"(Not stated)"))),"(FX rate not entered for this year)"),"(FX rate not entered for this year)")))</f>
        <v>(Cost year not stated / not a Jalali year)</v>
      </c>
      <c r="U38" s="36" t="str">
        <f>IF(NOT(ISNUMBER(S38)),"(Not stated)",IF(NOT(ISNUMBER(Q38)),"(Cost year not stated / not a Jalali year)",IFERROR(IF(N(IF(R38="USD",S38,IF(R38="IRR",S38/INDEX('Assumptions &amp; FX Reference'!$B$5:$B$25,MATCH(Q38,'Assumptions &amp; FX Reference'!$A$5:$A$25,0)),IF(R38="EUR",S38*INDEX('Assumptions &amp; FX Reference'!$C$5:$C$25,MATCH(Q38,'Assumptions &amp; FX Reference'!$A$5:$A$25,0))/INDEX('Assumptions &amp; FX Reference'!$B$5:$B$25,MATCH(Q38,'Assumptions &amp; FX Reference'!$A$5:$A$25,0)),"(Not stated)"))))&gt;0,IF(R38="USD",S38,IF(R38="IRR",S38/INDEX('Assumptions &amp; FX Reference'!$B$5:$B$25,MATCH(Q38,'Assumptions &amp; FX Reference'!$A$5:$A$25,0)),IF(R38="EUR",S38*INDEX('Assumptions &amp; FX Reference'!$C$5:$C$25,MATCH(Q38,'Assumptions &amp; FX Reference'!$A$5:$A$25,0))/INDEX('Assumptions &amp; FX Reference'!$B$5:$B$25,MATCH(Q38,'Assumptions &amp; FX Reference'!$A$5:$A$25,0)),"(Not stated)"))),"(FX rate not entered for this year)"),"(FX rate not entered for this year)")))</f>
        <v>(Cost year not stated / not a Jalali year)</v>
      </c>
      <c r="V38" s="36" t="str">
        <f>IF(NOT(ISNUMBER(S38)),"(Not stated)",IF(NOT(ISNUMBER(Q38)),"(Cost year not stated / not a Jalali year)",IFERROR(IF(N(IF(R38="IRR",S38,IF(R38="USD",S38*INDEX('Assumptions &amp; FX Reference'!$B$5:$B$25,MATCH(Q38,'Assumptions &amp; FX Reference'!$A$5:$A$25,0)),IF(R38="EUR",S38*INDEX('Assumptions &amp; FX Reference'!$C$5:$C$25,MATCH(Q38,'Assumptions &amp; FX Reference'!$A$5:$A$25,0)),"(Not stated)"))))&gt;0,IF(R38="IRR",S38,IF(R38="USD",S38*INDEX('Assumptions &amp; FX Reference'!$B$5:$B$25,MATCH(Q38,'Assumptions &amp; FX Reference'!$A$5:$A$25,0)),IF(R38="EUR",S38*INDEX('Assumptions &amp; FX Reference'!$C$5:$C$25,MATCH(Q38,'Assumptions &amp; FX Reference'!$A$5:$A$25,0)),"(Not stated)"))),"(FX rate not entered for this year)"),"(FX rate not entered for this year)")))</f>
        <v>(Cost year not stated / not a Jalali year)</v>
      </c>
      <c r="W38" s="19" t="s">
        <v>104</v>
      </c>
      <c r="X38" s="19" t="s">
        <v>104</v>
      </c>
      <c r="Y38" s="19" t="s">
        <v>104</v>
      </c>
      <c r="Z38" s="19" t="s">
        <v>312</v>
      </c>
      <c r="AA38" s="19" t="s">
        <v>313</v>
      </c>
      <c r="AB38" s="19" t="s">
        <v>110</v>
      </c>
    </row>
    <row r="39" spans="1:28" ht="109.5" hidden="1" customHeight="1" x14ac:dyDescent="0.25">
      <c r="A39" s="18">
        <v>35</v>
      </c>
      <c r="B39" s="19" t="s">
        <v>314</v>
      </c>
      <c r="C39" s="19" t="s">
        <v>127</v>
      </c>
      <c r="D39" s="19" t="s">
        <v>315</v>
      </c>
      <c r="E39" s="19" t="s">
        <v>249</v>
      </c>
      <c r="F39" s="19" t="s">
        <v>33</v>
      </c>
      <c r="G39" s="20">
        <v>2</v>
      </c>
      <c r="H39" s="19" t="s">
        <v>113</v>
      </c>
      <c r="I39" s="19" t="s">
        <v>316</v>
      </c>
      <c r="J39" s="19" t="s">
        <v>317</v>
      </c>
      <c r="K39" s="19" t="s">
        <v>104</v>
      </c>
      <c r="L39" s="19" t="s">
        <v>104</v>
      </c>
      <c r="M39" s="19" t="s">
        <v>104</v>
      </c>
      <c r="N39" s="19" t="s">
        <v>104</v>
      </c>
      <c r="O39" s="21" t="s">
        <v>318</v>
      </c>
      <c r="P39" s="19" t="s">
        <v>104</v>
      </c>
      <c r="Q39" s="22">
        <v>1402</v>
      </c>
      <c r="R39" s="23" t="s">
        <v>105</v>
      </c>
      <c r="S39" s="20">
        <v>15949212000</v>
      </c>
      <c r="T39" s="36">
        <f>IF(NOT(ISNUMBER(S39)),"(Not stated)",IF(NOT(ISNUMBER(Q39)),"(Cost year not stated / not a Jalali year)",IFERROR(IF(N(IF(R39="EUR",S39,IF(R39="IRR",S39/INDEX('Assumptions &amp; FX Reference'!$C$5:$C$25,MATCH(Q39,'Assumptions &amp; FX Reference'!$A$5:$A$25,0)),IF(R39="USD",S39*INDEX('Assumptions &amp; FX Reference'!$B$5:$B$25,MATCH(Q39,'Assumptions &amp; FX Reference'!$A$5:$A$25,0))/INDEX('Assumptions &amp; FX Reference'!$C$5:$C$25,MATCH(Q39,'Assumptions &amp; FX Reference'!$A$5:$A$25,0)),"(Not stated)"))))&gt;0,IF(R39="EUR",S39,IF(R39="IRR",S39/INDEX('Assumptions &amp; FX Reference'!$C$5:$C$25,MATCH(Q39,'Assumptions &amp; FX Reference'!$A$5:$A$25,0)),IF(R39="USD",S39*INDEX('Assumptions &amp; FX Reference'!$B$5:$B$25,MATCH(Q39,'Assumptions &amp; FX Reference'!$A$5:$A$25,0))/INDEX('Assumptions &amp; FX Reference'!$C$5:$C$25,MATCH(Q39,'Assumptions &amp; FX Reference'!$A$5:$A$25,0)),"(Not stated)"))),"(FX rate not entered for this year)"),"(FX rate not entered for this year)")))</f>
        <v>30121.269121813031</v>
      </c>
      <c r="U39" s="36">
        <f>IF(NOT(ISNUMBER(S39)),"(Not stated)",IF(NOT(ISNUMBER(Q39)),"(Cost year not stated / not a Jalali year)",IFERROR(IF(N(IF(R39="USD",S39,IF(R39="IRR",S39/INDEX('Assumptions &amp; FX Reference'!$B$5:$B$25,MATCH(Q39,'Assumptions &amp; FX Reference'!$A$5:$A$25,0)),IF(R39="EUR",S39*INDEX('Assumptions &amp; FX Reference'!$C$5:$C$25,MATCH(Q39,'Assumptions &amp; FX Reference'!$A$5:$A$25,0))/INDEX('Assumptions &amp; FX Reference'!$B$5:$B$25,MATCH(Q39,'Assumptions &amp; FX Reference'!$A$5:$A$25,0)),"(Not stated)"))))&gt;0,IF(R39="USD",S39,IF(R39="IRR",S39/INDEX('Assumptions &amp; FX Reference'!$B$5:$B$25,MATCH(Q39,'Assumptions &amp; FX Reference'!$A$5:$A$25,0)),IF(R39="EUR",S39*INDEX('Assumptions &amp; FX Reference'!$C$5:$C$25,MATCH(Q39,'Assumptions &amp; FX Reference'!$A$5:$A$25,0))/INDEX('Assumptions &amp; FX Reference'!$B$5:$B$25,MATCH(Q39,'Assumptions &amp; FX Reference'!$A$5:$A$25,0)),"(Not stated)"))),"(FX rate not entered for this year)"),"(FX rate not entered for this year)")))</f>
        <v>37974.314285714288</v>
      </c>
      <c r="V39" s="36">
        <f>IF(NOT(ISNUMBER(S39)),"(Not stated)",IF(NOT(ISNUMBER(Q39)),"(Cost year not stated / not a Jalali year)",IFERROR(IF(N(IF(R39="IRR",S39,IF(R39="USD",S39*INDEX('Assumptions &amp; FX Reference'!$B$5:$B$25,MATCH(Q39,'Assumptions &amp; FX Reference'!$A$5:$A$25,0)),IF(R39="EUR",S39*INDEX('Assumptions &amp; FX Reference'!$C$5:$C$25,MATCH(Q39,'Assumptions &amp; FX Reference'!$A$5:$A$25,0)),"(Not stated)"))))&gt;0,IF(R39="IRR",S39,IF(R39="USD",S39*INDEX('Assumptions &amp; FX Reference'!$B$5:$B$25,MATCH(Q39,'Assumptions &amp; FX Reference'!$A$5:$A$25,0)),IF(R39="EUR",S39*INDEX('Assumptions &amp; FX Reference'!$C$5:$C$25,MATCH(Q39,'Assumptions &amp; FX Reference'!$A$5:$A$25,0)),"(Not stated)"))),"(FX rate not entered for this year)"),"(FX rate not entered for this year)")))</f>
        <v>15949212000</v>
      </c>
      <c r="W39" s="19" t="s">
        <v>260</v>
      </c>
      <c r="X39" s="19" t="s">
        <v>132</v>
      </c>
      <c r="Y39" s="19" t="s">
        <v>133</v>
      </c>
      <c r="Z39" s="19" t="s">
        <v>319</v>
      </c>
      <c r="AA39" s="19" t="s">
        <v>320</v>
      </c>
      <c r="AB39" s="19" t="s">
        <v>110</v>
      </c>
    </row>
    <row r="40" spans="1:28" ht="109.5" hidden="1" customHeight="1" x14ac:dyDescent="0.25">
      <c r="A40" s="18">
        <v>36</v>
      </c>
      <c r="B40" s="19" t="s">
        <v>321</v>
      </c>
      <c r="C40" s="19" t="s">
        <v>127</v>
      </c>
      <c r="D40" s="19" t="s">
        <v>322</v>
      </c>
      <c r="E40" s="19" t="s">
        <v>249</v>
      </c>
      <c r="F40" s="19" t="s">
        <v>33</v>
      </c>
      <c r="G40" s="20">
        <v>1</v>
      </c>
      <c r="H40" s="19" t="s">
        <v>113</v>
      </c>
      <c r="I40" s="19" t="s">
        <v>323</v>
      </c>
      <c r="J40" s="19" t="s">
        <v>324</v>
      </c>
      <c r="K40" s="19" t="s">
        <v>104</v>
      </c>
      <c r="L40" s="19" t="s">
        <v>104</v>
      </c>
      <c r="M40" s="19" t="s">
        <v>104</v>
      </c>
      <c r="N40" s="19" t="s">
        <v>104</v>
      </c>
      <c r="O40" s="21" t="s">
        <v>325</v>
      </c>
      <c r="P40" s="19" t="s">
        <v>104</v>
      </c>
      <c r="Q40" s="22">
        <v>1402</v>
      </c>
      <c r="R40" s="23" t="s">
        <v>105</v>
      </c>
      <c r="S40" s="20">
        <v>6083485000</v>
      </c>
      <c r="T40" s="36">
        <f>IF(NOT(ISNUMBER(S40)),"(Not stated)",IF(NOT(ISNUMBER(Q40)),"(Cost year not stated / not a Jalali year)",IFERROR(IF(N(IF(R40="EUR",S40,IF(R40="IRR",S40/INDEX('Assumptions &amp; FX Reference'!$C$5:$C$25,MATCH(Q40,'Assumptions &amp; FX Reference'!$A$5:$A$25,0)),IF(R40="USD",S40*INDEX('Assumptions &amp; FX Reference'!$B$5:$B$25,MATCH(Q40,'Assumptions &amp; FX Reference'!$A$5:$A$25,0))/INDEX('Assumptions &amp; FX Reference'!$C$5:$C$25,MATCH(Q40,'Assumptions &amp; FX Reference'!$A$5:$A$25,0)),"(Not stated)"))))&gt;0,IF(R40="EUR",S40,IF(R40="IRR",S40/INDEX('Assumptions &amp; FX Reference'!$C$5:$C$25,MATCH(Q40,'Assumptions &amp; FX Reference'!$A$5:$A$25,0)),IF(R40="USD",S40*INDEX('Assumptions &amp; FX Reference'!$B$5:$B$25,MATCH(Q40,'Assumptions &amp; FX Reference'!$A$5:$A$25,0))/INDEX('Assumptions &amp; FX Reference'!$C$5:$C$25,MATCH(Q40,'Assumptions &amp; FX Reference'!$A$5:$A$25,0)),"(Not stated)"))),"(FX rate not entered for this year)"),"(FX rate not entered for this year)")))</f>
        <v>11489.112370160528</v>
      </c>
      <c r="U40" s="36">
        <f>IF(NOT(ISNUMBER(S40)),"(Not stated)",IF(NOT(ISNUMBER(Q40)),"(Cost year not stated / not a Jalali year)",IFERROR(IF(N(IF(R40="USD",S40,IF(R40="IRR",S40/INDEX('Assumptions &amp; FX Reference'!$B$5:$B$25,MATCH(Q40,'Assumptions &amp; FX Reference'!$A$5:$A$25,0)),IF(R40="EUR",S40*INDEX('Assumptions &amp; FX Reference'!$C$5:$C$25,MATCH(Q40,'Assumptions &amp; FX Reference'!$A$5:$A$25,0))/INDEX('Assumptions &amp; FX Reference'!$B$5:$B$25,MATCH(Q40,'Assumptions &amp; FX Reference'!$A$5:$A$25,0)),"(Not stated)"))))&gt;0,IF(R40="USD",S40,IF(R40="IRR",S40/INDEX('Assumptions &amp; FX Reference'!$B$5:$B$25,MATCH(Q40,'Assumptions &amp; FX Reference'!$A$5:$A$25,0)),IF(R40="EUR",S40*INDEX('Assumptions &amp; FX Reference'!$C$5:$C$25,MATCH(Q40,'Assumptions &amp; FX Reference'!$A$5:$A$25,0))/INDEX('Assumptions &amp; FX Reference'!$B$5:$B$25,MATCH(Q40,'Assumptions &amp; FX Reference'!$A$5:$A$25,0)),"(Not stated)"))),"(FX rate not entered for this year)"),"(FX rate not entered for this year)")))</f>
        <v>14484.488095238095</v>
      </c>
      <c r="V40" s="36">
        <f>IF(NOT(ISNUMBER(S40)),"(Not stated)",IF(NOT(ISNUMBER(Q40)),"(Cost year not stated / not a Jalali year)",IFERROR(IF(N(IF(R40="IRR",S40,IF(R40="USD",S40*INDEX('Assumptions &amp; FX Reference'!$B$5:$B$25,MATCH(Q40,'Assumptions &amp; FX Reference'!$A$5:$A$25,0)),IF(R40="EUR",S40*INDEX('Assumptions &amp; FX Reference'!$C$5:$C$25,MATCH(Q40,'Assumptions &amp; FX Reference'!$A$5:$A$25,0)),"(Not stated)"))))&gt;0,IF(R40="IRR",S40,IF(R40="USD",S40*INDEX('Assumptions &amp; FX Reference'!$B$5:$B$25,MATCH(Q40,'Assumptions &amp; FX Reference'!$A$5:$A$25,0)),IF(R40="EUR",S40*INDEX('Assumptions &amp; FX Reference'!$C$5:$C$25,MATCH(Q40,'Assumptions &amp; FX Reference'!$A$5:$A$25,0)),"(Not stated)"))),"(FX rate not entered for this year)"),"(FX rate not entered for this year)")))</f>
        <v>6083485000</v>
      </c>
      <c r="W40" s="19" t="s">
        <v>260</v>
      </c>
      <c r="X40" s="19" t="s">
        <v>132</v>
      </c>
      <c r="Y40" s="19" t="s">
        <v>133</v>
      </c>
      <c r="Z40" s="19" t="s">
        <v>326</v>
      </c>
      <c r="AA40" s="19" t="s">
        <v>327</v>
      </c>
      <c r="AB40" s="19" t="s">
        <v>110</v>
      </c>
    </row>
    <row r="41" spans="1:28" ht="109.5" hidden="1" customHeight="1" x14ac:dyDescent="0.25">
      <c r="A41" s="18">
        <v>37</v>
      </c>
      <c r="B41" s="19" t="s">
        <v>328</v>
      </c>
      <c r="C41" s="19" t="s">
        <v>127</v>
      </c>
      <c r="D41" s="19" t="s">
        <v>329</v>
      </c>
      <c r="E41" s="19" t="s">
        <v>229</v>
      </c>
      <c r="F41" s="19" t="s">
        <v>41</v>
      </c>
      <c r="G41" s="20">
        <v>13</v>
      </c>
      <c r="H41" s="19" t="s">
        <v>113</v>
      </c>
      <c r="I41" s="19" t="s">
        <v>330</v>
      </c>
      <c r="J41" s="19" t="s">
        <v>331</v>
      </c>
      <c r="K41" s="19" t="s">
        <v>104</v>
      </c>
      <c r="L41" s="19" t="s">
        <v>104</v>
      </c>
      <c r="M41" s="19" t="s">
        <v>104</v>
      </c>
      <c r="N41" s="19" t="s">
        <v>104</v>
      </c>
      <c r="O41" s="21" t="s">
        <v>104</v>
      </c>
      <c r="P41" s="19" t="s">
        <v>104</v>
      </c>
      <c r="Q41" s="22">
        <v>1402</v>
      </c>
      <c r="R41" s="23" t="s">
        <v>105</v>
      </c>
      <c r="S41" s="20">
        <v>373071767.26323098</v>
      </c>
      <c r="T41" s="36">
        <f>IF(NOT(ISNUMBER(S41)),"(Not stated)",IF(NOT(ISNUMBER(Q41)),"(Cost year not stated / not a Jalali year)",IFERROR(IF(N(IF(R41="EUR",S41,IF(R41="IRR",S41/INDEX('Assumptions &amp; FX Reference'!$C$5:$C$25,MATCH(Q41,'Assumptions &amp; FX Reference'!$A$5:$A$25,0)),IF(R41="USD",S41*INDEX('Assumptions &amp; FX Reference'!$B$5:$B$25,MATCH(Q41,'Assumptions &amp; FX Reference'!$A$5:$A$25,0))/INDEX('Assumptions &amp; FX Reference'!$C$5:$C$25,MATCH(Q41,'Assumptions &amp; FX Reference'!$A$5:$A$25,0)),"(Not stated)"))))&gt;0,IF(R41="EUR",S41,IF(R41="IRR",S41/INDEX('Assumptions &amp; FX Reference'!$C$5:$C$25,MATCH(Q41,'Assumptions &amp; FX Reference'!$A$5:$A$25,0)),IF(R41="USD",S41*INDEX('Assumptions &amp; FX Reference'!$B$5:$B$25,MATCH(Q41,'Assumptions &amp; FX Reference'!$A$5:$A$25,0))/INDEX('Assumptions &amp; FX Reference'!$C$5:$C$25,MATCH(Q41,'Assumptions &amp; FX Reference'!$A$5:$A$25,0)),"(Not stated)"))),"(FX rate not entered for this year)"),"(FX rate not entered for this year)")))</f>
        <v>704.57368699382619</v>
      </c>
      <c r="U41" s="36">
        <f>IF(NOT(ISNUMBER(S41)),"(Not stated)",IF(NOT(ISNUMBER(Q41)),"(Cost year not stated / not a Jalali year)",IFERROR(IF(N(IF(R41="USD",S41,IF(R41="IRR",S41/INDEX('Assumptions &amp; FX Reference'!$B$5:$B$25,MATCH(Q41,'Assumptions &amp; FX Reference'!$A$5:$A$25,0)),IF(R41="EUR",S41*INDEX('Assumptions &amp; FX Reference'!$C$5:$C$25,MATCH(Q41,'Assumptions &amp; FX Reference'!$A$5:$A$25,0))/INDEX('Assumptions &amp; FX Reference'!$B$5:$B$25,MATCH(Q41,'Assumptions &amp; FX Reference'!$A$5:$A$25,0)),"(Not stated)"))))&gt;0,IF(R41="USD",S41,IF(R41="IRR",S41/INDEX('Assumptions &amp; FX Reference'!$B$5:$B$25,MATCH(Q41,'Assumptions &amp; FX Reference'!$A$5:$A$25,0)),IF(R41="EUR",S41*INDEX('Assumptions &amp; FX Reference'!$C$5:$C$25,MATCH(Q41,'Assumptions &amp; FX Reference'!$A$5:$A$25,0))/INDEX('Assumptions &amp; FX Reference'!$B$5:$B$25,MATCH(Q41,'Assumptions &amp; FX Reference'!$A$5:$A$25,0)),"(Not stated)"))),"(FX rate not entered for this year)"),"(FX rate not entered for this year)")))</f>
        <v>888.26611253150236</v>
      </c>
      <c r="V41" s="36">
        <f>IF(NOT(ISNUMBER(S41)),"(Not stated)",IF(NOT(ISNUMBER(Q41)),"(Cost year not stated / not a Jalali year)",IFERROR(IF(N(IF(R41="IRR",S41,IF(R41="USD",S41*INDEX('Assumptions &amp; FX Reference'!$B$5:$B$25,MATCH(Q41,'Assumptions &amp; FX Reference'!$A$5:$A$25,0)),IF(R41="EUR",S41*INDEX('Assumptions &amp; FX Reference'!$C$5:$C$25,MATCH(Q41,'Assumptions &amp; FX Reference'!$A$5:$A$25,0)),"(Not stated)"))))&gt;0,IF(R41="IRR",S41,IF(R41="USD",S41*INDEX('Assumptions &amp; FX Reference'!$B$5:$B$25,MATCH(Q41,'Assumptions &amp; FX Reference'!$A$5:$A$25,0)),IF(R41="EUR",S41*INDEX('Assumptions &amp; FX Reference'!$C$5:$C$25,MATCH(Q41,'Assumptions &amp; FX Reference'!$A$5:$A$25,0)),"(Not stated)"))),"(FX rate not entered for this year)"),"(FX rate not entered for this year)")))</f>
        <v>373071767.26323098</v>
      </c>
      <c r="W41" s="19" t="s">
        <v>260</v>
      </c>
      <c r="X41" s="19" t="s">
        <v>132</v>
      </c>
      <c r="Y41" s="19" t="s">
        <v>133</v>
      </c>
      <c r="Z41" s="19" t="s">
        <v>332</v>
      </c>
      <c r="AA41" s="19" t="s">
        <v>333</v>
      </c>
      <c r="AB41" s="19" t="s">
        <v>110</v>
      </c>
    </row>
    <row r="42" spans="1:28" ht="109.5" hidden="1" customHeight="1" x14ac:dyDescent="0.25">
      <c r="A42" s="18">
        <v>38</v>
      </c>
      <c r="B42" s="19" t="s">
        <v>334</v>
      </c>
      <c r="C42" s="19" t="s">
        <v>127</v>
      </c>
      <c r="D42" s="19" t="s">
        <v>335</v>
      </c>
      <c r="E42" s="19" t="s">
        <v>229</v>
      </c>
      <c r="F42" s="19" t="s">
        <v>41</v>
      </c>
      <c r="G42" s="20">
        <v>27</v>
      </c>
      <c r="H42" s="19" t="s">
        <v>113</v>
      </c>
      <c r="I42" s="19" t="s">
        <v>336</v>
      </c>
      <c r="J42" s="19" t="s">
        <v>331</v>
      </c>
      <c r="K42" s="19" t="s">
        <v>104</v>
      </c>
      <c r="L42" s="19" t="s">
        <v>104</v>
      </c>
      <c r="M42" s="19" t="s">
        <v>104</v>
      </c>
      <c r="N42" s="19" t="s">
        <v>104</v>
      </c>
      <c r="O42" s="21" t="s">
        <v>104</v>
      </c>
      <c r="P42" s="19" t="s">
        <v>104</v>
      </c>
      <c r="Q42" s="22">
        <v>1402</v>
      </c>
      <c r="R42" s="23" t="s">
        <v>105</v>
      </c>
      <c r="S42" s="20">
        <v>906031434.78213096</v>
      </c>
      <c r="T42" s="36">
        <f>IF(NOT(ISNUMBER(S42)),"(Not stated)",IF(NOT(ISNUMBER(Q42)),"(Cost year not stated / not a Jalali year)",IFERROR(IF(N(IF(R42="EUR",S42,IF(R42="IRR",S42/INDEX('Assumptions &amp; FX Reference'!$C$5:$C$25,MATCH(Q42,'Assumptions &amp; FX Reference'!$A$5:$A$25,0)),IF(R42="USD",S42*INDEX('Assumptions &amp; FX Reference'!$B$5:$B$25,MATCH(Q42,'Assumptions &amp; FX Reference'!$A$5:$A$25,0))/INDEX('Assumptions &amp; FX Reference'!$C$5:$C$25,MATCH(Q42,'Assumptions &amp; FX Reference'!$A$5:$A$25,0)),"(Not stated)"))))&gt;0,IF(R42="EUR",S42,IF(R42="IRR",S42/INDEX('Assumptions &amp; FX Reference'!$C$5:$C$25,MATCH(Q42,'Assumptions &amp; FX Reference'!$A$5:$A$25,0)),IF(R42="USD",S42*INDEX('Assumptions &amp; FX Reference'!$B$5:$B$25,MATCH(Q42,'Assumptions &amp; FX Reference'!$A$5:$A$25,0))/INDEX('Assumptions &amp; FX Reference'!$C$5:$C$25,MATCH(Q42,'Assumptions &amp; FX Reference'!$A$5:$A$25,0)),"(Not stated)"))),"(FX rate not entered for this year)"),"(FX rate not entered for this year)")))</f>
        <v>1711.1075255564324</v>
      </c>
      <c r="U42" s="36">
        <f>IF(NOT(ISNUMBER(S42)),"(Not stated)",IF(NOT(ISNUMBER(Q42)),"(Cost year not stated / not a Jalali year)",IFERROR(IF(N(IF(R42="USD",S42,IF(R42="IRR",S42/INDEX('Assumptions &amp; FX Reference'!$B$5:$B$25,MATCH(Q42,'Assumptions &amp; FX Reference'!$A$5:$A$25,0)),IF(R42="EUR",S42*INDEX('Assumptions &amp; FX Reference'!$C$5:$C$25,MATCH(Q42,'Assumptions &amp; FX Reference'!$A$5:$A$25,0))/INDEX('Assumptions &amp; FX Reference'!$B$5:$B$25,MATCH(Q42,'Assumptions &amp; FX Reference'!$A$5:$A$25,0)),"(Not stated)"))))&gt;0,IF(R42="USD",S42,IF(R42="IRR",S42/INDEX('Assumptions &amp; FX Reference'!$B$5:$B$25,MATCH(Q42,'Assumptions &amp; FX Reference'!$A$5:$A$25,0)),IF(R42="EUR",S42*INDEX('Assumptions &amp; FX Reference'!$C$5:$C$25,MATCH(Q42,'Assumptions &amp; FX Reference'!$A$5:$A$25,0))/INDEX('Assumptions &amp; FX Reference'!$B$5:$B$25,MATCH(Q42,'Assumptions &amp; FX Reference'!$A$5:$A$25,0)),"(Not stated)"))),"(FX rate not entered for this year)"),"(FX rate not entered for this year)")))</f>
        <v>2157.2177018622165</v>
      </c>
      <c r="V42" s="36">
        <f>IF(NOT(ISNUMBER(S42)),"(Not stated)",IF(NOT(ISNUMBER(Q42)),"(Cost year not stated / not a Jalali year)",IFERROR(IF(N(IF(R42="IRR",S42,IF(R42="USD",S42*INDEX('Assumptions &amp; FX Reference'!$B$5:$B$25,MATCH(Q42,'Assumptions &amp; FX Reference'!$A$5:$A$25,0)),IF(R42="EUR",S42*INDEX('Assumptions &amp; FX Reference'!$C$5:$C$25,MATCH(Q42,'Assumptions &amp; FX Reference'!$A$5:$A$25,0)),"(Not stated)"))))&gt;0,IF(R42="IRR",S42,IF(R42="USD",S42*INDEX('Assumptions &amp; FX Reference'!$B$5:$B$25,MATCH(Q42,'Assumptions &amp; FX Reference'!$A$5:$A$25,0)),IF(R42="EUR",S42*INDEX('Assumptions &amp; FX Reference'!$C$5:$C$25,MATCH(Q42,'Assumptions &amp; FX Reference'!$A$5:$A$25,0)),"(Not stated)"))),"(FX rate not entered for this year)"),"(FX rate not entered for this year)")))</f>
        <v>906031434.78213096</v>
      </c>
      <c r="W42" s="19" t="s">
        <v>260</v>
      </c>
      <c r="X42" s="19" t="s">
        <v>132</v>
      </c>
      <c r="Y42" s="19" t="s">
        <v>133</v>
      </c>
      <c r="Z42" s="19" t="s">
        <v>337</v>
      </c>
      <c r="AA42" s="19" t="s">
        <v>338</v>
      </c>
      <c r="AB42" s="19" t="s">
        <v>110</v>
      </c>
    </row>
    <row r="43" spans="1:28" ht="109.5" hidden="1" customHeight="1" x14ac:dyDescent="0.25">
      <c r="A43" s="18">
        <v>39</v>
      </c>
      <c r="B43" s="19" t="s">
        <v>339</v>
      </c>
      <c r="C43" s="19" t="s">
        <v>127</v>
      </c>
      <c r="D43" s="19" t="s">
        <v>340</v>
      </c>
      <c r="E43" s="19" t="s">
        <v>229</v>
      </c>
      <c r="F43" s="19" t="s">
        <v>41</v>
      </c>
      <c r="G43" s="20">
        <v>2</v>
      </c>
      <c r="H43" s="19" t="s">
        <v>113</v>
      </c>
      <c r="I43" s="19" t="s">
        <v>341</v>
      </c>
      <c r="J43" s="19" t="s">
        <v>342</v>
      </c>
      <c r="K43" s="19" t="s">
        <v>104</v>
      </c>
      <c r="L43" s="19" t="s">
        <v>104</v>
      </c>
      <c r="M43" s="19" t="s">
        <v>104</v>
      </c>
      <c r="N43" s="19" t="s">
        <v>104</v>
      </c>
      <c r="O43" s="21" t="s">
        <v>104</v>
      </c>
      <c r="P43" s="19" t="s">
        <v>104</v>
      </c>
      <c r="Q43" s="22">
        <v>1402</v>
      </c>
      <c r="R43" s="23" t="s">
        <v>105</v>
      </c>
      <c r="S43" s="20">
        <v>6300000000</v>
      </c>
      <c r="T43" s="36">
        <f>IF(NOT(ISNUMBER(S43)),"(Not stated)",IF(NOT(ISNUMBER(Q43)),"(Cost year not stated / not a Jalali year)",IFERROR(IF(N(IF(R43="EUR",S43,IF(R43="IRR",S43/INDEX('Assumptions &amp; FX Reference'!$C$5:$C$25,MATCH(Q43,'Assumptions &amp; FX Reference'!$A$5:$A$25,0)),IF(R43="USD",S43*INDEX('Assumptions &amp; FX Reference'!$B$5:$B$25,MATCH(Q43,'Assumptions &amp; FX Reference'!$A$5:$A$25,0))/INDEX('Assumptions &amp; FX Reference'!$C$5:$C$25,MATCH(Q43,'Assumptions &amp; FX Reference'!$A$5:$A$25,0)),"(Not stated)"))))&gt;0,IF(R43="EUR",S43,IF(R43="IRR",S43/INDEX('Assumptions &amp; FX Reference'!$C$5:$C$25,MATCH(Q43,'Assumptions &amp; FX Reference'!$A$5:$A$25,0)),IF(R43="USD",S43*INDEX('Assumptions &amp; FX Reference'!$B$5:$B$25,MATCH(Q43,'Assumptions &amp; FX Reference'!$A$5:$A$25,0))/INDEX('Assumptions &amp; FX Reference'!$C$5:$C$25,MATCH(Q43,'Assumptions &amp; FX Reference'!$A$5:$A$25,0)),"(Not stated)"))),"(FX rate not entered for this year)"),"(FX rate not entered for this year)")))</f>
        <v>11898.016997167138</v>
      </c>
      <c r="U43" s="36">
        <f>IF(NOT(ISNUMBER(S43)),"(Not stated)",IF(NOT(ISNUMBER(Q43)),"(Cost year not stated / not a Jalali year)",IFERROR(IF(N(IF(R43="USD",S43,IF(R43="IRR",S43/INDEX('Assumptions &amp; FX Reference'!$B$5:$B$25,MATCH(Q43,'Assumptions &amp; FX Reference'!$A$5:$A$25,0)),IF(R43="EUR",S43*INDEX('Assumptions &amp; FX Reference'!$C$5:$C$25,MATCH(Q43,'Assumptions &amp; FX Reference'!$A$5:$A$25,0))/INDEX('Assumptions &amp; FX Reference'!$B$5:$B$25,MATCH(Q43,'Assumptions &amp; FX Reference'!$A$5:$A$25,0)),"(Not stated)"))))&gt;0,IF(R43="USD",S43,IF(R43="IRR",S43/INDEX('Assumptions &amp; FX Reference'!$B$5:$B$25,MATCH(Q43,'Assumptions &amp; FX Reference'!$A$5:$A$25,0)),IF(R43="EUR",S43*INDEX('Assumptions &amp; FX Reference'!$C$5:$C$25,MATCH(Q43,'Assumptions &amp; FX Reference'!$A$5:$A$25,0))/INDEX('Assumptions &amp; FX Reference'!$B$5:$B$25,MATCH(Q43,'Assumptions &amp; FX Reference'!$A$5:$A$25,0)),"(Not stated)"))),"(FX rate not entered for this year)"),"(FX rate not entered for this year)")))</f>
        <v>15000</v>
      </c>
      <c r="V43" s="36">
        <f>IF(NOT(ISNUMBER(S43)),"(Not stated)",IF(NOT(ISNUMBER(Q43)),"(Cost year not stated / not a Jalali year)",IFERROR(IF(N(IF(R43="IRR",S43,IF(R43="USD",S43*INDEX('Assumptions &amp; FX Reference'!$B$5:$B$25,MATCH(Q43,'Assumptions &amp; FX Reference'!$A$5:$A$25,0)),IF(R43="EUR",S43*INDEX('Assumptions &amp; FX Reference'!$C$5:$C$25,MATCH(Q43,'Assumptions &amp; FX Reference'!$A$5:$A$25,0)),"(Not stated)"))))&gt;0,IF(R43="IRR",S43,IF(R43="USD",S43*INDEX('Assumptions &amp; FX Reference'!$B$5:$B$25,MATCH(Q43,'Assumptions &amp; FX Reference'!$A$5:$A$25,0)),IF(R43="EUR",S43*INDEX('Assumptions &amp; FX Reference'!$C$5:$C$25,MATCH(Q43,'Assumptions &amp; FX Reference'!$A$5:$A$25,0)),"(Not stated)"))),"(FX rate not entered for this year)"),"(FX rate not entered for this year)")))</f>
        <v>6300000000</v>
      </c>
      <c r="W43" s="19" t="s">
        <v>260</v>
      </c>
      <c r="X43" s="19" t="s">
        <v>132</v>
      </c>
      <c r="Y43" s="19" t="s">
        <v>133</v>
      </c>
      <c r="Z43" s="19" t="s">
        <v>343</v>
      </c>
      <c r="AA43" s="19" t="s">
        <v>344</v>
      </c>
      <c r="AB43" s="19" t="s">
        <v>110</v>
      </c>
    </row>
    <row r="44" spans="1:28" ht="109.5" hidden="1" customHeight="1" x14ac:dyDescent="0.25">
      <c r="A44" s="18">
        <v>40</v>
      </c>
      <c r="B44" s="19" t="s">
        <v>345</v>
      </c>
      <c r="C44" s="19" t="s">
        <v>127</v>
      </c>
      <c r="D44" s="19" t="s">
        <v>346</v>
      </c>
      <c r="E44" s="19" t="s">
        <v>229</v>
      </c>
      <c r="F44" s="19" t="s">
        <v>43</v>
      </c>
      <c r="G44" s="20">
        <v>32</v>
      </c>
      <c r="H44" s="19" t="s">
        <v>113</v>
      </c>
      <c r="I44" s="19" t="s">
        <v>347</v>
      </c>
      <c r="J44" s="19" t="s">
        <v>348</v>
      </c>
      <c r="K44" s="19" t="s">
        <v>104</v>
      </c>
      <c r="L44" s="19" t="s">
        <v>104</v>
      </c>
      <c r="M44" s="19" t="s">
        <v>104</v>
      </c>
      <c r="N44" s="19" t="s">
        <v>104</v>
      </c>
      <c r="O44" s="21" t="s">
        <v>104</v>
      </c>
      <c r="P44" s="19" t="s">
        <v>104</v>
      </c>
      <c r="Q44" s="22">
        <v>1402</v>
      </c>
      <c r="R44" s="23" t="s">
        <v>105</v>
      </c>
      <c r="S44" s="20">
        <v>47966370.076701097</v>
      </c>
      <c r="T44" s="36">
        <f>IF(NOT(ISNUMBER(S44)),"(Not stated)",IF(NOT(ISNUMBER(Q44)),"(Cost year not stated / not a Jalali year)",IFERROR(IF(N(IF(R44="EUR",S44,IF(R44="IRR",S44/INDEX('Assumptions &amp; FX Reference'!$C$5:$C$25,MATCH(Q44,'Assumptions &amp; FX Reference'!$A$5:$A$25,0)),IF(R44="USD",S44*INDEX('Assumptions &amp; FX Reference'!$B$5:$B$25,MATCH(Q44,'Assumptions &amp; FX Reference'!$A$5:$A$25,0))/INDEX('Assumptions &amp; FX Reference'!$C$5:$C$25,MATCH(Q44,'Assumptions &amp; FX Reference'!$A$5:$A$25,0)),"(Not stated)"))))&gt;0,IF(R44="EUR",S44,IF(R44="IRR",S44/INDEX('Assumptions &amp; FX Reference'!$C$5:$C$25,MATCH(Q44,'Assumptions &amp; FX Reference'!$A$5:$A$25,0)),IF(R44="USD",S44*INDEX('Assumptions &amp; FX Reference'!$B$5:$B$25,MATCH(Q44,'Assumptions &amp; FX Reference'!$A$5:$A$25,0))/INDEX('Assumptions &amp; FX Reference'!$C$5:$C$25,MATCH(Q44,'Assumptions &amp; FX Reference'!$A$5:$A$25,0)),"(Not stated)"))),"(FX rate not entered for this year)"),"(FX rate not entered for this year)")))</f>
        <v>90.588045470634739</v>
      </c>
      <c r="U44" s="36">
        <f>IF(NOT(ISNUMBER(S44)),"(Not stated)",IF(NOT(ISNUMBER(Q44)),"(Cost year not stated / not a Jalali year)",IFERROR(IF(N(IF(R44="USD",S44,IF(R44="IRR",S44/INDEX('Assumptions &amp; FX Reference'!$B$5:$B$25,MATCH(Q44,'Assumptions &amp; FX Reference'!$A$5:$A$25,0)),IF(R44="EUR",S44*INDEX('Assumptions &amp; FX Reference'!$C$5:$C$25,MATCH(Q44,'Assumptions &amp; FX Reference'!$A$5:$A$25,0))/INDEX('Assumptions &amp; FX Reference'!$B$5:$B$25,MATCH(Q44,'Assumptions &amp; FX Reference'!$A$5:$A$25,0)),"(Not stated)"))))&gt;0,IF(R44="USD",S44,IF(R44="IRR",S44/INDEX('Assumptions &amp; FX Reference'!$B$5:$B$25,MATCH(Q44,'Assumptions &amp; FX Reference'!$A$5:$A$25,0)),IF(R44="EUR",S44*INDEX('Assumptions &amp; FX Reference'!$C$5:$C$25,MATCH(Q44,'Assumptions &amp; FX Reference'!$A$5:$A$25,0))/INDEX('Assumptions &amp; FX Reference'!$B$5:$B$25,MATCH(Q44,'Assumptions &amp; FX Reference'!$A$5:$A$25,0)),"(Not stated)"))),"(FX rate not entered for this year)"),"(FX rate not entered for this year)")))</f>
        <v>114.20564303976451</v>
      </c>
      <c r="V44" s="36">
        <f>IF(NOT(ISNUMBER(S44)),"(Not stated)",IF(NOT(ISNUMBER(Q44)),"(Cost year not stated / not a Jalali year)",IFERROR(IF(N(IF(R44="IRR",S44,IF(R44="USD",S44*INDEX('Assumptions &amp; FX Reference'!$B$5:$B$25,MATCH(Q44,'Assumptions &amp; FX Reference'!$A$5:$A$25,0)),IF(R44="EUR",S44*INDEX('Assumptions &amp; FX Reference'!$C$5:$C$25,MATCH(Q44,'Assumptions &amp; FX Reference'!$A$5:$A$25,0)),"(Not stated)"))))&gt;0,IF(R44="IRR",S44,IF(R44="USD",S44*INDEX('Assumptions &amp; FX Reference'!$B$5:$B$25,MATCH(Q44,'Assumptions &amp; FX Reference'!$A$5:$A$25,0)),IF(R44="EUR",S44*INDEX('Assumptions &amp; FX Reference'!$C$5:$C$25,MATCH(Q44,'Assumptions &amp; FX Reference'!$A$5:$A$25,0)),"(Not stated)"))),"(FX rate not entered for this year)"),"(FX rate not entered for this year)")))</f>
        <v>47966370.076701097</v>
      </c>
      <c r="W44" s="19" t="s">
        <v>260</v>
      </c>
      <c r="X44" s="19" t="s">
        <v>132</v>
      </c>
      <c r="Y44" s="19" t="s">
        <v>133</v>
      </c>
      <c r="Z44" s="19" t="s">
        <v>349</v>
      </c>
      <c r="AA44" s="19" t="s">
        <v>350</v>
      </c>
      <c r="AB44" s="19" t="s">
        <v>110</v>
      </c>
    </row>
    <row r="45" spans="1:28" ht="109.5" hidden="1" customHeight="1" x14ac:dyDescent="0.25">
      <c r="A45" s="18">
        <v>41</v>
      </c>
      <c r="B45" s="19" t="s">
        <v>351</v>
      </c>
      <c r="C45" s="19" t="s">
        <v>127</v>
      </c>
      <c r="D45" s="19" t="s">
        <v>352</v>
      </c>
      <c r="E45" s="19" t="s">
        <v>229</v>
      </c>
      <c r="F45" s="19" t="s">
        <v>43</v>
      </c>
      <c r="G45" s="20">
        <v>12</v>
      </c>
      <c r="H45" s="19" t="s">
        <v>113</v>
      </c>
      <c r="I45" s="19" t="s">
        <v>353</v>
      </c>
      <c r="J45" s="19" t="s">
        <v>354</v>
      </c>
      <c r="K45" s="19" t="s">
        <v>104</v>
      </c>
      <c r="L45" s="19" t="s">
        <v>104</v>
      </c>
      <c r="M45" s="19" t="s">
        <v>104</v>
      </c>
      <c r="N45" s="19" t="s">
        <v>104</v>
      </c>
      <c r="O45" s="21" t="s">
        <v>104</v>
      </c>
      <c r="P45" s="19" t="s">
        <v>104</v>
      </c>
      <c r="Q45" s="22">
        <v>1402</v>
      </c>
      <c r="R45" s="23" t="s">
        <v>105</v>
      </c>
      <c r="S45" s="20">
        <v>319775800.51134002</v>
      </c>
      <c r="T45" s="36">
        <f>IF(NOT(ISNUMBER(S45)),"(Not stated)",IF(NOT(ISNUMBER(Q45)),"(Cost year not stated / not a Jalali year)",IFERROR(IF(N(IF(R45="EUR",S45,IF(R45="IRR",S45/INDEX('Assumptions &amp; FX Reference'!$C$5:$C$25,MATCH(Q45,'Assumptions &amp; FX Reference'!$A$5:$A$25,0)),IF(R45="USD",S45*INDEX('Assumptions &amp; FX Reference'!$B$5:$B$25,MATCH(Q45,'Assumptions &amp; FX Reference'!$A$5:$A$25,0))/INDEX('Assumptions &amp; FX Reference'!$C$5:$C$25,MATCH(Q45,'Assumptions &amp; FX Reference'!$A$5:$A$25,0)),"(Not stated)"))))&gt;0,IF(R45="EUR",S45,IF(R45="IRR",S45/INDEX('Assumptions &amp; FX Reference'!$C$5:$C$25,MATCH(Q45,'Assumptions &amp; FX Reference'!$A$5:$A$25,0)),IF(R45="USD",S45*INDEX('Assumptions &amp; FX Reference'!$B$5:$B$25,MATCH(Q45,'Assumptions &amp; FX Reference'!$A$5:$A$25,0))/INDEX('Assumptions &amp; FX Reference'!$C$5:$C$25,MATCH(Q45,'Assumptions &amp; FX Reference'!$A$5:$A$25,0)),"(Not stated)"))),"(FX rate not entered for this year)"),"(FX rate not entered for this year)")))</f>
        <v>603.92030313756379</v>
      </c>
      <c r="U45" s="36">
        <f>IF(NOT(ISNUMBER(S45)),"(Not stated)",IF(NOT(ISNUMBER(Q45)),"(Cost year not stated / not a Jalali year)",IFERROR(IF(N(IF(R45="USD",S45,IF(R45="IRR",S45/INDEX('Assumptions &amp; FX Reference'!$B$5:$B$25,MATCH(Q45,'Assumptions &amp; FX Reference'!$A$5:$A$25,0)),IF(R45="EUR",S45*INDEX('Assumptions &amp; FX Reference'!$C$5:$C$25,MATCH(Q45,'Assumptions &amp; FX Reference'!$A$5:$A$25,0))/INDEX('Assumptions &amp; FX Reference'!$B$5:$B$25,MATCH(Q45,'Assumptions &amp; FX Reference'!$A$5:$A$25,0)),"(Not stated)"))))&gt;0,IF(R45="USD",S45,IF(R45="IRR",S45/INDEX('Assumptions &amp; FX Reference'!$B$5:$B$25,MATCH(Q45,'Assumptions &amp; FX Reference'!$A$5:$A$25,0)),IF(R45="EUR",S45*INDEX('Assumptions &amp; FX Reference'!$C$5:$C$25,MATCH(Q45,'Assumptions &amp; FX Reference'!$A$5:$A$25,0))/INDEX('Assumptions &amp; FX Reference'!$B$5:$B$25,MATCH(Q45,'Assumptions &amp; FX Reference'!$A$5:$A$25,0)),"(Not stated)"))),"(FX rate not entered for this year)"),"(FX rate not entered for this year)")))</f>
        <v>761.37095359842863</v>
      </c>
      <c r="V45" s="36">
        <f>IF(NOT(ISNUMBER(S45)),"(Not stated)",IF(NOT(ISNUMBER(Q45)),"(Cost year not stated / not a Jalali year)",IFERROR(IF(N(IF(R45="IRR",S45,IF(R45="USD",S45*INDEX('Assumptions &amp; FX Reference'!$B$5:$B$25,MATCH(Q45,'Assumptions &amp; FX Reference'!$A$5:$A$25,0)),IF(R45="EUR",S45*INDEX('Assumptions &amp; FX Reference'!$C$5:$C$25,MATCH(Q45,'Assumptions &amp; FX Reference'!$A$5:$A$25,0)),"(Not stated)"))))&gt;0,IF(R45="IRR",S45,IF(R45="USD",S45*INDEX('Assumptions &amp; FX Reference'!$B$5:$B$25,MATCH(Q45,'Assumptions &amp; FX Reference'!$A$5:$A$25,0)),IF(R45="EUR",S45*INDEX('Assumptions &amp; FX Reference'!$C$5:$C$25,MATCH(Q45,'Assumptions &amp; FX Reference'!$A$5:$A$25,0)),"(Not stated)"))),"(FX rate not entered for this year)"),"(FX rate not entered for this year)")))</f>
        <v>319775800.51134002</v>
      </c>
      <c r="W45" s="19" t="s">
        <v>260</v>
      </c>
      <c r="X45" s="19" t="s">
        <v>132</v>
      </c>
      <c r="Y45" s="19" t="s">
        <v>133</v>
      </c>
      <c r="Z45" s="19" t="s">
        <v>355</v>
      </c>
      <c r="AA45" s="19" t="s">
        <v>356</v>
      </c>
      <c r="AB45" s="19" t="s">
        <v>110</v>
      </c>
    </row>
    <row r="46" spans="1:28" ht="109.5" hidden="1" customHeight="1" x14ac:dyDescent="0.25">
      <c r="A46" s="18">
        <v>42</v>
      </c>
      <c r="B46" s="19" t="s">
        <v>357</v>
      </c>
      <c r="C46" s="19" t="s">
        <v>127</v>
      </c>
      <c r="D46" s="19" t="s">
        <v>358</v>
      </c>
      <c r="E46" s="19" t="s">
        <v>229</v>
      </c>
      <c r="F46" s="19" t="s">
        <v>43</v>
      </c>
      <c r="G46" s="20">
        <v>42</v>
      </c>
      <c r="H46" s="19" t="s">
        <v>113</v>
      </c>
      <c r="I46" s="19" t="s">
        <v>359</v>
      </c>
      <c r="J46" s="19" t="s">
        <v>360</v>
      </c>
      <c r="K46" s="19" t="s">
        <v>104</v>
      </c>
      <c r="L46" s="19" t="s">
        <v>104</v>
      </c>
      <c r="M46" s="19" t="s">
        <v>104</v>
      </c>
      <c r="N46" s="19" t="s">
        <v>104</v>
      </c>
      <c r="O46" s="21" t="s">
        <v>104</v>
      </c>
      <c r="P46" s="19" t="s">
        <v>104</v>
      </c>
      <c r="Q46" s="22">
        <v>1402</v>
      </c>
      <c r="R46" s="23" t="s">
        <v>105</v>
      </c>
      <c r="S46" s="20">
        <v>37307176.726323098</v>
      </c>
      <c r="T46" s="36">
        <f>IF(NOT(ISNUMBER(S46)),"(Not stated)",IF(NOT(ISNUMBER(Q46)),"(Cost year not stated / not a Jalali year)",IFERROR(IF(N(IF(R46="EUR",S46,IF(R46="IRR",S46/INDEX('Assumptions &amp; FX Reference'!$C$5:$C$25,MATCH(Q46,'Assumptions &amp; FX Reference'!$A$5:$A$25,0)),IF(R46="USD",S46*INDEX('Assumptions &amp; FX Reference'!$B$5:$B$25,MATCH(Q46,'Assumptions &amp; FX Reference'!$A$5:$A$25,0))/INDEX('Assumptions &amp; FX Reference'!$C$5:$C$25,MATCH(Q46,'Assumptions &amp; FX Reference'!$A$5:$A$25,0)),"(Not stated)"))))&gt;0,IF(R46="EUR",S46,IF(R46="IRR",S46/INDEX('Assumptions &amp; FX Reference'!$C$5:$C$25,MATCH(Q46,'Assumptions &amp; FX Reference'!$A$5:$A$25,0)),IF(R46="USD",S46*INDEX('Assumptions &amp; FX Reference'!$B$5:$B$25,MATCH(Q46,'Assumptions &amp; FX Reference'!$A$5:$A$25,0))/INDEX('Assumptions &amp; FX Reference'!$C$5:$C$25,MATCH(Q46,'Assumptions &amp; FX Reference'!$A$5:$A$25,0)),"(Not stated)"))),"(FX rate not entered for this year)"),"(FX rate not entered for this year)")))</f>
        <v>70.457368699382627</v>
      </c>
      <c r="U46" s="36">
        <f>IF(NOT(ISNUMBER(S46)),"(Not stated)",IF(NOT(ISNUMBER(Q46)),"(Cost year not stated / not a Jalali year)",IFERROR(IF(N(IF(R46="USD",S46,IF(R46="IRR",S46/INDEX('Assumptions &amp; FX Reference'!$B$5:$B$25,MATCH(Q46,'Assumptions &amp; FX Reference'!$A$5:$A$25,0)),IF(R46="EUR",S46*INDEX('Assumptions &amp; FX Reference'!$C$5:$C$25,MATCH(Q46,'Assumptions &amp; FX Reference'!$A$5:$A$25,0))/INDEX('Assumptions &amp; FX Reference'!$B$5:$B$25,MATCH(Q46,'Assumptions &amp; FX Reference'!$A$5:$A$25,0)),"(Not stated)"))))&gt;0,IF(R46="USD",S46,IF(R46="IRR",S46/INDEX('Assumptions &amp; FX Reference'!$B$5:$B$25,MATCH(Q46,'Assumptions &amp; FX Reference'!$A$5:$A$25,0)),IF(R46="EUR",S46*INDEX('Assumptions &amp; FX Reference'!$C$5:$C$25,MATCH(Q46,'Assumptions &amp; FX Reference'!$A$5:$A$25,0))/INDEX('Assumptions &amp; FX Reference'!$B$5:$B$25,MATCH(Q46,'Assumptions &amp; FX Reference'!$A$5:$A$25,0)),"(Not stated)"))),"(FX rate not entered for this year)"),"(FX rate not entered for this year)")))</f>
        <v>88.826611253150233</v>
      </c>
      <c r="V46" s="36">
        <f>IF(NOT(ISNUMBER(S46)),"(Not stated)",IF(NOT(ISNUMBER(Q46)),"(Cost year not stated / not a Jalali year)",IFERROR(IF(N(IF(R46="IRR",S46,IF(R46="USD",S46*INDEX('Assumptions &amp; FX Reference'!$B$5:$B$25,MATCH(Q46,'Assumptions &amp; FX Reference'!$A$5:$A$25,0)),IF(R46="EUR",S46*INDEX('Assumptions &amp; FX Reference'!$C$5:$C$25,MATCH(Q46,'Assumptions &amp; FX Reference'!$A$5:$A$25,0)),"(Not stated)"))))&gt;0,IF(R46="IRR",S46,IF(R46="USD",S46*INDEX('Assumptions &amp; FX Reference'!$B$5:$B$25,MATCH(Q46,'Assumptions &amp; FX Reference'!$A$5:$A$25,0)),IF(R46="EUR",S46*INDEX('Assumptions &amp; FX Reference'!$C$5:$C$25,MATCH(Q46,'Assumptions &amp; FX Reference'!$A$5:$A$25,0)),"(Not stated)"))),"(FX rate not entered for this year)"),"(FX rate not entered for this year)")))</f>
        <v>37307176.726323098</v>
      </c>
      <c r="W46" s="19" t="s">
        <v>260</v>
      </c>
      <c r="X46" s="19" t="s">
        <v>132</v>
      </c>
      <c r="Y46" s="19" t="s">
        <v>133</v>
      </c>
      <c r="Z46" s="19" t="s">
        <v>361</v>
      </c>
      <c r="AA46" s="19" t="s">
        <v>362</v>
      </c>
      <c r="AB46" s="19" t="s">
        <v>110</v>
      </c>
    </row>
    <row r="47" spans="1:28" ht="109.5" hidden="1" customHeight="1" x14ac:dyDescent="0.25">
      <c r="A47" s="18">
        <v>43</v>
      </c>
      <c r="B47" s="19" t="s">
        <v>363</v>
      </c>
      <c r="C47" s="19" t="s">
        <v>127</v>
      </c>
      <c r="D47" s="19" t="s">
        <v>364</v>
      </c>
      <c r="E47" s="19" t="s">
        <v>229</v>
      </c>
      <c r="F47" s="19" t="s">
        <v>43</v>
      </c>
      <c r="G47" s="20">
        <v>24</v>
      </c>
      <c r="H47" s="19" t="s">
        <v>113</v>
      </c>
      <c r="I47" s="19" t="s">
        <v>365</v>
      </c>
      <c r="J47" s="19" t="s">
        <v>366</v>
      </c>
      <c r="K47" s="19" t="s">
        <v>104</v>
      </c>
      <c r="L47" s="19" t="s">
        <v>104</v>
      </c>
      <c r="M47" s="19" t="s">
        <v>104</v>
      </c>
      <c r="N47" s="19" t="s">
        <v>104</v>
      </c>
      <c r="O47" s="21" t="s">
        <v>104</v>
      </c>
      <c r="P47" s="19" t="s">
        <v>104</v>
      </c>
      <c r="Q47" s="22">
        <v>1402</v>
      </c>
      <c r="R47" s="23" t="s">
        <v>105</v>
      </c>
      <c r="S47" s="20">
        <v>266479833.75944999</v>
      </c>
      <c r="T47" s="36">
        <f>IF(NOT(ISNUMBER(S47)),"(Not stated)",IF(NOT(ISNUMBER(Q47)),"(Cost year not stated / not a Jalali year)",IFERROR(IF(N(IF(R47="EUR",S47,IF(R47="IRR",S47/INDEX('Assumptions &amp; FX Reference'!$C$5:$C$25,MATCH(Q47,'Assumptions &amp; FX Reference'!$A$5:$A$25,0)),IF(R47="USD",S47*INDEX('Assumptions &amp; FX Reference'!$B$5:$B$25,MATCH(Q47,'Assumptions &amp; FX Reference'!$A$5:$A$25,0))/INDEX('Assumptions &amp; FX Reference'!$C$5:$C$25,MATCH(Q47,'Assumptions &amp; FX Reference'!$A$5:$A$25,0)),"(Not stated)"))))&gt;0,IF(R47="EUR",S47,IF(R47="IRR",S47/INDEX('Assumptions &amp; FX Reference'!$C$5:$C$25,MATCH(Q47,'Assumptions &amp; FX Reference'!$A$5:$A$25,0)),IF(R47="USD",S47*INDEX('Assumptions &amp; FX Reference'!$B$5:$B$25,MATCH(Q47,'Assumptions &amp; FX Reference'!$A$5:$A$25,0))/INDEX('Assumptions &amp; FX Reference'!$C$5:$C$25,MATCH(Q47,'Assumptions &amp; FX Reference'!$A$5:$A$25,0)),"(Not stated)"))),"(FX rate not entered for this year)"),"(FX rate not entered for this year)")))</f>
        <v>503.2669192813031</v>
      </c>
      <c r="U47" s="36">
        <f>IF(NOT(ISNUMBER(S47)),"(Not stated)",IF(NOT(ISNUMBER(Q47)),"(Cost year not stated / not a Jalali year)",IFERROR(IF(N(IF(R47="USD",S47,IF(R47="IRR",S47/INDEX('Assumptions &amp; FX Reference'!$B$5:$B$25,MATCH(Q47,'Assumptions &amp; FX Reference'!$A$5:$A$25,0)),IF(R47="EUR",S47*INDEX('Assumptions &amp; FX Reference'!$C$5:$C$25,MATCH(Q47,'Assumptions &amp; FX Reference'!$A$5:$A$25,0))/INDEX('Assumptions &amp; FX Reference'!$B$5:$B$25,MATCH(Q47,'Assumptions &amp; FX Reference'!$A$5:$A$25,0)),"(Not stated)"))))&gt;0,IF(R47="USD",S47,IF(R47="IRR",S47/INDEX('Assumptions &amp; FX Reference'!$B$5:$B$25,MATCH(Q47,'Assumptions &amp; FX Reference'!$A$5:$A$25,0)),IF(R47="EUR",S47*INDEX('Assumptions &amp; FX Reference'!$C$5:$C$25,MATCH(Q47,'Assumptions &amp; FX Reference'!$A$5:$A$25,0))/INDEX('Assumptions &amp; FX Reference'!$B$5:$B$25,MATCH(Q47,'Assumptions &amp; FX Reference'!$A$5:$A$25,0)),"(Not stated)"))),"(FX rate not entered for this year)"),"(FX rate not entered for this year)")))</f>
        <v>634.47579466535717</v>
      </c>
      <c r="V47" s="36">
        <f>IF(NOT(ISNUMBER(S47)),"(Not stated)",IF(NOT(ISNUMBER(Q47)),"(Cost year not stated / not a Jalali year)",IFERROR(IF(N(IF(R47="IRR",S47,IF(R47="USD",S47*INDEX('Assumptions &amp; FX Reference'!$B$5:$B$25,MATCH(Q47,'Assumptions &amp; FX Reference'!$A$5:$A$25,0)),IF(R47="EUR",S47*INDEX('Assumptions &amp; FX Reference'!$C$5:$C$25,MATCH(Q47,'Assumptions &amp; FX Reference'!$A$5:$A$25,0)),"(Not stated)"))))&gt;0,IF(R47="IRR",S47,IF(R47="USD",S47*INDEX('Assumptions &amp; FX Reference'!$B$5:$B$25,MATCH(Q47,'Assumptions &amp; FX Reference'!$A$5:$A$25,0)),IF(R47="EUR",S47*INDEX('Assumptions &amp; FX Reference'!$C$5:$C$25,MATCH(Q47,'Assumptions &amp; FX Reference'!$A$5:$A$25,0)),"(Not stated)"))),"(FX rate not entered for this year)"),"(FX rate not entered for this year)")))</f>
        <v>266479833.75944999</v>
      </c>
      <c r="W47" s="19" t="s">
        <v>260</v>
      </c>
      <c r="X47" s="19" t="s">
        <v>132</v>
      </c>
      <c r="Y47" s="19" t="s">
        <v>133</v>
      </c>
      <c r="Z47" s="19" t="s">
        <v>367</v>
      </c>
      <c r="AA47" s="19" t="s">
        <v>368</v>
      </c>
      <c r="AB47" s="19" t="s">
        <v>110</v>
      </c>
    </row>
    <row r="48" spans="1:28" ht="109.5" hidden="1" customHeight="1" x14ac:dyDescent="0.25">
      <c r="A48" s="18">
        <v>44</v>
      </c>
      <c r="B48" s="19" t="s">
        <v>369</v>
      </c>
      <c r="C48" s="19" t="s">
        <v>127</v>
      </c>
      <c r="D48" s="19" t="s">
        <v>370</v>
      </c>
      <c r="E48" s="19" t="s">
        <v>229</v>
      </c>
      <c r="F48" s="19" t="s">
        <v>45</v>
      </c>
      <c r="G48" s="20">
        <v>4</v>
      </c>
      <c r="H48" s="19" t="s">
        <v>113</v>
      </c>
      <c r="I48" s="19" t="s">
        <v>371</v>
      </c>
      <c r="J48" s="19" t="s">
        <v>104</v>
      </c>
      <c r="K48" s="19" t="s">
        <v>104</v>
      </c>
      <c r="L48" s="19" t="s">
        <v>104</v>
      </c>
      <c r="M48" s="19" t="s">
        <v>104</v>
      </c>
      <c r="N48" s="19" t="s">
        <v>104</v>
      </c>
      <c r="O48" s="21" t="s">
        <v>104</v>
      </c>
      <c r="P48" s="19" t="s">
        <v>104</v>
      </c>
      <c r="Q48" s="22">
        <v>1402</v>
      </c>
      <c r="R48" s="23" t="s">
        <v>105</v>
      </c>
      <c r="S48" s="20">
        <v>138569513.554914</v>
      </c>
      <c r="T48" s="36">
        <f>IF(NOT(ISNUMBER(S48)),"(Not stated)",IF(NOT(ISNUMBER(Q48)),"(Cost year not stated / not a Jalali year)",IFERROR(IF(N(IF(R48="EUR",S48,IF(R48="IRR",S48/INDEX('Assumptions &amp; FX Reference'!$C$5:$C$25,MATCH(Q48,'Assumptions &amp; FX Reference'!$A$5:$A$25,0)),IF(R48="USD",S48*INDEX('Assumptions &amp; FX Reference'!$B$5:$B$25,MATCH(Q48,'Assumptions &amp; FX Reference'!$A$5:$A$25,0))/INDEX('Assumptions &amp; FX Reference'!$C$5:$C$25,MATCH(Q48,'Assumptions &amp; FX Reference'!$A$5:$A$25,0)),"(Not stated)"))))&gt;0,IF(R48="EUR",S48,IF(R48="IRR",S48/INDEX('Assumptions &amp; FX Reference'!$C$5:$C$25,MATCH(Q48,'Assumptions &amp; FX Reference'!$A$5:$A$25,0)),IF(R48="USD",S48*INDEX('Assumptions &amp; FX Reference'!$B$5:$B$25,MATCH(Q48,'Assumptions &amp; FX Reference'!$A$5:$A$25,0))/INDEX('Assumptions &amp; FX Reference'!$C$5:$C$25,MATCH(Q48,'Assumptions &amp; FX Reference'!$A$5:$A$25,0)),"(Not stated)"))),"(FX rate not entered for this year)"),"(FX rate not entered for this year)")))</f>
        <v>261.69879802627764</v>
      </c>
      <c r="U48" s="36">
        <f>IF(NOT(ISNUMBER(S48)),"(Not stated)",IF(NOT(ISNUMBER(Q48)),"(Cost year not stated / not a Jalali year)",IFERROR(IF(N(IF(R48="USD",S48,IF(R48="IRR",S48/INDEX('Assumptions &amp; FX Reference'!$B$5:$B$25,MATCH(Q48,'Assumptions &amp; FX Reference'!$A$5:$A$25,0)),IF(R48="EUR",S48*INDEX('Assumptions &amp; FX Reference'!$C$5:$C$25,MATCH(Q48,'Assumptions &amp; FX Reference'!$A$5:$A$25,0))/INDEX('Assumptions &amp; FX Reference'!$B$5:$B$25,MATCH(Q48,'Assumptions &amp; FX Reference'!$A$5:$A$25,0)),"(Not stated)"))))&gt;0,IF(R48="USD",S48,IF(R48="IRR",S48/INDEX('Assumptions &amp; FX Reference'!$B$5:$B$25,MATCH(Q48,'Assumptions &amp; FX Reference'!$A$5:$A$25,0)),IF(R48="EUR",S48*INDEX('Assumptions &amp; FX Reference'!$C$5:$C$25,MATCH(Q48,'Assumptions &amp; FX Reference'!$A$5:$A$25,0))/INDEX('Assumptions &amp; FX Reference'!$B$5:$B$25,MATCH(Q48,'Assumptions &amp; FX Reference'!$A$5:$A$25,0)),"(Not stated)"))),"(FX rate not entered for this year)"),"(FX rate not entered for this year)")))</f>
        <v>329.92741322598573</v>
      </c>
      <c r="V48" s="36">
        <f>IF(NOT(ISNUMBER(S48)),"(Not stated)",IF(NOT(ISNUMBER(Q48)),"(Cost year not stated / not a Jalali year)",IFERROR(IF(N(IF(R48="IRR",S48,IF(R48="USD",S48*INDEX('Assumptions &amp; FX Reference'!$B$5:$B$25,MATCH(Q48,'Assumptions &amp; FX Reference'!$A$5:$A$25,0)),IF(R48="EUR",S48*INDEX('Assumptions &amp; FX Reference'!$C$5:$C$25,MATCH(Q48,'Assumptions &amp; FX Reference'!$A$5:$A$25,0)),"(Not stated)"))))&gt;0,IF(R48="IRR",S48,IF(R48="USD",S48*INDEX('Assumptions &amp; FX Reference'!$B$5:$B$25,MATCH(Q48,'Assumptions &amp; FX Reference'!$A$5:$A$25,0)),IF(R48="EUR",S48*INDEX('Assumptions &amp; FX Reference'!$C$5:$C$25,MATCH(Q48,'Assumptions &amp; FX Reference'!$A$5:$A$25,0)),"(Not stated)"))),"(FX rate not entered for this year)"),"(FX rate not entered for this year)")))</f>
        <v>138569513.554914</v>
      </c>
      <c r="W48" s="19" t="s">
        <v>260</v>
      </c>
      <c r="X48" s="19" t="s">
        <v>132</v>
      </c>
      <c r="Y48" s="19" t="s">
        <v>133</v>
      </c>
      <c r="Z48" s="19" t="s">
        <v>372</v>
      </c>
      <c r="AA48" s="19" t="s">
        <v>373</v>
      </c>
      <c r="AB48" s="19" t="s">
        <v>110</v>
      </c>
    </row>
    <row r="49" spans="1:28" ht="109.5" hidden="1" customHeight="1" x14ac:dyDescent="0.25">
      <c r="A49" s="18">
        <v>45</v>
      </c>
      <c r="B49" s="19" t="s">
        <v>374</v>
      </c>
      <c r="C49" s="19" t="s">
        <v>127</v>
      </c>
      <c r="D49" s="19" t="s">
        <v>375</v>
      </c>
      <c r="E49" s="19" t="s">
        <v>229</v>
      </c>
      <c r="F49" s="19" t="s">
        <v>41</v>
      </c>
      <c r="G49" s="20">
        <v>2</v>
      </c>
      <c r="H49" s="19" t="s">
        <v>113</v>
      </c>
      <c r="I49" s="19" t="s">
        <v>376</v>
      </c>
      <c r="J49" s="19" t="s">
        <v>104</v>
      </c>
      <c r="K49" s="19" t="s">
        <v>104</v>
      </c>
      <c r="L49" s="19" t="s">
        <v>104</v>
      </c>
      <c r="M49" s="19" t="s">
        <v>104</v>
      </c>
      <c r="N49" s="19" t="s">
        <v>104</v>
      </c>
      <c r="O49" s="21" t="s">
        <v>104</v>
      </c>
      <c r="P49" s="19" t="s">
        <v>104</v>
      </c>
      <c r="Q49" s="22">
        <v>1402</v>
      </c>
      <c r="R49" s="23" t="s">
        <v>105</v>
      </c>
      <c r="S49" s="20">
        <v>1680000000</v>
      </c>
      <c r="T49" s="36">
        <f>IF(NOT(ISNUMBER(S49)),"(Not stated)",IF(NOT(ISNUMBER(Q49)),"(Cost year not stated / not a Jalali year)",IFERROR(IF(N(IF(R49="EUR",S49,IF(R49="IRR",S49/INDEX('Assumptions &amp; FX Reference'!$C$5:$C$25,MATCH(Q49,'Assumptions &amp; FX Reference'!$A$5:$A$25,0)),IF(R49="USD",S49*INDEX('Assumptions &amp; FX Reference'!$B$5:$B$25,MATCH(Q49,'Assumptions &amp; FX Reference'!$A$5:$A$25,0))/INDEX('Assumptions &amp; FX Reference'!$C$5:$C$25,MATCH(Q49,'Assumptions &amp; FX Reference'!$A$5:$A$25,0)),"(Not stated)"))))&gt;0,IF(R49="EUR",S49,IF(R49="IRR",S49/INDEX('Assumptions &amp; FX Reference'!$C$5:$C$25,MATCH(Q49,'Assumptions &amp; FX Reference'!$A$5:$A$25,0)),IF(R49="USD",S49*INDEX('Assumptions &amp; FX Reference'!$B$5:$B$25,MATCH(Q49,'Assumptions &amp; FX Reference'!$A$5:$A$25,0))/INDEX('Assumptions &amp; FX Reference'!$C$5:$C$25,MATCH(Q49,'Assumptions &amp; FX Reference'!$A$5:$A$25,0)),"(Not stated)"))),"(FX rate not entered for this year)"),"(FX rate not entered for this year)")))</f>
        <v>3172.8045325779035</v>
      </c>
      <c r="U49" s="36">
        <f>IF(NOT(ISNUMBER(S49)),"(Not stated)",IF(NOT(ISNUMBER(Q49)),"(Cost year not stated / not a Jalali year)",IFERROR(IF(N(IF(R49="USD",S49,IF(R49="IRR",S49/INDEX('Assumptions &amp; FX Reference'!$B$5:$B$25,MATCH(Q49,'Assumptions &amp; FX Reference'!$A$5:$A$25,0)),IF(R49="EUR",S49*INDEX('Assumptions &amp; FX Reference'!$C$5:$C$25,MATCH(Q49,'Assumptions &amp; FX Reference'!$A$5:$A$25,0))/INDEX('Assumptions &amp; FX Reference'!$B$5:$B$25,MATCH(Q49,'Assumptions &amp; FX Reference'!$A$5:$A$25,0)),"(Not stated)"))))&gt;0,IF(R49="USD",S49,IF(R49="IRR",S49/INDEX('Assumptions &amp; FX Reference'!$B$5:$B$25,MATCH(Q49,'Assumptions &amp; FX Reference'!$A$5:$A$25,0)),IF(R49="EUR",S49*INDEX('Assumptions &amp; FX Reference'!$C$5:$C$25,MATCH(Q49,'Assumptions &amp; FX Reference'!$A$5:$A$25,0))/INDEX('Assumptions &amp; FX Reference'!$B$5:$B$25,MATCH(Q49,'Assumptions &amp; FX Reference'!$A$5:$A$25,0)),"(Not stated)"))),"(FX rate not entered for this year)"),"(FX rate not entered for this year)")))</f>
        <v>4000</v>
      </c>
      <c r="V49" s="36">
        <f>IF(NOT(ISNUMBER(S49)),"(Not stated)",IF(NOT(ISNUMBER(Q49)),"(Cost year not stated / not a Jalali year)",IFERROR(IF(N(IF(R49="IRR",S49,IF(R49="USD",S49*INDEX('Assumptions &amp; FX Reference'!$B$5:$B$25,MATCH(Q49,'Assumptions &amp; FX Reference'!$A$5:$A$25,0)),IF(R49="EUR",S49*INDEX('Assumptions &amp; FX Reference'!$C$5:$C$25,MATCH(Q49,'Assumptions &amp; FX Reference'!$A$5:$A$25,0)),"(Not stated)"))))&gt;0,IF(R49="IRR",S49,IF(R49="USD",S49*INDEX('Assumptions &amp; FX Reference'!$B$5:$B$25,MATCH(Q49,'Assumptions &amp; FX Reference'!$A$5:$A$25,0)),IF(R49="EUR",S49*INDEX('Assumptions &amp; FX Reference'!$C$5:$C$25,MATCH(Q49,'Assumptions &amp; FX Reference'!$A$5:$A$25,0)),"(Not stated)"))),"(FX rate not entered for this year)"),"(FX rate not entered for this year)")))</f>
        <v>1680000000</v>
      </c>
      <c r="W49" s="19" t="s">
        <v>260</v>
      </c>
      <c r="X49" s="19" t="s">
        <v>132</v>
      </c>
      <c r="Y49" s="19" t="s">
        <v>133</v>
      </c>
      <c r="Z49" s="19" t="s">
        <v>377</v>
      </c>
      <c r="AA49" s="19" t="s">
        <v>378</v>
      </c>
      <c r="AB49" s="19" t="s">
        <v>110</v>
      </c>
    </row>
    <row r="50" spans="1:28" ht="109.5" hidden="1" customHeight="1" x14ac:dyDescent="0.25">
      <c r="A50" s="18">
        <v>46</v>
      </c>
      <c r="B50" s="19" t="s">
        <v>379</v>
      </c>
      <c r="C50" s="19" t="s">
        <v>127</v>
      </c>
      <c r="D50" s="19" t="s">
        <v>380</v>
      </c>
      <c r="E50" s="19" t="s">
        <v>229</v>
      </c>
      <c r="F50" s="19" t="s">
        <v>41</v>
      </c>
      <c r="G50" s="20">
        <v>19</v>
      </c>
      <c r="H50" s="19" t="s">
        <v>113</v>
      </c>
      <c r="I50" s="19" t="s">
        <v>381</v>
      </c>
      <c r="J50" s="19" t="s">
        <v>104</v>
      </c>
      <c r="K50" s="19" t="s">
        <v>104</v>
      </c>
      <c r="L50" s="19" t="s">
        <v>104</v>
      </c>
      <c r="M50" s="19" t="s">
        <v>104</v>
      </c>
      <c r="N50" s="19" t="s">
        <v>104</v>
      </c>
      <c r="O50" s="21" t="s">
        <v>104</v>
      </c>
      <c r="P50" s="19" t="s">
        <v>104</v>
      </c>
      <c r="Q50" s="22">
        <v>1402</v>
      </c>
      <c r="R50" s="23" t="s">
        <v>105</v>
      </c>
      <c r="S50" s="20">
        <v>840000000</v>
      </c>
      <c r="T50" s="36">
        <f>IF(NOT(ISNUMBER(S50)),"(Not stated)",IF(NOT(ISNUMBER(Q50)),"(Cost year not stated / not a Jalali year)",IFERROR(IF(N(IF(R50="EUR",S50,IF(R50="IRR",S50/INDEX('Assumptions &amp; FX Reference'!$C$5:$C$25,MATCH(Q50,'Assumptions &amp; FX Reference'!$A$5:$A$25,0)),IF(R50="USD",S50*INDEX('Assumptions &amp; FX Reference'!$B$5:$B$25,MATCH(Q50,'Assumptions &amp; FX Reference'!$A$5:$A$25,0))/INDEX('Assumptions &amp; FX Reference'!$C$5:$C$25,MATCH(Q50,'Assumptions &amp; FX Reference'!$A$5:$A$25,0)),"(Not stated)"))))&gt;0,IF(R50="EUR",S50,IF(R50="IRR",S50/INDEX('Assumptions &amp; FX Reference'!$C$5:$C$25,MATCH(Q50,'Assumptions &amp; FX Reference'!$A$5:$A$25,0)),IF(R50="USD",S50*INDEX('Assumptions &amp; FX Reference'!$B$5:$B$25,MATCH(Q50,'Assumptions &amp; FX Reference'!$A$5:$A$25,0))/INDEX('Assumptions &amp; FX Reference'!$C$5:$C$25,MATCH(Q50,'Assumptions &amp; FX Reference'!$A$5:$A$25,0)),"(Not stated)"))),"(FX rate not entered for this year)"),"(FX rate not entered for this year)")))</f>
        <v>1586.4022662889518</v>
      </c>
      <c r="U50" s="36">
        <f>IF(NOT(ISNUMBER(S50)),"(Not stated)",IF(NOT(ISNUMBER(Q50)),"(Cost year not stated / not a Jalali year)",IFERROR(IF(N(IF(R50="USD",S50,IF(R50="IRR",S50/INDEX('Assumptions &amp; FX Reference'!$B$5:$B$25,MATCH(Q50,'Assumptions &amp; FX Reference'!$A$5:$A$25,0)),IF(R50="EUR",S50*INDEX('Assumptions &amp; FX Reference'!$C$5:$C$25,MATCH(Q50,'Assumptions &amp; FX Reference'!$A$5:$A$25,0))/INDEX('Assumptions &amp; FX Reference'!$B$5:$B$25,MATCH(Q50,'Assumptions &amp; FX Reference'!$A$5:$A$25,0)),"(Not stated)"))))&gt;0,IF(R50="USD",S50,IF(R50="IRR",S50/INDEX('Assumptions &amp; FX Reference'!$B$5:$B$25,MATCH(Q50,'Assumptions &amp; FX Reference'!$A$5:$A$25,0)),IF(R50="EUR",S50*INDEX('Assumptions &amp; FX Reference'!$C$5:$C$25,MATCH(Q50,'Assumptions &amp; FX Reference'!$A$5:$A$25,0))/INDEX('Assumptions &amp; FX Reference'!$B$5:$B$25,MATCH(Q50,'Assumptions &amp; FX Reference'!$A$5:$A$25,0)),"(Not stated)"))),"(FX rate not entered for this year)"),"(FX rate not entered for this year)")))</f>
        <v>2000</v>
      </c>
      <c r="V50" s="36">
        <f>IF(NOT(ISNUMBER(S50)),"(Not stated)",IF(NOT(ISNUMBER(Q50)),"(Cost year not stated / not a Jalali year)",IFERROR(IF(N(IF(R50="IRR",S50,IF(R50="USD",S50*INDEX('Assumptions &amp; FX Reference'!$B$5:$B$25,MATCH(Q50,'Assumptions &amp; FX Reference'!$A$5:$A$25,0)),IF(R50="EUR",S50*INDEX('Assumptions &amp; FX Reference'!$C$5:$C$25,MATCH(Q50,'Assumptions &amp; FX Reference'!$A$5:$A$25,0)),"(Not stated)"))))&gt;0,IF(R50="IRR",S50,IF(R50="USD",S50*INDEX('Assumptions &amp; FX Reference'!$B$5:$B$25,MATCH(Q50,'Assumptions &amp; FX Reference'!$A$5:$A$25,0)),IF(R50="EUR",S50*INDEX('Assumptions &amp; FX Reference'!$C$5:$C$25,MATCH(Q50,'Assumptions &amp; FX Reference'!$A$5:$A$25,0)),"(Not stated)"))),"(FX rate not entered for this year)"),"(FX rate not entered for this year)")))</f>
        <v>840000000</v>
      </c>
      <c r="W50" s="19" t="s">
        <v>260</v>
      </c>
      <c r="X50" s="19" t="s">
        <v>132</v>
      </c>
      <c r="Y50" s="19" t="s">
        <v>133</v>
      </c>
      <c r="Z50" s="19" t="s">
        <v>382</v>
      </c>
      <c r="AA50" s="19" t="s">
        <v>383</v>
      </c>
      <c r="AB50" s="19" t="s">
        <v>110</v>
      </c>
    </row>
    <row r="51" spans="1:28" ht="109.5" hidden="1" customHeight="1" x14ac:dyDescent="0.25">
      <c r="A51" s="18">
        <v>47</v>
      </c>
      <c r="B51" s="19" t="s">
        <v>384</v>
      </c>
      <c r="C51" s="19" t="s">
        <v>127</v>
      </c>
      <c r="D51" s="19" t="s">
        <v>385</v>
      </c>
      <c r="E51" s="19" t="s">
        <v>229</v>
      </c>
      <c r="F51" s="19" t="s">
        <v>43</v>
      </c>
      <c r="G51" s="20">
        <v>8</v>
      </c>
      <c r="H51" s="19" t="s">
        <v>113</v>
      </c>
      <c r="I51" s="19" t="s">
        <v>386</v>
      </c>
      <c r="J51" s="19" t="s">
        <v>104</v>
      </c>
      <c r="K51" s="19" t="s">
        <v>104</v>
      </c>
      <c r="L51" s="19" t="s">
        <v>104</v>
      </c>
      <c r="M51" s="19" t="s">
        <v>104</v>
      </c>
      <c r="N51" s="19" t="s">
        <v>104</v>
      </c>
      <c r="O51" s="21" t="s">
        <v>104</v>
      </c>
      <c r="P51" s="19" t="s">
        <v>104</v>
      </c>
      <c r="Q51" s="22">
        <v>1402</v>
      </c>
      <c r="R51" s="23" t="s">
        <v>105</v>
      </c>
      <c r="S51" s="20">
        <v>37307176.726323098</v>
      </c>
      <c r="T51" s="36">
        <f>IF(NOT(ISNUMBER(S51)),"(Not stated)",IF(NOT(ISNUMBER(Q51)),"(Cost year not stated / not a Jalali year)",IFERROR(IF(N(IF(R51="EUR",S51,IF(R51="IRR",S51/INDEX('Assumptions &amp; FX Reference'!$C$5:$C$25,MATCH(Q51,'Assumptions &amp; FX Reference'!$A$5:$A$25,0)),IF(R51="USD",S51*INDEX('Assumptions &amp; FX Reference'!$B$5:$B$25,MATCH(Q51,'Assumptions &amp; FX Reference'!$A$5:$A$25,0))/INDEX('Assumptions &amp; FX Reference'!$C$5:$C$25,MATCH(Q51,'Assumptions &amp; FX Reference'!$A$5:$A$25,0)),"(Not stated)"))))&gt;0,IF(R51="EUR",S51,IF(R51="IRR",S51/INDEX('Assumptions &amp; FX Reference'!$C$5:$C$25,MATCH(Q51,'Assumptions &amp; FX Reference'!$A$5:$A$25,0)),IF(R51="USD",S51*INDEX('Assumptions &amp; FX Reference'!$B$5:$B$25,MATCH(Q51,'Assumptions &amp; FX Reference'!$A$5:$A$25,0))/INDEX('Assumptions &amp; FX Reference'!$C$5:$C$25,MATCH(Q51,'Assumptions &amp; FX Reference'!$A$5:$A$25,0)),"(Not stated)"))),"(FX rate not entered for this year)"),"(FX rate not entered for this year)")))</f>
        <v>70.457368699382627</v>
      </c>
      <c r="U51" s="36">
        <f>IF(NOT(ISNUMBER(S51)),"(Not stated)",IF(NOT(ISNUMBER(Q51)),"(Cost year not stated / not a Jalali year)",IFERROR(IF(N(IF(R51="USD",S51,IF(R51="IRR",S51/INDEX('Assumptions &amp; FX Reference'!$B$5:$B$25,MATCH(Q51,'Assumptions &amp; FX Reference'!$A$5:$A$25,0)),IF(R51="EUR",S51*INDEX('Assumptions &amp; FX Reference'!$C$5:$C$25,MATCH(Q51,'Assumptions &amp; FX Reference'!$A$5:$A$25,0))/INDEX('Assumptions &amp; FX Reference'!$B$5:$B$25,MATCH(Q51,'Assumptions &amp; FX Reference'!$A$5:$A$25,0)),"(Not stated)"))))&gt;0,IF(R51="USD",S51,IF(R51="IRR",S51/INDEX('Assumptions &amp; FX Reference'!$B$5:$B$25,MATCH(Q51,'Assumptions &amp; FX Reference'!$A$5:$A$25,0)),IF(R51="EUR",S51*INDEX('Assumptions &amp; FX Reference'!$C$5:$C$25,MATCH(Q51,'Assumptions &amp; FX Reference'!$A$5:$A$25,0))/INDEX('Assumptions &amp; FX Reference'!$B$5:$B$25,MATCH(Q51,'Assumptions &amp; FX Reference'!$A$5:$A$25,0)),"(Not stated)"))),"(FX rate not entered for this year)"),"(FX rate not entered for this year)")))</f>
        <v>88.826611253150233</v>
      </c>
      <c r="V51" s="36">
        <f>IF(NOT(ISNUMBER(S51)),"(Not stated)",IF(NOT(ISNUMBER(Q51)),"(Cost year not stated / not a Jalali year)",IFERROR(IF(N(IF(R51="IRR",S51,IF(R51="USD",S51*INDEX('Assumptions &amp; FX Reference'!$B$5:$B$25,MATCH(Q51,'Assumptions &amp; FX Reference'!$A$5:$A$25,0)),IF(R51="EUR",S51*INDEX('Assumptions &amp; FX Reference'!$C$5:$C$25,MATCH(Q51,'Assumptions &amp; FX Reference'!$A$5:$A$25,0)),"(Not stated)"))))&gt;0,IF(R51="IRR",S51,IF(R51="USD",S51*INDEX('Assumptions &amp; FX Reference'!$B$5:$B$25,MATCH(Q51,'Assumptions &amp; FX Reference'!$A$5:$A$25,0)),IF(R51="EUR",S51*INDEX('Assumptions &amp; FX Reference'!$C$5:$C$25,MATCH(Q51,'Assumptions &amp; FX Reference'!$A$5:$A$25,0)),"(Not stated)"))),"(FX rate not entered for this year)"),"(FX rate not entered for this year)")))</f>
        <v>37307176.726323098</v>
      </c>
      <c r="W51" s="19" t="s">
        <v>260</v>
      </c>
      <c r="X51" s="19" t="s">
        <v>132</v>
      </c>
      <c r="Y51" s="19" t="s">
        <v>133</v>
      </c>
      <c r="Z51" s="19" t="s">
        <v>387</v>
      </c>
      <c r="AA51" s="19" t="s">
        <v>388</v>
      </c>
      <c r="AB51" s="19" t="s">
        <v>110</v>
      </c>
    </row>
    <row r="52" spans="1:28" ht="109.5" hidden="1" customHeight="1" x14ac:dyDescent="0.25">
      <c r="A52" s="18">
        <v>48</v>
      </c>
      <c r="B52" s="19" t="s">
        <v>389</v>
      </c>
      <c r="C52" s="19" t="s">
        <v>127</v>
      </c>
      <c r="D52" s="19" t="s">
        <v>390</v>
      </c>
      <c r="E52" s="19" t="s">
        <v>229</v>
      </c>
      <c r="F52" s="19" t="s">
        <v>45</v>
      </c>
      <c r="G52" s="20">
        <v>2</v>
      </c>
      <c r="H52" s="19" t="s">
        <v>113</v>
      </c>
      <c r="I52" s="19" t="s">
        <v>391</v>
      </c>
      <c r="J52" s="19" t="s">
        <v>104</v>
      </c>
      <c r="K52" s="19" t="s">
        <v>104</v>
      </c>
      <c r="L52" s="19" t="s">
        <v>104</v>
      </c>
      <c r="M52" s="19" t="s">
        <v>104</v>
      </c>
      <c r="N52" s="19" t="s">
        <v>104</v>
      </c>
      <c r="O52" s="21" t="s">
        <v>104</v>
      </c>
      <c r="P52" s="19" t="s">
        <v>104</v>
      </c>
      <c r="Q52" s="22">
        <v>1402</v>
      </c>
      <c r="R52" s="23" t="s">
        <v>105</v>
      </c>
      <c r="S52" s="20">
        <v>532959667.51890099</v>
      </c>
      <c r="T52" s="36">
        <f>IF(NOT(ISNUMBER(S52)),"(Not stated)",IF(NOT(ISNUMBER(Q52)),"(Cost year not stated / not a Jalali year)",IFERROR(IF(N(IF(R52="EUR",S52,IF(R52="IRR",S52/INDEX('Assumptions &amp; FX Reference'!$C$5:$C$25,MATCH(Q52,'Assumptions &amp; FX Reference'!$A$5:$A$25,0)),IF(R52="USD",S52*INDEX('Assumptions &amp; FX Reference'!$B$5:$B$25,MATCH(Q52,'Assumptions &amp; FX Reference'!$A$5:$A$25,0))/INDEX('Assumptions &amp; FX Reference'!$C$5:$C$25,MATCH(Q52,'Assumptions &amp; FX Reference'!$A$5:$A$25,0)),"(Not stated)"))))&gt;0,IF(R52="EUR",S52,IF(R52="IRR",S52/INDEX('Assumptions &amp; FX Reference'!$C$5:$C$25,MATCH(Q52,'Assumptions &amp; FX Reference'!$A$5:$A$25,0)),IF(R52="USD",S52*INDEX('Assumptions &amp; FX Reference'!$B$5:$B$25,MATCH(Q52,'Assumptions &amp; FX Reference'!$A$5:$A$25,0))/INDEX('Assumptions &amp; FX Reference'!$C$5:$C$25,MATCH(Q52,'Assumptions &amp; FX Reference'!$A$5:$A$25,0)),"(Not stated)"))),"(FX rate not entered for this year)"),"(FX rate not entered for this year)")))</f>
        <v>1006.5338385626081</v>
      </c>
      <c r="U52" s="36">
        <f>IF(NOT(ISNUMBER(S52)),"(Not stated)",IF(NOT(ISNUMBER(Q52)),"(Cost year not stated / not a Jalali year)",IFERROR(IF(N(IF(R52="USD",S52,IF(R52="IRR",S52/INDEX('Assumptions &amp; FX Reference'!$B$5:$B$25,MATCH(Q52,'Assumptions &amp; FX Reference'!$A$5:$A$25,0)),IF(R52="EUR",S52*INDEX('Assumptions &amp; FX Reference'!$C$5:$C$25,MATCH(Q52,'Assumptions &amp; FX Reference'!$A$5:$A$25,0))/INDEX('Assumptions &amp; FX Reference'!$B$5:$B$25,MATCH(Q52,'Assumptions &amp; FX Reference'!$A$5:$A$25,0)),"(Not stated)"))))&gt;0,IF(R52="USD",S52,IF(R52="IRR",S52/INDEX('Assumptions &amp; FX Reference'!$B$5:$B$25,MATCH(Q52,'Assumptions &amp; FX Reference'!$A$5:$A$25,0)),IF(R52="EUR",S52*INDEX('Assumptions &amp; FX Reference'!$C$5:$C$25,MATCH(Q52,'Assumptions &amp; FX Reference'!$A$5:$A$25,0))/INDEX('Assumptions &amp; FX Reference'!$B$5:$B$25,MATCH(Q52,'Assumptions &amp; FX Reference'!$A$5:$A$25,0)),"(Not stated)"))),"(FX rate not entered for this year)"),"(FX rate not entered for this year)")))</f>
        <v>1268.9515893307166</v>
      </c>
      <c r="V52" s="36">
        <f>IF(NOT(ISNUMBER(S52)),"(Not stated)",IF(NOT(ISNUMBER(Q52)),"(Cost year not stated / not a Jalali year)",IFERROR(IF(N(IF(R52="IRR",S52,IF(R52="USD",S52*INDEX('Assumptions &amp; FX Reference'!$B$5:$B$25,MATCH(Q52,'Assumptions &amp; FX Reference'!$A$5:$A$25,0)),IF(R52="EUR",S52*INDEX('Assumptions &amp; FX Reference'!$C$5:$C$25,MATCH(Q52,'Assumptions &amp; FX Reference'!$A$5:$A$25,0)),"(Not stated)"))))&gt;0,IF(R52="IRR",S52,IF(R52="USD",S52*INDEX('Assumptions &amp; FX Reference'!$B$5:$B$25,MATCH(Q52,'Assumptions &amp; FX Reference'!$A$5:$A$25,0)),IF(R52="EUR",S52*INDEX('Assumptions &amp; FX Reference'!$C$5:$C$25,MATCH(Q52,'Assumptions &amp; FX Reference'!$A$5:$A$25,0)),"(Not stated)"))),"(FX rate not entered for this year)"),"(FX rate not entered for this year)")))</f>
        <v>532959667.51890099</v>
      </c>
      <c r="W52" s="19" t="s">
        <v>260</v>
      </c>
      <c r="X52" s="19" t="s">
        <v>132</v>
      </c>
      <c r="Y52" s="19" t="s">
        <v>133</v>
      </c>
      <c r="Z52" s="19" t="s">
        <v>392</v>
      </c>
      <c r="AA52" s="19" t="s">
        <v>393</v>
      </c>
      <c r="AB52" s="19" t="s">
        <v>110</v>
      </c>
    </row>
    <row r="53" spans="1:28" ht="109.5" hidden="1" customHeight="1" x14ac:dyDescent="0.25">
      <c r="A53" s="18">
        <v>49</v>
      </c>
      <c r="B53" s="19" t="s">
        <v>394</v>
      </c>
      <c r="C53" s="19" t="s">
        <v>127</v>
      </c>
      <c r="D53" s="19" t="s">
        <v>395</v>
      </c>
      <c r="E53" s="19" t="s">
        <v>229</v>
      </c>
      <c r="F53" s="19" t="s">
        <v>45</v>
      </c>
      <c r="G53" s="20">
        <v>2</v>
      </c>
      <c r="H53" s="19" t="s">
        <v>113</v>
      </c>
      <c r="I53" s="19" t="s">
        <v>396</v>
      </c>
      <c r="J53" s="19" t="s">
        <v>104</v>
      </c>
      <c r="K53" s="19" t="s">
        <v>104</v>
      </c>
      <c r="L53" s="19" t="s">
        <v>104</v>
      </c>
      <c r="M53" s="19" t="s">
        <v>104</v>
      </c>
      <c r="N53" s="19" t="s">
        <v>104</v>
      </c>
      <c r="O53" s="21" t="s">
        <v>104</v>
      </c>
      <c r="P53" s="19" t="s">
        <v>104</v>
      </c>
      <c r="Q53" s="22">
        <v>1402</v>
      </c>
      <c r="R53" s="23" t="s">
        <v>105</v>
      </c>
      <c r="S53" s="20">
        <v>5329596675.1890097</v>
      </c>
      <c r="T53" s="36">
        <f>IF(NOT(ISNUMBER(S53)),"(Not stated)",IF(NOT(ISNUMBER(Q53)),"(Cost year not stated / not a Jalali year)",IFERROR(IF(N(IF(R53="EUR",S53,IF(R53="IRR",S53/INDEX('Assumptions &amp; FX Reference'!$C$5:$C$25,MATCH(Q53,'Assumptions &amp; FX Reference'!$A$5:$A$25,0)),IF(R53="USD",S53*INDEX('Assumptions &amp; FX Reference'!$B$5:$B$25,MATCH(Q53,'Assumptions &amp; FX Reference'!$A$5:$A$25,0))/INDEX('Assumptions &amp; FX Reference'!$C$5:$C$25,MATCH(Q53,'Assumptions &amp; FX Reference'!$A$5:$A$25,0)),"(Not stated)"))))&gt;0,IF(R53="EUR",S53,IF(R53="IRR",S53/INDEX('Assumptions &amp; FX Reference'!$C$5:$C$25,MATCH(Q53,'Assumptions &amp; FX Reference'!$A$5:$A$25,0)),IF(R53="USD",S53*INDEX('Assumptions &amp; FX Reference'!$B$5:$B$25,MATCH(Q53,'Assumptions &amp; FX Reference'!$A$5:$A$25,0))/INDEX('Assumptions &amp; FX Reference'!$C$5:$C$25,MATCH(Q53,'Assumptions &amp; FX Reference'!$A$5:$A$25,0)),"(Not stated)"))),"(FX rate not entered for this year)"),"(FX rate not entered for this year)")))</f>
        <v>10065.338385626081</v>
      </c>
      <c r="U53" s="36">
        <f>IF(NOT(ISNUMBER(S53)),"(Not stated)",IF(NOT(ISNUMBER(Q53)),"(Cost year not stated / not a Jalali year)",IFERROR(IF(N(IF(R53="USD",S53,IF(R53="IRR",S53/INDEX('Assumptions &amp; FX Reference'!$B$5:$B$25,MATCH(Q53,'Assumptions &amp; FX Reference'!$A$5:$A$25,0)),IF(R53="EUR",S53*INDEX('Assumptions &amp; FX Reference'!$C$5:$C$25,MATCH(Q53,'Assumptions &amp; FX Reference'!$A$5:$A$25,0))/INDEX('Assumptions &amp; FX Reference'!$B$5:$B$25,MATCH(Q53,'Assumptions &amp; FX Reference'!$A$5:$A$25,0)),"(Not stated)"))))&gt;0,IF(R53="USD",S53,IF(R53="IRR",S53/INDEX('Assumptions &amp; FX Reference'!$B$5:$B$25,MATCH(Q53,'Assumptions &amp; FX Reference'!$A$5:$A$25,0)),IF(R53="EUR",S53*INDEX('Assumptions &amp; FX Reference'!$C$5:$C$25,MATCH(Q53,'Assumptions &amp; FX Reference'!$A$5:$A$25,0))/INDEX('Assumptions &amp; FX Reference'!$B$5:$B$25,MATCH(Q53,'Assumptions &amp; FX Reference'!$A$5:$A$25,0)),"(Not stated)"))),"(FX rate not entered for this year)"),"(FX rate not entered for this year)")))</f>
        <v>12689.515893307165</v>
      </c>
      <c r="V53" s="36">
        <f>IF(NOT(ISNUMBER(S53)),"(Not stated)",IF(NOT(ISNUMBER(Q53)),"(Cost year not stated / not a Jalali year)",IFERROR(IF(N(IF(R53="IRR",S53,IF(R53="USD",S53*INDEX('Assumptions &amp; FX Reference'!$B$5:$B$25,MATCH(Q53,'Assumptions &amp; FX Reference'!$A$5:$A$25,0)),IF(R53="EUR",S53*INDEX('Assumptions &amp; FX Reference'!$C$5:$C$25,MATCH(Q53,'Assumptions &amp; FX Reference'!$A$5:$A$25,0)),"(Not stated)"))))&gt;0,IF(R53="IRR",S53,IF(R53="USD",S53*INDEX('Assumptions &amp; FX Reference'!$B$5:$B$25,MATCH(Q53,'Assumptions &amp; FX Reference'!$A$5:$A$25,0)),IF(R53="EUR",S53*INDEX('Assumptions &amp; FX Reference'!$C$5:$C$25,MATCH(Q53,'Assumptions &amp; FX Reference'!$A$5:$A$25,0)),"(Not stated)"))),"(FX rate not entered for this year)"),"(FX rate not entered for this year)")))</f>
        <v>5329596675.1890097</v>
      </c>
      <c r="W53" s="19" t="s">
        <v>260</v>
      </c>
      <c r="X53" s="19" t="s">
        <v>132</v>
      </c>
      <c r="Y53" s="19" t="s">
        <v>133</v>
      </c>
      <c r="Z53" s="19" t="s">
        <v>397</v>
      </c>
      <c r="AA53" s="19" t="s">
        <v>398</v>
      </c>
      <c r="AB53" s="19" t="s">
        <v>110</v>
      </c>
    </row>
    <row r="54" spans="1:28" ht="109.5" hidden="1" customHeight="1" x14ac:dyDescent="0.25">
      <c r="A54" s="18">
        <v>50</v>
      </c>
      <c r="B54" s="19" t="s">
        <v>399</v>
      </c>
      <c r="C54" s="19" t="s">
        <v>127</v>
      </c>
      <c r="D54" s="19" t="s">
        <v>400</v>
      </c>
      <c r="E54" s="19" t="s">
        <v>229</v>
      </c>
      <c r="F54" s="19" t="s">
        <v>45</v>
      </c>
      <c r="G54" s="20">
        <v>10</v>
      </c>
      <c r="H54" s="19" t="s">
        <v>113</v>
      </c>
      <c r="I54" s="19" t="s">
        <v>401</v>
      </c>
      <c r="J54" s="19" t="s">
        <v>104</v>
      </c>
      <c r="K54" s="19" t="s">
        <v>104</v>
      </c>
      <c r="L54" s="19" t="s">
        <v>104</v>
      </c>
      <c r="M54" s="19" t="s">
        <v>104</v>
      </c>
      <c r="N54" s="19" t="s">
        <v>104</v>
      </c>
      <c r="O54" s="21" t="s">
        <v>104</v>
      </c>
      <c r="P54" s="19" t="s">
        <v>104</v>
      </c>
      <c r="Q54" s="22">
        <v>1402</v>
      </c>
      <c r="R54" s="23" t="s">
        <v>105</v>
      </c>
      <c r="S54" s="20">
        <v>6300000000</v>
      </c>
      <c r="T54" s="36">
        <f>IF(NOT(ISNUMBER(S54)),"(Not stated)",IF(NOT(ISNUMBER(Q54)),"(Cost year not stated / not a Jalali year)",IFERROR(IF(N(IF(R54="EUR",S54,IF(R54="IRR",S54/INDEX('Assumptions &amp; FX Reference'!$C$5:$C$25,MATCH(Q54,'Assumptions &amp; FX Reference'!$A$5:$A$25,0)),IF(R54="USD",S54*INDEX('Assumptions &amp; FX Reference'!$B$5:$B$25,MATCH(Q54,'Assumptions &amp; FX Reference'!$A$5:$A$25,0))/INDEX('Assumptions &amp; FX Reference'!$C$5:$C$25,MATCH(Q54,'Assumptions &amp; FX Reference'!$A$5:$A$25,0)),"(Not stated)"))))&gt;0,IF(R54="EUR",S54,IF(R54="IRR",S54/INDEX('Assumptions &amp; FX Reference'!$C$5:$C$25,MATCH(Q54,'Assumptions &amp; FX Reference'!$A$5:$A$25,0)),IF(R54="USD",S54*INDEX('Assumptions &amp; FX Reference'!$B$5:$B$25,MATCH(Q54,'Assumptions &amp; FX Reference'!$A$5:$A$25,0))/INDEX('Assumptions &amp; FX Reference'!$C$5:$C$25,MATCH(Q54,'Assumptions &amp; FX Reference'!$A$5:$A$25,0)),"(Not stated)"))),"(FX rate not entered for this year)"),"(FX rate not entered for this year)")))</f>
        <v>11898.016997167138</v>
      </c>
      <c r="U54" s="36">
        <f>IF(NOT(ISNUMBER(S54)),"(Not stated)",IF(NOT(ISNUMBER(Q54)),"(Cost year not stated / not a Jalali year)",IFERROR(IF(N(IF(R54="USD",S54,IF(R54="IRR",S54/INDEX('Assumptions &amp; FX Reference'!$B$5:$B$25,MATCH(Q54,'Assumptions &amp; FX Reference'!$A$5:$A$25,0)),IF(R54="EUR",S54*INDEX('Assumptions &amp; FX Reference'!$C$5:$C$25,MATCH(Q54,'Assumptions &amp; FX Reference'!$A$5:$A$25,0))/INDEX('Assumptions &amp; FX Reference'!$B$5:$B$25,MATCH(Q54,'Assumptions &amp; FX Reference'!$A$5:$A$25,0)),"(Not stated)"))))&gt;0,IF(R54="USD",S54,IF(R54="IRR",S54/INDEX('Assumptions &amp; FX Reference'!$B$5:$B$25,MATCH(Q54,'Assumptions &amp; FX Reference'!$A$5:$A$25,0)),IF(R54="EUR",S54*INDEX('Assumptions &amp; FX Reference'!$C$5:$C$25,MATCH(Q54,'Assumptions &amp; FX Reference'!$A$5:$A$25,0))/INDEX('Assumptions &amp; FX Reference'!$B$5:$B$25,MATCH(Q54,'Assumptions &amp; FX Reference'!$A$5:$A$25,0)),"(Not stated)"))),"(FX rate not entered for this year)"),"(FX rate not entered for this year)")))</f>
        <v>15000</v>
      </c>
      <c r="V54" s="36">
        <f>IF(NOT(ISNUMBER(S54)),"(Not stated)",IF(NOT(ISNUMBER(Q54)),"(Cost year not stated / not a Jalali year)",IFERROR(IF(N(IF(R54="IRR",S54,IF(R54="USD",S54*INDEX('Assumptions &amp; FX Reference'!$B$5:$B$25,MATCH(Q54,'Assumptions &amp; FX Reference'!$A$5:$A$25,0)),IF(R54="EUR",S54*INDEX('Assumptions &amp; FX Reference'!$C$5:$C$25,MATCH(Q54,'Assumptions &amp; FX Reference'!$A$5:$A$25,0)),"(Not stated)"))))&gt;0,IF(R54="IRR",S54,IF(R54="USD",S54*INDEX('Assumptions &amp; FX Reference'!$B$5:$B$25,MATCH(Q54,'Assumptions &amp; FX Reference'!$A$5:$A$25,0)),IF(R54="EUR",S54*INDEX('Assumptions &amp; FX Reference'!$C$5:$C$25,MATCH(Q54,'Assumptions &amp; FX Reference'!$A$5:$A$25,0)),"(Not stated)"))),"(FX rate not entered for this year)"),"(FX rate not entered for this year)")))</f>
        <v>6300000000</v>
      </c>
      <c r="W54" s="19" t="s">
        <v>260</v>
      </c>
      <c r="X54" s="19" t="s">
        <v>132</v>
      </c>
      <c r="Y54" s="19" t="s">
        <v>133</v>
      </c>
      <c r="Z54" s="19" t="s">
        <v>402</v>
      </c>
      <c r="AA54" s="19" t="s">
        <v>403</v>
      </c>
      <c r="AB54" s="19" t="s">
        <v>110</v>
      </c>
    </row>
    <row r="55" spans="1:28" ht="109.5" hidden="1" customHeight="1" x14ac:dyDescent="0.25">
      <c r="A55" s="18">
        <v>51</v>
      </c>
      <c r="B55" s="19" t="s">
        <v>404</v>
      </c>
      <c r="C55" s="19" t="s">
        <v>127</v>
      </c>
      <c r="D55" s="19" t="s">
        <v>405</v>
      </c>
      <c r="E55" s="19" t="s">
        <v>229</v>
      </c>
      <c r="F55" s="19" t="s">
        <v>45</v>
      </c>
      <c r="G55" s="20">
        <v>40</v>
      </c>
      <c r="H55" s="19" t="s">
        <v>113</v>
      </c>
      <c r="I55" s="19" t="s">
        <v>406</v>
      </c>
      <c r="J55" s="19" t="s">
        <v>104</v>
      </c>
      <c r="K55" s="19" t="s">
        <v>104</v>
      </c>
      <c r="L55" s="19" t="s">
        <v>104</v>
      </c>
      <c r="M55" s="19" t="s">
        <v>104</v>
      </c>
      <c r="N55" s="19" t="s">
        <v>104</v>
      </c>
      <c r="O55" s="21" t="s">
        <v>104</v>
      </c>
      <c r="P55" s="19" t="s">
        <v>104</v>
      </c>
      <c r="Q55" s="22">
        <v>1402</v>
      </c>
      <c r="R55" s="23" t="s">
        <v>105</v>
      </c>
      <c r="S55" s="20">
        <v>4263677.3401512103</v>
      </c>
      <c r="T55" s="36">
        <f>IF(NOT(ISNUMBER(S55)),"(Not stated)",IF(NOT(ISNUMBER(Q55)),"(Cost year not stated / not a Jalali year)",IFERROR(IF(N(IF(R55="EUR",S55,IF(R55="IRR",S55/INDEX('Assumptions &amp; FX Reference'!$C$5:$C$25,MATCH(Q55,'Assumptions &amp; FX Reference'!$A$5:$A$25,0)),IF(R55="USD",S55*INDEX('Assumptions &amp; FX Reference'!$B$5:$B$25,MATCH(Q55,'Assumptions &amp; FX Reference'!$A$5:$A$25,0))/INDEX('Assumptions &amp; FX Reference'!$C$5:$C$25,MATCH(Q55,'Assumptions &amp; FX Reference'!$A$5:$A$25,0)),"(Not stated)"))))&gt;0,IF(R55="EUR",S55,IF(R55="IRR",S55/INDEX('Assumptions &amp; FX Reference'!$C$5:$C$25,MATCH(Q55,'Assumptions &amp; FX Reference'!$A$5:$A$25,0)),IF(R55="USD",S55*INDEX('Assumptions &amp; FX Reference'!$B$5:$B$25,MATCH(Q55,'Assumptions &amp; FX Reference'!$A$5:$A$25,0))/INDEX('Assumptions &amp; FX Reference'!$C$5:$C$25,MATCH(Q55,'Assumptions &amp; FX Reference'!$A$5:$A$25,0)),"(Not stated)"))),"(FX rate not entered for this year)"),"(FX rate not entered for this year)")))</f>
        <v>8.0522707085008687</v>
      </c>
      <c r="U55" s="36">
        <f>IF(NOT(ISNUMBER(S55)),"(Not stated)",IF(NOT(ISNUMBER(Q55)),"(Cost year not stated / not a Jalali year)",IFERROR(IF(N(IF(R55="USD",S55,IF(R55="IRR",S55/INDEX('Assumptions &amp; FX Reference'!$B$5:$B$25,MATCH(Q55,'Assumptions &amp; FX Reference'!$A$5:$A$25,0)),IF(R55="EUR",S55*INDEX('Assumptions &amp; FX Reference'!$C$5:$C$25,MATCH(Q55,'Assumptions &amp; FX Reference'!$A$5:$A$25,0))/INDEX('Assumptions &amp; FX Reference'!$B$5:$B$25,MATCH(Q55,'Assumptions &amp; FX Reference'!$A$5:$A$25,0)),"(Not stated)"))))&gt;0,IF(R55="USD",S55,IF(R55="IRR",S55/INDEX('Assumptions &amp; FX Reference'!$B$5:$B$25,MATCH(Q55,'Assumptions &amp; FX Reference'!$A$5:$A$25,0)),IF(R55="EUR",S55*INDEX('Assumptions &amp; FX Reference'!$C$5:$C$25,MATCH(Q55,'Assumptions &amp; FX Reference'!$A$5:$A$25,0))/INDEX('Assumptions &amp; FX Reference'!$B$5:$B$25,MATCH(Q55,'Assumptions &amp; FX Reference'!$A$5:$A$25,0)),"(Not stated)"))),"(FX rate not entered for this year)"),"(FX rate not entered for this year)")))</f>
        <v>10.151612714645738</v>
      </c>
      <c r="V55" s="36">
        <f>IF(NOT(ISNUMBER(S55)),"(Not stated)",IF(NOT(ISNUMBER(Q55)),"(Cost year not stated / not a Jalali year)",IFERROR(IF(N(IF(R55="IRR",S55,IF(R55="USD",S55*INDEX('Assumptions &amp; FX Reference'!$B$5:$B$25,MATCH(Q55,'Assumptions &amp; FX Reference'!$A$5:$A$25,0)),IF(R55="EUR",S55*INDEX('Assumptions &amp; FX Reference'!$C$5:$C$25,MATCH(Q55,'Assumptions &amp; FX Reference'!$A$5:$A$25,0)),"(Not stated)"))))&gt;0,IF(R55="IRR",S55,IF(R55="USD",S55*INDEX('Assumptions &amp; FX Reference'!$B$5:$B$25,MATCH(Q55,'Assumptions &amp; FX Reference'!$A$5:$A$25,0)),IF(R55="EUR",S55*INDEX('Assumptions &amp; FX Reference'!$C$5:$C$25,MATCH(Q55,'Assumptions &amp; FX Reference'!$A$5:$A$25,0)),"(Not stated)"))),"(FX rate not entered for this year)"),"(FX rate not entered for this year)")))</f>
        <v>4263677.3401512103</v>
      </c>
      <c r="W55" s="19" t="s">
        <v>260</v>
      </c>
      <c r="X55" s="19" t="s">
        <v>132</v>
      </c>
      <c r="Y55" s="19" t="s">
        <v>133</v>
      </c>
      <c r="Z55" s="19" t="s">
        <v>407</v>
      </c>
      <c r="AA55" s="19" t="s">
        <v>408</v>
      </c>
      <c r="AB55" s="19" t="s">
        <v>110</v>
      </c>
    </row>
    <row r="56" spans="1:28" ht="109.5" hidden="1" customHeight="1" x14ac:dyDescent="0.25">
      <c r="A56" s="18">
        <v>52</v>
      </c>
      <c r="B56" s="19" t="s">
        <v>409</v>
      </c>
      <c r="C56" s="19" t="s">
        <v>127</v>
      </c>
      <c r="D56" s="19" t="s">
        <v>410</v>
      </c>
      <c r="E56" s="19" t="s">
        <v>229</v>
      </c>
      <c r="F56" s="19" t="s">
        <v>45</v>
      </c>
      <c r="G56" s="20">
        <v>200</v>
      </c>
      <c r="H56" s="19" t="s">
        <v>113</v>
      </c>
      <c r="I56" s="19" t="s">
        <v>411</v>
      </c>
      <c r="J56" s="19" t="s">
        <v>104</v>
      </c>
      <c r="K56" s="19" t="s">
        <v>104</v>
      </c>
      <c r="L56" s="19" t="s">
        <v>104</v>
      </c>
      <c r="M56" s="19" t="s">
        <v>104</v>
      </c>
      <c r="N56" s="19" t="s">
        <v>104</v>
      </c>
      <c r="O56" s="21" t="s">
        <v>104</v>
      </c>
      <c r="P56" s="19" t="s">
        <v>104</v>
      </c>
      <c r="Q56" s="22">
        <v>1402</v>
      </c>
      <c r="R56" s="23" t="s">
        <v>105</v>
      </c>
      <c r="S56" s="20">
        <v>2131838.6700756</v>
      </c>
      <c r="T56" s="36">
        <f>IF(NOT(ISNUMBER(S56)),"(Not stated)",IF(NOT(ISNUMBER(Q56)),"(Cost year not stated / not a Jalali year)",IFERROR(IF(N(IF(R56="EUR",S56,IF(R56="IRR",S56/INDEX('Assumptions &amp; FX Reference'!$C$5:$C$25,MATCH(Q56,'Assumptions &amp; FX Reference'!$A$5:$A$25,0)),IF(R56="USD",S56*INDEX('Assumptions &amp; FX Reference'!$B$5:$B$25,MATCH(Q56,'Assumptions &amp; FX Reference'!$A$5:$A$25,0))/INDEX('Assumptions &amp; FX Reference'!$C$5:$C$25,MATCH(Q56,'Assumptions &amp; FX Reference'!$A$5:$A$25,0)),"(Not stated)"))))&gt;0,IF(R56="EUR",S56,IF(R56="IRR",S56/INDEX('Assumptions &amp; FX Reference'!$C$5:$C$25,MATCH(Q56,'Assumptions &amp; FX Reference'!$A$5:$A$25,0)),IF(R56="USD",S56*INDEX('Assumptions &amp; FX Reference'!$B$5:$B$25,MATCH(Q56,'Assumptions &amp; FX Reference'!$A$5:$A$25,0))/INDEX('Assumptions &amp; FX Reference'!$C$5:$C$25,MATCH(Q56,'Assumptions &amp; FX Reference'!$A$5:$A$25,0)),"(Not stated)"))),"(FX rate not entered for this year)"),"(FX rate not entered for this year)")))</f>
        <v>4.0261353542504246</v>
      </c>
      <c r="U56" s="36">
        <f>IF(NOT(ISNUMBER(S56)),"(Not stated)",IF(NOT(ISNUMBER(Q56)),"(Cost year not stated / not a Jalali year)",IFERROR(IF(N(IF(R56="USD",S56,IF(R56="IRR",S56/INDEX('Assumptions &amp; FX Reference'!$B$5:$B$25,MATCH(Q56,'Assumptions &amp; FX Reference'!$A$5:$A$25,0)),IF(R56="EUR",S56*INDEX('Assumptions &amp; FX Reference'!$C$5:$C$25,MATCH(Q56,'Assumptions &amp; FX Reference'!$A$5:$A$25,0))/INDEX('Assumptions &amp; FX Reference'!$B$5:$B$25,MATCH(Q56,'Assumptions &amp; FX Reference'!$A$5:$A$25,0)),"(Not stated)"))))&gt;0,IF(R56="USD",S56,IF(R56="IRR",S56/INDEX('Assumptions &amp; FX Reference'!$B$5:$B$25,MATCH(Q56,'Assumptions &amp; FX Reference'!$A$5:$A$25,0)),IF(R56="EUR",S56*INDEX('Assumptions &amp; FX Reference'!$C$5:$C$25,MATCH(Q56,'Assumptions &amp; FX Reference'!$A$5:$A$25,0))/INDEX('Assumptions &amp; FX Reference'!$B$5:$B$25,MATCH(Q56,'Assumptions &amp; FX Reference'!$A$5:$A$25,0)),"(Not stated)"))),"(FX rate not entered for this year)"),"(FX rate not entered for this year)")))</f>
        <v>5.0758063573228576</v>
      </c>
      <c r="V56" s="36">
        <f>IF(NOT(ISNUMBER(S56)),"(Not stated)",IF(NOT(ISNUMBER(Q56)),"(Cost year not stated / not a Jalali year)",IFERROR(IF(N(IF(R56="IRR",S56,IF(R56="USD",S56*INDEX('Assumptions &amp; FX Reference'!$B$5:$B$25,MATCH(Q56,'Assumptions &amp; FX Reference'!$A$5:$A$25,0)),IF(R56="EUR",S56*INDEX('Assumptions &amp; FX Reference'!$C$5:$C$25,MATCH(Q56,'Assumptions &amp; FX Reference'!$A$5:$A$25,0)),"(Not stated)"))))&gt;0,IF(R56="IRR",S56,IF(R56="USD",S56*INDEX('Assumptions &amp; FX Reference'!$B$5:$B$25,MATCH(Q56,'Assumptions &amp; FX Reference'!$A$5:$A$25,0)),IF(R56="EUR",S56*INDEX('Assumptions &amp; FX Reference'!$C$5:$C$25,MATCH(Q56,'Assumptions &amp; FX Reference'!$A$5:$A$25,0)),"(Not stated)"))),"(FX rate not entered for this year)"),"(FX rate not entered for this year)")))</f>
        <v>2131838.6700756</v>
      </c>
      <c r="W56" s="19" t="s">
        <v>260</v>
      </c>
      <c r="X56" s="19" t="s">
        <v>132</v>
      </c>
      <c r="Y56" s="19" t="s">
        <v>133</v>
      </c>
      <c r="Z56" s="19" t="s">
        <v>412</v>
      </c>
      <c r="AA56" s="19" t="s">
        <v>413</v>
      </c>
      <c r="AB56" s="19" t="s">
        <v>110</v>
      </c>
    </row>
    <row r="57" spans="1:28" ht="109.5" hidden="1" customHeight="1" x14ac:dyDescent="0.25">
      <c r="A57" s="18">
        <v>53</v>
      </c>
      <c r="B57" s="19" t="s">
        <v>414</v>
      </c>
      <c r="C57" s="19" t="s">
        <v>127</v>
      </c>
      <c r="D57" s="19" t="s">
        <v>415</v>
      </c>
      <c r="E57" s="19" t="s">
        <v>229</v>
      </c>
      <c r="F57" s="19" t="s">
        <v>45</v>
      </c>
      <c r="G57" s="20">
        <v>1</v>
      </c>
      <c r="H57" s="19" t="s">
        <v>416</v>
      </c>
      <c r="I57" s="19" t="s">
        <v>417</v>
      </c>
      <c r="J57" s="19" t="s">
        <v>104</v>
      </c>
      <c r="K57" s="19" t="s">
        <v>104</v>
      </c>
      <c r="L57" s="19" t="s">
        <v>104</v>
      </c>
      <c r="M57" s="19" t="s">
        <v>104</v>
      </c>
      <c r="N57" s="19" t="s">
        <v>104</v>
      </c>
      <c r="O57" s="21" t="s">
        <v>104</v>
      </c>
      <c r="P57" s="19" t="s">
        <v>104</v>
      </c>
      <c r="Q57" s="22">
        <v>1402</v>
      </c>
      <c r="R57" s="23" t="s">
        <v>105</v>
      </c>
      <c r="S57" s="20">
        <v>4200000000</v>
      </c>
      <c r="T57" s="36">
        <f>IF(NOT(ISNUMBER(S57)),"(Not stated)",IF(NOT(ISNUMBER(Q57)),"(Cost year not stated / not a Jalali year)",IFERROR(IF(N(IF(R57="EUR",S57,IF(R57="IRR",S57/INDEX('Assumptions &amp; FX Reference'!$C$5:$C$25,MATCH(Q57,'Assumptions &amp; FX Reference'!$A$5:$A$25,0)),IF(R57="USD",S57*INDEX('Assumptions &amp; FX Reference'!$B$5:$B$25,MATCH(Q57,'Assumptions &amp; FX Reference'!$A$5:$A$25,0))/INDEX('Assumptions &amp; FX Reference'!$C$5:$C$25,MATCH(Q57,'Assumptions &amp; FX Reference'!$A$5:$A$25,0)),"(Not stated)"))))&gt;0,IF(R57="EUR",S57,IF(R57="IRR",S57/INDEX('Assumptions &amp; FX Reference'!$C$5:$C$25,MATCH(Q57,'Assumptions &amp; FX Reference'!$A$5:$A$25,0)),IF(R57="USD",S57*INDEX('Assumptions &amp; FX Reference'!$B$5:$B$25,MATCH(Q57,'Assumptions &amp; FX Reference'!$A$5:$A$25,0))/INDEX('Assumptions &amp; FX Reference'!$C$5:$C$25,MATCH(Q57,'Assumptions &amp; FX Reference'!$A$5:$A$25,0)),"(Not stated)"))),"(FX rate not entered for this year)"),"(FX rate not entered for this year)")))</f>
        <v>7932.011331444759</v>
      </c>
      <c r="U57" s="36">
        <f>IF(NOT(ISNUMBER(S57)),"(Not stated)",IF(NOT(ISNUMBER(Q57)),"(Cost year not stated / not a Jalali year)",IFERROR(IF(N(IF(R57="USD",S57,IF(R57="IRR",S57/INDEX('Assumptions &amp; FX Reference'!$B$5:$B$25,MATCH(Q57,'Assumptions &amp; FX Reference'!$A$5:$A$25,0)),IF(R57="EUR",S57*INDEX('Assumptions &amp; FX Reference'!$C$5:$C$25,MATCH(Q57,'Assumptions &amp; FX Reference'!$A$5:$A$25,0))/INDEX('Assumptions &amp; FX Reference'!$B$5:$B$25,MATCH(Q57,'Assumptions &amp; FX Reference'!$A$5:$A$25,0)),"(Not stated)"))))&gt;0,IF(R57="USD",S57,IF(R57="IRR",S57/INDEX('Assumptions &amp; FX Reference'!$B$5:$B$25,MATCH(Q57,'Assumptions &amp; FX Reference'!$A$5:$A$25,0)),IF(R57="EUR",S57*INDEX('Assumptions &amp; FX Reference'!$C$5:$C$25,MATCH(Q57,'Assumptions &amp; FX Reference'!$A$5:$A$25,0))/INDEX('Assumptions &amp; FX Reference'!$B$5:$B$25,MATCH(Q57,'Assumptions &amp; FX Reference'!$A$5:$A$25,0)),"(Not stated)"))),"(FX rate not entered for this year)"),"(FX rate not entered for this year)")))</f>
        <v>10000</v>
      </c>
      <c r="V57" s="36">
        <f>IF(NOT(ISNUMBER(S57)),"(Not stated)",IF(NOT(ISNUMBER(Q57)),"(Cost year not stated / not a Jalali year)",IFERROR(IF(N(IF(R57="IRR",S57,IF(R57="USD",S57*INDEX('Assumptions &amp; FX Reference'!$B$5:$B$25,MATCH(Q57,'Assumptions &amp; FX Reference'!$A$5:$A$25,0)),IF(R57="EUR",S57*INDEX('Assumptions &amp; FX Reference'!$C$5:$C$25,MATCH(Q57,'Assumptions &amp; FX Reference'!$A$5:$A$25,0)),"(Not stated)"))))&gt;0,IF(R57="IRR",S57,IF(R57="USD",S57*INDEX('Assumptions &amp; FX Reference'!$B$5:$B$25,MATCH(Q57,'Assumptions &amp; FX Reference'!$A$5:$A$25,0)),IF(R57="EUR",S57*INDEX('Assumptions &amp; FX Reference'!$C$5:$C$25,MATCH(Q57,'Assumptions &amp; FX Reference'!$A$5:$A$25,0)),"(Not stated)"))),"(FX rate not entered for this year)"),"(FX rate not entered for this year)")))</f>
        <v>4200000000</v>
      </c>
      <c r="W57" s="19" t="s">
        <v>260</v>
      </c>
      <c r="X57" s="19" t="s">
        <v>132</v>
      </c>
      <c r="Y57" s="19" t="s">
        <v>133</v>
      </c>
      <c r="Z57" s="19" t="s">
        <v>418</v>
      </c>
      <c r="AA57" s="19" t="s">
        <v>419</v>
      </c>
      <c r="AB57" s="19" t="s">
        <v>110</v>
      </c>
    </row>
    <row r="58" spans="1:28" ht="109.5" hidden="1" customHeight="1" x14ac:dyDescent="0.25">
      <c r="A58" s="18">
        <v>54</v>
      </c>
      <c r="B58" s="19" t="s">
        <v>420</v>
      </c>
      <c r="C58" s="19" t="s">
        <v>207</v>
      </c>
      <c r="D58" s="19" t="s">
        <v>421</v>
      </c>
      <c r="E58" s="19" t="s">
        <v>229</v>
      </c>
      <c r="F58" s="19" t="s">
        <v>41</v>
      </c>
      <c r="G58" s="20">
        <v>13</v>
      </c>
      <c r="H58" s="19" t="s">
        <v>104</v>
      </c>
      <c r="I58" s="19" t="s">
        <v>422</v>
      </c>
      <c r="J58" s="19" t="s">
        <v>331</v>
      </c>
      <c r="K58" s="19" t="s">
        <v>104</v>
      </c>
      <c r="L58" s="19" t="s">
        <v>104</v>
      </c>
      <c r="M58" s="19" t="s">
        <v>104</v>
      </c>
      <c r="N58" s="19" t="s">
        <v>104</v>
      </c>
      <c r="O58" s="21" t="s">
        <v>104</v>
      </c>
      <c r="P58" s="19" t="s">
        <v>104</v>
      </c>
      <c r="Q58" s="22">
        <v>1392</v>
      </c>
      <c r="R58" s="23" t="s">
        <v>105</v>
      </c>
      <c r="S58" s="20">
        <v>29400000</v>
      </c>
      <c r="T58" s="36">
        <f>IF(NOT(ISNUMBER(S58)),"(Not stated)",IF(NOT(ISNUMBER(Q58)),"(Cost year not stated / not a Jalali year)",IFERROR(IF(N(IF(R58="EUR",S58,IF(R58="IRR",S58/INDEX('Assumptions &amp; FX Reference'!$C$5:$C$25,MATCH(Q58,'Assumptions &amp; FX Reference'!$A$5:$A$25,0)),IF(R58="USD",S58*INDEX('Assumptions &amp; FX Reference'!$B$5:$B$25,MATCH(Q58,'Assumptions &amp; FX Reference'!$A$5:$A$25,0))/INDEX('Assumptions &amp; FX Reference'!$C$5:$C$25,MATCH(Q58,'Assumptions &amp; FX Reference'!$A$5:$A$25,0)),"(Not stated)"))))&gt;0,IF(R58="EUR",S58,IF(R58="IRR",S58/INDEX('Assumptions &amp; FX Reference'!$C$5:$C$25,MATCH(Q58,'Assumptions &amp; FX Reference'!$A$5:$A$25,0)),IF(R58="USD",S58*INDEX('Assumptions &amp; FX Reference'!$B$5:$B$25,MATCH(Q58,'Assumptions &amp; FX Reference'!$A$5:$A$25,0))/INDEX('Assumptions &amp; FX Reference'!$C$5:$C$25,MATCH(Q58,'Assumptions &amp; FX Reference'!$A$5:$A$25,0)),"(Not stated)"))),"(FX rate not entered for this year)"),"(FX rate not entered for this year)")))</f>
        <v>700</v>
      </c>
      <c r="U58" s="36">
        <f>IF(NOT(ISNUMBER(S58)),"(Not stated)",IF(NOT(ISNUMBER(Q58)),"(Cost year not stated / not a Jalali year)",IFERROR(IF(N(IF(R58="USD",S58,IF(R58="IRR",S58/INDEX('Assumptions &amp; FX Reference'!$B$5:$B$25,MATCH(Q58,'Assumptions &amp; FX Reference'!$A$5:$A$25,0)),IF(R58="EUR",S58*INDEX('Assumptions &amp; FX Reference'!$C$5:$C$25,MATCH(Q58,'Assumptions &amp; FX Reference'!$A$5:$A$25,0))/INDEX('Assumptions &amp; FX Reference'!$B$5:$B$25,MATCH(Q58,'Assumptions &amp; FX Reference'!$A$5:$A$25,0)),"(Not stated)"))))&gt;0,IF(R58="USD",S58,IF(R58="IRR",S58/INDEX('Assumptions &amp; FX Reference'!$B$5:$B$25,MATCH(Q58,'Assumptions &amp; FX Reference'!$A$5:$A$25,0)),IF(R58="EUR",S58*INDEX('Assumptions &amp; FX Reference'!$C$5:$C$25,MATCH(Q58,'Assumptions &amp; FX Reference'!$A$5:$A$25,0))/INDEX('Assumptions &amp; FX Reference'!$B$5:$B$25,MATCH(Q58,'Assumptions &amp; FX Reference'!$A$5:$A$25,0)),"(Not stated)"))),"(FX rate not entered for this year)"),"(FX rate not entered for this year)")))</f>
        <v>809.91735537190084</v>
      </c>
      <c r="V58" s="36">
        <f>IF(NOT(ISNUMBER(S58)),"(Not stated)",IF(NOT(ISNUMBER(Q58)),"(Cost year not stated / not a Jalali year)",IFERROR(IF(N(IF(R58="IRR",S58,IF(R58="USD",S58*INDEX('Assumptions &amp; FX Reference'!$B$5:$B$25,MATCH(Q58,'Assumptions &amp; FX Reference'!$A$5:$A$25,0)),IF(R58="EUR",S58*INDEX('Assumptions &amp; FX Reference'!$C$5:$C$25,MATCH(Q58,'Assumptions &amp; FX Reference'!$A$5:$A$25,0)),"(Not stated)"))))&gt;0,IF(R58="IRR",S58,IF(R58="USD",S58*INDEX('Assumptions &amp; FX Reference'!$B$5:$B$25,MATCH(Q58,'Assumptions &amp; FX Reference'!$A$5:$A$25,0)),IF(R58="EUR",S58*INDEX('Assumptions &amp; FX Reference'!$C$5:$C$25,MATCH(Q58,'Assumptions &amp; FX Reference'!$A$5:$A$25,0)),"(Not stated)"))),"(FX rate not entered for this year)"),"(FX rate not entered for this year)")))</f>
        <v>29400000</v>
      </c>
      <c r="W58" s="19" t="s">
        <v>423</v>
      </c>
      <c r="X58" s="19" t="s">
        <v>104</v>
      </c>
      <c r="Y58" s="19" t="s">
        <v>104</v>
      </c>
      <c r="Z58" s="19" t="s">
        <v>424</v>
      </c>
      <c r="AA58" s="19" t="s">
        <v>425</v>
      </c>
      <c r="AB58" s="19" t="s">
        <v>110</v>
      </c>
    </row>
    <row r="59" spans="1:28" ht="109.5" hidden="1" customHeight="1" x14ac:dyDescent="0.25">
      <c r="A59" s="18">
        <v>55</v>
      </c>
      <c r="B59" s="19" t="s">
        <v>426</v>
      </c>
      <c r="C59" s="19" t="s">
        <v>207</v>
      </c>
      <c r="D59" s="19" t="s">
        <v>427</v>
      </c>
      <c r="E59" s="19" t="s">
        <v>229</v>
      </c>
      <c r="F59" s="19" t="s">
        <v>41</v>
      </c>
      <c r="G59" s="20">
        <v>15</v>
      </c>
      <c r="H59" s="19" t="s">
        <v>104</v>
      </c>
      <c r="I59" s="19" t="s">
        <v>428</v>
      </c>
      <c r="J59" s="19" t="s">
        <v>331</v>
      </c>
      <c r="K59" s="19" t="s">
        <v>104</v>
      </c>
      <c r="L59" s="19" t="s">
        <v>104</v>
      </c>
      <c r="M59" s="19" t="s">
        <v>104</v>
      </c>
      <c r="N59" s="19" t="s">
        <v>104</v>
      </c>
      <c r="O59" s="21" t="s">
        <v>104</v>
      </c>
      <c r="P59" s="19" t="s">
        <v>104</v>
      </c>
      <c r="Q59" s="22">
        <v>1392</v>
      </c>
      <c r="R59" s="23" t="s">
        <v>105</v>
      </c>
      <c r="S59" s="20">
        <v>44100000</v>
      </c>
      <c r="T59" s="36">
        <f>IF(NOT(ISNUMBER(S59)),"(Not stated)",IF(NOT(ISNUMBER(Q59)),"(Cost year not stated / not a Jalali year)",IFERROR(IF(N(IF(R59="EUR",S59,IF(R59="IRR",S59/INDEX('Assumptions &amp; FX Reference'!$C$5:$C$25,MATCH(Q59,'Assumptions &amp; FX Reference'!$A$5:$A$25,0)),IF(R59="USD",S59*INDEX('Assumptions &amp; FX Reference'!$B$5:$B$25,MATCH(Q59,'Assumptions &amp; FX Reference'!$A$5:$A$25,0))/INDEX('Assumptions &amp; FX Reference'!$C$5:$C$25,MATCH(Q59,'Assumptions &amp; FX Reference'!$A$5:$A$25,0)),"(Not stated)"))))&gt;0,IF(R59="EUR",S59,IF(R59="IRR",S59/INDEX('Assumptions &amp; FX Reference'!$C$5:$C$25,MATCH(Q59,'Assumptions &amp; FX Reference'!$A$5:$A$25,0)),IF(R59="USD",S59*INDEX('Assumptions &amp; FX Reference'!$B$5:$B$25,MATCH(Q59,'Assumptions &amp; FX Reference'!$A$5:$A$25,0))/INDEX('Assumptions &amp; FX Reference'!$C$5:$C$25,MATCH(Q59,'Assumptions &amp; FX Reference'!$A$5:$A$25,0)),"(Not stated)"))),"(FX rate not entered for this year)"),"(FX rate not entered for this year)")))</f>
        <v>1050</v>
      </c>
      <c r="U59" s="36">
        <f>IF(NOT(ISNUMBER(S59)),"(Not stated)",IF(NOT(ISNUMBER(Q59)),"(Cost year not stated / not a Jalali year)",IFERROR(IF(N(IF(R59="USD",S59,IF(R59="IRR",S59/INDEX('Assumptions &amp; FX Reference'!$B$5:$B$25,MATCH(Q59,'Assumptions &amp; FX Reference'!$A$5:$A$25,0)),IF(R59="EUR",S59*INDEX('Assumptions &amp; FX Reference'!$C$5:$C$25,MATCH(Q59,'Assumptions &amp; FX Reference'!$A$5:$A$25,0))/INDEX('Assumptions &amp; FX Reference'!$B$5:$B$25,MATCH(Q59,'Assumptions &amp; FX Reference'!$A$5:$A$25,0)),"(Not stated)"))))&gt;0,IF(R59="USD",S59,IF(R59="IRR",S59/INDEX('Assumptions &amp; FX Reference'!$B$5:$B$25,MATCH(Q59,'Assumptions &amp; FX Reference'!$A$5:$A$25,0)),IF(R59="EUR",S59*INDEX('Assumptions &amp; FX Reference'!$C$5:$C$25,MATCH(Q59,'Assumptions &amp; FX Reference'!$A$5:$A$25,0))/INDEX('Assumptions &amp; FX Reference'!$B$5:$B$25,MATCH(Q59,'Assumptions &amp; FX Reference'!$A$5:$A$25,0)),"(Not stated)"))),"(FX rate not entered for this year)"),"(FX rate not entered for this year)")))</f>
        <v>1214.8760330578511</v>
      </c>
      <c r="V59" s="36">
        <f>IF(NOT(ISNUMBER(S59)),"(Not stated)",IF(NOT(ISNUMBER(Q59)),"(Cost year not stated / not a Jalali year)",IFERROR(IF(N(IF(R59="IRR",S59,IF(R59="USD",S59*INDEX('Assumptions &amp; FX Reference'!$B$5:$B$25,MATCH(Q59,'Assumptions &amp; FX Reference'!$A$5:$A$25,0)),IF(R59="EUR",S59*INDEX('Assumptions &amp; FX Reference'!$C$5:$C$25,MATCH(Q59,'Assumptions &amp; FX Reference'!$A$5:$A$25,0)),"(Not stated)"))))&gt;0,IF(R59="IRR",S59,IF(R59="USD",S59*INDEX('Assumptions &amp; FX Reference'!$B$5:$B$25,MATCH(Q59,'Assumptions &amp; FX Reference'!$A$5:$A$25,0)),IF(R59="EUR",S59*INDEX('Assumptions &amp; FX Reference'!$C$5:$C$25,MATCH(Q59,'Assumptions &amp; FX Reference'!$A$5:$A$25,0)),"(Not stated)"))),"(FX rate not entered for this year)"),"(FX rate not entered for this year)")))</f>
        <v>44100000</v>
      </c>
      <c r="W59" s="19" t="s">
        <v>423</v>
      </c>
      <c r="X59" s="19" t="s">
        <v>104</v>
      </c>
      <c r="Y59" s="19" t="s">
        <v>104</v>
      </c>
      <c r="Z59" s="19" t="s">
        <v>429</v>
      </c>
      <c r="AA59" s="19" t="s">
        <v>430</v>
      </c>
      <c r="AB59" s="19" t="s">
        <v>110</v>
      </c>
    </row>
    <row r="60" spans="1:28" ht="109.5" hidden="1" customHeight="1" x14ac:dyDescent="0.25">
      <c r="A60" s="18">
        <v>56</v>
      </c>
      <c r="B60" s="19" t="s">
        <v>431</v>
      </c>
      <c r="C60" s="19" t="s">
        <v>207</v>
      </c>
      <c r="D60" s="19" t="s">
        <v>432</v>
      </c>
      <c r="E60" s="19" t="s">
        <v>229</v>
      </c>
      <c r="F60" s="19" t="s">
        <v>43</v>
      </c>
      <c r="G60" s="20">
        <v>20</v>
      </c>
      <c r="H60" s="19" t="s">
        <v>104</v>
      </c>
      <c r="I60" s="19" t="s">
        <v>433</v>
      </c>
      <c r="J60" s="19" t="s">
        <v>348</v>
      </c>
      <c r="K60" s="19" t="s">
        <v>104</v>
      </c>
      <c r="L60" s="19" t="s">
        <v>104</v>
      </c>
      <c r="M60" s="19" t="s">
        <v>104</v>
      </c>
      <c r="N60" s="19" t="s">
        <v>104</v>
      </c>
      <c r="O60" s="21" t="s">
        <v>104</v>
      </c>
      <c r="P60" s="19" t="s">
        <v>104</v>
      </c>
      <c r="Q60" s="22">
        <v>1392</v>
      </c>
      <c r="R60" s="23" t="s">
        <v>105</v>
      </c>
      <c r="S60" s="20">
        <v>2520000</v>
      </c>
      <c r="T60" s="36">
        <f>IF(NOT(ISNUMBER(S60)),"(Not stated)",IF(NOT(ISNUMBER(Q60)),"(Cost year not stated / not a Jalali year)",IFERROR(IF(N(IF(R60="EUR",S60,IF(R60="IRR",S60/INDEX('Assumptions &amp; FX Reference'!$C$5:$C$25,MATCH(Q60,'Assumptions &amp; FX Reference'!$A$5:$A$25,0)),IF(R60="USD",S60*INDEX('Assumptions &amp; FX Reference'!$B$5:$B$25,MATCH(Q60,'Assumptions &amp; FX Reference'!$A$5:$A$25,0))/INDEX('Assumptions &amp; FX Reference'!$C$5:$C$25,MATCH(Q60,'Assumptions &amp; FX Reference'!$A$5:$A$25,0)),"(Not stated)"))))&gt;0,IF(R60="EUR",S60,IF(R60="IRR",S60/INDEX('Assumptions &amp; FX Reference'!$C$5:$C$25,MATCH(Q60,'Assumptions &amp; FX Reference'!$A$5:$A$25,0)),IF(R60="USD",S60*INDEX('Assumptions &amp; FX Reference'!$B$5:$B$25,MATCH(Q60,'Assumptions &amp; FX Reference'!$A$5:$A$25,0))/INDEX('Assumptions &amp; FX Reference'!$C$5:$C$25,MATCH(Q60,'Assumptions &amp; FX Reference'!$A$5:$A$25,0)),"(Not stated)"))),"(FX rate not entered for this year)"),"(FX rate not entered for this year)")))</f>
        <v>60</v>
      </c>
      <c r="U60" s="36">
        <f>IF(NOT(ISNUMBER(S60)),"(Not stated)",IF(NOT(ISNUMBER(Q60)),"(Cost year not stated / not a Jalali year)",IFERROR(IF(N(IF(R60="USD",S60,IF(R60="IRR",S60/INDEX('Assumptions &amp; FX Reference'!$B$5:$B$25,MATCH(Q60,'Assumptions &amp; FX Reference'!$A$5:$A$25,0)),IF(R60="EUR",S60*INDEX('Assumptions &amp; FX Reference'!$C$5:$C$25,MATCH(Q60,'Assumptions &amp; FX Reference'!$A$5:$A$25,0))/INDEX('Assumptions &amp; FX Reference'!$B$5:$B$25,MATCH(Q60,'Assumptions &amp; FX Reference'!$A$5:$A$25,0)),"(Not stated)"))))&gt;0,IF(R60="USD",S60,IF(R60="IRR",S60/INDEX('Assumptions &amp; FX Reference'!$B$5:$B$25,MATCH(Q60,'Assumptions &amp; FX Reference'!$A$5:$A$25,0)),IF(R60="EUR",S60*INDEX('Assumptions &amp; FX Reference'!$C$5:$C$25,MATCH(Q60,'Assumptions &amp; FX Reference'!$A$5:$A$25,0))/INDEX('Assumptions &amp; FX Reference'!$B$5:$B$25,MATCH(Q60,'Assumptions &amp; FX Reference'!$A$5:$A$25,0)),"(Not stated)"))),"(FX rate not entered for this year)"),"(FX rate not entered for this year)")))</f>
        <v>69.421487603305792</v>
      </c>
      <c r="V60" s="36">
        <f>IF(NOT(ISNUMBER(S60)),"(Not stated)",IF(NOT(ISNUMBER(Q60)),"(Cost year not stated / not a Jalali year)",IFERROR(IF(N(IF(R60="IRR",S60,IF(R60="USD",S60*INDEX('Assumptions &amp; FX Reference'!$B$5:$B$25,MATCH(Q60,'Assumptions &amp; FX Reference'!$A$5:$A$25,0)),IF(R60="EUR",S60*INDEX('Assumptions &amp; FX Reference'!$C$5:$C$25,MATCH(Q60,'Assumptions &amp; FX Reference'!$A$5:$A$25,0)),"(Not stated)"))))&gt;0,IF(R60="IRR",S60,IF(R60="USD",S60*INDEX('Assumptions &amp; FX Reference'!$B$5:$B$25,MATCH(Q60,'Assumptions &amp; FX Reference'!$A$5:$A$25,0)),IF(R60="EUR",S60*INDEX('Assumptions &amp; FX Reference'!$C$5:$C$25,MATCH(Q60,'Assumptions &amp; FX Reference'!$A$5:$A$25,0)),"(Not stated)"))),"(FX rate not entered for this year)"),"(FX rate not entered for this year)")))</f>
        <v>2520000</v>
      </c>
      <c r="W60" s="19" t="s">
        <v>423</v>
      </c>
      <c r="X60" s="19" t="s">
        <v>104</v>
      </c>
      <c r="Y60" s="19" t="s">
        <v>104</v>
      </c>
      <c r="Z60" s="19" t="s">
        <v>434</v>
      </c>
      <c r="AA60" s="19" t="s">
        <v>435</v>
      </c>
      <c r="AB60" s="19" t="s">
        <v>110</v>
      </c>
    </row>
    <row r="61" spans="1:28" ht="109.5" hidden="1" customHeight="1" x14ac:dyDescent="0.25">
      <c r="A61" s="18">
        <v>57</v>
      </c>
      <c r="B61" s="19" t="s">
        <v>436</v>
      </c>
      <c r="C61" s="19" t="s">
        <v>207</v>
      </c>
      <c r="D61" s="19" t="s">
        <v>437</v>
      </c>
      <c r="E61" s="19" t="s">
        <v>229</v>
      </c>
      <c r="F61" s="19" t="s">
        <v>43</v>
      </c>
      <c r="G61" s="20">
        <v>8</v>
      </c>
      <c r="H61" s="19" t="s">
        <v>104</v>
      </c>
      <c r="I61" s="19" t="s">
        <v>438</v>
      </c>
      <c r="J61" s="19" t="s">
        <v>354</v>
      </c>
      <c r="K61" s="19" t="s">
        <v>104</v>
      </c>
      <c r="L61" s="19" t="s">
        <v>104</v>
      </c>
      <c r="M61" s="19" t="s">
        <v>104</v>
      </c>
      <c r="N61" s="19" t="s">
        <v>104</v>
      </c>
      <c r="O61" s="21" t="s">
        <v>104</v>
      </c>
      <c r="P61" s="19" t="s">
        <v>104</v>
      </c>
      <c r="Q61" s="22">
        <v>1392</v>
      </c>
      <c r="R61" s="23" t="s">
        <v>105</v>
      </c>
      <c r="S61" s="20">
        <v>31500000</v>
      </c>
      <c r="T61" s="36">
        <f>IF(NOT(ISNUMBER(S61)),"(Not stated)",IF(NOT(ISNUMBER(Q61)),"(Cost year not stated / not a Jalali year)",IFERROR(IF(N(IF(R61="EUR",S61,IF(R61="IRR",S61/INDEX('Assumptions &amp; FX Reference'!$C$5:$C$25,MATCH(Q61,'Assumptions &amp; FX Reference'!$A$5:$A$25,0)),IF(R61="USD",S61*INDEX('Assumptions &amp; FX Reference'!$B$5:$B$25,MATCH(Q61,'Assumptions &amp; FX Reference'!$A$5:$A$25,0))/INDEX('Assumptions &amp; FX Reference'!$C$5:$C$25,MATCH(Q61,'Assumptions &amp; FX Reference'!$A$5:$A$25,0)),"(Not stated)"))))&gt;0,IF(R61="EUR",S61,IF(R61="IRR",S61/INDEX('Assumptions &amp; FX Reference'!$C$5:$C$25,MATCH(Q61,'Assumptions &amp; FX Reference'!$A$5:$A$25,0)),IF(R61="USD",S61*INDEX('Assumptions &amp; FX Reference'!$B$5:$B$25,MATCH(Q61,'Assumptions &amp; FX Reference'!$A$5:$A$25,0))/INDEX('Assumptions &amp; FX Reference'!$C$5:$C$25,MATCH(Q61,'Assumptions &amp; FX Reference'!$A$5:$A$25,0)),"(Not stated)"))),"(FX rate not entered for this year)"),"(FX rate not entered for this year)")))</f>
        <v>750</v>
      </c>
      <c r="U61" s="36">
        <f>IF(NOT(ISNUMBER(S61)),"(Not stated)",IF(NOT(ISNUMBER(Q61)),"(Cost year not stated / not a Jalali year)",IFERROR(IF(N(IF(R61="USD",S61,IF(R61="IRR",S61/INDEX('Assumptions &amp; FX Reference'!$B$5:$B$25,MATCH(Q61,'Assumptions &amp; FX Reference'!$A$5:$A$25,0)),IF(R61="EUR",S61*INDEX('Assumptions &amp; FX Reference'!$C$5:$C$25,MATCH(Q61,'Assumptions &amp; FX Reference'!$A$5:$A$25,0))/INDEX('Assumptions &amp; FX Reference'!$B$5:$B$25,MATCH(Q61,'Assumptions &amp; FX Reference'!$A$5:$A$25,0)),"(Not stated)"))))&gt;0,IF(R61="USD",S61,IF(R61="IRR",S61/INDEX('Assumptions &amp; FX Reference'!$B$5:$B$25,MATCH(Q61,'Assumptions &amp; FX Reference'!$A$5:$A$25,0)),IF(R61="EUR",S61*INDEX('Assumptions &amp; FX Reference'!$C$5:$C$25,MATCH(Q61,'Assumptions &amp; FX Reference'!$A$5:$A$25,0))/INDEX('Assumptions &amp; FX Reference'!$B$5:$B$25,MATCH(Q61,'Assumptions &amp; FX Reference'!$A$5:$A$25,0)),"(Not stated)"))),"(FX rate not entered for this year)"),"(FX rate not entered for this year)")))</f>
        <v>867.76859504132233</v>
      </c>
      <c r="V61" s="36">
        <f>IF(NOT(ISNUMBER(S61)),"(Not stated)",IF(NOT(ISNUMBER(Q61)),"(Cost year not stated / not a Jalali year)",IFERROR(IF(N(IF(R61="IRR",S61,IF(R61="USD",S61*INDEX('Assumptions &amp; FX Reference'!$B$5:$B$25,MATCH(Q61,'Assumptions &amp; FX Reference'!$A$5:$A$25,0)),IF(R61="EUR",S61*INDEX('Assumptions &amp; FX Reference'!$C$5:$C$25,MATCH(Q61,'Assumptions &amp; FX Reference'!$A$5:$A$25,0)),"(Not stated)"))))&gt;0,IF(R61="IRR",S61,IF(R61="USD",S61*INDEX('Assumptions &amp; FX Reference'!$B$5:$B$25,MATCH(Q61,'Assumptions &amp; FX Reference'!$A$5:$A$25,0)),IF(R61="EUR",S61*INDEX('Assumptions &amp; FX Reference'!$C$5:$C$25,MATCH(Q61,'Assumptions &amp; FX Reference'!$A$5:$A$25,0)),"(Not stated)"))),"(FX rate not entered for this year)"),"(FX rate not entered for this year)")))</f>
        <v>31500000</v>
      </c>
      <c r="W61" s="19" t="s">
        <v>423</v>
      </c>
      <c r="X61" s="19" t="s">
        <v>104</v>
      </c>
      <c r="Y61" s="19" t="s">
        <v>104</v>
      </c>
      <c r="Z61" s="19" t="s">
        <v>439</v>
      </c>
      <c r="AA61" s="19" t="s">
        <v>440</v>
      </c>
      <c r="AB61" s="19" t="s">
        <v>110</v>
      </c>
    </row>
    <row r="62" spans="1:28" ht="109.5" hidden="1" customHeight="1" x14ac:dyDescent="0.25">
      <c r="A62" s="18">
        <v>58</v>
      </c>
      <c r="B62" s="19" t="s">
        <v>441</v>
      </c>
      <c r="C62" s="19" t="s">
        <v>207</v>
      </c>
      <c r="D62" s="19" t="s">
        <v>442</v>
      </c>
      <c r="E62" s="19" t="s">
        <v>229</v>
      </c>
      <c r="F62" s="19" t="s">
        <v>43</v>
      </c>
      <c r="G62" s="20">
        <v>20</v>
      </c>
      <c r="H62" s="19" t="s">
        <v>104</v>
      </c>
      <c r="I62" s="19" t="s">
        <v>443</v>
      </c>
      <c r="J62" s="19" t="s">
        <v>360</v>
      </c>
      <c r="K62" s="19" t="s">
        <v>104</v>
      </c>
      <c r="L62" s="19" t="s">
        <v>104</v>
      </c>
      <c r="M62" s="19" t="s">
        <v>104</v>
      </c>
      <c r="N62" s="19" t="s">
        <v>104</v>
      </c>
      <c r="O62" s="21" t="s">
        <v>104</v>
      </c>
      <c r="P62" s="19" t="s">
        <v>104</v>
      </c>
      <c r="Q62" s="22">
        <v>1392</v>
      </c>
      <c r="R62" s="23" t="s">
        <v>105</v>
      </c>
      <c r="S62" s="20">
        <v>1890000</v>
      </c>
      <c r="T62" s="36">
        <f>IF(NOT(ISNUMBER(S62)),"(Not stated)",IF(NOT(ISNUMBER(Q62)),"(Cost year not stated / not a Jalali year)",IFERROR(IF(N(IF(R62="EUR",S62,IF(R62="IRR",S62/INDEX('Assumptions &amp; FX Reference'!$C$5:$C$25,MATCH(Q62,'Assumptions &amp; FX Reference'!$A$5:$A$25,0)),IF(R62="USD",S62*INDEX('Assumptions &amp; FX Reference'!$B$5:$B$25,MATCH(Q62,'Assumptions &amp; FX Reference'!$A$5:$A$25,0))/INDEX('Assumptions &amp; FX Reference'!$C$5:$C$25,MATCH(Q62,'Assumptions &amp; FX Reference'!$A$5:$A$25,0)),"(Not stated)"))))&gt;0,IF(R62="EUR",S62,IF(R62="IRR",S62/INDEX('Assumptions &amp; FX Reference'!$C$5:$C$25,MATCH(Q62,'Assumptions &amp; FX Reference'!$A$5:$A$25,0)),IF(R62="USD",S62*INDEX('Assumptions &amp; FX Reference'!$B$5:$B$25,MATCH(Q62,'Assumptions &amp; FX Reference'!$A$5:$A$25,0))/INDEX('Assumptions &amp; FX Reference'!$C$5:$C$25,MATCH(Q62,'Assumptions &amp; FX Reference'!$A$5:$A$25,0)),"(Not stated)"))),"(FX rate not entered for this year)"),"(FX rate not entered for this year)")))</f>
        <v>45</v>
      </c>
      <c r="U62" s="36">
        <f>IF(NOT(ISNUMBER(S62)),"(Not stated)",IF(NOT(ISNUMBER(Q62)),"(Cost year not stated / not a Jalali year)",IFERROR(IF(N(IF(R62="USD",S62,IF(R62="IRR",S62/INDEX('Assumptions &amp; FX Reference'!$B$5:$B$25,MATCH(Q62,'Assumptions &amp; FX Reference'!$A$5:$A$25,0)),IF(R62="EUR",S62*INDEX('Assumptions &amp; FX Reference'!$C$5:$C$25,MATCH(Q62,'Assumptions &amp; FX Reference'!$A$5:$A$25,0))/INDEX('Assumptions &amp; FX Reference'!$B$5:$B$25,MATCH(Q62,'Assumptions &amp; FX Reference'!$A$5:$A$25,0)),"(Not stated)"))))&gt;0,IF(R62="USD",S62,IF(R62="IRR",S62/INDEX('Assumptions &amp; FX Reference'!$B$5:$B$25,MATCH(Q62,'Assumptions &amp; FX Reference'!$A$5:$A$25,0)),IF(R62="EUR",S62*INDEX('Assumptions &amp; FX Reference'!$C$5:$C$25,MATCH(Q62,'Assumptions &amp; FX Reference'!$A$5:$A$25,0))/INDEX('Assumptions &amp; FX Reference'!$B$5:$B$25,MATCH(Q62,'Assumptions &amp; FX Reference'!$A$5:$A$25,0)),"(Not stated)"))),"(FX rate not entered for this year)"),"(FX rate not entered for this year)")))</f>
        <v>52.066115702479337</v>
      </c>
      <c r="V62" s="36">
        <f>IF(NOT(ISNUMBER(S62)),"(Not stated)",IF(NOT(ISNUMBER(Q62)),"(Cost year not stated / not a Jalali year)",IFERROR(IF(N(IF(R62="IRR",S62,IF(R62="USD",S62*INDEX('Assumptions &amp; FX Reference'!$B$5:$B$25,MATCH(Q62,'Assumptions &amp; FX Reference'!$A$5:$A$25,0)),IF(R62="EUR",S62*INDEX('Assumptions &amp; FX Reference'!$C$5:$C$25,MATCH(Q62,'Assumptions &amp; FX Reference'!$A$5:$A$25,0)),"(Not stated)"))))&gt;0,IF(R62="IRR",S62,IF(R62="USD",S62*INDEX('Assumptions &amp; FX Reference'!$B$5:$B$25,MATCH(Q62,'Assumptions &amp; FX Reference'!$A$5:$A$25,0)),IF(R62="EUR",S62*INDEX('Assumptions &amp; FX Reference'!$C$5:$C$25,MATCH(Q62,'Assumptions &amp; FX Reference'!$A$5:$A$25,0)),"(Not stated)"))),"(FX rate not entered for this year)"),"(FX rate not entered for this year)")))</f>
        <v>1890000</v>
      </c>
      <c r="W62" s="19" t="s">
        <v>423</v>
      </c>
      <c r="X62" s="19" t="s">
        <v>104</v>
      </c>
      <c r="Y62" s="19" t="s">
        <v>104</v>
      </c>
      <c r="Z62" s="19" t="s">
        <v>444</v>
      </c>
      <c r="AA62" s="19" t="s">
        <v>445</v>
      </c>
      <c r="AB62" s="19" t="s">
        <v>110</v>
      </c>
    </row>
    <row r="63" spans="1:28" ht="109.5" hidden="1" customHeight="1" x14ac:dyDescent="0.25">
      <c r="A63" s="18">
        <v>59</v>
      </c>
      <c r="B63" s="19" t="s">
        <v>446</v>
      </c>
      <c r="C63" s="19" t="s">
        <v>207</v>
      </c>
      <c r="D63" s="19" t="s">
        <v>447</v>
      </c>
      <c r="E63" s="19" t="s">
        <v>229</v>
      </c>
      <c r="F63" s="19" t="s">
        <v>43</v>
      </c>
      <c r="G63" s="20">
        <v>12</v>
      </c>
      <c r="H63" s="19" t="s">
        <v>104</v>
      </c>
      <c r="I63" s="19" t="s">
        <v>448</v>
      </c>
      <c r="J63" s="19" t="s">
        <v>366</v>
      </c>
      <c r="K63" s="19" t="s">
        <v>104</v>
      </c>
      <c r="L63" s="19" t="s">
        <v>104</v>
      </c>
      <c r="M63" s="19" t="s">
        <v>104</v>
      </c>
      <c r="N63" s="19" t="s">
        <v>104</v>
      </c>
      <c r="O63" s="21" t="s">
        <v>104</v>
      </c>
      <c r="P63" s="19" t="s">
        <v>104</v>
      </c>
      <c r="Q63" s="22">
        <v>1392</v>
      </c>
      <c r="R63" s="23" t="s">
        <v>105</v>
      </c>
      <c r="S63" s="20">
        <v>18900000</v>
      </c>
      <c r="T63" s="36">
        <f>IF(NOT(ISNUMBER(S63)),"(Not stated)",IF(NOT(ISNUMBER(Q63)),"(Cost year not stated / not a Jalali year)",IFERROR(IF(N(IF(R63="EUR",S63,IF(R63="IRR",S63/INDEX('Assumptions &amp; FX Reference'!$C$5:$C$25,MATCH(Q63,'Assumptions &amp; FX Reference'!$A$5:$A$25,0)),IF(R63="USD",S63*INDEX('Assumptions &amp; FX Reference'!$B$5:$B$25,MATCH(Q63,'Assumptions &amp; FX Reference'!$A$5:$A$25,0))/INDEX('Assumptions &amp; FX Reference'!$C$5:$C$25,MATCH(Q63,'Assumptions &amp; FX Reference'!$A$5:$A$25,0)),"(Not stated)"))))&gt;0,IF(R63="EUR",S63,IF(R63="IRR",S63/INDEX('Assumptions &amp; FX Reference'!$C$5:$C$25,MATCH(Q63,'Assumptions &amp; FX Reference'!$A$5:$A$25,0)),IF(R63="USD",S63*INDEX('Assumptions &amp; FX Reference'!$B$5:$B$25,MATCH(Q63,'Assumptions &amp; FX Reference'!$A$5:$A$25,0))/INDEX('Assumptions &amp; FX Reference'!$C$5:$C$25,MATCH(Q63,'Assumptions &amp; FX Reference'!$A$5:$A$25,0)),"(Not stated)"))),"(FX rate not entered for this year)"),"(FX rate not entered for this year)")))</f>
        <v>450</v>
      </c>
      <c r="U63" s="36">
        <f>IF(NOT(ISNUMBER(S63)),"(Not stated)",IF(NOT(ISNUMBER(Q63)),"(Cost year not stated / not a Jalali year)",IFERROR(IF(N(IF(R63="USD",S63,IF(R63="IRR",S63/INDEX('Assumptions &amp; FX Reference'!$B$5:$B$25,MATCH(Q63,'Assumptions &amp; FX Reference'!$A$5:$A$25,0)),IF(R63="EUR",S63*INDEX('Assumptions &amp; FX Reference'!$C$5:$C$25,MATCH(Q63,'Assumptions &amp; FX Reference'!$A$5:$A$25,0))/INDEX('Assumptions &amp; FX Reference'!$B$5:$B$25,MATCH(Q63,'Assumptions &amp; FX Reference'!$A$5:$A$25,0)),"(Not stated)"))))&gt;0,IF(R63="USD",S63,IF(R63="IRR",S63/INDEX('Assumptions &amp; FX Reference'!$B$5:$B$25,MATCH(Q63,'Assumptions &amp; FX Reference'!$A$5:$A$25,0)),IF(R63="EUR",S63*INDEX('Assumptions &amp; FX Reference'!$C$5:$C$25,MATCH(Q63,'Assumptions &amp; FX Reference'!$A$5:$A$25,0))/INDEX('Assumptions &amp; FX Reference'!$B$5:$B$25,MATCH(Q63,'Assumptions &amp; FX Reference'!$A$5:$A$25,0)),"(Not stated)"))),"(FX rate not entered for this year)"),"(FX rate not entered for this year)")))</f>
        <v>520.6611570247934</v>
      </c>
      <c r="V63" s="36">
        <f>IF(NOT(ISNUMBER(S63)),"(Not stated)",IF(NOT(ISNUMBER(Q63)),"(Cost year not stated / not a Jalali year)",IFERROR(IF(N(IF(R63="IRR",S63,IF(R63="USD",S63*INDEX('Assumptions &amp; FX Reference'!$B$5:$B$25,MATCH(Q63,'Assumptions &amp; FX Reference'!$A$5:$A$25,0)),IF(R63="EUR",S63*INDEX('Assumptions &amp; FX Reference'!$C$5:$C$25,MATCH(Q63,'Assumptions &amp; FX Reference'!$A$5:$A$25,0)),"(Not stated)"))))&gt;0,IF(R63="IRR",S63,IF(R63="USD",S63*INDEX('Assumptions &amp; FX Reference'!$B$5:$B$25,MATCH(Q63,'Assumptions &amp; FX Reference'!$A$5:$A$25,0)),IF(R63="EUR",S63*INDEX('Assumptions &amp; FX Reference'!$C$5:$C$25,MATCH(Q63,'Assumptions &amp; FX Reference'!$A$5:$A$25,0)),"(Not stated)"))),"(FX rate not entered for this year)"),"(FX rate not entered for this year)")))</f>
        <v>18900000</v>
      </c>
      <c r="W63" s="19" t="s">
        <v>423</v>
      </c>
      <c r="X63" s="19" t="s">
        <v>104</v>
      </c>
      <c r="Y63" s="19" t="s">
        <v>104</v>
      </c>
      <c r="Z63" s="19" t="s">
        <v>449</v>
      </c>
      <c r="AA63" s="19" t="s">
        <v>450</v>
      </c>
      <c r="AB63" s="19" t="s">
        <v>110</v>
      </c>
    </row>
    <row r="64" spans="1:28" ht="109.5" hidden="1" customHeight="1" x14ac:dyDescent="0.25">
      <c r="A64" s="18">
        <v>60</v>
      </c>
      <c r="B64" s="19" t="s">
        <v>451</v>
      </c>
      <c r="C64" s="19" t="s">
        <v>207</v>
      </c>
      <c r="D64" s="19" t="s">
        <v>452</v>
      </c>
      <c r="E64" s="19" t="s">
        <v>229</v>
      </c>
      <c r="F64" s="19" t="s">
        <v>43</v>
      </c>
      <c r="G64" s="20">
        <v>8</v>
      </c>
      <c r="H64" s="19" t="s">
        <v>104</v>
      </c>
      <c r="I64" s="19" t="s">
        <v>453</v>
      </c>
      <c r="J64" s="19" t="s">
        <v>104</v>
      </c>
      <c r="K64" s="19" t="s">
        <v>104</v>
      </c>
      <c r="L64" s="19" t="s">
        <v>104</v>
      </c>
      <c r="M64" s="19" t="s">
        <v>104</v>
      </c>
      <c r="N64" s="19" t="s">
        <v>104</v>
      </c>
      <c r="O64" s="21" t="s">
        <v>104</v>
      </c>
      <c r="P64" s="19" t="s">
        <v>104</v>
      </c>
      <c r="Q64" s="22">
        <v>1392</v>
      </c>
      <c r="R64" s="23" t="s">
        <v>105</v>
      </c>
      <c r="S64" s="20">
        <v>1890000</v>
      </c>
      <c r="T64" s="36">
        <f>IF(NOT(ISNUMBER(S64)),"(Not stated)",IF(NOT(ISNUMBER(Q64)),"(Cost year not stated / not a Jalali year)",IFERROR(IF(N(IF(R64="EUR",S64,IF(R64="IRR",S64/INDEX('Assumptions &amp; FX Reference'!$C$5:$C$25,MATCH(Q64,'Assumptions &amp; FX Reference'!$A$5:$A$25,0)),IF(R64="USD",S64*INDEX('Assumptions &amp; FX Reference'!$B$5:$B$25,MATCH(Q64,'Assumptions &amp; FX Reference'!$A$5:$A$25,0))/INDEX('Assumptions &amp; FX Reference'!$C$5:$C$25,MATCH(Q64,'Assumptions &amp; FX Reference'!$A$5:$A$25,0)),"(Not stated)"))))&gt;0,IF(R64="EUR",S64,IF(R64="IRR",S64/INDEX('Assumptions &amp; FX Reference'!$C$5:$C$25,MATCH(Q64,'Assumptions &amp; FX Reference'!$A$5:$A$25,0)),IF(R64="USD",S64*INDEX('Assumptions &amp; FX Reference'!$B$5:$B$25,MATCH(Q64,'Assumptions &amp; FX Reference'!$A$5:$A$25,0))/INDEX('Assumptions &amp; FX Reference'!$C$5:$C$25,MATCH(Q64,'Assumptions &amp; FX Reference'!$A$5:$A$25,0)),"(Not stated)"))),"(FX rate not entered for this year)"),"(FX rate not entered for this year)")))</f>
        <v>45</v>
      </c>
      <c r="U64" s="36">
        <f>IF(NOT(ISNUMBER(S64)),"(Not stated)",IF(NOT(ISNUMBER(Q64)),"(Cost year not stated / not a Jalali year)",IFERROR(IF(N(IF(R64="USD",S64,IF(R64="IRR",S64/INDEX('Assumptions &amp; FX Reference'!$B$5:$B$25,MATCH(Q64,'Assumptions &amp; FX Reference'!$A$5:$A$25,0)),IF(R64="EUR",S64*INDEX('Assumptions &amp; FX Reference'!$C$5:$C$25,MATCH(Q64,'Assumptions &amp; FX Reference'!$A$5:$A$25,0))/INDEX('Assumptions &amp; FX Reference'!$B$5:$B$25,MATCH(Q64,'Assumptions &amp; FX Reference'!$A$5:$A$25,0)),"(Not stated)"))))&gt;0,IF(R64="USD",S64,IF(R64="IRR",S64/INDEX('Assumptions &amp; FX Reference'!$B$5:$B$25,MATCH(Q64,'Assumptions &amp; FX Reference'!$A$5:$A$25,0)),IF(R64="EUR",S64*INDEX('Assumptions &amp; FX Reference'!$C$5:$C$25,MATCH(Q64,'Assumptions &amp; FX Reference'!$A$5:$A$25,0))/INDEX('Assumptions &amp; FX Reference'!$B$5:$B$25,MATCH(Q64,'Assumptions &amp; FX Reference'!$A$5:$A$25,0)),"(Not stated)"))),"(FX rate not entered for this year)"),"(FX rate not entered for this year)")))</f>
        <v>52.066115702479337</v>
      </c>
      <c r="V64" s="36">
        <f>IF(NOT(ISNUMBER(S64)),"(Not stated)",IF(NOT(ISNUMBER(Q64)),"(Cost year not stated / not a Jalali year)",IFERROR(IF(N(IF(R64="IRR",S64,IF(R64="USD",S64*INDEX('Assumptions &amp; FX Reference'!$B$5:$B$25,MATCH(Q64,'Assumptions &amp; FX Reference'!$A$5:$A$25,0)),IF(R64="EUR",S64*INDEX('Assumptions &amp; FX Reference'!$C$5:$C$25,MATCH(Q64,'Assumptions &amp; FX Reference'!$A$5:$A$25,0)),"(Not stated)"))))&gt;0,IF(R64="IRR",S64,IF(R64="USD",S64*INDEX('Assumptions &amp; FX Reference'!$B$5:$B$25,MATCH(Q64,'Assumptions &amp; FX Reference'!$A$5:$A$25,0)),IF(R64="EUR",S64*INDEX('Assumptions &amp; FX Reference'!$C$5:$C$25,MATCH(Q64,'Assumptions &amp; FX Reference'!$A$5:$A$25,0)),"(Not stated)"))),"(FX rate not entered for this year)"),"(FX rate not entered for this year)")))</f>
        <v>1890000</v>
      </c>
      <c r="W64" s="19" t="s">
        <v>423</v>
      </c>
      <c r="X64" s="19" t="s">
        <v>104</v>
      </c>
      <c r="Y64" s="19" t="s">
        <v>104</v>
      </c>
      <c r="Z64" s="19" t="s">
        <v>454</v>
      </c>
      <c r="AA64" s="19" t="s">
        <v>455</v>
      </c>
      <c r="AB64" s="19" t="s">
        <v>110</v>
      </c>
    </row>
    <row r="65" spans="1:28" ht="109.5" hidden="1" customHeight="1" x14ac:dyDescent="0.25">
      <c r="A65" s="18">
        <v>61</v>
      </c>
      <c r="B65" s="19" t="s">
        <v>456</v>
      </c>
      <c r="C65" s="19" t="s">
        <v>207</v>
      </c>
      <c r="D65" s="19" t="s">
        <v>457</v>
      </c>
      <c r="E65" s="19" t="s">
        <v>229</v>
      </c>
      <c r="F65" s="19" t="s">
        <v>45</v>
      </c>
      <c r="G65" s="20">
        <v>3</v>
      </c>
      <c r="H65" s="19" t="s">
        <v>104</v>
      </c>
      <c r="I65" s="19" t="s">
        <v>458</v>
      </c>
      <c r="J65" s="19" t="s">
        <v>104</v>
      </c>
      <c r="K65" s="19" t="s">
        <v>104</v>
      </c>
      <c r="L65" s="19" t="s">
        <v>104</v>
      </c>
      <c r="M65" s="19" t="s">
        <v>104</v>
      </c>
      <c r="N65" s="19" t="s">
        <v>104</v>
      </c>
      <c r="O65" s="21" t="s">
        <v>104</v>
      </c>
      <c r="P65" s="19" t="s">
        <v>104</v>
      </c>
      <c r="Q65" s="22">
        <v>1392</v>
      </c>
      <c r="R65" s="23" t="s">
        <v>105</v>
      </c>
      <c r="S65" s="20">
        <v>3150000</v>
      </c>
      <c r="T65" s="36">
        <f>IF(NOT(ISNUMBER(S65)),"(Not stated)",IF(NOT(ISNUMBER(Q65)),"(Cost year not stated / not a Jalali year)",IFERROR(IF(N(IF(R65="EUR",S65,IF(R65="IRR",S65/INDEX('Assumptions &amp; FX Reference'!$C$5:$C$25,MATCH(Q65,'Assumptions &amp; FX Reference'!$A$5:$A$25,0)),IF(R65="USD",S65*INDEX('Assumptions &amp; FX Reference'!$B$5:$B$25,MATCH(Q65,'Assumptions &amp; FX Reference'!$A$5:$A$25,0))/INDEX('Assumptions &amp; FX Reference'!$C$5:$C$25,MATCH(Q65,'Assumptions &amp; FX Reference'!$A$5:$A$25,0)),"(Not stated)"))))&gt;0,IF(R65="EUR",S65,IF(R65="IRR",S65/INDEX('Assumptions &amp; FX Reference'!$C$5:$C$25,MATCH(Q65,'Assumptions &amp; FX Reference'!$A$5:$A$25,0)),IF(R65="USD",S65*INDEX('Assumptions &amp; FX Reference'!$B$5:$B$25,MATCH(Q65,'Assumptions &amp; FX Reference'!$A$5:$A$25,0))/INDEX('Assumptions &amp; FX Reference'!$C$5:$C$25,MATCH(Q65,'Assumptions &amp; FX Reference'!$A$5:$A$25,0)),"(Not stated)"))),"(FX rate not entered for this year)"),"(FX rate not entered for this year)")))</f>
        <v>75</v>
      </c>
      <c r="U65" s="36">
        <f>IF(NOT(ISNUMBER(S65)),"(Not stated)",IF(NOT(ISNUMBER(Q65)),"(Cost year not stated / not a Jalali year)",IFERROR(IF(N(IF(R65="USD",S65,IF(R65="IRR",S65/INDEX('Assumptions &amp; FX Reference'!$B$5:$B$25,MATCH(Q65,'Assumptions &amp; FX Reference'!$A$5:$A$25,0)),IF(R65="EUR",S65*INDEX('Assumptions &amp; FX Reference'!$C$5:$C$25,MATCH(Q65,'Assumptions &amp; FX Reference'!$A$5:$A$25,0))/INDEX('Assumptions &amp; FX Reference'!$B$5:$B$25,MATCH(Q65,'Assumptions &amp; FX Reference'!$A$5:$A$25,0)),"(Not stated)"))))&gt;0,IF(R65="USD",S65,IF(R65="IRR",S65/INDEX('Assumptions &amp; FX Reference'!$B$5:$B$25,MATCH(Q65,'Assumptions &amp; FX Reference'!$A$5:$A$25,0)),IF(R65="EUR",S65*INDEX('Assumptions &amp; FX Reference'!$C$5:$C$25,MATCH(Q65,'Assumptions &amp; FX Reference'!$A$5:$A$25,0))/INDEX('Assumptions &amp; FX Reference'!$B$5:$B$25,MATCH(Q65,'Assumptions &amp; FX Reference'!$A$5:$A$25,0)),"(Not stated)"))),"(FX rate not entered for this year)"),"(FX rate not entered for this year)")))</f>
        <v>86.776859504132233</v>
      </c>
      <c r="V65" s="36">
        <f>IF(NOT(ISNUMBER(S65)),"(Not stated)",IF(NOT(ISNUMBER(Q65)),"(Cost year not stated / not a Jalali year)",IFERROR(IF(N(IF(R65="IRR",S65,IF(R65="USD",S65*INDEX('Assumptions &amp; FX Reference'!$B$5:$B$25,MATCH(Q65,'Assumptions &amp; FX Reference'!$A$5:$A$25,0)),IF(R65="EUR",S65*INDEX('Assumptions &amp; FX Reference'!$C$5:$C$25,MATCH(Q65,'Assumptions &amp; FX Reference'!$A$5:$A$25,0)),"(Not stated)"))))&gt;0,IF(R65="IRR",S65,IF(R65="USD",S65*INDEX('Assumptions &amp; FX Reference'!$B$5:$B$25,MATCH(Q65,'Assumptions &amp; FX Reference'!$A$5:$A$25,0)),IF(R65="EUR",S65*INDEX('Assumptions &amp; FX Reference'!$C$5:$C$25,MATCH(Q65,'Assumptions &amp; FX Reference'!$A$5:$A$25,0)),"(Not stated)"))),"(FX rate not entered for this year)"),"(FX rate not entered for this year)")))</f>
        <v>3150000</v>
      </c>
      <c r="W65" s="19" t="s">
        <v>423</v>
      </c>
      <c r="X65" s="19" t="s">
        <v>104</v>
      </c>
      <c r="Y65" s="19" t="s">
        <v>104</v>
      </c>
      <c r="Z65" s="19" t="s">
        <v>459</v>
      </c>
      <c r="AA65" s="19" t="s">
        <v>460</v>
      </c>
      <c r="AB65" s="19" t="s">
        <v>110</v>
      </c>
    </row>
    <row r="66" spans="1:28" ht="109.5" hidden="1" customHeight="1" x14ac:dyDescent="0.25">
      <c r="A66" s="18">
        <v>62</v>
      </c>
      <c r="B66" s="19" t="s">
        <v>461</v>
      </c>
      <c r="C66" s="19" t="s">
        <v>207</v>
      </c>
      <c r="D66" s="19" t="s">
        <v>462</v>
      </c>
      <c r="E66" s="19" t="s">
        <v>229</v>
      </c>
      <c r="F66" s="19" t="s">
        <v>45</v>
      </c>
      <c r="G66" s="20">
        <v>3</v>
      </c>
      <c r="H66" s="19" t="s">
        <v>104</v>
      </c>
      <c r="I66" s="19" t="s">
        <v>463</v>
      </c>
      <c r="J66" s="19" t="s">
        <v>104</v>
      </c>
      <c r="K66" s="19" t="s">
        <v>104</v>
      </c>
      <c r="L66" s="19" t="s">
        <v>104</v>
      </c>
      <c r="M66" s="19" t="s">
        <v>104</v>
      </c>
      <c r="N66" s="19" t="s">
        <v>104</v>
      </c>
      <c r="O66" s="21" t="s">
        <v>104</v>
      </c>
      <c r="P66" s="19" t="s">
        <v>104</v>
      </c>
      <c r="Q66" s="22">
        <v>1392</v>
      </c>
      <c r="R66" s="23" t="s">
        <v>105</v>
      </c>
      <c r="S66" s="20">
        <v>840000000</v>
      </c>
      <c r="T66" s="36">
        <f>IF(NOT(ISNUMBER(S66)),"(Not stated)",IF(NOT(ISNUMBER(Q66)),"(Cost year not stated / not a Jalali year)",IFERROR(IF(N(IF(R66="EUR",S66,IF(R66="IRR",S66/INDEX('Assumptions &amp; FX Reference'!$C$5:$C$25,MATCH(Q66,'Assumptions &amp; FX Reference'!$A$5:$A$25,0)),IF(R66="USD",S66*INDEX('Assumptions &amp; FX Reference'!$B$5:$B$25,MATCH(Q66,'Assumptions &amp; FX Reference'!$A$5:$A$25,0))/INDEX('Assumptions &amp; FX Reference'!$C$5:$C$25,MATCH(Q66,'Assumptions &amp; FX Reference'!$A$5:$A$25,0)),"(Not stated)"))))&gt;0,IF(R66="EUR",S66,IF(R66="IRR",S66/INDEX('Assumptions &amp; FX Reference'!$C$5:$C$25,MATCH(Q66,'Assumptions &amp; FX Reference'!$A$5:$A$25,0)),IF(R66="USD",S66*INDEX('Assumptions &amp; FX Reference'!$B$5:$B$25,MATCH(Q66,'Assumptions &amp; FX Reference'!$A$5:$A$25,0))/INDEX('Assumptions &amp; FX Reference'!$C$5:$C$25,MATCH(Q66,'Assumptions &amp; FX Reference'!$A$5:$A$25,0)),"(Not stated)"))),"(FX rate not entered for this year)"),"(FX rate not entered for this year)")))</f>
        <v>20000</v>
      </c>
      <c r="U66" s="36">
        <f>IF(NOT(ISNUMBER(S66)),"(Not stated)",IF(NOT(ISNUMBER(Q66)),"(Cost year not stated / not a Jalali year)",IFERROR(IF(N(IF(R66="USD",S66,IF(R66="IRR",S66/INDEX('Assumptions &amp; FX Reference'!$B$5:$B$25,MATCH(Q66,'Assumptions &amp; FX Reference'!$A$5:$A$25,0)),IF(R66="EUR",S66*INDEX('Assumptions &amp; FX Reference'!$C$5:$C$25,MATCH(Q66,'Assumptions &amp; FX Reference'!$A$5:$A$25,0))/INDEX('Assumptions &amp; FX Reference'!$B$5:$B$25,MATCH(Q66,'Assumptions &amp; FX Reference'!$A$5:$A$25,0)),"(Not stated)"))))&gt;0,IF(R66="USD",S66,IF(R66="IRR",S66/INDEX('Assumptions &amp; FX Reference'!$B$5:$B$25,MATCH(Q66,'Assumptions &amp; FX Reference'!$A$5:$A$25,0)),IF(R66="EUR",S66*INDEX('Assumptions &amp; FX Reference'!$C$5:$C$25,MATCH(Q66,'Assumptions &amp; FX Reference'!$A$5:$A$25,0))/INDEX('Assumptions &amp; FX Reference'!$B$5:$B$25,MATCH(Q66,'Assumptions &amp; FX Reference'!$A$5:$A$25,0)),"(Not stated)"))),"(FX rate not entered for this year)"),"(FX rate not entered for this year)")))</f>
        <v>23140.495867768594</v>
      </c>
      <c r="V66" s="36">
        <f>IF(NOT(ISNUMBER(S66)),"(Not stated)",IF(NOT(ISNUMBER(Q66)),"(Cost year not stated / not a Jalali year)",IFERROR(IF(N(IF(R66="IRR",S66,IF(R66="USD",S66*INDEX('Assumptions &amp; FX Reference'!$B$5:$B$25,MATCH(Q66,'Assumptions &amp; FX Reference'!$A$5:$A$25,0)),IF(R66="EUR",S66*INDEX('Assumptions &amp; FX Reference'!$C$5:$C$25,MATCH(Q66,'Assumptions &amp; FX Reference'!$A$5:$A$25,0)),"(Not stated)"))))&gt;0,IF(R66="IRR",S66,IF(R66="USD",S66*INDEX('Assumptions &amp; FX Reference'!$B$5:$B$25,MATCH(Q66,'Assumptions &amp; FX Reference'!$A$5:$A$25,0)),IF(R66="EUR",S66*INDEX('Assumptions &amp; FX Reference'!$C$5:$C$25,MATCH(Q66,'Assumptions &amp; FX Reference'!$A$5:$A$25,0)),"(Not stated)"))),"(FX rate not entered for this year)"),"(FX rate not entered for this year)")))</f>
        <v>840000000</v>
      </c>
      <c r="W66" s="19" t="s">
        <v>423</v>
      </c>
      <c r="X66" s="19" t="s">
        <v>104</v>
      </c>
      <c r="Y66" s="19" t="s">
        <v>104</v>
      </c>
      <c r="Z66" s="19" t="s">
        <v>464</v>
      </c>
      <c r="AA66" s="19" t="s">
        <v>465</v>
      </c>
      <c r="AB66" s="19" t="s">
        <v>120</v>
      </c>
    </row>
    <row r="67" spans="1:28" ht="109.5" hidden="1" customHeight="1" x14ac:dyDescent="0.25">
      <c r="A67" s="18">
        <v>63</v>
      </c>
      <c r="B67" s="19" t="s">
        <v>466</v>
      </c>
      <c r="C67" s="19" t="s">
        <v>207</v>
      </c>
      <c r="D67" s="19" t="s">
        <v>467</v>
      </c>
      <c r="E67" s="19" t="s">
        <v>229</v>
      </c>
      <c r="F67" s="19" t="s">
        <v>45</v>
      </c>
      <c r="G67" s="20">
        <v>7</v>
      </c>
      <c r="H67" s="19" t="s">
        <v>104</v>
      </c>
      <c r="I67" s="19" t="s">
        <v>468</v>
      </c>
      <c r="J67" s="19" t="s">
        <v>104</v>
      </c>
      <c r="K67" s="19" t="s">
        <v>104</v>
      </c>
      <c r="L67" s="19" t="s">
        <v>104</v>
      </c>
      <c r="M67" s="19" t="s">
        <v>104</v>
      </c>
      <c r="N67" s="19" t="s">
        <v>104</v>
      </c>
      <c r="O67" s="21" t="s">
        <v>104</v>
      </c>
      <c r="P67" s="19" t="s">
        <v>104</v>
      </c>
      <c r="Q67" s="22">
        <v>1392</v>
      </c>
      <c r="R67" s="23" t="s">
        <v>105</v>
      </c>
      <c r="S67" s="20">
        <v>168000000</v>
      </c>
      <c r="T67" s="36">
        <f>IF(NOT(ISNUMBER(S67)),"(Not stated)",IF(NOT(ISNUMBER(Q67)),"(Cost year not stated / not a Jalali year)",IFERROR(IF(N(IF(R67="EUR",S67,IF(R67="IRR",S67/INDEX('Assumptions &amp; FX Reference'!$C$5:$C$25,MATCH(Q67,'Assumptions &amp; FX Reference'!$A$5:$A$25,0)),IF(R67="USD",S67*INDEX('Assumptions &amp; FX Reference'!$B$5:$B$25,MATCH(Q67,'Assumptions &amp; FX Reference'!$A$5:$A$25,0))/INDEX('Assumptions &amp; FX Reference'!$C$5:$C$25,MATCH(Q67,'Assumptions &amp; FX Reference'!$A$5:$A$25,0)),"(Not stated)"))))&gt;0,IF(R67="EUR",S67,IF(R67="IRR",S67/INDEX('Assumptions &amp; FX Reference'!$C$5:$C$25,MATCH(Q67,'Assumptions &amp; FX Reference'!$A$5:$A$25,0)),IF(R67="USD",S67*INDEX('Assumptions &amp; FX Reference'!$B$5:$B$25,MATCH(Q67,'Assumptions &amp; FX Reference'!$A$5:$A$25,0))/INDEX('Assumptions &amp; FX Reference'!$C$5:$C$25,MATCH(Q67,'Assumptions &amp; FX Reference'!$A$5:$A$25,0)),"(Not stated)"))),"(FX rate not entered for this year)"),"(FX rate not entered for this year)")))</f>
        <v>4000</v>
      </c>
      <c r="U67" s="36">
        <f>IF(NOT(ISNUMBER(S67)),"(Not stated)",IF(NOT(ISNUMBER(Q67)),"(Cost year not stated / not a Jalali year)",IFERROR(IF(N(IF(R67="USD",S67,IF(R67="IRR",S67/INDEX('Assumptions &amp; FX Reference'!$B$5:$B$25,MATCH(Q67,'Assumptions &amp; FX Reference'!$A$5:$A$25,0)),IF(R67="EUR",S67*INDEX('Assumptions &amp; FX Reference'!$C$5:$C$25,MATCH(Q67,'Assumptions &amp; FX Reference'!$A$5:$A$25,0))/INDEX('Assumptions &amp; FX Reference'!$B$5:$B$25,MATCH(Q67,'Assumptions &amp; FX Reference'!$A$5:$A$25,0)),"(Not stated)"))))&gt;0,IF(R67="USD",S67,IF(R67="IRR",S67/INDEX('Assumptions &amp; FX Reference'!$B$5:$B$25,MATCH(Q67,'Assumptions &amp; FX Reference'!$A$5:$A$25,0)),IF(R67="EUR",S67*INDEX('Assumptions &amp; FX Reference'!$C$5:$C$25,MATCH(Q67,'Assumptions &amp; FX Reference'!$A$5:$A$25,0))/INDEX('Assumptions &amp; FX Reference'!$B$5:$B$25,MATCH(Q67,'Assumptions &amp; FX Reference'!$A$5:$A$25,0)),"(Not stated)"))),"(FX rate not entered for this year)"),"(FX rate not entered for this year)")))</f>
        <v>4628.0991735537191</v>
      </c>
      <c r="V67" s="36">
        <f>IF(NOT(ISNUMBER(S67)),"(Not stated)",IF(NOT(ISNUMBER(Q67)),"(Cost year not stated / not a Jalali year)",IFERROR(IF(N(IF(R67="IRR",S67,IF(R67="USD",S67*INDEX('Assumptions &amp; FX Reference'!$B$5:$B$25,MATCH(Q67,'Assumptions &amp; FX Reference'!$A$5:$A$25,0)),IF(R67="EUR",S67*INDEX('Assumptions &amp; FX Reference'!$C$5:$C$25,MATCH(Q67,'Assumptions &amp; FX Reference'!$A$5:$A$25,0)),"(Not stated)"))))&gt;0,IF(R67="IRR",S67,IF(R67="USD",S67*INDEX('Assumptions &amp; FX Reference'!$B$5:$B$25,MATCH(Q67,'Assumptions &amp; FX Reference'!$A$5:$A$25,0)),IF(R67="EUR",S67*INDEX('Assumptions &amp; FX Reference'!$C$5:$C$25,MATCH(Q67,'Assumptions &amp; FX Reference'!$A$5:$A$25,0)),"(Not stated)"))),"(FX rate not entered for this year)"),"(FX rate not entered for this year)")))</f>
        <v>168000000</v>
      </c>
      <c r="W67" s="19" t="s">
        <v>423</v>
      </c>
      <c r="X67" s="19" t="s">
        <v>104</v>
      </c>
      <c r="Y67" s="19" t="s">
        <v>104</v>
      </c>
      <c r="Z67" s="19" t="s">
        <v>469</v>
      </c>
      <c r="AA67" s="19" t="s">
        <v>470</v>
      </c>
      <c r="AB67" s="19" t="s">
        <v>110</v>
      </c>
    </row>
    <row r="68" spans="1:28" ht="109.5" hidden="1" customHeight="1" x14ac:dyDescent="0.25">
      <c r="A68" s="18">
        <v>64</v>
      </c>
      <c r="B68" s="19" t="s">
        <v>471</v>
      </c>
      <c r="C68" s="19" t="s">
        <v>94</v>
      </c>
      <c r="D68" s="19" t="s">
        <v>472</v>
      </c>
      <c r="E68" s="19" t="s">
        <v>265</v>
      </c>
      <c r="F68" s="19" t="s">
        <v>47</v>
      </c>
      <c r="G68" s="20">
        <v>2</v>
      </c>
      <c r="H68" s="19" t="s">
        <v>97</v>
      </c>
      <c r="I68" s="19" t="s">
        <v>473</v>
      </c>
      <c r="J68" s="19" t="s">
        <v>104</v>
      </c>
      <c r="K68" s="19" t="s">
        <v>104</v>
      </c>
      <c r="L68" s="19" t="s">
        <v>104</v>
      </c>
      <c r="M68" s="19" t="s">
        <v>104</v>
      </c>
      <c r="N68" s="19" t="s">
        <v>104</v>
      </c>
      <c r="O68" s="21" t="s">
        <v>104</v>
      </c>
      <c r="P68" s="19" t="s">
        <v>104</v>
      </c>
      <c r="Q68" s="22">
        <v>1394</v>
      </c>
      <c r="R68" s="23" t="s">
        <v>105</v>
      </c>
      <c r="S68" s="20">
        <v>6000000000</v>
      </c>
      <c r="T68" s="36">
        <f>IF(NOT(ISNUMBER(S68)),"(Not stated)",IF(NOT(ISNUMBER(Q68)),"(Cost year not stated / not a Jalali year)",IFERROR(IF(N(IF(R68="EUR",S68,IF(R68="IRR",S68/INDEX('Assumptions &amp; FX Reference'!$C$5:$C$25,MATCH(Q68,'Assumptions &amp; FX Reference'!$A$5:$A$25,0)),IF(R68="USD",S68*INDEX('Assumptions &amp; FX Reference'!$B$5:$B$25,MATCH(Q68,'Assumptions &amp; FX Reference'!$A$5:$A$25,0))/INDEX('Assumptions &amp; FX Reference'!$C$5:$C$25,MATCH(Q68,'Assumptions &amp; FX Reference'!$A$5:$A$25,0)),"(Not stated)"))))&gt;0,IF(R68="EUR",S68,IF(R68="IRR",S68/INDEX('Assumptions &amp; FX Reference'!$C$5:$C$25,MATCH(Q68,'Assumptions &amp; FX Reference'!$A$5:$A$25,0)),IF(R68="USD",S68*INDEX('Assumptions &amp; FX Reference'!$B$5:$B$25,MATCH(Q68,'Assumptions &amp; FX Reference'!$A$5:$A$25,0))/INDEX('Assumptions &amp; FX Reference'!$C$5:$C$25,MATCH(Q68,'Assumptions &amp; FX Reference'!$A$5:$A$25,0)),"(Not stated)"))),"(FX rate not entered for this year)"),"(FX rate not entered for this year)")))</f>
        <v>163265.30612244899</v>
      </c>
      <c r="U68" s="36">
        <f>IF(NOT(ISNUMBER(S68)),"(Not stated)",IF(NOT(ISNUMBER(Q68)),"(Cost year not stated / not a Jalali year)",IFERROR(IF(N(IF(R68="USD",S68,IF(R68="IRR",S68/INDEX('Assumptions &amp; FX Reference'!$B$5:$B$25,MATCH(Q68,'Assumptions &amp; FX Reference'!$A$5:$A$25,0)),IF(R68="EUR",S68*INDEX('Assumptions &amp; FX Reference'!$C$5:$C$25,MATCH(Q68,'Assumptions &amp; FX Reference'!$A$5:$A$25,0))/INDEX('Assumptions &amp; FX Reference'!$B$5:$B$25,MATCH(Q68,'Assumptions &amp; FX Reference'!$A$5:$A$25,0)),"(Not stated)"))))&gt;0,IF(R68="USD",S68,IF(R68="IRR",S68/INDEX('Assumptions &amp; FX Reference'!$B$5:$B$25,MATCH(Q68,'Assumptions &amp; FX Reference'!$A$5:$A$25,0)),IF(R68="EUR",S68*INDEX('Assumptions &amp; FX Reference'!$C$5:$C$25,MATCH(Q68,'Assumptions &amp; FX Reference'!$A$5:$A$25,0))/INDEX('Assumptions &amp; FX Reference'!$B$5:$B$25,MATCH(Q68,'Assumptions &amp; FX Reference'!$A$5:$A$25,0)),"(Not stated)"))),"(FX rate not entered for this year)"),"(FX rate not entered for this year)")))</f>
        <v>178837.55588673623</v>
      </c>
      <c r="V68" s="36">
        <f>IF(NOT(ISNUMBER(S68)),"(Not stated)",IF(NOT(ISNUMBER(Q68)),"(Cost year not stated / not a Jalali year)",IFERROR(IF(N(IF(R68="IRR",S68,IF(R68="USD",S68*INDEX('Assumptions &amp; FX Reference'!$B$5:$B$25,MATCH(Q68,'Assumptions &amp; FX Reference'!$A$5:$A$25,0)),IF(R68="EUR",S68*INDEX('Assumptions &amp; FX Reference'!$C$5:$C$25,MATCH(Q68,'Assumptions &amp; FX Reference'!$A$5:$A$25,0)),"(Not stated)"))))&gt;0,IF(R68="IRR",S68,IF(R68="USD",S68*INDEX('Assumptions &amp; FX Reference'!$B$5:$B$25,MATCH(Q68,'Assumptions &amp; FX Reference'!$A$5:$A$25,0)),IF(R68="EUR",S68*INDEX('Assumptions &amp; FX Reference'!$C$5:$C$25,MATCH(Q68,'Assumptions &amp; FX Reference'!$A$5:$A$25,0)),"(Not stated)"))),"(FX rate not entered for this year)"),"(FX rate not entered for this year)")))</f>
        <v>6000000000</v>
      </c>
      <c r="W68" s="19" t="s">
        <v>275</v>
      </c>
      <c r="X68" s="19" t="s">
        <v>106</v>
      </c>
      <c r="Y68" s="19" t="s">
        <v>107</v>
      </c>
      <c r="Z68" s="19" t="s">
        <v>474</v>
      </c>
      <c r="AA68" s="19" t="s">
        <v>475</v>
      </c>
      <c r="AB68" s="19" t="s">
        <v>110</v>
      </c>
    </row>
    <row r="69" spans="1:28" ht="109.5" hidden="1" customHeight="1" x14ac:dyDescent="0.25">
      <c r="A69" s="18">
        <v>65</v>
      </c>
      <c r="B69" s="19" t="s">
        <v>476</v>
      </c>
      <c r="C69" s="19" t="s">
        <v>94</v>
      </c>
      <c r="D69" s="19" t="s">
        <v>477</v>
      </c>
      <c r="E69" s="19" t="s">
        <v>249</v>
      </c>
      <c r="F69" s="19" t="s">
        <v>49</v>
      </c>
      <c r="G69" s="20">
        <v>1</v>
      </c>
      <c r="H69" s="19" t="s">
        <v>97</v>
      </c>
      <c r="I69" s="19" t="s">
        <v>478</v>
      </c>
      <c r="J69" s="19" t="s">
        <v>104</v>
      </c>
      <c r="K69" s="19" t="s">
        <v>104</v>
      </c>
      <c r="L69" s="19" t="s">
        <v>104</v>
      </c>
      <c r="M69" s="19" t="s">
        <v>104</v>
      </c>
      <c r="N69" s="19" t="s">
        <v>104</v>
      </c>
      <c r="O69" s="21" t="s">
        <v>104</v>
      </c>
      <c r="P69" s="19" t="s">
        <v>104</v>
      </c>
      <c r="Q69" s="22">
        <v>1394</v>
      </c>
      <c r="R69" s="23" t="s">
        <v>479</v>
      </c>
      <c r="S69" s="20">
        <v>70000</v>
      </c>
      <c r="T69" s="36">
        <f>IF(NOT(ISNUMBER(S69)),"(Not stated)",IF(NOT(ISNUMBER(Q69)),"(Cost year not stated / not a Jalali year)",IFERROR(IF(N(IF(R69="EUR",S69,IF(R69="IRR",S69/INDEX('Assumptions &amp; FX Reference'!$C$5:$C$25,MATCH(Q69,'Assumptions &amp; FX Reference'!$A$5:$A$25,0)),IF(R69="USD",S69*INDEX('Assumptions &amp; FX Reference'!$B$5:$B$25,MATCH(Q69,'Assumptions &amp; FX Reference'!$A$5:$A$25,0))/INDEX('Assumptions &amp; FX Reference'!$C$5:$C$25,MATCH(Q69,'Assumptions &amp; FX Reference'!$A$5:$A$25,0)),"(Not stated)"))))&gt;0,IF(R69="EUR",S69,IF(R69="IRR",S69/INDEX('Assumptions &amp; FX Reference'!$C$5:$C$25,MATCH(Q69,'Assumptions &amp; FX Reference'!$A$5:$A$25,0)),IF(R69="USD",S69*INDEX('Assumptions &amp; FX Reference'!$B$5:$B$25,MATCH(Q69,'Assumptions &amp; FX Reference'!$A$5:$A$25,0))/INDEX('Assumptions &amp; FX Reference'!$C$5:$C$25,MATCH(Q69,'Assumptions &amp; FX Reference'!$A$5:$A$25,0)),"(Not stated)"))),"(FX rate not entered for this year)"),"(FX rate not entered for this year)")))</f>
        <v>70000</v>
      </c>
      <c r="U69" s="36">
        <f>IF(NOT(ISNUMBER(S69)),"(Not stated)",IF(NOT(ISNUMBER(Q69)),"(Cost year not stated / not a Jalali year)",IFERROR(IF(N(IF(R69="USD",S69,IF(R69="IRR",S69/INDEX('Assumptions &amp; FX Reference'!$B$5:$B$25,MATCH(Q69,'Assumptions &amp; FX Reference'!$A$5:$A$25,0)),IF(R69="EUR",S69*INDEX('Assumptions &amp; FX Reference'!$C$5:$C$25,MATCH(Q69,'Assumptions &amp; FX Reference'!$A$5:$A$25,0))/INDEX('Assumptions &amp; FX Reference'!$B$5:$B$25,MATCH(Q69,'Assumptions &amp; FX Reference'!$A$5:$A$25,0)),"(Not stated)"))))&gt;0,IF(R69="USD",S69,IF(R69="IRR",S69/INDEX('Assumptions &amp; FX Reference'!$B$5:$B$25,MATCH(Q69,'Assumptions &amp; FX Reference'!$A$5:$A$25,0)),IF(R69="EUR",S69*INDEX('Assumptions &amp; FX Reference'!$C$5:$C$25,MATCH(Q69,'Assumptions &amp; FX Reference'!$A$5:$A$25,0))/INDEX('Assumptions &amp; FX Reference'!$B$5:$B$25,MATCH(Q69,'Assumptions &amp; FX Reference'!$A$5:$A$25,0)),"(Not stated)"))),"(FX rate not entered for this year)"),"(FX rate not entered for this year)")))</f>
        <v>76676.602086438157</v>
      </c>
      <c r="V69" s="36">
        <f>IF(NOT(ISNUMBER(S69)),"(Not stated)",IF(NOT(ISNUMBER(Q69)),"(Cost year not stated / not a Jalali year)",IFERROR(IF(N(IF(R69="IRR",S69,IF(R69="USD",S69*INDEX('Assumptions &amp; FX Reference'!$B$5:$B$25,MATCH(Q69,'Assumptions &amp; FX Reference'!$A$5:$A$25,0)),IF(R69="EUR",S69*INDEX('Assumptions &amp; FX Reference'!$C$5:$C$25,MATCH(Q69,'Assumptions &amp; FX Reference'!$A$5:$A$25,0)),"(Not stated)"))))&gt;0,IF(R69="IRR",S69,IF(R69="USD",S69*INDEX('Assumptions &amp; FX Reference'!$B$5:$B$25,MATCH(Q69,'Assumptions &amp; FX Reference'!$A$5:$A$25,0)),IF(R69="EUR",S69*INDEX('Assumptions &amp; FX Reference'!$C$5:$C$25,MATCH(Q69,'Assumptions &amp; FX Reference'!$A$5:$A$25,0)),"(Not stated)"))),"(FX rate not entered for this year)"),"(FX rate not entered for this year)")))</f>
        <v>2572500000</v>
      </c>
      <c r="W69" s="19" t="s">
        <v>480</v>
      </c>
      <c r="X69" s="19" t="s">
        <v>106</v>
      </c>
      <c r="Y69" s="19" t="s">
        <v>107</v>
      </c>
      <c r="Z69" s="19" t="s">
        <v>481</v>
      </c>
      <c r="AA69" s="19" t="s">
        <v>482</v>
      </c>
      <c r="AB69" s="19" t="s">
        <v>110</v>
      </c>
    </row>
    <row r="70" spans="1:28" ht="109.5" hidden="1" customHeight="1" x14ac:dyDescent="0.25">
      <c r="A70" s="18">
        <v>66</v>
      </c>
      <c r="B70" s="19" t="s">
        <v>483</v>
      </c>
      <c r="C70" s="19" t="s">
        <v>94</v>
      </c>
      <c r="D70" s="19" t="s">
        <v>484</v>
      </c>
      <c r="E70" s="19" t="s">
        <v>249</v>
      </c>
      <c r="F70" s="19" t="s">
        <v>49</v>
      </c>
      <c r="G70" s="20">
        <v>1</v>
      </c>
      <c r="H70" s="19" t="s">
        <v>97</v>
      </c>
      <c r="I70" s="19" t="s">
        <v>485</v>
      </c>
      <c r="J70" s="19" t="s">
        <v>104</v>
      </c>
      <c r="K70" s="19" t="s">
        <v>104</v>
      </c>
      <c r="L70" s="19" t="s">
        <v>104</v>
      </c>
      <c r="M70" s="19" t="s">
        <v>104</v>
      </c>
      <c r="N70" s="19" t="s">
        <v>104</v>
      </c>
      <c r="O70" s="21" t="s">
        <v>104</v>
      </c>
      <c r="P70" s="19" t="s">
        <v>104</v>
      </c>
      <c r="Q70" s="22">
        <v>1394</v>
      </c>
      <c r="R70" s="23" t="s">
        <v>479</v>
      </c>
      <c r="S70" s="20">
        <v>90000</v>
      </c>
      <c r="T70" s="36">
        <f>IF(NOT(ISNUMBER(S70)),"(Not stated)",IF(NOT(ISNUMBER(Q70)),"(Cost year not stated / not a Jalali year)",IFERROR(IF(N(IF(R70="EUR",S70,IF(R70="IRR",S70/INDEX('Assumptions &amp; FX Reference'!$C$5:$C$25,MATCH(Q70,'Assumptions &amp; FX Reference'!$A$5:$A$25,0)),IF(R70="USD",S70*INDEX('Assumptions &amp; FX Reference'!$B$5:$B$25,MATCH(Q70,'Assumptions &amp; FX Reference'!$A$5:$A$25,0))/INDEX('Assumptions &amp; FX Reference'!$C$5:$C$25,MATCH(Q70,'Assumptions &amp; FX Reference'!$A$5:$A$25,0)),"(Not stated)"))))&gt;0,IF(R70="EUR",S70,IF(R70="IRR",S70/INDEX('Assumptions &amp; FX Reference'!$C$5:$C$25,MATCH(Q70,'Assumptions &amp; FX Reference'!$A$5:$A$25,0)),IF(R70="USD",S70*INDEX('Assumptions &amp; FX Reference'!$B$5:$B$25,MATCH(Q70,'Assumptions &amp; FX Reference'!$A$5:$A$25,0))/INDEX('Assumptions &amp; FX Reference'!$C$5:$C$25,MATCH(Q70,'Assumptions &amp; FX Reference'!$A$5:$A$25,0)),"(Not stated)"))),"(FX rate not entered for this year)"),"(FX rate not entered for this year)")))</f>
        <v>90000</v>
      </c>
      <c r="U70" s="36">
        <f>IF(NOT(ISNUMBER(S70)),"(Not stated)",IF(NOT(ISNUMBER(Q70)),"(Cost year not stated / not a Jalali year)",IFERROR(IF(N(IF(R70="USD",S70,IF(R70="IRR",S70/INDEX('Assumptions &amp; FX Reference'!$B$5:$B$25,MATCH(Q70,'Assumptions &amp; FX Reference'!$A$5:$A$25,0)),IF(R70="EUR",S70*INDEX('Assumptions &amp; FX Reference'!$C$5:$C$25,MATCH(Q70,'Assumptions &amp; FX Reference'!$A$5:$A$25,0))/INDEX('Assumptions &amp; FX Reference'!$B$5:$B$25,MATCH(Q70,'Assumptions &amp; FX Reference'!$A$5:$A$25,0)),"(Not stated)"))))&gt;0,IF(R70="USD",S70,IF(R70="IRR",S70/INDEX('Assumptions &amp; FX Reference'!$B$5:$B$25,MATCH(Q70,'Assumptions &amp; FX Reference'!$A$5:$A$25,0)),IF(R70="EUR",S70*INDEX('Assumptions &amp; FX Reference'!$C$5:$C$25,MATCH(Q70,'Assumptions &amp; FX Reference'!$A$5:$A$25,0))/INDEX('Assumptions &amp; FX Reference'!$B$5:$B$25,MATCH(Q70,'Assumptions &amp; FX Reference'!$A$5:$A$25,0)),"(Not stated)"))),"(FX rate not entered for this year)"),"(FX rate not entered for this year)")))</f>
        <v>98584.202682563337</v>
      </c>
      <c r="V70" s="36">
        <f>IF(NOT(ISNUMBER(S70)),"(Not stated)",IF(NOT(ISNUMBER(Q70)),"(Cost year not stated / not a Jalali year)",IFERROR(IF(N(IF(R70="IRR",S70,IF(R70="USD",S70*INDEX('Assumptions &amp; FX Reference'!$B$5:$B$25,MATCH(Q70,'Assumptions &amp; FX Reference'!$A$5:$A$25,0)),IF(R70="EUR",S70*INDEX('Assumptions &amp; FX Reference'!$C$5:$C$25,MATCH(Q70,'Assumptions &amp; FX Reference'!$A$5:$A$25,0)),"(Not stated)"))))&gt;0,IF(R70="IRR",S70,IF(R70="USD",S70*INDEX('Assumptions &amp; FX Reference'!$B$5:$B$25,MATCH(Q70,'Assumptions &amp; FX Reference'!$A$5:$A$25,0)),IF(R70="EUR",S70*INDEX('Assumptions &amp; FX Reference'!$C$5:$C$25,MATCH(Q70,'Assumptions &amp; FX Reference'!$A$5:$A$25,0)),"(Not stated)"))),"(FX rate not entered for this year)"),"(FX rate not entered for this year)")))</f>
        <v>3307500000</v>
      </c>
      <c r="W70" s="19" t="s">
        <v>480</v>
      </c>
      <c r="X70" s="19" t="s">
        <v>106</v>
      </c>
      <c r="Y70" s="19" t="s">
        <v>107</v>
      </c>
      <c r="Z70" s="19" t="s">
        <v>486</v>
      </c>
      <c r="AA70" s="19" t="s">
        <v>487</v>
      </c>
      <c r="AB70" s="19" t="s">
        <v>110</v>
      </c>
    </row>
    <row r="71" spans="1:28" ht="109.5" hidden="1" customHeight="1" x14ac:dyDescent="0.25">
      <c r="A71" s="18">
        <v>67</v>
      </c>
      <c r="B71" s="19" t="s">
        <v>488</v>
      </c>
      <c r="C71" s="19" t="s">
        <v>94</v>
      </c>
      <c r="D71" s="19" t="s">
        <v>489</v>
      </c>
      <c r="E71" s="19" t="s">
        <v>249</v>
      </c>
      <c r="F71" s="19" t="s">
        <v>49</v>
      </c>
      <c r="G71" s="20">
        <v>2</v>
      </c>
      <c r="H71" s="19" t="s">
        <v>97</v>
      </c>
      <c r="I71" s="19" t="s">
        <v>490</v>
      </c>
      <c r="J71" s="19" t="s">
        <v>104</v>
      </c>
      <c r="K71" s="19" t="s">
        <v>104</v>
      </c>
      <c r="L71" s="19" t="s">
        <v>104</v>
      </c>
      <c r="M71" s="19" t="s">
        <v>104</v>
      </c>
      <c r="N71" s="19" t="s">
        <v>104</v>
      </c>
      <c r="O71" s="21" t="s">
        <v>104</v>
      </c>
      <c r="P71" s="19" t="s">
        <v>104</v>
      </c>
      <c r="Q71" s="22">
        <v>1394</v>
      </c>
      <c r="R71" s="23" t="s">
        <v>479</v>
      </c>
      <c r="S71" s="20">
        <v>15000</v>
      </c>
      <c r="T71" s="36">
        <f>IF(NOT(ISNUMBER(S71)),"(Not stated)",IF(NOT(ISNUMBER(Q71)),"(Cost year not stated / not a Jalali year)",IFERROR(IF(N(IF(R71="EUR",S71,IF(R71="IRR",S71/INDEX('Assumptions &amp; FX Reference'!$C$5:$C$25,MATCH(Q71,'Assumptions &amp; FX Reference'!$A$5:$A$25,0)),IF(R71="USD",S71*INDEX('Assumptions &amp; FX Reference'!$B$5:$B$25,MATCH(Q71,'Assumptions &amp; FX Reference'!$A$5:$A$25,0))/INDEX('Assumptions &amp; FX Reference'!$C$5:$C$25,MATCH(Q71,'Assumptions &amp; FX Reference'!$A$5:$A$25,0)),"(Not stated)"))))&gt;0,IF(R71="EUR",S71,IF(R71="IRR",S71/INDEX('Assumptions &amp; FX Reference'!$C$5:$C$25,MATCH(Q71,'Assumptions &amp; FX Reference'!$A$5:$A$25,0)),IF(R71="USD",S71*INDEX('Assumptions &amp; FX Reference'!$B$5:$B$25,MATCH(Q71,'Assumptions &amp; FX Reference'!$A$5:$A$25,0))/INDEX('Assumptions &amp; FX Reference'!$C$5:$C$25,MATCH(Q71,'Assumptions &amp; FX Reference'!$A$5:$A$25,0)),"(Not stated)"))),"(FX rate not entered for this year)"),"(FX rate not entered for this year)")))</f>
        <v>15000</v>
      </c>
      <c r="U71" s="36">
        <f>IF(NOT(ISNUMBER(S71)),"(Not stated)",IF(NOT(ISNUMBER(Q71)),"(Cost year not stated / not a Jalali year)",IFERROR(IF(N(IF(R71="USD",S71,IF(R71="IRR",S71/INDEX('Assumptions &amp; FX Reference'!$B$5:$B$25,MATCH(Q71,'Assumptions &amp; FX Reference'!$A$5:$A$25,0)),IF(R71="EUR",S71*INDEX('Assumptions &amp; FX Reference'!$C$5:$C$25,MATCH(Q71,'Assumptions &amp; FX Reference'!$A$5:$A$25,0))/INDEX('Assumptions &amp; FX Reference'!$B$5:$B$25,MATCH(Q71,'Assumptions &amp; FX Reference'!$A$5:$A$25,0)),"(Not stated)"))))&gt;0,IF(R71="USD",S71,IF(R71="IRR",S71/INDEX('Assumptions &amp; FX Reference'!$B$5:$B$25,MATCH(Q71,'Assumptions &amp; FX Reference'!$A$5:$A$25,0)),IF(R71="EUR",S71*INDEX('Assumptions &amp; FX Reference'!$C$5:$C$25,MATCH(Q71,'Assumptions &amp; FX Reference'!$A$5:$A$25,0))/INDEX('Assumptions &amp; FX Reference'!$B$5:$B$25,MATCH(Q71,'Assumptions &amp; FX Reference'!$A$5:$A$25,0)),"(Not stated)"))),"(FX rate not entered for this year)"),"(FX rate not entered for this year)")))</f>
        <v>16430.700447093888</v>
      </c>
      <c r="V71" s="36">
        <f>IF(NOT(ISNUMBER(S71)),"(Not stated)",IF(NOT(ISNUMBER(Q71)),"(Cost year not stated / not a Jalali year)",IFERROR(IF(N(IF(R71="IRR",S71,IF(R71="USD",S71*INDEX('Assumptions &amp; FX Reference'!$B$5:$B$25,MATCH(Q71,'Assumptions &amp; FX Reference'!$A$5:$A$25,0)),IF(R71="EUR",S71*INDEX('Assumptions &amp; FX Reference'!$C$5:$C$25,MATCH(Q71,'Assumptions &amp; FX Reference'!$A$5:$A$25,0)),"(Not stated)"))))&gt;0,IF(R71="IRR",S71,IF(R71="USD",S71*INDEX('Assumptions &amp; FX Reference'!$B$5:$B$25,MATCH(Q71,'Assumptions &amp; FX Reference'!$A$5:$A$25,0)),IF(R71="EUR",S71*INDEX('Assumptions &amp; FX Reference'!$C$5:$C$25,MATCH(Q71,'Assumptions &amp; FX Reference'!$A$5:$A$25,0)),"(Not stated)"))),"(FX rate not entered for this year)"),"(FX rate not entered for this year)")))</f>
        <v>551250000</v>
      </c>
      <c r="W71" s="19" t="s">
        <v>480</v>
      </c>
      <c r="X71" s="19" t="s">
        <v>106</v>
      </c>
      <c r="Y71" s="19" t="s">
        <v>107</v>
      </c>
      <c r="Z71" s="19" t="s">
        <v>491</v>
      </c>
      <c r="AA71" s="19" t="s">
        <v>492</v>
      </c>
      <c r="AB71" s="19" t="s">
        <v>110</v>
      </c>
    </row>
    <row r="72" spans="1:28" ht="109.5" hidden="1" customHeight="1" x14ac:dyDescent="0.25">
      <c r="A72" s="18">
        <v>68</v>
      </c>
      <c r="B72" s="19" t="s">
        <v>493</v>
      </c>
      <c r="C72" s="19" t="s">
        <v>94</v>
      </c>
      <c r="D72" s="19" t="s">
        <v>494</v>
      </c>
      <c r="E72" s="19" t="s">
        <v>249</v>
      </c>
      <c r="F72" s="19" t="s">
        <v>49</v>
      </c>
      <c r="G72" s="20">
        <v>1</v>
      </c>
      <c r="H72" s="19" t="s">
        <v>97</v>
      </c>
      <c r="I72" s="19" t="s">
        <v>495</v>
      </c>
      <c r="J72" s="19" t="s">
        <v>104</v>
      </c>
      <c r="K72" s="19" t="s">
        <v>104</v>
      </c>
      <c r="L72" s="19" t="s">
        <v>104</v>
      </c>
      <c r="M72" s="19" t="s">
        <v>104</v>
      </c>
      <c r="N72" s="19" t="s">
        <v>104</v>
      </c>
      <c r="O72" s="21" t="s">
        <v>104</v>
      </c>
      <c r="P72" s="19" t="s">
        <v>104</v>
      </c>
      <c r="Q72" s="22">
        <v>1394</v>
      </c>
      <c r="R72" s="23" t="s">
        <v>479</v>
      </c>
      <c r="S72" s="20">
        <v>6500</v>
      </c>
      <c r="T72" s="36">
        <f>IF(NOT(ISNUMBER(S72)),"(Not stated)",IF(NOT(ISNUMBER(Q72)),"(Cost year not stated / not a Jalali year)",IFERROR(IF(N(IF(R72="EUR",S72,IF(R72="IRR",S72/INDEX('Assumptions &amp; FX Reference'!$C$5:$C$25,MATCH(Q72,'Assumptions &amp; FX Reference'!$A$5:$A$25,0)),IF(R72="USD",S72*INDEX('Assumptions &amp; FX Reference'!$B$5:$B$25,MATCH(Q72,'Assumptions &amp; FX Reference'!$A$5:$A$25,0))/INDEX('Assumptions &amp; FX Reference'!$C$5:$C$25,MATCH(Q72,'Assumptions &amp; FX Reference'!$A$5:$A$25,0)),"(Not stated)"))))&gt;0,IF(R72="EUR",S72,IF(R72="IRR",S72/INDEX('Assumptions &amp; FX Reference'!$C$5:$C$25,MATCH(Q72,'Assumptions &amp; FX Reference'!$A$5:$A$25,0)),IF(R72="USD",S72*INDEX('Assumptions &amp; FX Reference'!$B$5:$B$25,MATCH(Q72,'Assumptions &amp; FX Reference'!$A$5:$A$25,0))/INDEX('Assumptions &amp; FX Reference'!$C$5:$C$25,MATCH(Q72,'Assumptions &amp; FX Reference'!$A$5:$A$25,0)),"(Not stated)"))),"(FX rate not entered for this year)"),"(FX rate not entered for this year)")))</f>
        <v>6500</v>
      </c>
      <c r="U72" s="36">
        <f>IF(NOT(ISNUMBER(S72)),"(Not stated)",IF(NOT(ISNUMBER(Q72)),"(Cost year not stated / not a Jalali year)",IFERROR(IF(N(IF(R72="USD",S72,IF(R72="IRR",S72/INDEX('Assumptions &amp; FX Reference'!$B$5:$B$25,MATCH(Q72,'Assumptions &amp; FX Reference'!$A$5:$A$25,0)),IF(R72="EUR",S72*INDEX('Assumptions &amp; FX Reference'!$C$5:$C$25,MATCH(Q72,'Assumptions &amp; FX Reference'!$A$5:$A$25,0))/INDEX('Assumptions &amp; FX Reference'!$B$5:$B$25,MATCH(Q72,'Assumptions &amp; FX Reference'!$A$5:$A$25,0)),"(Not stated)"))))&gt;0,IF(R72="USD",S72,IF(R72="IRR",S72/INDEX('Assumptions &amp; FX Reference'!$B$5:$B$25,MATCH(Q72,'Assumptions &amp; FX Reference'!$A$5:$A$25,0)),IF(R72="EUR",S72*INDEX('Assumptions &amp; FX Reference'!$C$5:$C$25,MATCH(Q72,'Assumptions &amp; FX Reference'!$A$5:$A$25,0))/INDEX('Assumptions &amp; FX Reference'!$B$5:$B$25,MATCH(Q72,'Assumptions &amp; FX Reference'!$A$5:$A$25,0)),"(Not stated)"))),"(FX rate not entered for this year)"),"(FX rate not entered for this year)")))</f>
        <v>7119.9701937406853</v>
      </c>
      <c r="V72" s="36">
        <f>IF(NOT(ISNUMBER(S72)),"(Not stated)",IF(NOT(ISNUMBER(Q72)),"(Cost year not stated / not a Jalali year)",IFERROR(IF(N(IF(R72="IRR",S72,IF(R72="USD",S72*INDEX('Assumptions &amp; FX Reference'!$B$5:$B$25,MATCH(Q72,'Assumptions &amp; FX Reference'!$A$5:$A$25,0)),IF(R72="EUR",S72*INDEX('Assumptions &amp; FX Reference'!$C$5:$C$25,MATCH(Q72,'Assumptions &amp; FX Reference'!$A$5:$A$25,0)),"(Not stated)"))))&gt;0,IF(R72="IRR",S72,IF(R72="USD",S72*INDEX('Assumptions &amp; FX Reference'!$B$5:$B$25,MATCH(Q72,'Assumptions &amp; FX Reference'!$A$5:$A$25,0)),IF(R72="EUR",S72*INDEX('Assumptions &amp; FX Reference'!$C$5:$C$25,MATCH(Q72,'Assumptions &amp; FX Reference'!$A$5:$A$25,0)),"(Not stated)"))),"(FX rate not entered for this year)"),"(FX rate not entered for this year)")))</f>
        <v>238875000</v>
      </c>
      <c r="W72" s="19" t="s">
        <v>480</v>
      </c>
      <c r="X72" s="19" t="s">
        <v>106</v>
      </c>
      <c r="Y72" s="19" t="s">
        <v>107</v>
      </c>
      <c r="Z72" s="19" t="s">
        <v>496</v>
      </c>
      <c r="AA72" s="19" t="s">
        <v>497</v>
      </c>
      <c r="AB72" s="19" t="s">
        <v>110</v>
      </c>
    </row>
    <row r="73" spans="1:28" ht="109.5" hidden="1" customHeight="1" x14ac:dyDescent="0.25">
      <c r="A73" s="18">
        <v>69</v>
      </c>
      <c r="B73" s="19" t="s">
        <v>498</v>
      </c>
      <c r="C73" s="19" t="s">
        <v>94</v>
      </c>
      <c r="D73" s="19" t="s">
        <v>499</v>
      </c>
      <c r="E73" s="19" t="s">
        <v>500</v>
      </c>
      <c r="F73" s="19" t="s">
        <v>51</v>
      </c>
      <c r="G73" s="20">
        <v>1</v>
      </c>
      <c r="H73" s="19" t="s">
        <v>97</v>
      </c>
      <c r="I73" s="19" t="s">
        <v>501</v>
      </c>
      <c r="J73" s="19" t="s">
        <v>104</v>
      </c>
      <c r="K73" s="19" t="s">
        <v>104</v>
      </c>
      <c r="L73" s="19" t="s">
        <v>104</v>
      </c>
      <c r="M73" s="19" t="s">
        <v>104</v>
      </c>
      <c r="N73" s="19" t="s">
        <v>104</v>
      </c>
      <c r="O73" s="21" t="s">
        <v>104</v>
      </c>
      <c r="P73" s="19" t="s">
        <v>104</v>
      </c>
      <c r="Q73" s="22">
        <v>1394</v>
      </c>
      <c r="R73" s="23" t="s">
        <v>105</v>
      </c>
      <c r="S73" s="20">
        <v>950000000</v>
      </c>
      <c r="T73" s="36">
        <f>IF(NOT(ISNUMBER(S73)),"(Not stated)",IF(NOT(ISNUMBER(Q73)),"(Cost year not stated / not a Jalali year)",IFERROR(IF(N(IF(R73="EUR",S73,IF(R73="IRR",S73/INDEX('Assumptions &amp; FX Reference'!$C$5:$C$25,MATCH(Q73,'Assumptions &amp; FX Reference'!$A$5:$A$25,0)),IF(R73="USD",S73*INDEX('Assumptions &amp; FX Reference'!$B$5:$B$25,MATCH(Q73,'Assumptions &amp; FX Reference'!$A$5:$A$25,0))/INDEX('Assumptions &amp; FX Reference'!$C$5:$C$25,MATCH(Q73,'Assumptions &amp; FX Reference'!$A$5:$A$25,0)),"(Not stated)"))))&gt;0,IF(R73="EUR",S73,IF(R73="IRR",S73/INDEX('Assumptions &amp; FX Reference'!$C$5:$C$25,MATCH(Q73,'Assumptions &amp; FX Reference'!$A$5:$A$25,0)),IF(R73="USD",S73*INDEX('Assumptions &amp; FX Reference'!$B$5:$B$25,MATCH(Q73,'Assumptions &amp; FX Reference'!$A$5:$A$25,0))/INDEX('Assumptions &amp; FX Reference'!$C$5:$C$25,MATCH(Q73,'Assumptions &amp; FX Reference'!$A$5:$A$25,0)),"(Not stated)"))),"(FX rate not entered for this year)"),"(FX rate not entered for this year)")))</f>
        <v>25850.340136054423</v>
      </c>
      <c r="U73" s="36">
        <f>IF(NOT(ISNUMBER(S73)),"(Not stated)",IF(NOT(ISNUMBER(Q73)),"(Cost year not stated / not a Jalali year)",IFERROR(IF(N(IF(R73="USD",S73,IF(R73="IRR",S73/INDEX('Assumptions &amp; FX Reference'!$B$5:$B$25,MATCH(Q73,'Assumptions &amp; FX Reference'!$A$5:$A$25,0)),IF(R73="EUR",S73*INDEX('Assumptions &amp; FX Reference'!$C$5:$C$25,MATCH(Q73,'Assumptions &amp; FX Reference'!$A$5:$A$25,0))/INDEX('Assumptions &amp; FX Reference'!$B$5:$B$25,MATCH(Q73,'Assumptions &amp; FX Reference'!$A$5:$A$25,0)),"(Not stated)"))))&gt;0,IF(R73="USD",S73,IF(R73="IRR",S73/INDEX('Assumptions &amp; FX Reference'!$B$5:$B$25,MATCH(Q73,'Assumptions &amp; FX Reference'!$A$5:$A$25,0)),IF(R73="EUR",S73*INDEX('Assumptions &amp; FX Reference'!$C$5:$C$25,MATCH(Q73,'Assumptions &amp; FX Reference'!$A$5:$A$25,0))/INDEX('Assumptions &amp; FX Reference'!$B$5:$B$25,MATCH(Q73,'Assumptions &amp; FX Reference'!$A$5:$A$25,0)),"(Not stated)"))),"(FX rate not entered for this year)"),"(FX rate not entered for this year)")))</f>
        <v>28315.946348733232</v>
      </c>
      <c r="V73" s="36">
        <f>IF(NOT(ISNUMBER(S73)),"(Not stated)",IF(NOT(ISNUMBER(Q73)),"(Cost year not stated / not a Jalali year)",IFERROR(IF(N(IF(R73="IRR",S73,IF(R73="USD",S73*INDEX('Assumptions &amp; FX Reference'!$B$5:$B$25,MATCH(Q73,'Assumptions &amp; FX Reference'!$A$5:$A$25,0)),IF(R73="EUR",S73*INDEX('Assumptions &amp; FX Reference'!$C$5:$C$25,MATCH(Q73,'Assumptions &amp; FX Reference'!$A$5:$A$25,0)),"(Not stated)"))))&gt;0,IF(R73="IRR",S73,IF(R73="USD",S73*INDEX('Assumptions &amp; FX Reference'!$B$5:$B$25,MATCH(Q73,'Assumptions &amp; FX Reference'!$A$5:$A$25,0)),IF(R73="EUR",S73*INDEX('Assumptions &amp; FX Reference'!$C$5:$C$25,MATCH(Q73,'Assumptions &amp; FX Reference'!$A$5:$A$25,0)),"(Not stated)"))),"(FX rate not entered for this year)"),"(FX rate not entered for this year)")))</f>
        <v>950000000</v>
      </c>
      <c r="W73" s="19" t="s">
        <v>502</v>
      </c>
      <c r="X73" s="19" t="s">
        <v>106</v>
      </c>
      <c r="Y73" s="19" t="s">
        <v>107</v>
      </c>
      <c r="Z73" s="19" t="s">
        <v>503</v>
      </c>
      <c r="AA73" s="19" t="s">
        <v>504</v>
      </c>
      <c r="AB73" s="19" t="s">
        <v>110</v>
      </c>
    </row>
  </sheetData>
  <autoFilter ref="A4:AB73" xr:uid="{00000000-0009-0000-0000-000001000000}">
    <filterColumn colId="5">
      <filters>
        <filter val="SAF-SHW"/>
      </filters>
    </filterColumn>
  </autoFilter>
  <conditionalFormatting sqref="AB5:AB73">
    <cfRule type="expression" dxfId="1" priority="2">
      <formula>$AB5="Y"</formula>
    </cfRule>
    <cfRule type="expression" dxfId="0" priority="3">
      <formula>$AB5="N"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H40"/>
  <sheetViews>
    <sheetView showGridLines="0" topLeftCell="A14" zoomScaleNormal="100" workbookViewId="0">
      <selection activeCell="H25" sqref="H25"/>
    </sheetView>
  </sheetViews>
  <sheetFormatPr defaultColWidth="8.7109375" defaultRowHeight="15" x14ac:dyDescent="0.25"/>
  <cols>
    <col min="1" max="1" width="12" customWidth="1"/>
    <col min="2" max="4" width="14" customWidth="1"/>
    <col min="5" max="5" width="74" customWidth="1"/>
  </cols>
  <sheetData>
    <row r="1" spans="1:8" ht="18" customHeight="1" x14ac:dyDescent="0.25">
      <c r="A1" s="16" t="s">
        <v>505</v>
      </c>
      <c r="F1" s="8"/>
      <c r="G1" s="8"/>
      <c r="H1" s="8"/>
    </row>
    <row r="2" spans="1:8" ht="15" customHeight="1" x14ac:dyDescent="0.25">
      <c r="A2" s="25" t="s">
        <v>506</v>
      </c>
      <c r="F2" s="8"/>
      <c r="G2" s="8"/>
      <c r="H2" s="8"/>
    </row>
    <row r="3" spans="1:8" ht="15" customHeight="1" x14ac:dyDescent="0.25">
      <c r="F3" s="8"/>
      <c r="G3" s="8"/>
      <c r="H3" s="8"/>
    </row>
    <row r="4" spans="1:8" ht="30" customHeight="1" x14ac:dyDescent="0.25">
      <c r="A4" s="11" t="s">
        <v>507</v>
      </c>
      <c r="B4" s="11" t="s">
        <v>508</v>
      </c>
      <c r="C4" s="11" t="s">
        <v>509</v>
      </c>
      <c r="D4" s="11" t="s">
        <v>510</v>
      </c>
      <c r="E4" s="11" t="s">
        <v>511</v>
      </c>
      <c r="F4" s="8"/>
      <c r="G4" s="8"/>
      <c r="H4" s="8"/>
    </row>
    <row r="5" spans="1:8" ht="15" customHeight="1" x14ac:dyDescent="0.25">
      <c r="A5" s="26">
        <v>1385</v>
      </c>
      <c r="B5" s="27">
        <v>9148</v>
      </c>
      <c r="C5" s="27">
        <v>11285</v>
      </c>
      <c r="D5">
        <f>C5/B5</f>
        <v>1.2336029733275033</v>
      </c>
      <c r="E5" s="28" t="s">
        <v>512</v>
      </c>
      <c r="F5" s="8"/>
      <c r="G5" s="8"/>
      <c r="H5" s="8"/>
    </row>
    <row r="6" spans="1:8" ht="15" customHeight="1" x14ac:dyDescent="0.25">
      <c r="A6" s="26">
        <v>1386</v>
      </c>
      <c r="B6" s="27">
        <v>9202</v>
      </c>
      <c r="C6" s="27">
        <v>11781</v>
      </c>
      <c r="D6">
        <f>C6/B6</f>
        <v>1.2802651597478809</v>
      </c>
      <c r="E6" s="28" t="s">
        <v>512</v>
      </c>
      <c r="F6" s="8"/>
      <c r="G6" s="8"/>
      <c r="H6" s="8"/>
    </row>
    <row r="7" spans="1:8" ht="15" customHeight="1" x14ac:dyDescent="0.25">
      <c r="A7" s="26">
        <v>1387</v>
      </c>
      <c r="B7" s="27">
        <v>9300</v>
      </c>
      <c r="C7" s="27">
        <v>14260</v>
      </c>
      <c r="D7">
        <f>C7/B7</f>
        <v>1.5333333333333334</v>
      </c>
      <c r="E7" s="28" t="s">
        <v>512</v>
      </c>
      <c r="F7" s="8"/>
      <c r="G7" s="8"/>
      <c r="H7" s="8"/>
    </row>
    <row r="8" spans="1:8" ht="15" customHeight="1" x14ac:dyDescent="0.25">
      <c r="A8" s="26">
        <v>1388</v>
      </c>
      <c r="B8" s="27">
        <v>9900</v>
      </c>
      <c r="C8" s="27">
        <v>13400</v>
      </c>
      <c r="D8">
        <f>C8/B7</f>
        <v>1.4408602150537635</v>
      </c>
      <c r="E8" s="28" t="s">
        <v>512</v>
      </c>
      <c r="F8" s="8"/>
      <c r="G8" s="8"/>
      <c r="H8" s="8"/>
    </row>
    <row r="9" spans="1:8" ht="15" customHeight="1" x14ac:dyDescent="0.25">
      <c r="A9" s="26">
        <v>1389</v>
      </c>
      <c r="B9" s="27">
        <v>10200</v>
      </c>
      <c r="C9" s="27">
        <v>13800</v>
      </c>
      <c r="D9">
        <f t="shared" ref="D9:D24" si="0">C9/B9</f>
        <v>1.3529411764705883</v>
      </c>
      <c r="E9" s="28" t="s">
        <v>512</v>
      </c>
      <c r="F9" s="8"/>
      <c r="G9" s="8"/>
      <c r="H9" s="8"/>
    </row>
    <row r="10" spans="1:8" ht="15" customHeight="1" x14ac:dyDescent="0.25">
      <c r="A10" s="26">
        <v>1390</v>
      </c>
      <c r="B10" s="27">
        <v>11300</v>
      </c>
      <c r="C10" s="27">
        <v>15750</v>
      </c>
      <c r="D10">
        <f t="shared" si="0"/>
        <v>1.3938053097345133</v>
      </c>
      <c r="E10" s="28" t="s">
        <v>512</v>
      </c>
      <c r="F10" s="8"/>
      <c r="G10" s="8"/>
      <c r="H10" s="8"/>
    </row>
    <row r="11" spans="1:8" ht="15" customHeight="1" x14ac:dyDescent="0.25">
      <c r="A11" s="26">
        <v>1391</v>
      </c>
      <c r="B11" s="27">
        <v>19000</v>
      </c>
      <c r="C11" s="27">
        <v>25500</v>
      </c>
      <c r="D11">
        <f t="shared" si="0"/>
        <v>1.3421052631578947</v>
      </c>
      <c r="E11" s="28" t="s">
        <v>512</v>
      </c>
      <c r="F11" s="8"/>
      <c r="G11" s="8"/>
      <c r="H11" s="8"/>
    </row>
    <row r="12" spans="1:8" ht="43.5" customHeight="1" x14ac:dyDescent="0.25">
      <c r="A12" s="26">
        <v>1392</v>
      </c>
      <c r="B12" s="29">
        <v>36300</v>
      </c>
      <c r="C12" s="29">
        <v>42000</v>
      </c>
      <c r="D12">
        <f t="shared" si="0"/>
        <v>1.1570247933884297</v>
      </c>
      <c r="E12" s="30" t="s">
        <v>513</v>
      </c>
      <c r="F12" s="8"/>
      <c r="G12" s="8"/>
      <c r="H12" s="8"/>
    </row>
    <row r="13" spans="1:8" ht="43.5" customHeight="1" x14ac:dyDescent="0.25">
      <c r="A13" s="26">
        <v>1393</v>
      </c>
      <c r="B13" s="29">
        <v>31000</v>
      </c>
      <c r="C13" s="29">
        <v>40530.800000000003</v>
      </c>
      <c r="D13">
        <f t="shared" si="0"/>
        <v>1.3074451612903226</v>
      </c>
      <c r="E13" s="30" t="s">
        <v>514</v>
      </c>
      <c r="F13" s="8"/>
      <c r="G13" s="8"/>
      <c r="H13" s="8"/>
    </row>
    <row r="14" spans="1:8" ht="15" customHeight="1" x14ac:dyDescent="0.25">
      <c r="A14" s="26">
        <v>1394</v>
      </c>
      <c r="B14" s="27">
        <v>33550</v>
      </c>
      <c r="C14" s="27">
        <v>36750</v>
      </c>
      <c r="D14">
        <f t="shared" si="0"/>
        <v>1.0953800298062593</v>
      </c>
      <c r="E14" s="28" t="s">
        <v>512</v>
      </c>
      <c r="F14" s="8"/>
      <c r="G14" s="8"/>
      <c r="H14" s="8"/>
    </row>
    <row r="15" spans="1:8" ht="15" customHeight="1" x14ac:dyDescent="0.25">
      <c r="A15" s="26">
        <v>1395</v>
      </c>
      <c r="B15" s="27">
        <v>34600</v>
      </c>
      <c r="C15" s="27">
        <v>38800</v>
      </c>
      <c r="D15">
        <f t="shared" si="0"/>
        <v>1.1213872832369942</v>
      </c>
      <c r="E15" s="28" t="s">
        <v>512</v>
      </c>
      <c r="F15" s="8"/>
      <c r="G15" s="8"/>
      <c r="H15" s="8"/>
    </row>
    <row r="16" spans="1:8" ht="15" customHeight="1" x14ac:dyDescent="0.25">
      <c r="A16" s="26">
        <v>1396</v>
      </c>
      <c r="B16" s="27">
        <v>37300</v>
      </c>
      <c r="C16" s="27">
        <v>40250</v>
      </c>
      <c r="D16">
        <f t="shared" si="0"/>
        <v>1.0790884718498659</v>
      </c>
      <c r="E16" s="28" t="s">
        <v>512</v>
      </c>
      <c r="F16" s="8"/>
      <c r="G16" s="8"/>
      <c r="H16" s="8"/>
    </row>
    <row r="17" spans="1:8" ht="15" customHeight="1" x14ac:dyDescent="0.25">
      <c r="A17" s="26">
        <v>1397</v>
      </c>
      <c r="B17" s="27">
        <v>47700</v>
      </c>
      <c r="C17" s="27">
        <v>59000</v>
      </c>
      <c r="D17">
        <f t="shared" si="0"/>
        <v>1.2368972746331237</v>
      </c>
      <c r="E17" s="28" t="s">
        <v>512</v>
      </c>
      <c r="F17" s="8"/>
      <c r="G17" s="8"/>
      <c r="H17" s="8"/>
    </row>
    <row r="18" spans="1:8" ht="15" customHeight="1" x14ac:dyDescent="0.25">
      <c r="A18" s="26">
        <v>1398</v>
      </c>
      <c r="B18" s="27">
        <v>135000</v>
      </c>
      <c r="C18" s="27">
        <v>152800</v>
      </c>
      <c r="D18">
        <f t="shared" si="0"/>
        <v>1.1318518518518519</v>
      </c>
      <c r="E18" s="28" t="s">
        <v>512</v>
      </c>
      <c r="F18" s="8"/>
      <c r="G18" s="8"/>
      <c r="H18" s="8"/>
    </row>
    <row r="19" spans="1:8" ht="15" customHeight="1" x14ac:dyDescent="0.25">
      <c r="A19" s="26">
        <v>1399</v>
      </c>
      <c r="B19" s="27">
        <v>161000</v>
      </c>
      <c r="C19" s="27">
        <v>172200</v>
      </c>
      <c r="D19">
        <f t="shared" si="0"/>
        <v>1.0695652173913044</v>
      </c>
      <c r="E19" s="28" t="s">
        <v>512</v>
      </c>
      <c r="F19" s="8"/>
      <c r="G19" s="8"/>
      <c r="H19" s="8"/>
    </row>
    <row r="20" spans="1:8" ht="15" customHeight="1" x14ac:dyDescent="0.25">
      <c r="A20" s="26">
        <v>1400</v>
      </c>
      <c r="B20" s="27">
        <v>252000</v>
      </c>
      <c r="C20" s="27">
        <v>298400</v>
      </c>
      <c r="D20">
        <f t="shared" si="0"/>
        <v>1.1841269841269841</v>
      </c>
      <c r="E20" s="28" t="s">
        <v>512</v>
      </c>
      <c r="F20" s="8"/>
      <c r="G20" s="8"/>
      <c r="H20" s="8"/>
    </row>
    <row r="21" spans="1:8" ht="15" customHeight="1" x14ac:dyDescent="0.25">
      <c r="A21" s="26">
        <v>1401</v>
      </c>
      <c r="B21" s="27">
        <v>263000</v>
      </c>
      <c r="C21" s="27">
        <v>289500</v>
      </c>
      <c r="D21">
        <f t="shared" si="0"/>
        <v>1.1007604562737643</v>
      </c>
      <c r="E21" s="28" t="s">
        <v>512</v>
      </c>
      <c r="F21" s="8"/>
      <c r="G21" s="8"/>
      <c r="H21" s="8"/>
    </row>
    <row r="22" spans="1:8" ht="43.5" customHeight="1" x14ac:dyDescent="0.25">
      <c r="A22" s="26">
        <v>1402</v>
      </c>
      <c r="B22" s="29">
        <v>420000</v>
      </c>
      <c r="C22" s="29">
        <v>529500</v>
      </c>
      <c r="D22">
        <f t="shared" si="0"/>
        <v>1.2607142857142857</v>
      </c>
      <c r="E22" s="30" t="s">
        <v>515</v>
      </c>
      <c r="F22" s="8"/>
      <c r="G22" s="8"/>
      <c r="H22" s="8"/>
    </row>
    <row r="23" spans="1:8" ht="15" customHeight="1" x14ac:dyDescent="0.25">
      <c r="A23" s="26">
        <v>1403</v>
      </c>
      <c r="B23" s="27">
        <v>600500</v>
      </c>
      <c r="C23" s="27">
        <v>653000</v>
      </c>
      <c r="D23">
        <f t="shared" si="0"/>
        <v>1.0874271440466279</v>
      </c>
      <c r="E23" s="28" t="s">
        <v>512</v>
      </c>
      <c r="F23" s="8"/>
      <c r="G23" s="8"/>
      <c r="H23" s="8"/>
    </row>
    <row r="24" spans="1:8" ht="43.5" customHeight="1" x14ac:dyDescent="0.25">
      <c r="A24" s="26">
        <v>1404</v>
      </c>
      <c r="B24" s="29">
        <v>658533</v>
      </c>
      <c r="C24" s="29">
        <v>695268</v>
      </c>
      <c r="D24">
        <f t="shared" si="0"/>
        <v>1.0557830814856659</v>
      </c>
      <c r="E24" s="30" t="s">
        <v>516</v>
      </c>
      <c r="F24" s="8"/>
      <c r="G24" s="8"/>
      <c r="H24" s="8"/>
    </row>
    <row r="25" spans="1:8" ht="43.5" customHeight="1" x14ac:dyDescent="0.25">
      <c r="A25" s="26">
        <v>1405</v>
      </c>
      <c r="B25" s="29">
        <f>C25/D25</f>
        <v>1818181.8181818181</v>
      </c>
      <c r="C25" s="29">
        <v>2000000</v>
      </c>
      <c r="D25" s="31">
        <v>1.1000000000000001</v>
      </c>
      <c r="E25" s="30" t="s">
        <v>517</v>
      </c>
      <c r="F25" s="8"/>
      <c r="G25" s="8"/>
      <c r="H25" s="8"/>
    </row>
    <row r="26" spans="1:8" ht="15" customHeight="1" x14ac:dyDescent="0.25">
      <c r="A26" s="8"/>
      <c r="B26" s="8"/>
      <c r="C26" s="8"/>
      <c r="D26" s="8"/>
      <c r="E26" s="8"/>
      <c r="F26" s="8"/>
      <c r="G26" s="8"/>
      <c r="H26" s="8"/>
    </row>
    <row r="27" spans="1:8" ht="15" customHeight="1" x14ac:dyDescent="0.25">
      <c r="A27" s="8"/>
      <c r="B27" s="8"/>
      <c r="C27" s="8"/>
      <c r="D27" s="8"/>
      <c r="E27" s="8"/>
      <c r="F27" s="8"/>
      <c r="G27" s="8"/>
      <c r="H27" s="8"/>
    </row>
    <row r="28" spans="1:8" ht="15" customHeight="1" x14ac:dyDescent="0.25">
      <c r="A28" s="15" t="s">
        <v>518</v>
      </c>
      <c r="B28" s="8"/>
      <c r="C28" s="8"/>
      <c r="D28" s="8"/>
      <c r="E28" s="8"/>
      <c r="F28" s="8"/>
      <c r="G28" s="8"/>
      <c r="H28" s="8"/>
    </row>
    <row r="29" spans="1:8" ht="30" customHeight="1" x14ac:dyDescent="0.25">
      <c r="A29" s="3" t="s">
        <v>519</v>
      </c>
      <c r="B29" s="3"/>
      <c r="C29" s="3"/>
      <c r="D29" s="3"/>
      <c r="E29" s="3"/>
      <c r="F29" s="8"/>
      <c r="G29" s="8"/>
      <c r="H29" s="8"/>
    </row>
    <row r="30" spans="1:8" ht="30" customHeight="1" x14ac:dyDescent="0.25">
      <c r="A30" s="3" t="s">
        <v>520</v>
      </c>
      <c r="B30" s="3"/>
      <c r="C30" s="3"/>
      <c r="D30" s="3"/>
      <c r="E30" s="3"/>
      <c r="F30" s="8"/>
      <c r="G30" s="8"/>
      <c r="H30" s="8"/>
    </row>
    <row r="31" spans="1:8" ht="30" customHeight="1" x14ac:dyDescent="0.25">
      <c r="A31" s="3" t="s">
        <v>521</v>
      </c>
      <c r="B31" s="3"/>
      <c r="C31" s="3"/>
      <c r="D31" s="3"/>
      <c r="E31" s="3"/>
      <c r="F31" s="8"/>
      <c r="G31" s="8"/>
      <c r="H31" s="8"/>
    </row>
    <row r="32" spans="1:8" ht="30" customHeight="1" x14ac:dyDescent="0.25">
      <c r="A32" s="3" t="s">
        <v>522</v>
      </c>
      <c r="B32" s="3"/>
      <c r="C32" s="3"/>
      <c r="D32" s="3"/>
      <c r="E32" s="3"/>
      <c r="F32" s="8"/>
      <c r="G32" s="8"/>
      <c r="H32" s="8"/>
    </row>
    <row r="33" spans="1:8" ht="30" customHeight="1" x14ac:dyDescent="0.25">
      <c r="A33" s="3" t="s">
        <v>523</v>
      </c>
      <c r="B33" s="3"/>
      <c r="C33" s="3"/>
      <c r="D33" s="3"/>
      <c r="E33" s="3"/>
      <c r="F33" s="8"/>
      <c r="G33" s="8"/>
      <c r="H33" s="8"/>
    </row>
    <row r="34" spans="1:8" ht="30" customHeight="1" x14ac:dyDescent="0.25">
      <c r="A34" s="3" t="s">
        <v>524</v>
      </c>
      <c r="B34" s="3"/>
      <c r="C34" s="3"/>
      <c r="D34" s="3"/>
      <c r="E34" s="3"/>
      <c r="F34" s="8"/>
      <c r="G34" s="8"/>
      <c r="H34" s="8"/>
    </row>
    <row r="35" spans="1:8" ht="15" customHeight="1" x14ac:dyDescent="0.25">
      <c r="A35" s="8"/>
      <c r="B35" s="8"/>
      <c r="C35" s="8"/>
      <c r="D35" s="8"/>
      <c r="E35" s="8"/>
      <c r="F35" s="8"/>
      <c r="G35" s="8"/>
      <c r="H35" s="8"/>
    </row>
    <row r="36" spans="1:8" ht="15" customHeight="1" x14ac:dyDescent="0.25">
      <c r="A36" s="8"/>
      <c r="B36" s="8"/>
      <c r="C36" s="8"/>
      <c r="D36" s="8"/>
      <c r="E36" s="8"/>
      <c r="F36" s="8"/>
      <c r="G36" s="8"/>
      <c r="H36" s="8"/>
    </row>
    <row r="37" spans="1:8" ht="15" customHeight="1" x14ac:dyDescent="0.25">
      <c r="A37" s="8"/>
      <c r="B37" s="8"/>
      <c r="C37" s="8"/>
      <c r="D37" s="8"/>
      <c r="E37" s="8"/>
      <c r="F37" s="8"/>
      <c r="G37" s="8"/>
      <c r="H37" s="8"/>
    </row>
    <row r="38" spans="1:8" ht="15" customHeight="1" x14ac:dyDescent="0.25">
      <c r="A38" s="8"/>
      <c r="B38" s="8"/>
      <c r="C38" s="8"/>
      <c r="D38" s="8"/>
      <c r="E38" s="8"/>
      <c r="F38" s="8"/>
      <c r="G38" s="8"/>
      <c r="H38" s="8"/>
    </row>
    <row r="39" spans="1:8" ht="15" customHeight="1" x14ac:dyDescent="0.25">
      <c r="A39" s="8"/>
      <c r="B39" s="8"/>
      <c r="C39" s="8"/>
      <c r="D39" s="8"/>
      <c r="E39" s="8"/>
      <c r="F39" s="8"/>
      <c r="G39" s="8"/>
      <c r="H39" s="8"/>
    </row>
    <row r="40" spans="1:8" ht="15" customHeight="1" x14ac:dyDescent="0.25">
      <c r="A40" s="8"/>
      <c r="B40" s="8"/>
      <c r="C40" s="8"/>
      <c r="D40" s="8"/>
      <c r="E40" s="8"/>
      <c r="F40" s="8"/>
      <c r="G40" s="8"/>
      <c r="H40" s="8"/>
    </row>
  </sheetData>
  <mergeCells count="6">
    <mergeCell ref="A34:E34"/>
    <mergeCell ref="A29:E29"/>
    <mergeCell ref="A30:E30"/>
    <mergeCell ref="A31:E31"/>
    <mergeCell ref="A32:E32"/>
    <mergeCell ref="A33:E3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9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30" customWidth="1"/>
    <col min="3" max="3" width="38" customWidth="1"/>
    <col min="4" max="5" width="46" customWidth="1"/>
    <col min="6" max="6" width="70" customWidth="1"/>
  </cols>
  <sheetData>
    <row r="1" spans="1:6" ht="18" customHeight="1" x14ac:dyDescent="0.25">
      <c r="A1" s="16" t="s">
        <v>525</v>
      </c>
    </row>
    <row r="2" spans="1:6" ht="15" customHeight="1" x14ac:dyDescent="0.25">
      <c r="A2" s="32" t="s">
        <v>526</v>
      </c>
    </row>
    <row r="4" spans="1:6" ht="15" customHeight="1" x14ac:dyDescent="0.25">
      <c r="A4" s="33" t="s">
        <v>527</v>
      </c>
    </row>
    <row r="5" spans="1:6" ht="19.5" customHeight="1" x14ac:dyDescent="0.25">
      <c r="A5" s="34" t="s">
        <v>528</v>
      </c>
      <c r="B5" s="34" t="s">
        <v>529</v>
      </c>
      <c r="C5" s="34" t="s">
        <v>530</v>
      </c>
      <c r="D5" s="34" t="s">
        <v>531</v>
      </c>
      <c r="E5" s="34" t="s">
        <v>532</v>
      </c>
      <c r="F5" s="34" t="s">
        <v>533</v>
      </c>
    </row>
    <row r="6" spans="1:6" ht="30" customHeight="1" x14ac:dyDescent="0.25">
      <c r="A6" s="35" t="s">
        <v>534</v>
      </c>
      <c r="B6" s="35" t="s">
        <v>95</v>
      </c>
      <c r="C6" s="35" t="s">
        <v>535</v>
      </c>
      <c r="D6" s="35" t="s">
        <v>536</v>
      </c>
      <c r="E6" s="35" t="s">
        <v>537</v>
      </c>
      <c r="F6" s="35" t="s">
        <v>538</v>
      </c>
    </row>
    <row r="7" spans="1:6" ht="30" customHeight="1" x14ac:dyDescent="0.25">
      <c r="A7" s="35" t="s">
        <v>534</v>
      </c>
      <c r="B7" s="35" t="s">
        <v>112</v>
      </c>
      <c r="C7" s="35" t="s">
        <v>535</v>
      </c>
      <c r="D7" s="35" t="s">
        <v>536</v>
      </c>
      <c r="E7" s="35" t="s">
        <v>539</v>
      </c>
      <c r="F7" s="35" t="s">
        <v>540</v>
      </c>
    </row>
    <row r="8" spans="1:6" ht="30" customHeight="1" x14ac:dyDescent="0.25">
      <c r="A8" s="35" t="s">
        <v>534</v>
      </c>
      <c r="B8" s="35" t="s">
        <v>122</v>
      </c>
      <c r="C8" s="35" t="s">
        <v>535</v>
      </c>
      <c r="D8" s="35" t="s">
        <v>536</v>
      </c>
      <c r="E8" s="35" t="s">
        <v>541</v>
      </c>
      <c r="F8" s="35" t="s">
        <v>542</v>
      </c>
    </row>
    <row r="9" spans="1:6" ht="30" customHeight="1" x14ac:dyDescent="0.25">
      <c r="A9" s="35" t="s">
        <v>534</v>
      </c>
      <c r="B9" s="35" t="s">
        <v>18</v>
      </c>
      <c r="C9" s="35" t="s">
        <v>535</v>
      </c>
      <c r="D9" s="35" t="s">
        <v>536</v>
      </c>
      <c r="E9" s="35" t="s">
        <v>543</v>
      </c>
      <c r="F9" s="35" t="s">
        <v>544</v>
      </c>
    </row>
    <row r="10" spans="1:6" ht="30" customHeight="1" x14ac:dyDescent="0.25">
      <c r="A10" s="35" t="s">
        <v>534</v>
      </c>
      <c r="B10" s="35" t="s">
        <v>545</v>
      </c>
      <c r="C10" s="35" t="s">
        <v>535</v>
      </c>
      <c r="D10" s="35" t="s">
        <v>536</v>
      </c>
      <c r="E10" s="35" t="s">
        <v>546</v>
      </c>
      <c r="F10" s="35" t="s">
        <v>547</v>
      </c>
    </row>
    <row r="11" spans="1:6" ht="30" customHeight="1" x14ac:dyDescent="0.25">
      <c r="A11" s="35" t="s">
        <v>534</v>
      </c>
      <c r="B11" s="35" t="s">
        <v>147</v>
      </c>
      <c r="C11" s="35" t="s">
        <v>535</v>
      </c>
      <c r="D11" s="35" t="s">
        <v>536</v>
      </c>
      <c r="E11" s="35" t="s">
        <v>548</v>
      </c>
      <c r="F11" s="35" t="s">
        <v>549</v>
      </c>
    </row>
    <row r="12" spans="1:6" ht="30" customHeight="1" x14ac:dyDescent="0.25">
      <c r="A12" s="35" t="s">
        <v>534</v>
      </c>
      <c r="B12" s="35" t="s">
        <v>153</v>
      </c>
      <c r="C12" s="35" t="s">
        <v>535</v>
      </c>
      <c r="D12" s="35" t="s">
        <v>536</v>
      </c>
      <c r="E12" s="35" t="s">
        <v>550</v>
      </c>
      <c r="F12" s="35" t="s">
        <v>551</v>
      </c>
    </row>
    <row r="13" spans="1:6" ht="30" customHeight="1" x14ac:dyDescent="0.25">
      <c r="A13" s="35" t="s">
        <v>534</v>
      </c>
      <c r="B13" s="35" t="s">
        <v>552</v>
      </c>
      <c r="C13" s="35" t="s">
        <v>535</v>
      </c>
      <c r="D13" s="35" t="s">
        <v>536</v>
      </c>
      <c r="E13" s="35" t="s">
        <v>546</v>
      </c>
      <c r="F13" s="35" t="s">
        <v>553</v>
      </c>
    </row>
    <row r="14" spans="1:6" ht="30" customHeight="1" x14ac:dyDescent="0.25">
      <c r="A14" s="35" t="s">
        <v>534</v>
      </c>
      <c r="B14" s="35" t="s">
        <v>554</v>
      </c>
      <c r="C14" s="35" t="s">
        <v>535</v>
      </c>
      <c r="D14" s="35" t="s">
        <v>536</v>
      </c>
      <c r="E14" s="35" t="s">
        <v>555</v>
      </c>
      <c r="F14" s="35" t="s">
        <v>556</v>
      </c>
    </row>
    <row r="15" spans="1:6" ht="30" customHeight="1" x14ac:dyDescent="0.25">
      <c r="A15" s="35" t="s">
        <v>534</v>
      </c>
      <c r="B15" s="35" t="s">
        <v>557</v>
      </c>
      <c r="C15" s="35" t="s">
        <v>535</v>
      </c>
      <c r="D15" s="35" t="s">
        <v>536</v>
      </c>
      <c r="E15" s="35" t="s">
        <v>558</v>
      </c>
      <c r="F15" s="35" t="s">
        <v>559</v>
      </c>
    </row>
    <row r="16" spans="1:6" ht="30" customHeight="1" x14ac:dyDescent="0.25">
      <c r="A16" s="35" t="s">
        <v>534</v>
      </c>
      <c r="B16" s="35" t="s">
        <v>560</v>
      </c>
      <c r="C16" s="35" t="s">
        <v>535</v>
      </c>
      <c r="D16" s="35" t="s">
        <v>536</v>
      </c>
      <c r="E16" s="35" t="s">
        <v>561</v>
      </c>
      <c r="F16" s="35" t="s">
        <v>562</v>
      </c>
    </row>
    <row r="17" spans="1:6" ht="30" customHeight="1" x14ac:dyDescent="0.25">
      <c r="A17" s="35" t="s">
        <v>534</v>
      </c>
      <c r="B17" s="35" t="s">
        <v>28</v>
      </c>
      <c r="C17" s="35" t="s">
        <v>535</v>
      </c>
      <c r="D17" s="35" t="s">
        <v>536</v>
      </c>
      <c r="E17" s="35" t="s">
        <v>563</v>
      </c>
      <c r="F17" s="35" t="s">
        <v>564</v>
      </c>
    </row>
    <row r="18" spans="1:6" ht="30" customHeight="1" x14ac:dyDescent="0.25">
      <c r="A18" s="35" t="s">
        <v>534</v>
      </c>
      <c r="B18" s="35" t="s">
        <v>565</v>
      </c>
      <c r="C18" s="35" t="s">
        <v>535</v>
      </c>
      <c r="D18" s="35" t="s">
        <v>536</v>
      </c>
      <c r="E18" s="35" t="s">
        <v>566</v>
      </c>
      <c r="F18" s="35" t="s">
        <v>567</v>
      </c>
    </row>
    <row r="20" spans="1:6" ht="15" customHeight="1" x14ac:dyDescent="0.25">
      <c r="A20" s="33" t="s">
        <v>568</v>
      </c>
    </row>
    <row r="21" spans="1:6" ht="19.5" customHeight="1" x14ac:dyDescent="0.25">
      <c r="A21" s="34" t="s">
        <v>569</v>
      </c>
      <c r="B21" s="34" t="s">
        <v>529</v>
      </c>
      <c r="C21" s="34" t="s">
        <v>570</v>
      </c>
      <c r="D21" s="34" t="s">
        <v>571</v>
      </c>
    </row>
    <row r="22" spans="1:6" ht="54" customHeight="1" x14ac:dyDescent="0.25">
      <c r="A22" s="35" t="s">
        <v>95</v>
      </c>
      <c r="B22" s="35" t="s">
        <v>572</v>
      </c>
      <c r="C22" s="35" t="s">
        <v>573</v>
      </c>
      <c r="D22" s="35" t="s">
        <v>574</v>
      </c>
    </row>
    <row r="23" spans="1:6" ht="41.25" customHeight="1" x14ac:dyDescent="0.25">
      <c r="A23" s="35" t="s">
        <v>122</v>
      </c>
      <c r="B23" s="35" t="s">
        <v>575</v>
      </c>
      <c r="C23" s="35" t="s">
        <v>576</v>
      </c>
      <c r="D23" s="35" t="s">
        <v>577</v>
      </c>
    </row>
    <row r="24" spans="1:6" ht="30" customHeight="1" x14ac:dyDescent="0.25">
      <c r="A24" s="35" t="s">
        <v>578</v>
      </c>
      <c r="B24" s="35" t="s">
        <v>543</v>
      </c>
      <c r="C24" s="35" t="s">
        <v>579</v>
      </c>
      <c r="D24" s="35" t="s">
        <v>580</v>
      </c>
    </row>
    <row r="25" spans="1:6" ht="41.25" customHeight="1" x14ac:dyDescent="0.25">
      <c r="A25" s="35" t="s">
        <v>581</v>
      </c>
      <c r="B25" s="35" t="s">
        <v>546</v>
      </c>
      <c r="C25" s="35" t="s">
        <v>582</v>
      </c>
      <c r="D25" s="35" t="s">
        <v>583</v>
      </c>
    </row>
    <row r="26" spans="1:6" ht="30" customHeight="1" x14ac:dyDescent="0.25">
      <c r="A26" s="35" t="s">
        <v>584</v>
      </c>
      <c r="B26" s="35" t="s">
        <v>543</v>
      </c>
      <c r="C26" s="35" t="s">
        <v>585</v>
      </c>
      <c r="D26" s="35" t="s">
        <v>586</v>
      </c>
    </row>
    <row r="27" spans="1:6" ht="41.25" customHeight="1" x14ac:dyDescent="0.25">
      <c r="A27" s="35" t="s">
        <v>587</v>
      </c>
      <c r="B27" s="35" t="s">
        <v>588</v>
      </c>
      <c r="C27" s="35" t="s">
        <v>589</v>
      </c>
      <c r="D27" s="35" t="s">
        <v>590</v>
      </c>
    </row>
    <row r="28" spans="1:6" ht="41.25" customHeight="1" x14ac:dyDescent="0.25">
      <c r="A28" s="35" t="s">
        <v>591</v>
      </c>
      <c r="B28" s="35" t="s">
        <v>592</v>
      </c>
      <c r="C28" s="35" t="s">
        <v>593</v>
      </c>
      <c r="D28" s="35" t="s">
        <v>594</v>
      </c>
    </row>
    <row r="29" spans="1:6" ht="30" customHeight="1" x14ac:dyDescent="0.25">
      <c r="A29" s="35" t="s">
        <v>595</v>
      </c>
      <c r="B29" s="35" t="s">
        <v>543</v>
      </c>
      <c r="C29" s="35" t="s">
        <v>596</v>
      </c>
      <c r="D29" s="35" t="s">
        <v>597</v>
      </c>
    </row>
    <row r="31" spans="1:6" ht="15" customHeight="1" x14ac:dyDescent="0.25">
      <c r="A31" s="33" t="s">
        <v>598</v>
      </c>
    </row>
    <row r="32" spans="1:6" ht="19.5" customHeight="1" x14ac:dyDescent="0.25">
      <c r="A32" s="34" t="s">
        <v>599</v>
      </c>
      <c r="B32" s="34" t="s">
        <v>600</v>
      </c>
      <c r="C32" s="34" t="s">
        <v>601</v>
      </c>
      <c r="D32" s="34" t="s">
        <v>602</v>
      </c>
      <c r="E32" s="34" t="s">
        <v>603</v>
      </c>
    </row>
    <row r="33" spans="1:6" ht="30" customHeight="1" x14ac:dyDescent="0.25">
      <c r="A33" s="35" t="s">
        <v>604</v>
      </c>
      <c r="B33" s="35" t="s">
        <v>605</v>
      </c>
      <c r="C33" s="35" t="s">
        <v>606</v>
      </c>
      <c r="D33" s="35" t="s">
        <v>607</v>
      </c>
      <c r="E33" s="35" t="s">
        <v>608</v>
      </c>
    </row>
    <row r="34" spans="1:6" ht="54" customHeight="1" x14ac:dyDescent="0.25">
      <c r="A34" s="35" t="s">
        <v>609</v>
      </c>
      <c r="B34" s="35" t="s">
        <v>543</v>
      </c>
      <c r="C34" s="35" t="s">
        <v>610</v>
      </c>
      <c r="D34" s="35" t="s">
        <v>611</v>
      </c>
      <c r="E34" s="35" t="s">
        <v>612</v>
      </c>
    </row>
    <row r="35" spans="1:6" ht="30" customHeight="1" x14ac:dyDescent="0.25">
      <c r="A35" s="35" t="s">
        <v>613</v>
      </c>
      <c r="B35" s="35" t="s">
        <v>614</v>
      </c>
      <c r="C35" s="35" t="s">
        <v>615</v>
      </c>
      <c r="D35" s="35" t="s">
        <v>616</v>
      </c>
      <c r="E35" s="35" t="s">
        <v>617</v>
      </c>
    </row>
    <row r="36" spans="1:6" ht="30" customHeight="1" x14ac:dyDescent="0.25">
      <c r="A36" s="35" t="s">
        <v>278</v>
      </c>
      <c r="B36" s="35" t="s">
        <v>546</v>
      </c>
      <c r="C36" s="35" t="s">
        <v>618</v>
      </c>
      <c r="D36" s="35" t="s">
        <v>619</v>
      </c>
      <c r="E36" s="35" t="s">
        <v>620</v>
      </c>
    </row>
    <row r="37" spans="1:6" ht="41.25" customHeight="1" x14ac:dyDescent="0.25">
      <c r="A37" s="35" t="s">
        <v>621</v>
      </c>
      <c r="B37" s="35" t="s">
        <v>543</v>
      </c>
      <c r="C37" s="35" t="s">
        <v>622</v>
      </c>
      <c r="D37" s="35" t="s">
        <v>623</v>
      </c>
      <c r="E37" s="35" t="s">
        <v>624</v>
      </c>
    </row>
    <row r="38" spans="1:6" ht="30" customHeight="1" x14ac:dyDescent="0.25">
      <c r="A38" s="35" t="s">
        <v>625</v>
      </c>
      <c r="B38" s="35" t="s">
        <v>543</v>
      </c>
      <c r="C38" s="35" t="s">
        <v>626</v>
      </c>
      <c r="D38" s="35" t="s">
        <v>627</v>
      </c>
      <c r="E38" s="35" t="s">
        <v>628</v>
      </c>
    </row>
    <row r="39" spans="1:6" ht="41.25" customHeight="1" x14ac:dyDescent="0.25">
      <c r="A39" s="35" t="s">
        <v>629</v>
      </c>
      <c r="B39" s="35" t="s">
        <v>546</v>
      </c>
      <c r="C39" s="35" t="s">
        <v>630</v>
      </c>
      <c r="D39" s="35" t="s">
        <v>623</v>
      </c>
      <c r="E39" s="35" t="s">
        <v>631</v>
      </c>
    </row>
    <row r="40" spans="1:6" ht="41.25" customHeight="1" x14ac:dyDescent="0.25">
      <c r="A40" s="35" t="s">
        <v>632</v>
      </c>
      <c r="B40" s="35" t="s">
        <v>632</v>
      </c>
      <c r="C40" s="35" t="s">
        <v>633</v>
      </c>
      <c r="D40" s="35" t="s">
        <v>634</v>
      </c>
      <c r="E40" s="35" t="s">
        <v>635</v>
      </c>
    </row>
    <row r="42" spans="1:6" ht="15" customHeight="1" x14ac:dyDescent="0.25">
      <c r="A42" s="33" t="s">
        <v>636</v>
      </c>
    </row>
    <row r="43" spans="1:6" ht="19.5" customHeight="1" x14ac:dyDescent="0.25">
      <c r="A43" s="34" t="s">
        <v>637</v>
      </c>
      <c r="B43" s="34" t="s">
        <v>603</v>
      </c>
    </row>
    <row r="44" spans="1:6" ht="30.75" customHeight="1" x14ac:dyDescent="0.25">
      <c r="A44" s="35" t="s">
        <v>638</v>
      </c>
      <c r="B44" s="2" t="s">
        <v>639</v>
      </c>
      <c r="C44" s="2"/>
      <c r="D44" s="2"/>
      <c r="E44" s="2"/>
      <c r="F44" s="2"/>
    </row>
    <row r="45" spans="1:6" ht="30.75" customHeight="1" x14ac:dyDescent="0.25">
      <c r="A45" s="35" t="s">
        <v>640</v>
      </c>
      <c r="B45" s="2" t="s">
        <v>641</v>
      </c>
      <c r="C45" s="2"/>
      <c r="D45" s="2"/>
      <c r="E45" s="2"/>
      <c r="F45" s="2"/>
    </row>
    <row r="46" spans="1:6" ht="30" customHeight="1" x14ac:dyDescent="0.25">
      <c r="A46" s="35" t="s">
        <v>642</v>
      </c>
      <c r="B46" s="2" t="s">
        <v>643</v>
      </c>
      <c r="C46" s="2"/>
      <c r="D46" s="2"/>
      <c r="E46" s="2"/>
      <c r="F46" s="2"/>
    </row>
    <row r="47" spans="1:6" ht="30" customHeight="1" x14ac:dyDescent="0.25">
      <c r="A47" s="35" t="s">
        <v>644</v>
      </c>
      <c r="B47" s="2" t="s">
        <v>645</v>
      </c>
      <c r="C47" s="2"/>
      <c r="D47" s="2"/>
      <c r="E47" s="2"/>
      <c r="F47" s="2"/>
    </row>
    <row r="48" spans="1:6" ht="30.75" customHeight="1" x14ac:dyDescent="0.25">
      <c r="A48" s="35" t="s">
        <v>646</v>
      </c>
      <c r="B48" s="2" t="s">
        <v>647</v>
      </c>
      <c r="C48" s="2"/>
      <c r="D48" s="2"/>
      <c r="E48" s="2"/>
      <c r="F48" s="2"/>
    </row>
    <row r="51" spans="1:6" ht="15" customHeight="1" x14ac:dyDescent="0.25">
      <c r="A51" s="33" t="s">
        <v>648</v>
      </c>
    </row>
    <row r="52" spans="1:6" ht="15" customHeight="1" x14ac:dyDescent="0.25">
      <c r="A52" s="34" t="s">
        <v>528</v>
      </c>
      <c r="B52" s="34" t="s">
        <v>529</v>
      </c>
      <c r="C52" s="34" t="s">
        <v>530</v>
      </c>
      <c r="D52" s="34" t="s">
        <v>531</v>
      </c>
      <c r="E52" s="34" t="s">
        <v>532</v>
      </c>
      <c r="F52" s="34" t="s">
        <v>649</v>
      </c>
    </row>
    <row r="53" spans="1:6" ht="45" customHeight="1" x14ac:dyDescent="0.25">
      <c r="A53" s="35" t="s">
        <v>534</v>
      </c>
      <c r="B53" s="35" t="s">
        <v>247</v>
      </c>
      <c r="C53" s="35" t="s">
        <v>650</v>
      </c>
      <c r="D53" s="35" t="s">
        <v>536</v>
      </c>
      <c r="E53" s="35" t="s">
        <v>651</v>
      </c>
      <c r="F53" s="35" t="s">
        <v>652</v>
      </c>
    </row>
    <row r="54" spans="1:6" ht="45" customHeight="1" x14ac:dyDescent="0.25">
      <c r="A54" s="35" t="s">
        <v>534</v>
      </c>
      <c r="B54" s="35" t="s">
        <v>653</v>
      </c>
      <c r="C54" s="35" t="s">
        <v>654</v>
      </c>
      <c r="D54" s="35" t="s">
        <v>536</v>
      </c>
      <c r="E54" s="35" t="s">
        <v>651</v>
      </c>
      <c r="F54" s="35" t="s">
        <v>655</v>
      </c>
    </row>
    <row r="55" spans="1:6" ht="45" customHeight="1" x14ac:dyDescent="0.25">
      <c r="A55" s="35" t="s">
        <v>534</v>
      </c>
      <c r="B55" s="35" t="s">
        <v>263</v>
      </c>
      <c r="C55" s="35" t="s">
        <v>656</v>
      </c>
      <c r="D55" s="35" t="s">
        <v>536</v>
      </c>
      <c r="E55" s="35" t="s">
        <v>657</v>
      </c>
      <c r="F55" s="35" t="s">
        <v>658</v>
      </c>
    </row>
    <row r="56" spans="1:6" ht="45" customHeight="1" x14ac:dyDescent="0.25">
      <c r="A56" s="35" t="s">
        <v>534</v>
      </c>
      <c r="B56" s="35" t="s">
        <v>659</v>
      </c>
      <c r="C56" s="35" t="s">
        <v>660</v>
      </c>
      <c r="D56" s="35" t="s">
        <v>536</v>
      </c>
      <c r="E56" s="35" t="s">
        <v>651</v>
      </c>
      <c r="F56" s="35" t="s">
        <v>661</v>
      </c>
    </row>
    <row r="57" spans="1:6" ht="45" customHeight="1" x14ac:dyDescent="0.25">
      <c r="A57" s="35" t="s">
        <v>534</v>
      </c>
      <c r="B57" s="35" t="s">
        <v>278</v>
      </c>
      <c r="C57" s="35" t="s">
        <v>662</v>
      </c>
      <c r="D57" s="35" t="s">
        <v>536</v>
      </c>
      <c r="E57" s="35" t="s">
        <v>651</v>
      </c>
      <c r="F57" s="35" t="s">
        <v>663</v>
      </c>
    </row>
    <row r="58" spans="1:6" ht="45" customHeight="1" x14ac:dyDescent="0.25">
      <c r="A58" s="35" t="s">
        <v>534</v>
      </c>
      <c r="B58" s="35" t="s">
        <v>287</v>
      </c>
      <c r="C58" s="35" t="s">
        <v>664</v>
      </c>
      <c r="D58" s="35" t="s">
        <v>536</v>
      </c>
      <c r="E58" s="35" t="s">
        <v>657</v>
      </c>
      <c r="F58" s="35" t="s">
        <v>665</v>
      </c>
    </row>
    <row r="59" spans="1:6" ht="45" customHeight="1" x14ac:dyDescent="0.25">
      <c r="A59" s="35" t="s">
        <v>534</v>
      </c>
      <c r="B59" s="35" t="s">
        <v>292</v>
      </c>
      <c r="C59" s="35" t="s">
        <v>666</v>
      </c>
      <c r="D59" s="35" t="s">
        <v>536</v>
      </c>
      <c r="E59" s="35" t="s">
        <v>657</v>
      </c>
      <c r="F59" s="35" t="s">
        <v>667</v>
      </c>
    </row>
    <row r="60" spans="1:6" ht="45" customHeight="1" x14ac:dyDescent="0.25">
      <c r="A60" s="35" t="s">
        <v>534</v>
      </c>
      <c r="B60" s="35" t="s">
        <v>297</v>
      </c>
      <c r="C60" s="35" t="s">
        <v>668</v>
      </c>
      <c r="D60" s="35" t="s">
        <v>536</v>
      </c>
      <c r="E60" s="35" t="s">
        <v>651</v>
      </c>
      <c r="F60" s="35" t="s">
        <v>669</v>
      </c>
    </row>
    <row r="61" spans="1:6" ht="45" customHeight="1" x14ac:dyDescent="0.25">
      <c r="A61" s="35" t="s">
        <v>534</v>
      </c>
      <c r="B61" s="35" t="s">
        <v>301</v>
      </c>
      <c r="C61" s="35" t="s">
        <v>670</v>
      </c>
      <c r="D61" s="35" t="s">
        <v>536</v>
      </c>
      <c r="E61" s="35" t="s">
        <v>651</v>
      </c>
      <c r="F61" s="35" t="s">
        <v>671</v>
      </c>
    </row>
    <row r="62" spans="1:6" ht="45" customHeight="1" x14ac:dyDescent="0.25">
      <c r="A62" s="35" t="s">
        <v>534</v>
      </c>
      <c r="B62" s="35" t="s">
        <v>305</v>
      </c>
      <c r="C62" s="35" t="s">
        <v>672</v>
      </c>
      <c r="D62" s="35" t="s">
        <v>536</v>
      </c>
      <c r="E62" s="35" t="s">
        <v>651</v>
      </c>
      <c r="F62" s="35" t="s">
        <v>673</v>
      </c>
    </row>
    <row r="63" spans="1:6" ht="45" customHeight="1" x14ac:dyDescent="0.25">
      <c r="A63" s="35" t="s">
        <v>534</v>
      </c>
      <c r="B63" s="35" t="s">
        <v>309</v>
      </c>
      <c r="C63" s="35" t="s">
        <v>674</v>
      </c>
      <c r="D63" s="35" t="s">
        <v>536</v>
      </c>
      <c r="E63" s="35" t="s">
        <v>657</v>
      </c>
      <c r="F63" s="35" t="s">
        <v>675</v>
      </c>
    </row>
    <row r="65" spans="1:6" ht="15" customHeight="1" x14ac:dyDescent="0.25">
      <c r="A65" s="33" t="s">
        <v>676</v>
      </c>
    </row>
    <row r="66" spans="1:6" ht="31.5" customHeight="1" x14ac:dyDescent="0.25">
      <c r="A66" s="35" t="s">
        <v>677</v>
      </c>
      <c r="B66" s="1" t="s">
        <v>678</v>
      </c>
      <c r="C66" s="1"/>
      <c r="D66" s="1"/>
      <c r="E66" s="1"/>
      <c r="F66" s="1"/>
    </row>
    <row r="67" spans="1:6" ht="31.5" customHeight="1" x14ac:dyDescent="0.25">
      <c r="A67" s="35" t="s">
        <v>679</v>
      </c>
      <c r="B67" s="1" t="s">
        <v>680</v>
      </c>
      <c r="C67" s="1"/>
      <c r="D67" s="1"/>
      <c r="E67" s="1"/>
      <c r="F67" s="1"/>
    </row>
    <row r="68" spans="1:6" ht="31.5" customHeight="1" x14ac:dyDescent="0.25">
      <c r="A68" s="35" t="s">
        <v>681</v>
      </c>
      <c r="B68" s="1" t="s">
        <v>682</v>
      </c>
      <c r="C68" s="1"/>
      <c r="D68" s="1"/>
      <c r="E68" s="1"/>
      <c r="F68" s="1"/>
    </row>
    <row r="70" spans="1:6" ht="15" customHeight="1" x14ac:dyDescent="0.25">
      <c r="A70" s="33" t="s">
        <v>683</v>
      </c>
    </row>
    <row r="71" spans="1:6" ht="15" customHeight="1" x14ac:dyDescent="0.25">
      <c r="A71" s="34" t="s">
        <v>528</v>
      </c>
      <c r="B71" s="34" t="s">
        <v>529</v>
      </c>
      <c r="C71" s="34" t="s">
        <v>530</v>
      </c>
      <c r="D71" s="34" t="s">
        <v>531</v>
      </c>
      <c r="E71" s="34" t="s">
        <v>532</v>
      </c>
      <c r="F71" s="34" t="s">
        <v>649</v>
      </c>
    </row>
    <row r="72" spans="1:6" ht="23.25" customHeight="1" x14ac:dyDescent="0.25">
      <c r="A72" s="35" t="s">
        <v>684</v>
      </c>
      <c r="B72" s="35" t="s">
        <v>685</v>
      </c>
      <c r="C72" s="35" t="s">
        <v>686</v>
      </c>
      <c r="D72" s="35" t="s">
        <v>687</v>
      </c>
      <c r="E72" s="35" t="s">
        <v>688</v>
      </c>
      <c r="F72" s="35" t="s">
        <v>689</v>
      </c>
    </row>
    <row r="73" spans="1:6" ht="23.25" customHeight="1" x14ac:dyDescent="0.25">
      <c r="A73" s="35" t="s">
        <v>684</v>
      </c>
      <c r="B73" s="35" t="s">
        <v>690</v>
      </c>
      <c r="C73" s="35" t="s">
        <v>691</v>
      </c>
      <c r="D73" s="35" t="s">
        <v>692</v>
      </c>
      <c r="E73" s="35" t="s">
        <v>693</v>
      </c>
      <c r="F73" s="35" t="s">
        <v>694</v>
      </c>
    </row>
    <row r="74" spans="1:6" ht="15" customHeight="1" x14ac:dyDescent="0.25">
      <c r="A74" s="35" t="s">
        <v>534</v>
      </c>
      <c r="B74" s="35" t="s">
        <v>695</v>
      </c>
      <c r="C74" s="35" t="s">
        <v>535</v>
      </c>
      <c r="D74" s="35" t="s">
        <v>536</v>
      </c>
      <c r="E74" s="35" t="s">
        <v>696</v>
      </c>
      <c r="F74" s="35" t="s">
        <v>697</v>
      </c>
    </row>
    <row r="75" spans="1:6" ht="15" customHeight="1" x14ac:dyDescent="0.25">
      <c r="A75" s="35" t="s">
        <v>534</v>
      </c>
      <c r="B75" s="35" t="s">
        <v>698</v>
      </c>
      <c r="C75" s="35" t="s">
        <v>535</v>
      </c>
      <c r="D75" s="35" t="s">
        <v>536</v>
      </c>
      <c r="E75" s="35" t="s">
        <v>699</v>
      </c>
      <c r="F75" s="35" t="s">
        <v>700</v>
      </c>
    </row>
    <row r="76" spans="1:6" ht="23.25" customHeight="1" x14ac:dyDescent="0.25">
      <c r="A76" s="35" t="s">
        <v>684</v>
      </c>
      <c r="B76" s="35" t="s">
        <v>701</v>
      </c>
      <c r="C76" s="35" t="s">
        <v>691</v>
      </c>
      <c r="D76" s="35" t="s">
        <v>692</v>
      </c>
      <c r="E76" s="35" t="s">
        <v>702</v>
      </c>
      <c r="F76" s="35" t="s">
        <v>703</v>
      </c>
    </row>
    <row r="77" spans="1:6" ht="23.25" customHeight="1" x14ac:dyDescent="0.25">
      <c r="A77" s="35" t="s">
        <v>684</v>
      </c>
      <c r="B77" s="35" t="s">
        <v>704</v>
      </c>
      <c r="C77" s="35" t="s">
        <v>705</v>
      </c>
      <c r="D77" s="35" t="s">
        <v>692</v>
      </c>
      <c r="E77" s="35" t="s">
        <v>706</v>
      </c>
      <c r="F77" s="35" t="s">
        <v>707</v>
      </c>
    </row>
    <row r="78" spans="1:6" ht="15" customHeight="1" x14ac:dyDescent="0.25">
      <c r="A78" s="33" t="s">
        <v>708</v>
      </c>
    </row>
    <row r="79" spans="1:6" ht="23.25" customHeight="1" x14ac:dyDescent="0.25">
      <c r="A79" s="35" t="s">
        <v>684</v>
      </c>
      <c r="B79" s="35" t="s">
        <v>709</v>
      </c>
      <c r="C79" s="35" t="s">
        <v>710</v>
      </c>
      <c r="D79" s="35" t="s">
        <v>104</v>
      </c>
      <c r="E79" s="35" t="s">
        <v>711</v>
      </c>
      <c r="F79" s="35" t="s">
        <v>712</v>
      </c>
    </row>
    <row r="80" spans="1:6" ht="15" customHeight="1" x14ac:dyDescent="0.25">
      <c r="A80" s="35" t="s">
        <v>684</v>
      </c>
      <c r="B80" s="35" t="s">
        <v>713</v>
      </c>
      <c r="C80" s="35" t="s">
        <v>710</v>
      </c>
      <c r="D80" s="35" t="s">
        <v>104</v>
      </c>
      <c r="E80" s="35" t="s">
        <v>714</v>
      </c>
      <c r="F80" s="35" t="s">
        <v>715</v>
      </c>
    </row>
    <row r="81" spans="1:6" ht="15" customHeight="1" x14ac:dyDescent="0.25">
      <c r="A81" s="33" t="s">
        <v>716</v>
      </c>
    </row>
    <row r="82" spans="1:6" ht="34.5" customHeight="1" x14ac:dyDescent="0.25">
      <c r="A82" s="35" t="s">
        <v>534</v>
      </c>
      <c r="B82" s="35" t="s">
        <v>717</v>
      </c>
      <c r="C82" s="35" t="s">
        <v>718</v>
      </c>
      <c r="D82" s="35" t="s">
        <v>536</v>
      </c>
      <c r="E82" s="35" t="s">
        <v>719</v>
      </c>
      <c r="F82" s="35" t="s">
        <v>720</v>
      </c>
    </row>
    <row r="83" spans="1:6" ht="23.25" customHeight="1" x14ac:dyDescent="0.25">
      <c r="A83" s="35" t="s">
        <v>534</v>
      </c>
      <c r="B83" s="35" t="s">
        <v>721</v>
      </c>
      <c r="C83" s="35" t="s">
        <v>722</v>
      </c>
      <c r="D83" s="35" t="s">
        <v>536</v>
      </c>
      <c r="E83" s="35" t="s">
        <v>723</v>
      </c>
      <c r="F83" s="35" t="s">
        <v>724</v>
      </c>
    </row>
    <row r="84" spans="1:6" ht="34.5" customHeight="1" x14ac:dyDescent="0.25">
      <c r="A84" s="35" t="s">
        <v>603</v>
      </c>
      <c r="B84" s="35" t="s">
        <v>725</v>
      </c>
      <c r="C84" s="35" t="s">
        <v>726</v>
      </c>
      <c r="D84" s="35" t="s">
        <v>536</v>
      </c>
      <c r="E84" s="35" t="s">
        <v>536</v>
      </c>
      <c r="F84" s="35" t="s">
        <v>727</v>
      </c>
    </row>
    <row r="85" spans="1:6" ht="23.25" customHeight="1" x14ac:dyDescent="0.25">
      <c r="A85" s="35" t="s">
        <v>603</v>
      </c>
      <c r="B85" s="35" t="s">
        <v>728</v>
      </c>
      <c r="C85" s="35" t="s">
        <v>726</v>
      </c>
      <c r="D85" s="35" t="s">
        <v>536</v>
      </c>
      <c r="E85" s="35" t="s">
        <v>536</v>
      </c>
      <c r="F85" s="35" t="s">
        <v>729</v>
      </c>
    </row>
    <row r="87" spans="1:6" ht="15" customHeight="1" x14ac:dyDescent="0.25">
      <c r="A87" s="33" t="s">
        <v>730</v>
      </c>
    </row>
    <row r="88" spans="1:6" ht="34.5" customHeight="1" x14ac:dyDescent="0.25">
      <c r="A88" s="35" t="s">
        <v>534</v>
      </c>
      <c r="B88" s="35" t="s">
        <v>731</v>
      </c>
      <c r="C88" s="35" t="s">
        <v>732</v>
      </c>
      <c r="D88" s="35" t="s">
        <v>536</v>
      </c>
      <c r="E88" s="35" t="s">
        <v>733</v>
      </c>
      <c r="F88" s="35" t="s">
        <v>734</v>
      </c>
    </row>
    <row r="89" spans="1:6" ht="34.5" customHeight="1" x14ac:dyDescent="0.25">
      <c r="A89" s="35" t="s">
        <v>603</v>
      </c>
      <c r="B89" s="35" t="s">
        <v>735</v>
      </c>
      <c r="C89" s="35" t="s">
        <v>726</v>
      </c>
      <c r="D89" s="35" t="s">
        <v>536</v>
      </c>
      <c r="E89" s="35" t="s">
        <v>536</v>
      </c>
      <c r="F89" s="35" t="s">
        <v>736</v>
      </c>
    </row>
  </sheetData>
  <mergeCells count="8">
    <mergeCell ref="B66:F66"/>
    <mergeCell ref="B67:F67"/>
    <mergeCell ref="B68:F68"/>
    <mergeCell ref="B44:F44"/>
    <mergeCell ref="B45:F45"/>
    <mergeCell ref="B46:F46"/>
    <mergeCell ref="B47:F47"/>
    <mergeCell ref="B48:F4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Dashboard</vt:lpstr>
      <vt:lpstr>Master Database</vt:lpstr>
      <vt:lpstr>Assumptions &amp; FX Reference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Mehdi</cp:lastModifiedBy>
  <cp:revision>0</cp:revision>
  <dcterms:created xsi:type="dcterms:W3CDTF">2026-09-21T20:15:23Z</dcterms:created>
  <dcterms:modified xsi:type="dcterms:W3CDTF">2026-10-01T23:04:09Z</dcterms:modified>
  <dc:language>en-US</dc:language>
</cp:coreProperties>
</file>